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4.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7.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8.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1" autoFilterDateGrouping="1" firstSheet="0" minimized="0" showHorizontalScroll="1" showSheetTabs="1" showVerticalScroll="1" tabRatio="600" visibility="visible"/>
  </bookViews>
  <sheets>
    <sheet name="Gestión de abastecimiento" sheetId="1" r:id="rId4"/>
    <sheet name="Por Valoracion (3) Dimension" sheetId="2" r:id="rId5"/>
    <sheet name="Tabulacion por item" sheetId="3" r:id="rId6"/>
    <sheet name="Por conteo Dimension" sheetId="4" r:id="rId7"/>
    <sheet name="Satisfacción de los comités d" sheetId="5" r:id="rId8"/>
    <sheet name="Por Valoracion (3) Dimension 2" sheetId="6" r:id="rId9"/>
    <sheet name="Tabulacion por item 2" sheetId="7" r:id="rId10"/>
    <sheet name="Por conteo Dimension 2" sheetId="8" r:id="rId11"/>
    <sheet name="Rela. ent. dimension" sheetId="9" r:id="rId12"/>
    <sheet name="Rela. dimen. ent. vari" sheetId="10" r:id="rId13"/>
    <sheet name="Rela. ent. variable" sheetId="11" r:id="rId14"/>
    <sheet name="Criterio para el valor r" sheetId="12" r:id="rId15"/>
  </sheets>
  <definedNames/>
  <calcPr calcId="999999" calcMode="auto" calcCompleted="0" fullCalcOnLoad="1"/>
</workbook>
</file>

<file path=xl/sharedStrings.xml><?xml version="1.0" encoding="utf-8"?>
<sst xmlns="http://schemas.openxmlformats.org/spreadsheetml/2006/main" uniqueCount="507">
  <si>
    <t>Dimension 1</t>
  </si>
  <si>
    <t>Planificación</t>
  </si>
  <si>
    <t>Transparencia</t>
  </si>
  <si>
    <t>Cumplimiento normativo</t>
  </si>
  <si>
    <t>Total</t>
  </si>
  <si>
    <t>Valoración</t>
  </si>
  <si>
    <t>PRG.1</t>
  </si>
  <si>
    <t>PRG.2</t>
  </si>
  <si>
    <t>PRG.3</t>
  </si>
  <si>
    <t>PRG.4</t>
  </si>
  <si>
    <t>PRG.5</t>
  </si>
  <si>
    <t>PRG.6</t>
  </si>
  <si>
    <t>PRG.7</t>
  </si>
  <si>
    <t>PRG.8</t>
  </si>
  <si>
    <t>PRG.9</t>
  </si>
  <si>
    <t>PRG.10</t>
  </si>
  <si>
    <t>PRG.11</t>
  </si>
  <si>
    <t>PRG.12</t>
  </si>
  <si>
    <t>PRG.13</t>
  </si>
  <si>
    <t>PRG.14</t>
  </si>
  <si>
    <t>PRG.15</t>
  </si>
  <si>
    <t>PRG.16</t>
  </si>
  <si>
    <t>PRG.17</t>
  </si>
  <si>
    <t>PRG.18</t>
  </si>
  <si>
    <t>Beneficiaros 1</t>
  </si>
  <si>
    <t>Beneficiaros 2</t>
  </si>
  <si>
    <t>Beneficiaros 3</t>
  </si>
  <si>
    <t>Beneficiaros 4</t>
  </si>
  <si>
    <t>Beneficiaros 5</t>
  </si>
  <si>
    <t>Beneficiaros 6</t>
  </si>
  <si>
    <t>Beneficiaros 7</t>
  </si>
  <si>
    <t>Beneficiaros 8</t>
  </si>
  <si>
    <t>Beneficiaros 9</t>
  </si>
  <si>
    <t>Beneficiaros 10</t>
  </si>
  <si>
    <t>Beneficiaros 11</t>
  </si>
  <si>
    <t>Beneficiaros 12</t>
  </si>
  <si>
    <t>Beneficiaros 13</t>
  </si>
  <si>
    <t>Beneficiaros 14</t>
  </si>
  <si>
    <t>Beneficiaros 15</t>
  </si>
  <si>
    <t>Beneficiaros 16</t>
  </si>
  <si>
    <t>Beneficiaros 17</t>
  </si>
  <si>
    <t>Beneficiaros 18</t>
  </si>
  <si>
    <t>Beneficiaros 19</t>
  </si>
  <si>
    <t>Beneficiaros 20</t>
  </si>
  <si>
    <t>Beneficiaros 21</t>
  </si>
  <si>
    <t>Beneficiaros 22</t>
  </si>
  <si>
    <t>Beneficiaros 23</t>
  </si>
  <si>
    <t>Beneficiaros 24</t>
  </si>
  <si>
    <t>Beneficiaros 25</t>
  </si>
  <si>
    <t>Beneficiaros 26</t>
  </si>
  <si>
    <t>Beneficiaros 27</t>
  </si>
  <si>
    <t>Beneficiaros 28</t>
  </si>
  <si>
    <t>Beneficiaros 29</t>
  </si>
  <si>
    <t>Beneficiaros 30</t>
  </si>
  <si>
    <t>Beneficiaros 31</t>
  </si>
  <si>
    <t>Beneficiaros 32</t>
  </si>
  <si>
    <t>Beneficiaros 33</t>
  </si>
  <si>
    <t>Beneficiaros 34</t>
  </si>
  <si>
    <t>Beneficiaros 35</t>
  </si>
  <si>
    <t>Beneficiaros 36</t>
  </si>
  <si>
    <t>Beneficiaros 37</t>
  </si>
  <si>
    <t>Beneficiaros 38</t>
  </si>
  <si>
    <t>Beneficiaros 39</t>
  </si>
  <si>
    <t>Beneficiaros 40</t>
  </si>
  <si>
    <t>Beneficiaros 41</t>
  </si>
  <si>
    <t>Beneficiaros 42</t>
  </si>
  <si>
    <t>Beneficiaros 43</t>
  </si>
  <si>
    <t>Beneficiaros 44</t>
  </si>
  <si>
    <t>Beneficiaros 45</t>
  </si>
  <si>
    <t>Beneficiaros 46</t>
  </si>
  <si>
    <t>Beneficiaros 47</t>
  </si>
  <si>
    <t>Beneficiaros 48</t>
  </si>
  <si>
    <t>Beneficiaros 49</t>
  </si>
  <si>
    <t>Beneficiaros 50</t>
  </si>
  <si>
    <t>Beneficiaros 51</t>
  </si>
  <si>
    <t>Beneficiaros 52</t>
  </si>
  <si>
    <t>Beneficiaros 53</t>
  </si>
  <si>
    <t>Beneficiaros 54</t>
  </si>
  <si>
    <t>Beneficiaros 55</t>
  </si>
  <si>
    <t>Beneficiaros 56</t>
  </si>
  <si>
    <t>Beneficiaros 57</t>
  </si>
  <si>
    <t>Beneficiaros 58</t>
  </si>
  <si>
    <t>Beneficiaros 59</t>
  </si>
  <si>
    <t>Beneficiaros 60</t>
  </si>
  <si>
    <t>Beneficiaros 61</t>
  </si>
  <si>
    <t>Beneficiaros 62</t>
  </si>
  <si>
    <t>Beneficiaros 63</t>
  </si>
  <si>
    <t>Beneficiaros 64</t>
  </si>
  <si>
    <t>Beneficiaros 65</t>
  </si>
  <si>
    <t>Beneficiaros 66</t>
  </si>
  <si>
    <t>Beneficiaros 67</t>
  </si>
  <si>
    <t>Beneficiaros 68</t>
  </si>
  <si>
    <t>Beneficiaros 69</t>
  </si>
  <si>
    <t>Beneficiaros 70</t>
  </si>
  <si>
    <t>Beneficiaros 71</t>
  </si>
  <si>
    <t>Beneficiaros 72</t>
  </si>
  <si>
    <t>Beneficiaros 73</t>
  </si>
  <si>
    <t>Beneficiaros 74</t>
  </si>
  <si>
    <t>Beneficiaros 75</t>
  </si>
  <si>
    <t>Beneficiaros 76</t>
  </si>
  <si>
    <t>Beneficiaros 77</t>
  </si>
  <si>
    <t>Beneficiaros 78</t>
  </si>
  <si>
    <t>Beneficiaros 79</t>
  </si>
  <si>
    <t>Beneficiaros 80</t>
  </si>
  <si>
    <t>Beneficiaros 81</t>
  </si>
  <si>
    <t>Beneficiaros 82</t>
  </si>
  <si>
    <t>Beneficiaros 83</t>
  </si>
  <si>
    <t>Beneficiaros 84</t>
  </si>
  <si>
    <t>Beneficiaros 85</t>
  </si>
  <si>
    <t>Beneficiaros 86</t>
  </si>
  <si>
    <t>Beneficiaros 87</t>
  </si>
  <si>
    <t>Beneficiaros 88</t>
  </si>
  <si>
    <t>Beneficiaros 89</t>
  </si>
  <si>
    <t>Beneficiaros 90</t>
  </si>
  <si>
    <t>Beneficiaros 91</t>
  </si>
  <si>
    <t>Beneficiaros 92</t>
  </si>
  <si>
    <t>Beneficiaros 93</t>
  </si>
  <si>
    <t>Beneficiaros 94</t>
  </si>
  <si>
    <t>Beneficiaros 95</t>
  </si>
  <si>
    <t>Beneficiaros 96</t>
  </si>
  <si>
    <t>Beneficiaros 97</t>
  </si>
  <si>
    <t>Beneficiaros 98</t>
  </si>
  <si>
    <t>Beneficiaros 99</t>
  </si>
  <si>
    <t>Beneficiaros 100</t>
  </si>
  <si>
    <t>Beneficiaros 101</t>
  </si>
  <si>
    <t>Beneficiaros 102</t>
  </si>
  <si>
    <t>Beneficiaros 103</t>
  </si>
  <si>
    <t>Beneficiaros 104</t>
  </si>
  <si>
    <t>Beneficiaros 105</t>
  </si>
  <si>
    <t>Beneficiaros 106</t>
  </si>
  <si>
    <t>Beneficiaros 107</t>
  </si>
  <si>
    <t>Beneficiaros 108</t>
  </si>
  <si>
    <t>Beneficiaros 109</t>
  </si>
  <si>
    <t>Beneficiaros 110</t>
  </si>
  <si>
    <t>Beneficiaros 111</t>
  </si>
  <si>
    <t>Beneficiaros 112</t>
  </si>
  <si>
    <t>Beneficiaros 113</t>
  </si>
  <si>
    <t>Beneficiaros 114</t>
  </si>
  <si>
    <t>Beneficiaros 115</t>
  </si>
  <si>
    <t>Beneficiaros 116</t>
  </si>
  <si>
    <t>Beneficiaros 117</t>
  </si>
  <si>
    <t>Beneficiaros 118</t>
  </si>
  <si>
    <t>Beneficiaros 119</t>
  </si>
  <si>
    <t>Beneficiaros 120</t>
  </si>
  <si>
    <t>Beneficiaros 121</t>
  </si>
  <si>
    <t>Beneficiaros 122</t>
  </si>
  <si>
    <t>Beneficiaros 123</t>
  </si>
  <si>
    <t>Beneficiaros 124</t>
  </si>
  <si>
    <t>Beneficiaros 125</t>
  </si>
  <si>
    <t>Beneficiaros 126</t>
  </si>
  <si>
    <t>Beneficiaros 127</t>
  </si>
  <si>
    <t>Beneficiaros 128</t>
  </si>
  <si>
    <t>Beneficiaros 129</t>
  </si>
  <si>
    <t>Beneficiaros 130</t>
  </si>
  <si>
    <t>Beneficiaros 131</t>
  </si>
  <si>
    <t>Beneficiaros 132</t>
  </si>
  <si>
    <t>Beneficiaros 133</t>
  </si>
  <si>
    <t>Beneficiaros 134</t>
  </si>
  <si>
    <t>Beneficiaros 135</t>
  </si>
  <si>
    <t>Beneficiaros 136</t>
  </si>
  <si>
    <t>Beneficiaros 137</t>
  </si>
  <si>
    <t>Beneficiaros 138</t>
  </si>
  <si>
    <t>Beneficiaros 139</t>
  </si>
  <si>
    <t>Beneficiaros 140</t>
  </si>
  <si>
    <t>Beneficiaros 141</t>
  </si>
  <si>
    <t>Beneficiaros 142</t>
  </si>
  <si>
    <t>Beneficiaros 143</t>
  </si>
  <si>
    <t>Beneficiaros 144</t>
  </si>
  <si>
    <t>Beneficiaros 145</t>
  </si>
  <si>
    <t>Beneficiaros 146</t>
  </si>
  <si>
    <t>Beneficiaros 147</t>
  </si>
  <si>
    <t>Beneficiaros 148</t>
  </si>
  <si>
    <t>Beneficiaros 149</t>
  </si>
  <si>
    <t>Beneficiaros 150</t>
  </si>
  <si>
    <t>Beneficiaros 151</t>
  </si>
  <si>
    <t>Beneficiaros 152</t>
  </si>
  <si>
    <t>Beneficiaros 153</t>
  </si>
  <si>
    <t>Beneficiaros 154</t>
  </si>
  <si>
    <t>Beneficiaros 155</t>
  </si>
  <si>
    <t>Beneficiaros 156</t>
  </si>
  <si>
    <t>Beneficiaros 157</t>
  </si>
  <si>
    <t>Beneficiaros 158</t>
  </si>
  <si>
    <t>Beneficiaros 159</t>
  </si>
  <si>
    <t>Beneficiaros 160</t>
  </si>
  <si>
    <t>Beneficiaros 161</t>
  </si>
  <si>
    <t>Beneficiaros 162</t>
  </si>
  <si>
    <t>Beneficiaros 163</t>
  </si>
  <si>
    <t>Beneficiaros 164</t>
  </si>
  <si>
    <t>Beneficiaros 165</t>
  </si>
  <si>
    <t>Beneficiaros 166</t>
  </si>
  <si>
    <t>Beneficiaros 167</t>
  </si>
  <si>
    <t>Beneficiaros 168</t>
  </si>
  <si>
    <t>Beneficiaros 169</t>
  </si>
  <si>
    <t>Beneficiaros 170</t>
  </si>
  <si>
    <t>Beneficiaros 171</t>
  </si>
  <si>
    <t>Beneficiaros 172</t>
  </si>
  <si>
    <t>Beneficiaros 173</t>
  </si>
  <si>
    <t>Beneficiaros 174</t>
  </si>
  <si>
    <t>Beneficiaros 175</t>
  </si>
  <si>
    <t>Beneficiaros 176</t>
  </si>
  <si>
    <t>Beneficiaros 177</t>
  </si>
  <si>
    <t>Beneficiaros 178</t>
  </si>
  <si>
    <t>Beneficiaros 179</t>
  </si>
  <si>
    <t>Beneficiaros 180</t>
  </si>
  <si>
    <t>Beneficiaros 181</t>
  </si>
  <si>
    <t>Beneficiaros 182</t>
  </si>
  <si>
    <t>Beneficiaros 183</t>
  </si>
  <si>
    <t>Beneficiaros 184</t>
  </si>
  <si>
    <t>Beneficiaros 185</t>
  </si>
  <si>
    <t>Beneficiaros 186</t>
  </si>
  <si>
    <t>Beneficiaros 187</t>
  </si>
  <si>
    <t>Beneficiaros 188</t>
  </si>
  <si>
    <t>Beneficiaros 189</t>
  </si>
  <si>
    <t>Beneficiaros 190</t>
  </si>
  <si>
    <t>Beneficiaros 191</t>
  </si>
  <si>
    <t>Beneficiaros 192</t>
  </si>
  <si>
    <t>Beneficiaros 193</t>
  </si>
  <si>
    <t>Beneficiaros 194</t>
  </si>
  <si>
    <t>Beneficiaros 195</t>
  </si>
  <si>
    <t>Beneficiaros 196</t>
  </si>
  <si>
    <t>Beneficiaros 197</t>
  </si>
  <si>
    <t>Beneficiaros 198</t>
  </si>
  <si>
    <t>Beneficiaros 199</t>
  </si>
  <si>
    <t>Beneficiaros 200</t>
  </si>
  <si>
    <t>Beneficiaros 201</t>
  </si>
  <si>
    <t>Beneficiaros 202</t>
  </si>
  <si>
    <t>Beneficiaros 203</t>
  </si>
  <si>
    <t>Beneficiaros 204</t>
  </si>
  <si>
    <t>Beneficiaros 205</t>
  </si>
  <si>
    <t>Beneficiaros 206</t>
  </si>
  <si>
    <t>Beneficiaros 207</t>
  </si>
  <si>
    <t>Beneficiaros 208</t>
  </si>
  <si>
    <t>Beneficiaros 209</t>
  </si>
  <si>
    <t>Beneficiaros 210</t>
  </si>
  <si>
    <t>Beneficiaros 211</t>
  </si>
  <si>
    <t>Beneficiaros 212</t>
  </si>
  <si>
    <t>Beneficiaros 213</t>
  </si>
  <si>
    <t>Beneficiaros 214</t>
  </si>
  <si>
    <t>Beneficiaros 215</t>
  </si>
  <si>
    <t>Beneficiaros 216</t>
  </si>
  <si>
    <t>Beneficiaros 217</t>
  </si>
  <si>
    <t>Beneficiaros 218</t>
  </si>
  <si>
    <t>Beneficiaros 219</t>
  </si>
  <si>
    <t>Beneficiaros 220</t>
  </si>
  <si>
    <t>Beneficiaros 221</t>
  </si>
  <si>
    <t>Beneficiaros 222</t>
  </si>
  <si>
    <t>Beneficiaros 223</t>
  </si>
  <si>
    <t>Beneficiaros 224</t>
  </si>
  <si>
    <t>Beneficiaros 225</t>
  </si>
  <si>
    <t>Beneficiaros 226</t>
  </si>
  <si>
    <t>Beneficiaros 227</t>
  </si>
  <si>
    <t>Beneficiaros 228</t>
  </si>
  <si>
    <t>Beneficiaros 229</t>
  </si>
  <si>
    <t>Beneficiaros 230</t>
  </si>
  <si>
    <t>Beneficiaros 231</t>
  </si>
  <si>
    <t>Beneficiaros 232</t>
  </si>
  <si>
    <t>Beneficiaros 233</t>
  </si>
  <si>
    <t>Beneficiaros 234</t>
  </si>
  <si>
    <t>Beneficiaros 235</t>
  </si>
  <si>
    <t>Beneficiaros 236</t>
  </si>
  <si>
    <t>Beneficiaros 237</t>
  </si>
  <si>
    <t>Beneficiaros 238</t>
  </si>
  <si>
    <t>Beneficiaros 239</t>
  </si>
  <si>
    <t>Beneficiaros 240</t>
  </si>
  <si>
    <t>Beneficiaros 241</t>
  </si>
  <si>
    <t>Beneficiaros 242</t>
  </si>
  <si>
    <t>Beneficiaros 243</t>
  </si>
  <si>
    <t>Beneficiaros 244</t>
  </si>
  <si>
    <t>Beneficiaros 245</t>
  </si>
  <si>
    <t>Beneficiaros 246</t>
  </si>
  <si>
    <t>Beneficiaros 247</t>
  </si>
  <si>
    <t>Beneficiaros 248</t>
  </si>
  <si>
    <t>Beneficiaros 249</t>
  </si>
  <si>
    <t>Beneficiaros 250</t>
  </si>
  <si>
    <t>Beneficiaros 251</t>
  </si>
  <si>
    <t>Beneficiaros 252</t>
  </si>
  <si>
    <t>Beneficiaros 253</t>
  </si>
  <si>
    <t>Beneficiaros 254</t>
  </si>
  <si>
    <t>Beneficiaros 255</t>
  </si>
  <si>
    <t>Beneficiaros 256</t>
  </si>
  <si>
    <t>Beneficiaros 257</t>
  </si>
  <si>
    <t>Beneficiaros 258</t>
  </si>
  <si>
    <t>Beneficiaros 259</t>
  </si>
  <si>
    <t>Beneficiaros 260</t>
  </si>
  <si>
    <t>Beneficiaros 261</t>
  </si>
  <si>
    <t>Beneficiaros 262</t>
  </si>
  <si>
    <t>Beneficiaros 263</t>
  </si>
  <si>
    <t>Beneficiaros 264</t>
  </si>
  <si>
    <t>Beneficiaros 265</t>
  </si>
  <si>
    <t>Beneficiaros 266</t>
  </si>
  <si>
    <t>Beneficiaros 267</t>
  </si>
  <si>
    <t>Beneficiaros 268</t>
  </si>
  <si>
    <t>Beneficiaros 269</t>
  </si>
  <si>
    <t>Beneficiaros 270</t>
  </si>
  <si>
    <t>Beneficiaros 271</t>
  </si>
  <si>
    <t>Beneficiaros 272</t>
  </si>
  <si>
    <t>Beneficiaros 273</t>
  </si>
  <si>
    <t>Beneficiaros 274</t>
  </si>
  <si>
    <t>Beneficiaros 275</t>
  </si>
  <si>
    <t>Beneficiaros 276</t>
  </si>
  <si>
    <t>Beneficiaros 277</t>
  </si>
  <si>
    <t>Beneficiaros 278</t>
  </si>
  <si>
    <t>Beneficiaros 279</t>
  </si>
  <si>
    <t>Beneficiaros 280</t>
  </si>
  <si>
    <t>Beneficiaros 281</t>
  </si>
  <si>
    <t>Beneficiaros 282</t>
  </si>
  <si>
    <t>Beneficiaros 283</t>
  </si>
  <si>
    <t>Beneficiaros 284</t>
  </si>
  <si>
    <t>Beneficiaros 285</t>
  </si>
  <si>
    <t>Beneficiaros 286</t>
  </si>
  <si>
    <t>Beneficiaros 287</t>
  </si>
  <si>
    <t>Beneficiaros 288</t>
  </si>
  <si>
    <t>Beneficiaros 289</t>
  </si>
  <si>
    <t>TOTAL</t>
  </si>
  <si>
    <t>MODA</t>
  </si>
  <si>
    <t>MEDIA</t>
  </si>
  <si>
    <t>MEDIANA</t>
  </si>
  <si>
    <t>Desv.Est</t>
  </si>
  <si>
    <t xml:space="preserve">Coef. Varia.
    </t>
  </si>
  <si>
    <t>Totalmente en desacuerdo</t>
  </si>
  <si>
    <t>En desacuerdo</t>
  </si>
  <si>
    <t>Ni de acuerdo ni en desacuerdo</t>
  </si>
  <si>
    <t>De acuerdo</t>
  </si>
  <si>
    <t>Totalmente de acuerdo</t>
  </si>
  <si>
    <t>Totalmente en desacuerdo%</t>
  </si>
  <si>
    <t>En desacuerdo%</t>
  </si>
  <si>
    <t>Ni de acuerdo ni en desacuerdo%</t>
  </si>
  <si>
    <t>De acuerdo%</t>
  </si>
  <si>
    <t>Totalmente de acuerdo%</t>
  </si>
  <si>
    <t>Total %</t>
  </si>
  <si>
    <t>Nº de Personas</t>
  </si>
  <si>
    <t>Gestión de abastecimiento</t>
  </si>
  <si>
    <t>Suma Total</t>
  </si>
  <si>
    <t>Variable</t>
  </si>
  <si>
    <t>Nombre de la Dimensión</t>
  </si>
  <si>
    <t>Cantidad de Escalas Valorativas</t>
  </si>
  <si>
    <t>Nº de Peguntas</t>
  </si>
  <si>
    <t>Valor Mínimo por item</t>
  </si>
  <si>
    <t>Valor Máximo por item</t>
  </si>
  <si>
    <t>Máximo</t>
  </si>
  <si>
    <t>Mínimo</t>
  </si>
  <si>
    <t>Rango</t>
  </si>
  <si>
    <t>Amplitud del Intervalo</t>
  </si>
  <si>
    <t>Tabla 1</t>
  </si>
  <si>
    <t>Tabla 2</t>
  </si>
  <si>
    <t>Tabla 3</t>
  </si>
  <si>
    <t>Tabla 4</t>
  </si>
  <si>
    <t>Calificación</t>
  </si>
  <si>
    <t>Frec.</t>
  </si>
  <si>
    <t>%</t>
  </si>
  <si>
    <t>Desde</t>
  </si>
  <si>
    <t>Hasta</t>
  </si>
  <si>
    <t>Bajo</t>
  </si>
  <si>
    <t xml:space="preserve">Medio </t>
  </si>
  <si>
    <t>Alto</t>
  </si>
  <si>
    <t>Fuente: Encuesta aplicada</t>
  </si>
  <si>
    <t>Elaboración: Propia</t>
  </si>
  <si>
    <t>Figura.1</t>
  </si>
  <si>
    <t>Figura.2</t>
  </si>
  <si>
    <t>Figura.3</t>
  </si>
  <si>
    <t>Figura.4</t>
  </si>
  <si>
    <t>Unidades de Medida</t>
  </si>
  <si>
    <t>Dimensión</t>
  </si>
  <si>
    <t>Beneficiaross</t>
  </si>
  <si>
    <t>Valoración de la variable</t>
  </si>
  <si>
    <t>Preguntas Originales</t>
  </si>
  <si>
    <t>Enunciados Para Palafraseo</t>
  </si>
  <si>
    <t>x</t>
  </si>
  <si>
    <t>MÁXIMO</t>
  </si>
  <si>
    <t>Valores</t>
  </si>
  <si>
    <t>codificación de verbos aleatorios para concatenar</t>
  </si>
  <si>
    <t>verbo</t>
  </si>
  <si>
    <t>Concatenación</t>
  </si>
  <si>
    <t>dimensión</t>
  </si>
  <si>
    <t>Valor</t>
  </si>
  <si>
    <t>codificación de verbos</t>
  </si>
  <si>
    <t>Verbo</t>
  </si>
  <si>
    <t>codificación de conectores</t>
  </si>
  <si>
    <t>Conectores</t>
  </si>
  <si>
    <t>codificación de unidades de medida</t>
  </si>
  <si>
    <t xml:space="preserve">Unidades de medida </t>
  </si>
  <si>
    <t>valoró</t>
  </si>
  <si>
    <t>calificó</t>
  </si>
  <si>
    <t>consideró</t>
  </si>
  <si>
    <t>respondió</t>
  </si>
  <si>
    <t>evaluó</t>
  </si>
  <si>
    <t>determinó</t>
  </si>
  <si>
    <t>mencionó</t>
  </si>
  <si>
    <t>apreció</t>
  </si>
  <si>
    <t>percibió</t>
  </si>
  <si>
    <t>Tuvo una percepción de</t>
  </si>
  <si>
    <t>asi mismo</t>
  </si>
  <si>
    <t xml:space="preserve">por otro lado </t>
  </si>
  <si>
    <t xml:space="preserve">por otra parte </t>
  </si>
  <si>
    <t xml:space="preserve">ademas </t>
  </si>
  <si>
    <t xml:space="preserve">en consecuencia </t>
  </si>
  <si>
    <t xml:space="preserve">adicional a ello </t>
  </si>
  <si>
    <t xml:space="preserve">por consecuencia </t>
  </si>
  <si>
    <t>Resultados</t>
  </si>
  <si>
    <t>Item 1</t>
  </si>
  <si>
    <t>Item 2</t>
  </si>
  <si>
    <t>Item 3</t>
  </si>
  <si>
    <t>Item 4</t>
  </si>
  <si>
    <t>Item 5</t>
  </si>
  <si>
    <t>Item 6</t>
  </si>
  <si>
    <t>Item 7</t>
  </si>
  <si>
    <t>Item 8</t>
  </si>
  <si>
    <t>Item 9</t>
  </si>
  <si>
    <t>Item 10</t>
  </si>
  <si>
    <t>Item 11</t>
  </si>
  <si>
    <t>Item 12</t>
  </si>
  <si>
    <t>Item 13</t>
  </si>
  <si>
    <t>Item 14</t>
  </si>
  <si>
    <t>Item 15</t>
  </si>
  <si>
    <t>Item 16</t>
  </si>
  <si>
    <t>Item 17</t>
  </si>
  <si>
    <t>Item 18</t>
  </si>
  <si>
    <t>Tabla 5</t>
  </si>
  <si>
    <t>Tabla 6</t>
  </si>
  <si>
    <t>Tabla 7</t>
  </si>
  <si>
    <t>Tabla 8</t>
  </si>
  <si>
    <t>Tabla 9</t>
  </si>
  <si>
    <t>Tabla 10</t>
  </si>
  <si>
    <t>Tabla 11</t>
  </si>
  <si>
    <t>Tabla 12</t>
  </si>
  <si>
    <t>Tabla 13</t>
  </si>
  <si>
    <t>Tabla 14</t>
  </si>
  <si>
    <t>Tabla 15</t>
  </si>
  <si>
    <t>Tabla 16</t>
  </si>
  <si>
    <t>Tabla 17</t>
  </si>
  <si>
    <t>Tabla 18</t>
  </si>
  <si>
    <t>Figura. 1</t>
  </si>
  <si>
    <t>Figura. 2</t>
  </si>
  <si>
    <t>Figura. 3</t>
  </si>
  <si>
    <t>Figura. 4</t>
  </si>
  <si>
    <t>Figura. 5</t>
  </si>
  <si>
    <t>Figura. 6</t>
  </si>
  <si>
    <t>Figura. 7</t>
  </si>
  <si>
    <t>Figura. 8</t>
  </si>
  <si>
    <t>Figura. 9</t>
  </si>
  <si>
    <t>Figura. 10</t>
  </si>
  <si>
    <t>Figura. 11</t>
  </si>
  <si>
    <t>Figura. 12</t>
  </si>
  <si>
    <t>Figura. 13</t>
  </si>
  <si>
    <t>Figura. 14</t>
  </si>
  <si>
    <t>Figura. 15</t>
  </si>
  <si>
    <t>Figura. 16</t>
  </si>
  <si>
    <t>Figura. 17</t>
  </si>
  <si>
    <t>Figura. 18</t>
  </si>
  <si>
    <t>Mayoria</t>
  </si>
  <si>
    <t>Dimensión 1</t>
  </si>
  <si>
    <t>Dimensión 2</t>
  </si>
  <si>
    <t>Dimensión 3</t>
  </si>
  <si>
    <t>Variable 1</t>
  </si>
  <si>
    <t>Unidad de Medida</t>
  </si>
  <si>
    <t>Calificación verdadera</t>
  </si>
  <si>
    <t>Valor Mayor</t>
  </si>
  <si>
    <t>MAYOR</t>
  </si>
  <si>
    <t>Satisfacción del servicio</t>
  </si>
  <si>
    <t>Satisfacción de los comités del Programa Vaso de Leche</t>
  </si>
  <si>
    <t>Medio</t>
  </si>
  <si>
    <t>Dimensión 1 Variable 1</t>
  </si>
  <si>
    <t>Dimensión 1 Variable 2</t>
  </si>
  <si>
    <t>Dimensión 2 Variable 1</t>
  </si>
  <si>
    <t>Dimensión 3 Variable 1</t>
  </si>
  <si>
    <t>Pruebas de normalidad</t>
  </si>
  <si>
    <t>Kolmogorov-Smirnova</t>
  </si>
  <si>
    <t>Shapiro-Wilk</t>
  </si>
  <si>
    <t>Estadístico</t>
  </si>
  <si>
    <t>gl</t>
  </si>
  <si>
    <t>Sig.</t>
  </si>
  <si>
    <t>a. Corrección de significación de Lilliefors</t>
  </si>
  <si>
    <t>Correlaciones</t>
  </si>
  <si>
    <t>Correlación de Pearson</t>
  </si>
  <si>
    <t>Rho de Spearman</t>
  </si>
  <si>
    <t>Correlación de Rho de Spearman</t>
  </si>
  <si>
    <t>Sig. (bilateral)</t>
  </si>
  <si>
    <t>N</t>
  </si>
  <si>
    <t>**. La correlación es significativa en el nivel 0,01 (2 colas).</t>
  </si>
  <si>
    <t xml:space="preserve"> Dimensión </t>
  </si>
  <si>
    <t xml:space="preserve"> Prueba a utilizar  </t>
  </si>
  <si>
    <t xml:space="preserve"> decición </t>
  </si>
  <si>
    <t xml:space="preserve"> decición concreta  </t>
  </si>
  <si>
    <t>decición de prueba de relación</t>
  </si>
  <si>
    <t xml:space="preserve">Categorización </t>
  </si>
  <si>
    <t xml:space="preserve"> probabilidad de error </t>
  </si>
  <si>
    <t xml:space="preserve"> "r" </t>
  </si>
  <si>
    <t>"Rho"</t>
  </si>
  <si>
    <t>dimensiones</t>
  </si>
  <si>
    <t>Probabilidad de error</t>
  </si>
  <si>
    <t xml:space="preserve">Decición </t>
  </si>
  <si>
    <t>Variable 2</t>
  </si>
  <si>
    <t xml:space="preserve"> Variable </t>
  </si>
  <si>
    <t>Significado</t>
  </si>
  <si>
    <t>Correlación negativa perfecta</t>
  </si>
  <si>
    <t>Correlación negativa muy fuerte</t>
  </si>
  <si>
    <t>Correlación negativa considerable</t>
  </si>
  <si>
    <t>Correlación negativa media</t>
  </si>
  <si>
    <t>Correlación negativa débil</t>
  </si>
  <si>
    <t>Correlación negativa muy débil</t>
  </si>
  <si>
    <t>No existe correlación alguna entre las variables</t>
  </si>
  <si>
    <t>Correlación positiva muy débil</t>
  </si>
  <si>
    <t>Correlación positiva débil</t>
  </si>
  <si>
    <t>Correlación positiva media</t>
  </si>
  <si>
    <t>Correlación positiva considerable</t>
  </si>
  <si>
    <t>Correlación positiva muy fuerte</t>
  </si>
  <si>
    <t>Correlación positiva perfecta</t>
  </si>
</sst>
</file>

<file path=xl/styles.xml><?xml version="1.0" encoding="utf-8"?>
<styleSheet xmlns="http://schemas.openxmlformats.org/spreadsheetml/2006/main" xml:space="preserve">
  <numFmts count="0"/>
  <fonts count="9">
    <font>
      <b val="0"/>
      <i val="0"/>
      <strike val="0"/>
      <u val="none"/>
      <sz val="11"/>
      <color rgb="FF000000"/>
      <name val="Calibri"/>
    </font>
    <font>
      <b val="1"/>
      <i val="0"/>
      <strike val="0"/>
      <u val="none"/>
      <sz val="10"/>
      <color rgb="FF030303"/>
      <name val="Verdana"/>
    </font>
    <font>
      <b val="1"/>
      <i val="0"/>
      <strike val="0"/>
      <u val="none"/>
      <sz val="7"/>
      <color rgb="FF030303"/>
      <name val="Verdana"/>
    </font>
    <font>
      <b val="1"/>
      <i val="0"/>
      <strike val="0"/>
      <u val="none"/>
      <sz val="6"/>
      <color rgb="FF030303"/>
      <name val="Verdana"/>
    </font>
    <font>
      <b val="0"/>
      <i val="0"/>
      <strike val="0"/>
      <u val="none"/>
      <sz val="10"/>
      <color rgb="FF030303"/>
      <name val="Times New Roman"/>
    </font>
    <font>
      <b val="0"/>
      <i val="0"/>
      <strike val="0"/>
      <u val="none"/>
      <sz val="10"/>
      <color rgb="FF030303"/>
      <name val="Times new Roman"/>
    </font>
    <font>
      <b val="1"/>
      <i val="0"/>
      <strike val="0"/>
      <u val="none"/>
      <sz val="12"/>
      <color rgb="FF030303"/>
      <name val="Times New Roman"/>
    </font>
    <font>
      <b val="0"/>
      <i val="0"/>
      <strike val="0"/>
      <u val="none"/>
      <sz val="10"/>
      <color rgb="FFffffff"/>
      <name val="Times New Roman"/>
    </font>
    <font>
      <b val="1"/>
      <i val="0"/>
      <strike val="0"/>
      <u val="none"/>
      <sz val="10"/>
      <color rgb="FF030303"/>
      <name val="Times New Roman"/>
    </font>
  </fonts>
  <fills count="14">
    <fill>
      <patternFill patternType="none"/>
    </fill>
    <fill>
      <patternFill patternType="gray125">
        <fgColor rgb="FFFFFFFF"/>
        <bgColor rgb="FF000000"/>
      </patternFill>
    </fill>
    <fill>
      <patternFill patternType="solid">
        <fgColor rgb="E43B16"/>
        <bgColor rgb="FF000000"/>
      </patternFill>
    </fill>
    <fill>
      <patternFill patternType="solid">
        <fgColor rgb="2BAD56"/>
        <bgColor rgb="FF000000"/>
      </patternFill>
    </fill>
    <fill>
      <patternFill patternType="solid">
        <fgColor rgb="0000FF"/>
        <bgColor rgb="FF000000"/>
      </patternFill>
    </fill>
    <fill>
      <patternFill patternType="solid">
        <fgColor rgb="FFCC00"/>
        <bgColor rgb="FF000000"/>
      </patternFill>
    </fill>
    <fill>
      <patternFill patternType="solid">
        <fgColor rgb="8CC563"/>
        <bgColor rgb="FF000000"/>
      </patternFill>
    </fill>
    <fill>
      <patternFill patternType="solid">
        <fgColor rgb="bae704"/>
        <bgColor rgb="FF000000"/>
      </patternFill>
    </fill>
    <fill>
      <patternFill patternType="solid">
        <fgColor rgb="FF68ab46"/>
        <bgColor rgb="FF000000"/>
      </patternFill>
    </fill>
    <fill>
      <patternFill patternType="solid">
        <fgColor rgb="FF7d285d"/>
        <bgColor rgb="FF000000"/>
      </patternFill>
    </fill>
    <fill>
      <patternFill patternType="solid">
        <fgColor rgb="FF9a2e8e"/>
        <bgColor rgb="FF000000"/>
      </patternFill>
    </fill>
    <fill>
      <patternFill patternType="solid">
        <fgColor rgb="FF6cefaf"/>
        <bgColor rgb="FF000000"/>
      </patternFill>
    </fill>
    <fill>
      <patternFill patternType="solid">
        <fgColor rgb="FFa7e592"/>
        <bgColor rgb="FF000000"/>
      </patternFill>
    </fill>
    <fill>
      <patternFill patternType="solid">
        <fgColor rgb="FFa361ad"/>
        <bgColor rgb="FF000000"/>
      </patternFill>
    </fill>
  </fills>
  <borders count="4">
    <border/>
    <border>
      <right style="medium">
        <color rgb="FF000000"/>
      </right>
      <bottom style="thin">
        <color rgb="FF000000"/>
      </bottom>
    </border>
    <border>
      <bottom style="thin">
        <color rgb="FF000000"/>
      </bottom>
    </border>
    <border>
      <top style="thin">
        <color rgb="FF000000"/>
      </top>
      <bottom style="thin">
        <color rgb="FF000000"/>
      </bottom>
    </border>
  </borders>
  <cellStyleXfs count="1">
    <xf numFmtId="0" fontId="0" fillId="0" borderId="0"/>
  </cellStyleXfs>
  <cellXfs count="52">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0" numFmtId="0" fillId="3" borderId="1" applyFont="0" applyNumberFormat="0" applyFill="1" applyBorder="1" applyAlignment="0">
      <alignment horizontal="general" vertical="bottom" textRotation="0" wrapText="false" shrinkToFit="false"/>
    </xf>
    <xf xfId="0" fontId="2" numFmtId="0" fillId="3" borderId="1" applyFont="1" applyNumberFormat="0" applyFill="1" applyBorder="1"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xf xfId="0" fontId="0" numFmtId="9" fillId="0" borderId="0" applyFont="0" applyNumberFormat="1" applyFill="0" applyBorder="0" applyAlignment="0">
      <alignment horizontal="general" vertical="bottom" textRotation="0" wrapText="false" shrinkToFit="false"/>
    </xf>
    <xf xfId="0" fontId="1" numFmtId="0" fillId="4" borderId="1" applyFont="1" applyNumberFormat="0" applyFill="1" applyBorder="1"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0" numFmtId="0" fillId="5" borderId="1" applyFont="0" applyNumberFormat="0" applyFill="1" applyBorder="1" applyAlignment="0">
      <alignment horizontal="general" vertical="bottom" textRotation="0" wrapText="false" shrinkToFit="false"/>
    </xf>
    <xf xfId="0" fontId="3" numFmtId="0" fillId="5" borderId="1" applyFont="1" applyNumberFormat="0" applyFill="1" applyBorder="1"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0" numFmtId="0" fillId="6" borderId="0" applyFont="0" applyNumberFormat="0" applyFill="1" applyBorder="0"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4" numFmtId="9" fillId="0" borderId="0" applyFont="1"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4" numFmtId="0" fillId="0" borderId="0" applyFont="1" applyNumberFormat="0" applyFill="0" applyBorder="0" applyAlignment="1">
      <alignment horizontal="center" vertical="bottom" textRotation="0" wrapText="false" shrinkToFit="false"/>
    </xf>
    <xf xfId="0" fontId="4" numFmtId="0" fillId="0" borderId="3" applyFont="1" applyNumberFormat="0" applyFill="0" applyBorder="1" applyAlignment="1">
      <alignment horizontal="center" vertical="bottom" textRotation="0" wrapText="false" shrinkToFit="false"/>
    </xf>
    <xf xfId="0" fontId="4" numFmtId="0" fillId="0" borderId="2" applyFont="1" applyNumberFormat="0" applyFill="0" applyBorder="1" applyAlignment="1">
      <alignment horizontal="center" vertical="bottom" textRotation="0" wrapText="false" shrinkToFit="false"/>
    </xf>
    <xf xfId="0" fontId="0" numFmtId="0" fillId="0" borderId="3" applyFont="0" applyNumberFormat="0" applyFill="0" applyBorder="1" applyAlignment="1">
      <alignment horizontal="center" vertical="bottom" textRotation="0" wrapText="false" shrinkToFit="false"/>
    </xf>
    <xf xfId="0" fontId="4" numFmtId="9" fillId="0" borderId="0" applyFont="1" applyNumberFormat="1" applyFill="0" applyBorder="0" applyAlignment="1">
      <alignment horizontal="center" vertical="bottom" textRotation="0" wrapText="false" shrinkToFit="false"/>
    </xf>
    <xf xfId="0" fontId="4" numFmtId="9" fillId="0" borderId="3" applyFont="1" applyNumberFormat="1" applyFill="0" applyBorder="1" applyAlignment="1">
      <alignment horizontal="center"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2" applyFont="1" applyNumberFormat="0" applyFill="0" applyBorder="1" applyAlignment="1">
      <alignment horizontal="left" vertical="bottom" textRotation="0" wrapText="false" shrinkToFit="false"/>
    </xf>
    <xf xfId="0" fontId="4" numFmtId="0" fillId="0" borderId="0" applyFont="1" applyNumberFormat="0" applyFill="0" applyBorder="0" applyAlignment="1">
      <alignment horizontal="left" vertical="bottom" textRotation="0" wrapText="false" shrinkToFit="false"/>
    </xf>
    <xf xfId="0" fontId="4" numFmtId="0" fillId="0" borderId="0" applyFont="1" applyNumberFormat="0" applyFill="0" applyBorder="0" applyAlignment="1">
      <alignment horizontal="left" vertical="center" textRotation="0" wrapText="true" shrinkToFit="false"/>
    </xf>
    <xf xfId="0" fontId="0" numFmtId="0" fillId="7" borderId="0" applyFont="0"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6" numFmtId="0" fillId="5" borderId="1" applyFont="1" applyNumberFormat="0" applyFill="1" applyBorder="1" applyAlignment="1">
      <alignment horizontal="center" vertical="bottom" textRotation="0" wrapText="false" shrinkToFit="false"/>
    </xf>
    <xf xfId="0" fontId="0" numFmtId="9" fillId="0" borderId="0" applyFont="0" applyNumberFormat="1" applyFill="0" applyBorder="0" applyAlignment="1">
      <alignment horizontal="center" vertical="bottom" textRotation="0" wrapText="false" shrinkToFit="false"/>
    </xf>
    <xf xfId="0" fontId="4" numFmtId="0" fillId="0" borderId="3" applyFont="1" applyNumberFormat="0" applyFill="0" applyBorder="1" applyAlignment="1">
      <alignment horizontal="left" vertical="bottom" textRotation="0" wrapText="false" shrinkToFit="false"/>
    </xf>
    <xf xfId="0" fontId="7" numFmtId="0" fillId="0" borderId="0" applyFont="1" applyNumberFormat="0" applyFill="0" applyBorder="0" applyAlignment="0">
      <alignment horizontal="general" vertical="bottom" textRotation="0" wrapText="false" shrinkToFit="false"/>
    </xf>
    <xf xfId="0" fontId="7" numFmtId="9" fillId="0" borderId="0" applyFont="1"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6" borderId="0" applyFont="0" applyNumberFormat="0" applyFill="1" applyBorder="0" applyAlignment="1">
      <alignment horizontal="general" vertical="bottom" textRotation="0" wrapText="true" shrinkToFit="false"/>
    </xf>
    <xf xfId="0" fontId="0" numFmtId="0" fillId="7" borderId="0" applyFont="0" applyNumberFormat="0" applyFill="1" applyBorder="0" applyAlignment="1">
      <alignment horizontal="general" vertical="bottom" textRotation="0" wrapText="true" shrinkToFit="false"/>
    </xf>
    <xf xfId="0" fontId="0" numFmtId="0" fillId="8" borderId="0" applyFont="0"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true" shrinkToFit="false"/>
    </xf>
    <xf xfId="0" fontId="8" numFmtId="0" fillId="0" borderId="0" applyFont="1" applyNumberFormat="0" applyFill="0" applyBorder="0" applyAlignment="1">
      <alignment horizontal="center" vertical="center" textRotation="0" wrapText="true" shrinkToFit="false"/>
    </xf>
    <xf xfId="0" fontId="8" numFmtId="0" fillId="0" borderId="2"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0" numFmtId="0" fillId="9" borderId="0" applyFont="0" applyNumberFormat="0" applyFill="1" applyBorder="0" applyAlignment="0">
      <alignment horizontal="general" vertical="bottom" textRotation="0" wrapText="false" shrinkToFit="false"/>
    </xf>
    <xf xfId="0" fontId="0" numFmtId="0" fillId="10" borderId="0" applyFont="0" applyNumberFormat="0" applyFill="1" applyBorder="0" applyAlignment="0">
      <alignment horizontal="general" vertical="bottom" textRotation="0" wrapText="false" shrinkToFit="false"/>
    </xf>
    <xf xfId="0" fontId="0" numFmtId="0" fillId="11" borderId="0" applyFont="0" applyNumberFormat="0" applyFill="1" applyBorder="0" applyAlignment="0">
      <alignment horizontal="general" vertical="bottom" textRotation="0" wrapText="false" shrinkToFit="false"/>
    </xf>
    <xf xfId="0" fontId="0" numFmtId="0" fillId="12" borderId="0" applyFont="0" applyNumberFormat="0" applyFill="1" applyBorder="0" applyAlignment="0">
      <alignment horizontal="general" vertical="bottom" textRotation="0" wrapText="false" shrinkToFit="false"/>
    </xf>
    <xf xfId="0" fontId="0" numFmtId="0" fillId="13" borderId="0" applyFont="0" applyNumberFormat="0" applyFill="1" applyBorder="0" applyAlignment="0">
      <alignment horizontal="general" vertical="bottom" textRotation="0" wrapText="false" shrinkToFit="false"/>
    </xf>
    <xf xfId="0" fontId="0" numFmtId="2"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Dimension'!$O$19:$O$21</c:f>
              <c:strCache>
                <c:ptCount val="6"/>
              </c:strCache>
            </c:strRef>
          </c:cat>
          <c:val>
            <c:numRef>
              <c:f>'Por Valoracion (3) Dimension'!$S$19:$S$21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Dimension'!$AA$19:$AA$21</c:f>
              <c:strCache>
                <c:ptCount val="6"/>
              </c:strCache>
            </c:strRef>
          </c:cat>
          <c:val>
            <c:numRef>
              <c:f>'Por Valoracion (3) Dimension'!$AE$19:$AE$21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Dimension'!$AM$19:$AM$21</c:f>
              <c:strCache>
                <c:ptCount val="6"/>
              </c:strCache>
            </c:strRef>
          </c:cat>
          <c:val>
            <c:numRef>
              <c:f>'Por Valoracion (3) Dimension'!$AQ$19:$AQ$21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Dimension'!$AY$19:$AY$21</c:f>
              <c:strCache>
                <c:ptCount val="6"/>
              </c:strCache>
            </c:strRef>
          </c:cat>
          <c:val>
            <c:numRef>
              <c:f>'Por Valoracion (3) Dimension'!$BC$19:$BC$21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item'!$D$8:$D$12</c:f>
              <c:strCache>
                <c:ptCount val="6"/>
              </c:strCache>
            </c:strRef>
          </c:cat>
          <c:val>
            <c:numRef>
              <c:f>'Tabulacion por item'!$F$8:$F$12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item'!$M$8:$M$12</c:f>
              <c:strCache>
                <c:ptCount val="6"/>
              </c:strCache>
            </c:strRef>
          </c:cat>
          <c:val>
            <c:numRef>
              <c:f>'Tabulacion por item'!$O$8:$O$12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item'!$V$8:$V$12</c:f>
              <c:strCache>
                <c:ptCount val="6"/>
              </c:strCache>
            </c:strRef>
          </c:cat>
          <c:val>
            <c:numRef>
              <c:f>'Tabulacion por item'!$X$8:$X$12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item'!$AE$8:$AE$12</c:f>
              <c:strCache>
                <c:ptCount val="6"/>
              </c:strCache>
            </c:strRef>
          </c:cat>
          <c:val>
            <c:numRef>
              <c:f>'Tabulacion por item'!$AG$8:$AG$12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item'!$AN$8:$AN$12</c:f>
              <c:strCache>
                <c:ptCount val="6"/>
              </c:strCache>
            </c:strRef>
          </c:cat>
          <c:val>
            <c:numRef>
              <c:f>'Tabulacion por item'!$AP$8:$AP$12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item'!$AW$8:$AW$12</c:f>
              <c:strCache>
                <c:ptCount val="6"/>
              </c:strCache>
            </c:strRef>
          </c:cat>
          <c:val>
            <c:numRef>
              <c:f>'Tabulacion por item'!$AY$8:$AY$12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item'!$BF$8:$BF$12</c:f>
              <c:strCache>
                <c:ptCount val="6"/>
              </c:strCache>
            </c:strRef>
          </c:cat>
          <c:val>
            <c:numRef>
              <c:f>'Tabulacion por item'!$BH$8:$BH$12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item'!$BO$8:$BO$12</c:f>
              <c:strCache>
                <c:ptCount val="6"/>
              </c:strCache>
            </c:strRef>
          </c:cat>
          <c:val>
            <c:numRef>
              <c:f>'Tabulacion por item'!$BQ$8:$BQ$12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item'!$BX$8:$BX$12</c:f>
              <c:strCache>
                <c:ptCount val="6"/>
              </c:strCache>
            </c:strRef>
          </c:cat>
          <c:val>
            <c:numRef>
              <c:f>'Tabulacion por item'!$BZ$8:$BZ$12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item'!$CG$8:$CG$12</c:f>
              <c:strCache>
                <c:ptCount val="6"/>
              </c:strCache>
            </c:strRef>
          </c:cat>
          <c:val>
            <c:numRef>
              <c:f>'Tabulacion por item'!$CI$8:$CI$12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item'!$CP$8:$CP$12</c:f>
              <c:strCache>
                <c:ptCount val="6"/>
              </c:strCache>
            </c:strRef>
          </c:cat>
          <c:val>
            <c:numRef>
              <c:f>'Tabulacion por item'!$CR$8:$CR$12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item'!$CY$8:$CY$12</c:f>
              <c:strCache>
                <c:ptCount val="6"/>
              </c:strCache>
            </c:strRef>
          </c:cat>
          <c:val>
            <c:numRef>
              <c:f>'Tabulacion por item'!$DA$8:$DA$12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item'!$DH$8:$DH$12</c:f>
              <c:strCache>
                <c:ptCount val="6"/>
              </c:strCache>
            </c:strRef>
          </c:cat>
          <c:val>
            <c:numRef>
              <c:f>'Tabulacion por item'!$DJ$8:$DJ$12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item'!$DQ$8:$DQ$12</c:f>
              <c:strCache>
                <c:ptCount val="6"/>
              </c:strCache>
            </c:strRef>
          </c:cat>
          <c:val>
            <c:numRef>
              <c:f>'Tabulacion por item'!$DS$8:$DS$12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item'!$DZ$8:$DZ$12</c:f>
              <c:strCache>
                <c:ptCount val="6"/>
              </c:strCache>
            </c:strRef>
          </c:cat>
          <c:val>
            <c:numRef>
              <c:f>'Tabulacion por item'!$EB$8:$EB$12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item'!$EI$8:$EI$12</c:f>
              <c:strCache>
                <c:ptCount val="6"/>
              </c:strCache>
            </c:strRef>
          </c:cat>
          <c:val>
            <c:numRef>
              <c:f>'Tabulacion por item'!$EK$8:$EK$12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item'!$ER$8:$ER$12</c:f>
              <c:strCache>
                <c:ptCount val="6"/>
              </c:strCache>
            </c:strRef>
          </c:cat>
          <c:val>
            <c:numRef>
              <c:f>'Tabulacion por item'!$ET$8:$ET$12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item'!$FA$8:$FA$12</c:f>
              <c:strCache>
                <c:ptCount val="6"/>
              </c:strCache>
            </c:strRef>
          </c:cat>
          <c:val>
            <c:numRef>
              <c:f>'Tabulacion por item'!$FC$8:$FC$12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Dimension'!$D$8:$D$12</c:f>
              <c:strCache>
                <c:ptCount val="6"/>
              </c:strCache>
            </c:strRef>
          </c:cat>
          <c:val>
            <c:numRef>
              <c:f>'Por conteo Dimension'!$F$8:$F$12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Dimension'!$M$8:$M$12</c:f>
              <c:strCache>
                <c:ptCount val="6"/>
              </c:strCache>
            </c:strRef>
          </c:cat>
          <c:val>
            <c:numRef>
              <c:f>'Por conteo Dimension'!$O$8:$O$12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Dimension'!$V$8:$V$12</c:f>
              <c:strCache>
                <c:ptCount val="6"/>
              </c:strCache>
            </c:strRef>
          </c:cat>
          <c:val>
            <c:numRef>
              <c:f>'Por conteo Dimension'!$X$8:$X$12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Dimension'!$AE$8:$AE$12</c:f>
              <c:strCache>
                <c:ptCount val="6"/>
              </c:strCache>
            </c:strRef>
          </c:cat>
          <c:val>
            <c:numRef>
              <c:f>'Por conteo Dimension'!$AG$8:$AG$12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 2'!$B$1</c:f>
              <c:strCache>
                <c:ptCount val="1"/>
              </c:strCache>
            </c:strRef>
          </c:tx>
          <c:invertIfNegative val="0"/>
          <c:cat>
            <c:strRef>
              <c:f>'Por Valoracion (3) Dimension 2'!$K$19:$K$21</c:f>
              <c:strCache>
                <c:ptCount val="6"/>
              </c:strCache>
            </c:strRef>
          </c:cat>
          <c:val>
            <c:numRef>
              <c:f>'Por Valoracion (3) Dimension 2'!$O$19:$O$21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 2'!$B$1</c:f>
              <c:strCache>
                <c:ptCount val="1"/>
              </c:strCache>
            </c:strRef>
          </c:tx>
          <c:invertIfNegative val="0"/>
          <c:cat>
            <c:strRef>
              <c:f>'Por Valoracion (3) Dimension 2'!$W$19:$W$21</c:f>
              <c:strCache>
                <c:ptCount val="6"/>
              </c:strCache>
            </c:strRef>
          </c:cat>
          <c:val>
            <c:numRef>
              <c:f>'Por Valoracion (3) Dimension 2'!$AA$19:$AA$21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2'!$D$8:$D$12</c:f>
              <c:strCache>
                <c:ptCount val="6"/>
              </c:strCache>
            </c:strRef>
          </c:cat>
          <c:val>
            <c:numRef>
              <c:f>'Tabulacion por item 2'!$F$8:$F$12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2'!$M$8:$M$12</c:f>
              <c:strCache>
                <c:ptCount val="6"/>
              </c:strCache>
            </c:strRef>
          </c:cat>
          <c:val>
            <c:numRef>
              <c:f>'Tabulacion por item 2'!$O$8:$O$12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2'!$V$8:$V$12</c:f>
              <c:strCache>
                <c:ptCount val="6"/>
              </c:strCache>
            </c:strRef>
          </c:cat>
          <c:val>
            <c:numRef>
              <c:f>'Tabulacion por item 2'!$X$8:$X$12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2'!$AE$8:$AE$12</c:f>
              <c:strCache>
                <c:ptCount val="6"/>
              </c:strCache>
            </c:strRef>
          </c:cat>
          <c:val>
            <c:numRef>
              <c:f>'Tabulacion por item 2'!$AG$8:$AG$12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2'!$AN$8:$AN$12</c:f>
              <c:strCache>
                <c:ptCount val="6"/>
              </c:strCache>
            </c:strRef>
          </c:cat>
          <c:val>
            <c:numRef>
              <c:f>'Tabulacion por item 2'!$AP$8:$AP$12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2'!$AW$8:$AW$12</c:f>
              <c:strCache>
                <c:ptCount val="6"/>
              </c:strCache>
            </c:strRef>
          </c:cat>
          <c:val>
            <c:numRef>
              <c:f>'Tabulacion por item 2'!$AY$8:$AY$12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2'!$BF$8:$BF$12</c:f>
              <c:strCache>
                <c:ptCount val="6"/>
              </c:strCache>
            </c:strRef>
          </c:cat>
          <c:val>
            <c:numRef>
              <c:f>'Tabulacion por item 2'!$BH$8:$BH$12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2'!$BO$8:$BO$12</c:f>
              <c:strCache>
                <c:ptCount val="6"/>
              </c:strCache>
            </c:strRef>
          </c:cat>
          <c:val>
            <c:numRef>
              <c:f>'Tabulacion por item 2'!$BQ$8:$BQ$12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2'!$BX$8:$BX$12</c:f>
              <c:strCache>
                <c:ptCount val="6"/>
              </c:strCache>
            </c:strRef>
          </c:cat>
          <c:val>
            <c:numRef>
              <c:f>'Tabulacion por item 2'!$BZ$8:$BZ$12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 2'!$B$1</c:f>
              <c:strCache>
                <c:ptCount val="1"/>
              </c:strCache>
            </c:strRef>
          </c:tx>
          <c:invertIfNegative val="0"/>
          <c:cat>
            <c:strRef>
              <c:f>'Por conteo Dimension 2'!$D$8:$D$12</c:f>
              <c:strCache>
                <c:ptCount val="6"/>
              </c:strCache>
            </c:strRef>
          </c:cat>
          <c:val>
            <c:numRef>
              <c:f>'Por conteo Dimension 2'!$F$8:$F$12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 2'!$B$1</c:f>
              <c:strCache>
                <c:ptCount val="1"/>
              </c:strCache>
            </c:strRef>
          </c:tx>
          <c:invertIfNegative val="0"/>
          <c:cat>
            <c:strRef>
              <c:f>'Por conteo Dimension 2'!$M$8:$M$12</c:f>
              <c:strCache>
                <c:ptCount val="6"/>
              </c:strCache>
            </c:strRef>
          </c:cat>
          <c:val>
            <c:numRef>
              <c:f>'Por conteo Dimension 2'!$O$8:$O$12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Relationship Id="rId7" Type="http://schemas.openxmlformats.org/officeDocument/2006/relationships/chart" Target="../charts/chart11.xml"/><Relationship Id="rId8" Type="http://schemas.openxmlformats.org/officeDocument/2006/relationships/chart" Target="../charts/chart12.xml"/><Relationship Id="rId9" Type="http://schemas.openxmlformats.org/officeDocument/2006/relationships/chart" Target="../charts/chart13.xml"/><Relationship Id="rId10" Type="http://schemas.openxmlformats.org/officeDocument/2006/relationships/chart" Target="../charts/chart14.xml"/><Relationship Id="rId11" Type="http://schemas.openxmlformats.org/officeDocument/2006/relationships/chart" Target="../charts/chart15.xml"/><Relationship Id="rId12" Type="http://schemas.openxmlformats.org/officeDocument/2006/relationships/chart" Target="../charts/chart16.xml"/><Relationship Id="rId13" Type="http://schemas.openxmlformats.org/officeDocument/2006/relationships/chart" Target="../charts/chart17.xml"/><Relationship Id="rId14" Type="http://schemas.openxmlformats.org/officeDocument/2006/relationships/chart" Target="../charts/chart18.xml"/><Relationship Id="rId15" Type="http://schemas.openxmlformats.org/officeDocument/2006/relationships/chart" Target="../charts/chart19.xml"/><Relationship Id="rId16" Type="http://schemas.openxmlformats.org/officeDocument/2006/relationships/chart" Target="../charts/chart20.xml"/><Relationship Id="rId17" Type="http://schemas.openxmlformats.org/officeDocument/2006/relationships/chart" Target="../charts/chart21.xml"/><Relationship Id="rId18" Type="http://schemas.openxmlformats.org/officeDocument/2006/relationships/chart" Target="../charts/chart2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Relationship Id="rId3" Type="http://schemas.openxmlformats.org/officeDocument/2006/relationships/chart" Target="../charts/chart25.xml"/><Relationship Id="rId4"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7.xml"/><Relationship Id="rId2"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Relationship Id="rId5" Type="http://schemas.openxmlformats.org/officeDocument/2006/relationships/chart" Target="../charts/chart33.xml"/><Relationship Id="rId6" Type="http://schemas.openxmlformats.org/officeDocument/2006/relationships/chart" Target="../charts/chart34.xml"/><Relationship Id="rId7" Type="http://schemas.openxmlformats.org/officeDocument/2006/relationships/chart" Target="../charts/chart35.xml"/><Relationship Id="rId8" Type="http://schemas.openxmlformats.org/officeDocument/2006/relationships/chart" Target="../charts/chart36.xml"/><Relationship Id="rId9" Type="http://schemas.openxmlformats.org/officeDocument/2006/relationships/chart" Target="../charts/chart3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8.xml"/><Relationship Id="rId2" Type="http://schemas.openxmlformats.org/officeDocument/2006/relationships/chart" Target="../charts/chart39.xml"/></Relationships>
</file>

<file path=xl/drawings/drawing2.xml><?xml version="1.0" encoding="utf-8"?>
<xdr:wsDr xmlns:xdr="http://schemas.openxmlformats.org/drawingml/2006/spreadsheetDrawing" xmlns:a="http://schemas.openxmlformats.org/drawingml/2006/main">
  <xdr:twoCellAnchor>
    <xdr:from>
      <xdr:col>14</xdr:col>
      <xdr:colOff>0</xdr:colOff>
      <xdr:row>25</xdr:row>
      <xdr:rowOff>0</xdr:rowOff>
    </xdr:from>
    <xdr:to>
      <xdr:col>19</xdr:col>
      <xdr:colOff>95250</xdr:colOff>
      <xdr:row>41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25</xdr:row>
      <xdr:rowOff>0</xdr:rowOff>
    </xdr:from>
    <xdr:to>
      <xdr:col>31</xdr:col>
      <xdr:colOff>95250</xdr:colOff>
      <xdr:row>41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0</xdr:colOff>
      <xdr:row>25</xdr:row>
      <xdr:rowOff>0</xdr:rowOff>
    </xdr:from>
    <xdr:to>
      <xdr:col>43</xdr:col>
      <xdr:colOff>95250</xdr:colOff>
      <xdr:row>41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0</xdr:colOff>
      <xdr:row>25</xdr:row>
      <xdr:rowOff>0</xdr:rowOff>
    </xdr:from>
    <xdr:to>
      <xdr:col>55</xdr:col>
      <xdr:colOff>95250</xdr:colOff>
      <xdr:row>41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0</xdr:colOff>
      <xdr:row>17</xdr:row>
      <xdr:rowOff>0</xdr:rowOff>
    </xdr:from>
    <xdr:to>
      <xdr:col>42</xdr:col>
      <xdr:colOff>95250</xdr:colOff>
      <xdr:row>31</xdr:row>
      <xdr:rowOff>95250</xdr:rowOff>
    </xdr:to>
    <xdr:graphicFrame macro="">
      <xdr:nvGraphicFramePr>
        <xdr:cNvPr name="Chart 5" id="5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0</xdr:colOff>
      <xdr:row>17</xdr:row>
      <xdr:rowOff>0</xdr:rowOff>
    </xdr:from>
    <xdr:to>
      <xdr:col>51</xdr:col>
      <xdr:colOff>95250</xdr:colOff>
      <xdr:row>31</xdr:row>
      <xdr:rowOff>95250</xdr:rowOff>
    </xdr:to>
    <xdr:graphicFrame macro="">
      <xdr:nvGraphicFramePr>
        <xdr:cNvPr name="Chart 6" id="61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57</xdr:col>
      <xdr:colOff>0</xdr:colOff>
      <xdr:row>17</xdr:row>
      <xdr:rowOff>0</xdr:rowOff>
    </xdr:from>
    <xdr:to>
      <xdr:col>60</xdr:col>
      <xdr:colOff>95250</xdr:colOff>
      <xdr:row>31</xdr:row>
      <xdr:rowOff>95250</xdr:rowOff>
    </xdr:to>
    <xdr:graphicFrame macro="">
      <xdr:nvGraphicFramePr>
        <xdr:cNvPr name="Chart 7" id="71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0</xdr:colOff>
      <xdr:row>17</xdr:row>
      <xdr:rowOff>0</xdr:rowOff>
    </xdr:from>
    <xdr:to>
      <xdr:col>69</xdr:col>
      <xdr:colOff>95250</xdr:colOff>
      <xdr:row>31</xdr:row>
      <xdr:rowOff>95250</xdr:rowOff>
    </xdr:to>
    <xdr:graphicFrame macro="">
      <xdr:nvGraphicFramePr>
        <xdr:cNvPr name="Chart 8" id="82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75</xdr:col>
      <xdr:colOff>0</xdr:colOff>
      <xdr:row>17</xdr:row>
      <xdr:rowOff>0</xdr:rowOff>
    </xdr:from>
    <xdr:to>
      <xdr:col>78</xdr:col>
      <xdr:colOff>95250</xdr:colOff>
      <xdr:row>31</xdr:row>
      <xdr:rowOff>95250</xdr:rowOff>
    </xdr:to>
    <xdr:graphicFrame macro="">
      <xdr:nvGraphicFramePr>
        <xdr:cNvPr name="Chart 9" id="92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0</xdr:colOff>
      <xdr:row>17</xdr:row>
      <xdr:rowOff>0</xdr:rowOff>
    </xdr:from>
    <xdr:to>
      <xdr:col>87</xdr:col>
      <xdr:colOff>95250</xdr:colOff>
      <xdr:row>31</xdr:row>
      <xdr:rowOff>95250</xdr:rowOff>
    </xdr:to>
    <xdr:graphicFrame macro="">
      <xdr:nvGraphicFramePr>
        <xdr:cNvPr name="Chart 10" id="102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93</xdr:col>
      <xdr:colOff>0</xdr:colOff>
      <xdr:row>17</xdr:row>
      <xdr:rowOff>0</xdr:rowOff>
    </xdr:from>
    <xdr:to>
      <xdr:col>96</xdr:col>
      <xdr:colOff>95250</xdr:colOff>
      <xdr:row>31</xdr:row>
      <xdr:rowOff>95250</xdr:rowOff>
    </xdr:to>
    <xdr:graphicFrame macro="">
      <xdr:nvGraphicFramePr>
        <xdr:cNvPr name="Chart 11" id="112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102</xdr:col>
      <xdr:colOff>0</xdr:colOff>
      <xdr:row>17</xdr:row>
      <xdr:rowOff>0</xdr:rowOff>
    </xdr:from>
    <xdr:to>
      <xdr:col>105</xdr:col>
      <xdr:colOff>95250</xdr:colOff>
      <xdr:row>31</xdr:row>
      <xdr:rowOff>95250</xdr:rowOff>
    </xdr:to>
    <xdr:graphicFrame macro="">
      <xdr:nvGraphicFramePr>
        <xdr:cNvPr name="Chart 12" id="123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111</xdr:col>
      <xdr:colOff>0</xdr:colOff>
      <xdr:row>17</xdr:row>
      <xdr:rowOff>0</xdr:rowOff>
    </xdr:from>
    <xdr:to>
      <xdr:col>114</xdr:col>
      <xdr:colOff>95250</xdr:colOff>
      <xdr:row>31</xdr:row>
      <xdr:rowOff>95250</xdr:rowOff>
    </xdr:to>
    <xdr:graphicFrame macro="">
      <xdr:nvGraphicFramePr>
        <xdr:cNvPr name="Chart 13" id="133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120</xdr:col>
      <xdr:colOff>0</xdr:colOff>
      <xdr:row>17</xdr:row>
      <xdr:rowOff>0</xdr:rowOff>
    </xdr:from>
    <xdr:to>
      <xdr:col>123</xdr:col>
      <xdr:colOff>95250</xdr:colOff>
      <xdr:row>31</xdr:row>
      <xdr:rowOff>95250</xdr:rowOff>
    </xdr:to>
    <xdr:graphicFrame macro="">
      <xdr:nvGraphicFramePr>
        <xdr:cNvPr name="Chart 14" id="143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129</xdr:col>
      <xdr:colOff>0</xdr:colOff>
      <xdr:row>17</xdr:row>
      <xdr:rowOff>0</xdr:rowOff>
    </xdr:from>
    <xdr:to>
      <xdr:col>132</xdr:col>
      <xdr:colOff>95250</xdr:colOff>
      <xdr:row>31</xdr:row>
      <xdr:rowOff>95250</xdr:rowOff>
    </xdr:to>
    <xdr:graphicFrame macro="">
      <xdr:nvGraphicFramePr>
        <xdr:cNvPr name="Chart 15" id="153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138</xdr:col>
      <xdr:colOff>0</xdr:colOff>
      <xdr:row>17</xdr:row>
      <xdr:rowOff>0</xdr:rowOff>
    </xdr:from>
    <xdr:to>
      <xdr:col>141</xdr:col>
      <xdr:colOff>95250</xdr:colOff>
      <xdr:row>31</xdr:row>
      <xdr:rowOff>95250</xdr:rowOff>
    </xdr:to>
    <xdr:graphicFrame macro="">
      <xdr:nvGraphicFramePr>
        <xdr:cNvPr name="Chart 16" id="164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147</xdr:col>
      <xdr:colOff>0</xdr:colOff>
      <xdr:row>17</xdr:row>
      <xdr:rowOff>0</xdr:rowOff>
    </xdr:from>
    <xdr:to>
      <xdr:col>150</xdr:col>
      <xdr:colOff>95250</xdr:colOff>
      <xdr:row>31</xdr:row>
      <xdr:rowOff>95250</xdr:rowOff>
    </xdr:to>
    <xdr:graphicFrame macro="">
      <xdr:nvGraphicFramePr>
        <xdr:cNvPr name="Chart 17" id="174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156</xdr:col>
      <xdr:colOff>0</xdr:colOff>
      <xdr:row>17</xdr:row>
      <xdr:rowOff>0</xdr:rowOff>
    </xdr:from>
    <xdr:to>
      <xdr:col>159</xdr:col>
      <xdr:colOff>95250</xdr:colOff>
      <xdr:row>31</xdr:row>
      <xdr:rowOff>95250</xdr:rowOff>
    </xdr:to>
    <xdr:graphicFrame macro="">
      <xdr:nvGraphicFramePr>
        <xdr:cNvPr name="Chart 18" id="184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25</xdr:row>
      <xdr:rowOff>0</xdr:rowOff>
    </xdr:from>
    <xdr:to>
      <xdr:col>15</xdr:col>
      <xdr:colOff>95250</xdr:colOff>
      <xdr:row>41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25</xdr:row>
      <xdr:rowOff>0</xdr:rowOff>
    </xdr:from>
    <xdr:to>
      <xdr:col>27</xdr:col>
      <xdr:colOff>95250</xdr:colOff>
      <xdr:row>41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0</xdr:colOff>
      <xdr:row>17</xdr:row>
      <xdr:rowOff>0</xdr:rowOff>
    </xdr:from>
    <xdr:to>
      <xdr:col>42</xdr:col>
      <xdr:colOff>95250</xdr:colOff>
      <xdr:row>31</xdr:row>
      <xdr:rowOff>95250</xdr:rowOff>
    </xdr:to>
    <xdr:graphicFrame macro="">
      <xdr:nvGraphicFramePr>
        <xdr:cNvPr name="Chart 5" id="5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0</xdr:colOff>
      <xdr:row>17</xdr:row>
      <xdr:rowOff>0</xdr:rowOff>
    </xdr:from>
    <xdr:to>
      <xdr:col>51</xdr:col>
      <xdr:colOff>95250</xdr:colOff>
      <xdr:row>31</xdr:row>
      <xdr:rowOff>95250</xdr:rowOff>
    </xdr:to>
    <xdr:graphicFrame macro="">
      <xdr:nvGraphicFramePr>
        <xdr:cNvPr name="Chart 6" id="61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57</xdr:col>
      <xdr:colOff>0</xdr:colOff>
      <xdr:row>17</xdr:row>
      <xdr:rowOff>0</xdr:rowOff>
    </xdr:from>
    <xdr:to>
      <xdr:col>60</xdr:col>
      <xdr:colOff>95250</xdr:colOff>
      <xdr:row>31</xdr:row>
      <xdr:rowOff>95250</xdr:rowOff>
    </xdr:to>
    <xdr:graphicFrame macro="">
      <xdr:nvGraphicFramePr>
        <xdr:cNvPr name="Chart 7" id="71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0</xdr:colOff>
      <xdr:row>17</xdr:row>
      <xdr:rowOff>0</xdr:rowOff>
    </xdr:from>
    <xdr:to>
      <xdr:col>69</xdr:col>
      <xdr:colOff>95250</xdr:colOff>
      <xdr:row>31</xdr:row>
      <xdr:rowOff>95250</xdr:rowOff>
    </xdr:to>
    <xdr:graphicFrame macro="">
      <xdr:nvGraphicFramePr>
        <xdr:cNvPr name="Chart 8" id="82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75</xdr:col>
      <xdr:colOff>0</xdr:colOff>
      <xdr:row>17</xdr:row>
      <xdr:rowOff>0</xdr:rowOff>
    </xdr:from>
    <xdr:to>
      <xdr:col>78</xdr:col>
      <xdr:colOff>95250</xdr:colOff>
      <xdr:row>31</xdr:row>
      <xdr:rowOff>95250</xdr:rowOff>
    </xdr:to>
    <xdr:graphicFrame macro="">
      <xdr:nvGraphicFramePr>
        <xdr:cNvPr name="Chart 9" id="92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300"/>
  <sheetViews>
    <sheetView tabSelected="0" workbookViewId="0" showGridLines="true" showRowColHeaders="1">
      <selection activeCell="S1300" sqref="S1300"/>
    </sheetView>
  </sheetViews>
  <sheetFormatPr defaultRowHeight="14.4" outlineLevelRow="0" outlineLevelCol="0"/>
  <sheetData>
    <row r="1" spans="1:21">
      <c r="A1" s="1" t="s">
        <v>0</v>
      </c>
      <c r="B1" s="1"/>
      <c r="C1" s="1"/>
      <c r="D1" s="1"/>
      <c r="E1" s="1"/>
      <c r="F1" s="1"/>
      <c r="G1" s="1"/>
      <c r="H1" s="1"/>
      <c r="I1" s="1"/>
      <c r="J1" s="1"/>
      <c r="K1" s="1"/>
      <c r="L1" s="1"/>
      <c r="M1" s="1"/>
      <c r="N1" s="1"/>
      <c r="O1" s="1"/>
      <c r="P1" s="1"/>
      <c r="Q1" s="1"/>
      <c r="R1" s="1"/>
      <c r="S1" s="1"/>
      <c r="T1" s="1"/>
      <c r="U1" s="1"/>
    </row>
    <row r="2" spans="1:21">
      <c r="A2" s="1"/>
      <c r="B2" s="1"/>
      <c r="C2" s="1"/>
      <c r="D2" s="1"/>
      <c r="E2" s="1"/>
      <c r="F2" s="1"/>
      <c r="G2" s="1"/>
      <c r="H2" s="1"/>
      <c r="I2" s="1"/>
      <c r="J2" s="1"/>
      <c r="K2" s="1"/>
      <c r="L2" s="1"/>
      <c r="M2" s="1"/>
      <c r="N2" s="1"/>
      <c r="O2" s="1"/>
      <c r="P2" s="1"/>
      <c r="Q2" s="1"/>
      <c r="R2" s="1"/>
      <c r="S2" s="1"/>
      <c r="T2" s="1"/>
      <c r="U2" s="1"/>
    </row>
    <row r="3" spans="1:21">
      <c r="B3" s="3" t="s">
        <v>1</v>
      </c>
      <c r="C3" s="3"/>
      <c r="D3" s="3"/>
      <c r="E3" s="3"/>
      <c r="F3" s="3"/>
      <c r="G3" s="3"/>
      <c r="H3" s="3" t="s">
        <v>2</v>
      </c>
      <c r="I3" s="3"/>
      <c r="J3" s="3"/>
      <c r="K3" s="3"/>
      <c r="L3" s="3"/>
      <c r="M3" s="3"/>
      <c r="N3" s="3" t="s">
        <v>3</v>
      </c>
      <c r="O3" s="3"/>
      <c r="P3" s="3"/>
      <c r="Q3" s="3"/>
      <c r="R3" s="3"/>
      <c r="S3" s="3"/>
      <c r="T3" s="3" t="s">
        <v>4</v>
      </c>
      <c r="U3" s="3" t="s">
        <v>5</v>
      </c>
    </row>
    <row r="4" spans="1:21">
      <c r="B4" s="2" t="s">
        <v>6</v>
      </c>
      <c r="C4" s="2" t="s">
        <v>7</v>
      </c>
      <c r="D4" s="2" t="s">
        <v>8</v>
      </c>
      <c r="E4" s="2" t="s">
        <v>9</v>
      </c>
      <c r="F4" s="2" t="s">
        <v>10</v>
      </c>
      <c r="G4" s="2" t="s">
        <v>11</v>
      </c>
      <c r="H4" s="2" t="s">
        <v>12</v>
      </c>
      <c r="I4" s="2" t="s">
        <v>13</v>
      </c>
      <c r="J4" s="2" t="s">
        <v>14</v>
      </c>
      <c r="K4" s="2" t="s">
        <v>15</v>
      </c>
      <c r="L4" s="2" t="s">
        <v>16</v>
      </c>
      <c r="M4" s="2" t="s">
        <v>17</v>
      </c>
      <c r="N4" s="2" t="s">
        <v>18</v>
      </c>
      <c r="O4" s="2" t="s">
        <v>19</v>
      </c>
      <c r="P4" s="2" t="s">
        <v>20</v>
      </c>
      <c r="Q4" s="2" t="s">
        <v>21</v>
      </c>
      <c r="R4" s="2" t="s">
        <v>22</v>
      </c>
      <c r="S4" s="2" t="s">
        <v>23</v>
      </c>
    </row>
    <row r="5" spans="1:21">
      <c r="A5" s="4" t="s">
        <v>24</v>
      </c>
      <c r="B5" s="4">
        <v>3</v>
      </c>
      <c r="C5" s="4">
        <v>4</v>
      </c>
      <c r="D5" s="4">
        <v>4</v>
      </c>
      <c r="E5" s="4">
        <v>3</v>
      </c>
      <c r="F5" s="4">
        <v>4</v>
      </c>
      <c r="G5" s="4">
        <v>5</v>
      </c>
      <c r="H5" s="4">
        <v>3</v>
      </c>
      <c r="I5" s="4">
        <v>4</v>
      </c>
      <c r="J5" s="4">
        <v>5</v>
      </c>
      <c r="K5" s="4">
        <v>4</v>
      </c>
      <c r="L5" s="4">
        <v>4</v>
      </c>
      <c r="M5" s="4">
        <v>3</v>
      </c>
      <c r="N5" s="4">
        <v>5</v>
      </c>
      <c r="O5" s="4">
        <v>3</v>
      </c>
      <c r="P5" s="4">
        <v>5</v>
      </c>
      <c r="Q5" s="4">
        <v>4</v>
      </c>
      <c r="R5" s="4">
        <v>5</v>
      </c>
      <c r="S5" s="4">
        <v>5</v>
      </c>
      <c r="T5" s="4">
        <v>73</v>
      </c>
    </row>
    <row r="6" spans="1:21">
      <c r="A6" s="4" t="s">
        <v>25</v>
      </c>
      <c r="B6" s="4">
        <v>2</v>
      </c>
      <c r="C6" s="4">
        <v>3</v>
      </c>
      <c r="D6" s="4">
        <v>2</v>
      </c>
      <c r="E6" s="4">
        <v>3</v>
      </c>
      <c r="F6" s="4">
        <v>3</v>
      </c>
      <c r="G6" s="4">
        <v>3</v>
      </c>
      <c r="H6" s="4">
        <v>2</v>
      </c>
      <c r="I6" s="4">
        <v>3</v>
      </c>
      <c r="J6" s="4">
        <v>2</v>
      </c>
      <c r="K6" s="4">
        <v>3</v>
      </c>
      <c r="L6" s="4">
        <v>2</v>
      </c>
      <c r="M6" s="4">
        <v>3</v>
      </c>
      <c r="N6" s="4">
        <v>3</v>
      </c>
      <c r="O6" s="4">
        <v>3</v>
      </c>
      <c r="P6" s="4">
        <v>3</v>
      </c>
      <c r="Q6" s="4">
        <v>2</v>
      </c>
      <c r="R6" s="4">
        <v>2</v>
      </c>
      <c r="S6" s="4">
        <v>3</v>
      </c>
      <c r="T6" s="4">
        <v>47</v>
      </c>
    </row>
    <row r="7" spans="1:21">
      <c r="A7" s="4" t="s">
        <v>26</v>
      </c>
      <c r="B7" s="4">
        <v>4</v>
      </c>
      <c r="C7" s="4">
        <v>4</v>
      </c>
      <c r="D7" s="4">
        <v>2</v>
      </c>
      <c r="E7" s="4">
        <v>3</v>
      </c>
      <c r="F7" s="4">
        <v>4</v>
      </c>
      <c r="G7" s="4">
        <v>4</v>
      </c>
      <c r="H7" s="4">
        <v>3</v>
      </c>
      <c r="I7" s="4">
        <v>3</v>
      </c>
      <c r="J7" s="4">
        <v>4</v>
      </c>
      <c r="K7" s="4">
        <v>2</v>
      </c>
      <c r="L7" s="4">
        <v>4</v>
      </c>
      <c r="M7" s="4">
        <v>4</v>
      </c>
      <c r="N7" s="4">
        <v>3</v>
      </c>
      <c r="O7" s="4">
        <v>4</v>
      </c>
      <c r="P7" s="4">
        <v>3</v>
      </c>
      <c r="Q7" s="4">
        <v>3</v>
      </c>
      <c r="R7" s="4">
        <v>3</v>
      </c>
      <c r="S7" s="4">
        <v>3</v>
      </c>
      <c r="T7" s="4">
        <v>60</v>
      </c>
    </row>
    <row r="8" spans="1:21">
      <c r="A8" s="4" t="s">
        <v>27</v>
      </c>
      <c r="B8" s="4">
        <v>2</v>
      </c>
      <c r="C8" s="4">
        <v>2</v>
      </c>
      <c r="D8" s="4">
        <v>3</v>
      </c>
      <c r="E8" s="4">
        <v>2</v>
      </c>
      <c r="F8" s="4">
        <v>3</v>
      </c>
      <c r="G8" s="4">
        <v>2</v>
      </c>
      <c r="H8" s="4">
        <v>2</v>
      </c>
      <c r="I8" s="4">
        <v>2</v>
      </c>
      <c r="J8" s="4">
        <v>3</v>
      </c>
      <c r="K8" s="4">
        <v>3</v>
      </c>
      <c r="L8" s="4">
        <v>3</v>
      </c>
      <c r="M8" s="4">
        <v>3</v>
      </c>
      <c r="N8" s="4">
        <v>2</v>
      </c>
      <c r="O8" s="4">
        <v>3</v>
      </c>
      <c r="P8" s="4">
        <v>2</v>
      </c>
      <c r="Q8" s="4">
        <v>3</v>
      </c>
      <c r="R8" s="4">
        <v>3</v>
      </c>
      <c r="S8" s="4">
        <v>2</v>
      </c>
      <c r="T8" s="4">
        <v>45</v>
      </c>
    </row>
    <row r="9" spans="1:21">
      <c r="A9" s="4" t="s">
        <v>28</v>
      </c>
      <c r="B9" s="4">
        <v>3</v>
      </c>
      <c r="C9" s="4">
        <v>2</v>
      </c>
      <c r="D9" s="4">
        <v>3</v>
      </c>
      <c r="E9" s="4">
        <v>3</v>
      </c>
      <c r="F9" s="4">
        <v>2</v>
      </c>
      <c r="G9" s="4">
        <v>3</v>
      </c>
      <c r="H9" s="4">
        <v>3</v>
      </c>
      <c r="I9" s="4">
        <v>3</v>
      </c>
      <c r="J9" s="4">
        <v>3</v>
      </c>
      <c r="K9" s="4">
        <v>2</v>
      </c>
      <c r="L9" s="4">
        <v>2</v>
      </c>
      <c r="M9" s="4">
        <v>3</v>
      </c>
      <c r="N9" s="4">
        <v>2</v>
      </c>
      <c r="O9" s="4">
        <v>3</v>
      </c>
      <c r="P9" s="4">
        <v>3</v>
      </c>
      <c r="Q9" s="4">
        <v>2</v>
      </c>
      <c r="R9" s="4">
        <v>2</v>
      </c>
      <c r="S9" s="4">
        <v>2</v>
      </c>
      <c r="T9" s="4">
        <v>46</v>
      </c>
    </row>
    <row r="10" spans="1:21">
      <c r="A10" s="4" t="s">
        <v>29</v>
      </c>
      <c r="B10" s="4">
        <v>2</v>
      </c>
      <c r="C10" s="4">
        <v>3</v>
      </c>
      <c r="D10" s="4">
        <v>3</v>
      </c>
      <c r="E10" s="4">
        <v>4</v>
      </c>
      <c r="F10" s="4">
        <v>2</v>
      </c>
      <c r="G10" s="4">
        <v>3</v>
      </c>
      <c r="H10" s="4">
        <v>2</v>
      </c>
      <c r="I10" s="4">
        <v>3</v>
      </c>
      <c r="J10" s="4">
        <v>4</v>
      </c>
      <c r="K10" s="4">
        <v>2</v>
      </c>
      <c r="L10" s="4">
        <v>3</v>
      </c>
      <c r="M10" s="4">
        <v>4</v>
      </c>
      <c r="N10" s="4">
        <v>2</v>
      </c>
      <c r="O10" s="4">
        <v>3</v>
      </c>
      <c r="P10" s="4">
        <v>3</v>
      </c>
      <c r="Q10" s="4">
        <v>3</v>
      </c>
      <c r="R10" s="4">
        <v>3</v>
      </c>
      <c r="S10" s="4">
        <v>3</v>
      </c>
      <c r="T10" s="4">
        <v>52</v>
      </c>
    </row>
    <row r="11" spans="1:21">
      <c r="A11" s="4" t="s">
        <v>30</v>
      </c>
      <c r="B11" s="4">
        <v>3</v>
      </c>
      <c r="C11" s="4">
        <v>4</v>
      </c>
      <c r="D11" s="4">
        <v>4</v>
      </c>
      <c r="E11" s="4">
        <v>3</v>
      </c>
      <c r="F11" s="4">
        <v>2</v>
      </c>
      <c r="G11" s="4">
        <v>2</v>
      </c>
      <c r="H11" s="4">
        <v>3</v>
      </c>
      <c r="I11" s="4">
        <v>3</v>
      </c>
      <c r="J11" s="4">
        <v>4</v>
      </c>
      <c r="K11" s="4">
        <v>3</v>
      </c>
      <c r="L11" s="4">
        <v>3</v>
      </c>
      <c r="M11" s="4">
        <v>4</v>
      </c>
      <c r="N11" s="4">
        <v>3</v>
      </c>
      <c r="O11" s="4">
        <v>4</v>
      </c>
      <c r="P11" s="4">
        <v>4</v>
      </c>
      <c r="Q11" s="4">
        <v>2</v>
      </c>
      <c r="R11" s="4">
        <v>4</v>
      </c>
      <c r="S11" s="4">
        <v>4</v>
      </c>
      <c r="T11" s="4">
        <v>59</v>
      </c>
    </row>
    <row r="12" spans="1:21">
      <c r="A12" s="4" t="s">
        <v>31</v>
      </c>
      <c r="B12" s="4">
        <v>2</v>
      </c>
      <c r="C12" s="4">
        <v>1</v>
      </c>
      <c r="D12" s="4">
        <v>2</v>
      </c>
      <c r="E12" s="4">
        <v>1</v>
      </c>
      <c r="F12" s="4">
        <v>2</v>
      </c>
      <c r="G12" s="4">
        <v>2</v>
      </c>
      <c r="H12" s="4">
        <v>1</v>
      </c>
      <c r="I12" s="4">
        <v>2</v>
      </c>
      <c r="J12" s="4">
        <v>1</v>
      </c>
      <c r="K12" s="4">
        <v>2</v>
      </c>
      <c r="L12" s="4">
        <v>1</v>
      </c>
      <c r="M12" s="4">
        <v>2</v>
      </c>
      <c r="N12" s="4">
        <v>2</v>
      </c>
      <c r="O12" s="4">
        <v>1</v>
      </c>
      <c r="P12" s="4">
        <v>1</v>
      </c>
      <c r="Q12" s="4">
        <v>1</v>
      </c>
      <c r="R12" s="4">
        <v>1</v>
      </c>
      <c r="S12" s="4">
        <v>1</v>
      </c>
      <c r="T12" s="4">
        <v>26</v>
      </c>
    </row>
    <row r="13" spans="1:21">
      <c r="A13" s="4" t="s">
        <v>32</v>
      </c>
      <c r="B13" s="4">
        <v>1</v>
      </c>
      <c r="C13" s="4">
        <v>1</v>
      </c>
      <c r="D13" s="4">
        <v>1</v>
      </c>
      <c r="E13" s="4">
        <v>1</v>
      </c>
      <c r="F13" s="4">
        <v>2</v>
      </c>
      <c r="G13" s="4">
        <v>1</v>
      </c>
      <c r="H13" s="4">
        <v>2</v>
      </c>
      <c r="I13" s="4">
        <v>2</v>
      </c>
      <c r="J13" s="4">
        <v>2</v>
      </c>
      <c r="K13" s="4">
        <v>1</v>
      </c>
      <c r="L13" s="4">
        <v>1</v>
      </c>
      <c r="M13" s="4">
        <v>1</v>
      </c>
      <c r="N13" s="4">
        <v>1</v>
      </c>
      <c r="O13" s="4">
        <v>2</v>
      </c>
      <c r="P13" s="4">
        <v>2</v>
      </c>
      <c r="Q13" s="4">
        <v>1</v>
      </c>
      <c r="R13" s="4">
        <v>2</v>
      </c>
      <c r="S13" s="4">
        <v>2</v>
      </c>
      <c r="T13" s="4">
        <v>26</v>
      </c>
    </row>
    <row r="14" spans="1:21">
      <c r="A14" s="4" t="s">
        <v>33</v>
      </c>
      <c r="B14" s="4">
        <v>2</v>
      </c>
      <c r="C14" s="4">
        <v>1</v>
      </c>
      <c r="D14" s="4">
        <v>2</v>
      </c>
      <c r="E14" s="4">
        <v>2</v>
      </c>
      <c r="F14" s="4">
        <v>1</v>
      </c>
      <c r="G14" s="4">
        <v>1</v>
      </c>
      <c r="H14" s="4">
        <v>2</v>
      </c>
      <c r="I14" s="4">
        <v>2</v>
      </c>
      <c r="J14" s="4">
        <v>1</v>
      </c>
      <c r="K14" s="4">
        <v>1</v>
      </c>
      <c r="L14" s="4">
        <v>2</v>
      </c>
      <c r="M14" s="4">
        <v>2</v>
      </c>
      <c r="N14" s="4">
        <v>1</v>
      </c>
      <c r="O14" s="4">
        <v>2</v>
      </c>
      <c r="P14" s="4">
        <v>1</v>
      </c>
      <c r="Q14" s="4">
        <v>1</v>
      </c>
      <c r="R14" s="4">
        <v>1</v>
      </c>
      <c r="S14" s="4">
        <v>1</v>
      </c>
      <c r="T14" s="4">
        <v>26</v>
      </c>
    </row>
    <row r="15" spans="1:21">
      <c r="A15" s="4" t="s">
        <v>34</v>
      </c>
      <c r="B15" s="4">
        <v>1</v>
      </c>
      <c r="C15" s="4">
        <v>1</v>
      </c>
      <c r="D15" s="4">
        <v>1</v>
      </c>
      <c r="E15" s="4">
        <v>1</v>
      </c>
      <c r="F15" s="4">
        <v>1</v>
      </c>
      <c r="G15" s="4">
        <v>1</v>
      </c>
      <c r="H15" s="4">
        <v>1</v>
      </c>
      <c r="I15" s="4">
        <v>1</v>
      </c>
      <c r="J15" s="4">
        <v>1</v>
      </c>
      <c r="K15" s="4">
        <v>1</v>
      </c>
      <c r="L15" s="4">
        <v>1</v>
      </c>
      <c r="M15" s="4">
        <v>1</v>
      </c>
      <c r="N15" s="4">
        <v>1</v>
      </c>
      <c r="O15" s="4">
        <v>1</v>
      </c>
      <c r="P15" s="4">
        <v>1</v>
      </c>
      <c r="Q15" s="4">
        <v>1</v>
      </c>
      <c r="R15" s="4">
        <v>1</v>
      </c>
      <c r="S15" s="4">
        <v>1</v>
      </c>
      <c r="T15" s="4">
        <v>18</v>
      </c>
    </row>
    <row r="16" spans="1:21">
      <c r="A16" s="4" t="s">
        <v>35</v>
      </c>
      <c r="B16" s="4">
        <v>2</v>
      </c>
      <c r="C16" s="4">
        <v>3</v>
      </c>
      <c r="D16" s="4">
        <v>2</v>
      </c>
      <c r="E16" s="4">
        <v>3</v>
      </c>
      <c r="F16" s="4">
        <v>3</v>
      </c>
      <c r="G16" s="4">
        <v>2</v>
      </c>
      <c r="H16" s="4">
        <v>2</v>
      </c>
      <c r="I16" s="4">
        <v>1</v>
      </c>
      <c r="J16" s="4">
        <v>3</v>
      </c>
      <c r="K16" s="4">
        <v>2</v>
      </c>
      <c r="L16" s="4">
        <v>2</v>
      </c>
      <c r="M16" s="4">
        <v>2</v>
      </c>
      <c r="N16" s="4">
        <v>2</v>
      </c>
      <c r="O16" s="4">
        <v>2</v>
      </c>
      <c r="P16" s="4">
        <v>2</v>
      </c>
      <c r="Q16" s="4">
        <v>3</v>
      </c>
      <c r="R16" s="4">
        <v>2</v>
      </c>
      <c r="S16" s="4">
        <v>3</v>
      </c>
      <c r="T16" s="4">
        <v>41</v>
      </c>
    </row>
    <row r="17" spans="1:21">
      <c r="A17" s="4" t="s">
        <v>36</v>
      </c>
      <c r="B17" s="4">
        <v>3</v>
      </c>
      <c r="C17" s="4">
        <v>3</v>
      </c>
      <c r="D17" s="4">
        <v>3</v>
      </c>
      <c r="E17" s="4">
        <v>2</v>
      </c>
      <c r="F17" s="4">
        <v>3</v>
      </c>
      <c r="G17" s="4">
        <v>2</v>
      </c>
      <c r="H17" s="4">
        <v>2</v>
      </c>
      <c r="I17" s="4">
        <v>3</v>
      </c>
      <c r="J17" s="4">
        <v>4</v>
      </c>
      <c r="K17" s="4">
        <v>3</v>
      </c>
      <c r="L17" s="4">
        <v>3</v>
      </c>
      <c r="M17" s="4">
        <v>4</v>
      </c>
      <c r="N17" s="4">
        <v>4</v>
      </c>
      <c r="O17" s="4">
        <v>3</v>
      </c>
      <c r="P17" s="4">
        <v>4</v>
      </c>
      <c r="Q17" s="4">
        <v>2</v>
      </c>
      <c r="R17" s="4">
        <v>4</v>
      </c>
      <c r="S17" s="4">
        <v>3</v>
      </c>
      <c r="T17" s="4">
        <v>55</v>
      </c>
    </row>
    <row r="18" spans="1:21">
      <c r="A18" s="4" t="s">
        <v>37</v>
      </c>
      <c r="B18" s="4">
        <v>4</v>
      </c>
      <c r="C18" s="4">
        <v>4</v>
      </c>
      <c r="D18" s="4">
        <v>5</v>
      </c>
      <c r="E18" s="4">
        <v>5</v>
      </c>
      <c r="F18" s="4">
        <v>5</v>
      </c>
      <c r="G18" s="4">
        <v>3</v>
      </c>
      <c r="H18" s="4">
        <v>3</v>
      </c>
      <c r="I18" s="4">
        <v>5</v>
      </c>
      <c r="J18" s="4">
        <v>5</v>
      </c>
      <c r="K18" s="4">
        <v>5</v>
      </c>
      <c r="L18" s="4">
        <v>5</v>
      </c>
      <c r="M18" s="4">
        <v>4</v>
      </c>
      <c r="N18" s="4">
        <v>4</v>
      </c>
      <c r="O18" s="4">
        <v>3</v>
      </c>
      <c r="P18" s="4">
        <v>3</v>
      </c>
      <c r="Q18" s="4">
        <v>4</v>
      </c>
      <c r="R18" s="4">
        <v>4</v>
      </c>
      <c r="S18" s="4">
        <v>3</v>
      </c>
      <c r="T18" s="4">
        <v>74</v>
      </c>
    </row>
    <row r="19" spans="1:21">
      <c r="A19" s="4" t="s">
        <v>38</v>
      </c>
      <c r="B19" s="4">
        <v>3</v>
      </c>
      <c r="C19" s="4">
        <v>2</v>
      </c>
      <c r="D19" s="4">
        <v>2</v>
      </c>
      <c r="E19" s="4">
        <v>3</v>
      </c>
      <c r="F19" s="4">
        <v>3</v>
      </c>
      <c r="G19" s="4">
        <v>2</v>
      </c>
      <c r="H19" s="4">
        <v>2</v>
      </c>
      <c r="I19" s="4">
        <v>2</v>
      </c>
      <c r="J19" s="4">
        <v>2</v>
      </c>
      <c r="K19" s="4">
        <v>3</v>
      </c>
      <c r="L19" s="4">
        <v>3</v>
      </c>
      <c r="M19" s="4">
        <v>3</v>
      </c>
      <c r="N19" s="4">
        <v>3</v>
      </c>
      <c r="O19" s="4">
        <v>2</v>
      </c>
      <c r="P19" s="4">
        <v>3</v>
      </c>
      <c r="Q19" s="4">
        <v>3</v>
      </c>
      <c r="R19" s="4">
        <v>3</v>
      </c>
      <c r="S19" s="4">
        <v>2</v>
      </c>
      <c r="T19" s="4">
        <v>46</v>
      </c>
    </row>
    <row r="20" spans="1:21">
      <c r="A20" s="4" t="s">
        <v>39</v>
      </c>
      <c r="B20" s="4">
        <v>1</v>
      </c>
      <c r="C20" s="4">
        <v>1</v>
      </c>
      <c r="D20" s="4">
        <v>1</v>
      </c>
      <c r="E20" s="4">
        <v>1</v>
      </c>
      <c r="F20" s="4">
        <v>1</v>
      </c>
      <c r="G20" s="4">
        <v>1</v>
      </c>
      <c r="H20" s="4">
        <v>1</v>
      </c>
      <c r="I20" s="4">
        <v>1</v>
      </c>
      <c r="J20" s="4">
        <v>1</v>
      </c>
      <c r="K20" s="4">
        <v>1</v>
      </c>
      <c r="L20" s="4">
        <v>1</v>
      </c>
      <c r="M20" s="4">
        <v>1</v>
      </c>
      <c r="N20" s="4">
        <v>1</v>
      </c>
      <c r="O20" s="4">
        <v>1</v>
      </c>
      <c r="P20" s="4">
        <v>1</v>
      </c>
      <c r="Q20" s="4">
        <v>1</v>
      </c>
      <c r="R20" s="4">
        <v>1</v>
      </c>
      <c r="S20" s="4">
        <v>1</v>
      </c>
      <c r="T20" s="4">
        <v>18</v>
      </c>
    </row>
    <row r="21" spans="1:21">
      <c r="A21" s="4" t="s">
        <v>40</v>
      </c>
      <c r="B21" s="4">
        <v>1</v>
      </c>
      <c r="C21" s="4">
        <v>2</v>
      </c>
      <c r="D21" s="4">
        <v>2</v>
      </c>
      <c r="E21" s="4">
        <v>2</v>
      </c>
      <c r="F21" s="4">
        <v>2</v>
      </c>
      <c r="G21" s="4">
        <v>2</v>
      </c>
      <c r="H21" s="4">
        <v>2</v>
      </c>
      <c r="I21" s="4">
        <v>3</v>
      </c>
      <c r="J21" s="4">
        <v>3</v>
      </c>
      <c r="K21" s="4">
        <v>2</v>
      </c>
      <c r="L21" s="4">
        <v>2</v>
      </c>
      <c r="M21" s="4">
        <v>2</v>
      </c>
      <c r="N21" s="4">
        <v>2</v>
      </c>
      <c r="O21" s="4">
        <v>2</v>
      </c>
      <c r="P21" s="4">
        <v>2</v>
      </c>
      <c r="Q21" s="4">
        <v>2</v>
      </c>
      <c r="R21" s="4">
        <v>2</v>
      </c>
      <c r="S21" s="4">
        <v>2</v>
      </c>
      <c r="T21" s="4">
        <v>37</v>
      </c>
    </row>
    <row r="22" spans="1:21">
      <c r="A22" s="4" t="s">
        <v>41</v>
      </c>
      <c r="B22" s="4">
        <v>3</v>
      </c>
      <c r="C22" s="4">
        <v>3</v>
      </c>
      <c r="D22" s="4">
        <v>3</v>
      </c>
      <c r="E22" s="4">
        <v>3</v>
      </c>
      <c r="F22" s="4">
        <v>2</v>
      </c>
      <c r="G22" s="4">
        <v>3</v>
      </c>
      <c r="H22" s="4">
        <v>2</v>
      </c>
      <c r="I22" s="4">
        <v>2</v>
      </c>
      <c r="J22" s="4">
        <v>2</v>
      </c>
      <c r="K22" s="4">
        <v>2</v>
      </c>
      <c r="L22" s="4">
        <v>2</v>
      </c>
      <c r="M22" s="4">
        <v>2</v>
      </c>
      <c r="N22" s="4">
        <v>2</v>
      </c>
      <c r="O22" s="4">
        <v>2</v>
      </c>
      <c r="P22" s="4">
        <v>2</v>
      </c>
      <c r="Q22" s="4">
        <v>2</v>
      </c>
      <c r="R22" s="4">
        <v>2</v>
      </c>
      <c r="S22" s="4">
        <v>3</v>
      </c>
      <c r="T22" s="4">
        <v>42</v>
      </c>
    </row>
    <row r="23" spans="1:21">
      <c r="A23" s="4" t="s">
        <v>42</v>
      </c>
      <c r="B23" s="4">
        <v>3</v>
      </c>
      <c r="C23" s="4">
        <v>3</v>
      </c>
      <c r="D23" s="4">
        <v>3</v>
      </c>
      <c r="E23" s="4">
        <v>3</v>
      </c>
      <c r="F23" s="4">
        <v>4</v>
      </c>
      <c r="G23" s="4">
        <v>3</v>
      </c>
      <c r="H23" s="4">
        <v>3</v>
      </c>
      <c r="I23" s="4">
        <v>5</v>
      </c>
      <c r="J23" s="4">
        <v>4</v>
      </c>
      <c r="K23" s="4">
        <v>3</v>
      </c>
      <c r="L23" s="4">
        <v>3</v>
      </c>
      <c r="M23" s="4">
        <v>4</v>
      </c>
      <c r="N23" s="4">
        <v>3</v>
      </c>
      <c r="O23" s="4">
        <v>3</v>
      </c>
      <c r="P23" s="4">
        <v>4</v>
      </c>
      <c r="Q23" s="4">
        <v>5</v>
      </c>
      <c r="R23" s="4">
        <v>3</v>
      </c>
      <c r="S23" s="4">
        <v>4</v>
      </c>
      <c r="T23" s="4">
        <v>63</v>
      </c>
    </row>
    <row r="24" spans="1:21">
      <c r="A24" s="4" t="s">
        <v>43</v>
      </c>
      <c r="B24" s="4">
        <v>3</v>
      </c>
      <c r="C24" s="4">
        <v>3</v>
      </c>
      <c r="D24" s="4">
        <v>2</v>
      </c>
      <c r="E24" s="4">
        <v>3</v>
      </c>
      <c r="F24" s="4">
        <v>2</v>
      </c>
      <c r="G24" s="4">
        <v>3</v>
      </c>
      <c r="H24" s="4">
        <v>2</v>
      </c>
      <c r="I24" s="4">
        <v>3</v>
      </c>
      <c r="J24" s="4">
        <v>2</v>
      </c>
      <c r="K24" s="4">
        <v>3</v>
      </c>
      <c r="L24" s="4">
        <v>3</v>
      </c>
      <c r="M24" s="4">
        <v>3</v>
      </c>
      <c r="N24" s="4">
        <v>2</v>
      </c>
      <c r="O24" s="4">
        <v>3</v>
      </c>
      <c r="P24" s="4">
        <v>2</v>
      </c>
      <c r="Q24" s="4">
        <v>3</v>
      </c>
      <c r="R24" s="4">
        <v>2</v>
      </c>
      <c r="S24" s="4">
        <v>3</v>
      </c>
      <c r="T24" s="4">
        <v>47</v>
      </c>
    </row>
    <row r="25" spans="1:21">
      <c r="A25" s="4" t="s">
        <v>44</v>
      </c>
      <c r="B25" s="4">
        <v>3</v>
      </c>
      <c r="C25" s="4">
        <v>2</v>
      </c>
      <c r="D25" s="4">
        <v>2</v>
      </c>
      <c r="E25" s="4">
        <v>3</v>
      </c>
      <c r="F25" s="4">
        <v>4</v>
      </c>
      <c r="G25" s="4">
        <v>4</v>
      </c>
      <c r="H25" s="4">
        <v>4</v>
      </c>
      <c r="I25" s="4">
        <v>3</v>
      </c>
      <c r="J25" s="4">
        <v>2</v>
      </c>
      <c r="K25" s="4">
        <v>2</v>
      </c>
      <c r="L25" s="4">
        <v>2</v>
      </c>
      <c r="M25" s="4">
        <v>3</v>
      </c>
      <c r="N25" s="4">
        <v>2</v>
      </c>
      <c r="O25" s="4">
        <v>3</v>
      </c>
      <c r="P25" s="4">
        <v>4</v>
      </c>
      <c r="Q25" s="4">
        <v>2</v>
      </c>
      <c r="R25" s="4">
        <v>3</v>
      </c>
      <c r="S25" s="4">
        <v>3</v>
      </c>
      <c r="T25" s="4">
        <v>51</v>
      </c>
    </row>
    <row r="26" spans="1:21">
      <c r="A26" s="4" t="s">
        <v>45</v>
      </c>
      <c r="B26" s="4">
        <v>2</v>
      </c>
      <c r="C26" s="4">
        <v>2</v>
      </c>
      <c r="D26" s="4">
        <v>2</v>
      </c>
      <c r="E26" s="4">
        <v>2</v>
      </c>
      <c r="F26" s="4">
        <v>2</v>
      </c>
      <c r="G26" s="4">
        <v>3</v>
      </c>
      <c r="H26" s="4">
        <v>2</v>
      </c>
      <c r="I26" s="4">
        <v>2</v>
      </c>
      <c r="J26" s="4">
        <v>2</v>
      </c>
      <c r="K26" s="4">
        <v>2</v>
      </c>
      <c r="L26" s="4">
        <v>2</v>
      </c>
      <c r="M26" s="4">
        <v>2</v>
      </c>
      <c r="N26" s="4">
        <v>2</v>
      </c>
      <c r="O26" s="4">
        <v>2</v>
      </c>
      <c r="P26" s="4">
        <v>2</v>
      </c>
      <c r="Q26" s="4">
        <v>2</v>
      </c>
      <c r="R26" s="4">
        <v>2</v>
      </c>
      <c r="S26" s="4">
        <v>2</v>
      </c>
      <c r="T26" s="4">
        <v>37</v>
      </c>
    </row>
    <row r="27" spans="1:21">
      <c r="A27" s="4" t="s">
        <v>46</v>
      </c>
      <c r="B27" s="4">
        <v>2</v>
      </c>
      <c r="C27" s="4">
        <v>2</v>
      </c>
      <c r="D27" s="4">
        <v>3</v>
      </c>
      <c r="E27" s="4">
        <v>3</v>
      </c>
      <c r="F27" s="4">
        <v>3</v>
      </c>
      <c r="G27" s="4">
        <v>3</v>
      </c>
      <c r="H27" s="4">
        <v>2</v>
      </c>
      <c r="I27" s="4">
        <v>3</v>
      </c>
      <c r="J27" s="4">
        <v>3</v>
      </c>
      <c r="K27" s="4">
        <v>2</v>
      </c>
      <c r="L27" s="4">
        <v>3</v>
      </c>
      <c r="M27" s="4">
        <v>2</v>
      </c>
      <c r="N27" s="4">
        <v>4</v>
      </c>
      <c r="O27" s="4">
        <v>3</v>
      </c>
      <c r="P27" s="4">
        <v>3</v>
      </c>
      <c r="Q27" s="4">
        <v>2</v>
      </c>
      <c r="R27" s="4">
        <v>3</v>
      </c>
      <c r="S27" s="4">
        <v>3</v>
      </c>
      <c r="T27" s="4">
        <v>49</v>
      </c>
    </row>
    <row r="28" spans="1:21">
      <c r="A28" s="4" t="s">
        <v>47</v>
      </c>
      <c r="B28" s="4">
        <v>2</v>
      </c>
      <c r="C28" s="4">
        <v>2</v>
      </c>
      <c r="D28" s="4">
        <v>1</v>
      </c>
      <c r="E28" s="4">
        <v>1</v>
      </c>
      <c r="F28" s="4">
        <v>1</v>
      </c>
      <c r="G28" s="4">
        <v>1</v>
      </c>
      <c r="H28" s="4">
        <v>2</v>
      </c>
      <c r="I28" s="4">
        <v>1</v>
      </c>
      <c r="J28" s="4">
        <v>1</v>
      </c>
      <c r="K28" s="4">
        <v>1</v>
      </c>
      <c r="L28" s="4">
        <v>1</v>
      </c>
      <c r="M28" s="4">
        <v>1</v>
      </c>
      <c r="N28" s="4">
        <v>1</v>
      </c>
      <c r="O28" s="4">
        <v>1</v>
      </c>
      <c r="P28" s="4">
        <v>1</v>
      </c>
      <c r="Q28" s="4">
        <v>2</v>
      </c>
      <c r="R28" s="4">
        <v>2</v>
      </c>
      <c r="S28" s="4">
        <v>1</v>
      </c>
      <c r="T28" s="4">
        <v>23</v>
      </c>
    </row>
    <row r="29" spans="1:21">
      <c r="A29" s="4" t="s">
        <v>48</v>
      </c>
      <c r="B29" s="4">
        <v>2</v>
      </c>
      <c r="C29" s="4">
        <v>3</v>
      </c>
      <c r="D29" s="4">
        <v>3</v>
      </c>
      <c r="E29" s="4">
        <v>3</v>
      </c>
      <c r="F29" s="4">
        <v>3</v>
      </c>
      <c r="G29" s="4">
        <v>3</v>
      </c>
      <c r="H29" s="4">
        <v>3</v>
      </c>
      <c r="I29" s="4">
        <v>3</v>
      </c>
      <c r="J29" s="4">
        <v>3</v>
      </c>
      <c r="K29" s="4">
        <v>2</v>
      </c>
      <c r="L29" s="4">
        <v>3</v>
      </c>
      <c r="M29" s="4">
        <v>3</v>
      </c>
      <c r="N29" s="4">
        <v>2</v>
      </c>
      <c r="O29" s="4">
        <v>2</v>
      </c>
      <c r="P29" s="4">
        <v>3</v>
      </c>
      <c r="Q29" s="4">
        <v>3</v>
      </c>
      <c r="R29" s="4">
        <v>2</v>
      </c>
      <c r="S29" s="4">
        <v>2</v>
      </c>
      <c r="T29" s="4">
        <v>48</v>
      </c>
    </row>
    <row r="30" spans="1:21">
      <c r="A30" s="4" t="s">
        <v>49</v>
      </c>
      <c r="B30" s="4">
        <v>3</v>
      </c>
      <c r="C30" s="4">
        <v>4</v>
      </c>
      <c r="D30" s="4">
        <v>5</v>
      </c>
      <c r="E30" s="4">
        <v>4</v>
      </c>
      <c r="F30" s="4">
        <v>4</v>
      </c>
      <c r="G30" s="4">
        <v>5</v>
      </c>
      <c r="H30" s="4">
        <v>3</v>
      </c>
      <c r="I30" s="4">
        <v>5</v>
      </c>
      <c r="J30" s="4">
        <v>4</v>
      </c>
      <c r="K30" s="4">
        <v>5</v>
      </c>
      <c r="L30" s="4">
        <v>5</v>
      </c>
      <c r="M30" s="4">
        <v>5</v>
      </c>
      <c r="N30" s="4">
        <v>4</v>
      </c>
      <c r="O30" s="4">
        <v>4</v>
      </c>
      <c r="P30" s="4">
        <v>5</v>
      </c>
      <c r="Q30" s="4">
        <v>3</v>
      </c>
      <c r="R30" s="4">
        <v>4</v>
      </c>
      <c r="S30" s="4">
        <v>3</v>
      </c>
      <c r="T30" s="4">
        <v>75</v>
      </c>
    </row>
    <row r="31" spans="1:21">
      <c r="A31" s="4" t="s">
        <v>50</v>
      </c>
      <c r="B31" s="4">
        <v>2</v>
      </c>
      <c r="C31" s="4">
        <v>2</v>
      </c>
      <c r="D31" s="4">
        <v>3</v>
      </c>
      <c r="E31" s="4">
        <v>2</v>
      </c>
      <c r="F31" s="4">
        <v>3</v>
      </c>
      <c r="G31" s="4">
        <v>2</v>
      </c>
      <c r="H31" s="4">
        <v>3</v>
      </c>
      <c r="I31" s="4">
        <v>2</v>
      </c>
      <c r="J31" s="4">
        <v>2</v>
      </c>
      <c r="K31" s="4">
        <v>2</v>
      </c>
      <c r="L31" s="4">
        <v>3</v>
      </c>
      <c r="M31" s="4">
        <v>3</v>
      </c>
      <c r="N31" s="4">
        <v>2</v>
      </c>
      <c r="O31" s="4">
        <v>3</v>
      </c>
      <c r="P31" s="4">
        <v>3</v>
      </c>
      <c r="Q31" s="4">
        <v>3</v>
      </c>
      <c r="R31" s="4">
        <v>2</v>
      </c>
      <c r="S31" s="4">
        <v>3</v>
      </c>
      <c r="T31" s="4">
        <v>45</v>
      </c>
    </row>
    <row r="32" spans="1:21">
      <c r="A32" s="4" t="s">
        <v>51</v>
      </c>
      <c r="B32" s="4">
        <v>5</v>
      </c>
      <c r="C32" s="4">
        <v>4</v>
      </c>
      <c r="D32" s="4">
        <v>4</v>
      </c>
      <c r="E32" s="4">
        <v>4</v>
      </c>
      <c r="F32" s="4">
        <v>5</v>
      </c>
      <c r="G32" s="4">
        <v>5</v>
      </c>
      <c r="H32" s="4">
        <v>4</v>
      </c>
      <c r="I32" s="4">
        <v>5</v>
      </c>
      <c r="J32" s="4">
        <v>5</v>
      </c>
      <c r="K32" s="4">
        <v>4</v>
      </c>
      <c r="L32" s="4">
        <v>4</v>
      </c>
      <c r="M32" s="4">
        <v>4</v>
      </c>
      <c r="N32" s="4">
        <v>4</v>
      </c>
      <c r="O32" s="4">
        <v>5</v>
      </c>
      <c r="P32" s="4">
        <v>5</v>
      </c>
      <c r="Q32" s="4">
        <v>5</v>
      </c>
      <c r="R32" s="4">
        <v>5</v>
      </c>
      <c r="S32" s="4">
        <v>4</v>
      </c>
      <c r="T32" s="4">
        <v>81</v>
      </c>
    </row>
    <row r="33" spans="1:21">
      <c r="A33" s="4" t="s">
        <v>52</v>
      </c>
      <c r="B33" s="4">
        <v>3</v>
      </c>
      <c r="C33" s="4">
        <v>4</v>
      </c>
      <c r="D33" s="4">
        <v>2</v>
      </c>
      <c r="E33" s="4">
        <v>3</v>
      </c>
      <c r="F33" s="4">
        <v>3</v>
      </c>
      <c r="G33" s="4">
        <v>2</v>
      </c>
      <c r="H33" s="4">
        <v>2</v>
      </c>
      <c r="I33" s="4">
        <v>3</v>
      </c>
      <c r="J33" s="4">
        <v>3</v>
      </c>
      <c r="K33" s="4">
        <v>4</v>
      </c>
      <c r="L33" s="4">
        <v>4</v>
      </c>
      <c r="M33" s="4">
        <v>4</v>
      </c>
      <c r="N33" s="4">
        <v>3</v>
      </c>
      <c r="O33" s="4">
        <v>3</v>
      </c>
      <c r="P33" s="4">
        <v>4</v>
      </c>
      <c r="Q33" s="4">
        <v>2</v>
      </c>
      <c r="R33" s="4">
        <v>2</v>
      </c>
      <c r="S33" s="4">
        <v>4</v>
      </c>
      <c r="T33" s="4">
        <v>55</v>
      </c>
    </row>
    <row r="34" spans="1:21">
      <c r="A34" s="4" t="s">
        <v>53</v>
      </c>
      <c r="B34" s="4">
        <v>3</v>
      </c>
      <c r="C34" s="4">
        <v>4</v>
      </c>
      <c r="D34" s="4">
        <v>3</v>
      </c>
      <c r="E34" s="4">
        <v>2</v>
      </c>
      <c r="F34" s="4">
        <v>4</v>
      </c>
      <c r="G34" s="4">
        <v>3</v>
      </c>
      <c r="H34" s="4">
        <v>3</v>
      </c>
      <c r="I34" s="4">
        <v>3</v>
      </c>
      <c r="J34" s="4">
        <v>3</v>
      </c>
      <c r="K34" s="4">
        <v>3</v>
      </c>
      <c r="L34" s="4">
        <v>5</v>
      </c>
      <c r="M34" s="4">
        <v>3</v>
      </c>
      <c r="N34" s="4">
        <v>4</v>
      </c>
      <c r="O34" s="4">
        <v>3</v>
      </c>
      <c r="P34" s="4">
        <v>3</v>
      </c>
      <c r="Q34" s="4">
        <v>5</v>
      </c>
      <c r="R34" s="4">
        <v>4</v>
      </c>
      <c r="S34" s="4">
        <v>4</v>
      </c>
      <c r="T34" s="4">
        <v>62</v>
      </c>
    </row>
    <row r="35" spans="1:21">
      <c r="A35" s="4" t="s">
        <v>54</v>
      </c>
      <c r="B35" s="4">
        <v>1</v>
      </c>
      <c r="C35" s="4">
        <v>2</v>
      </c>
      <c r="D35" s="4">
        <v>2</v>
      </c>
      <c r="E35" s="4">
        <v>2</v>
      </c>
      <c r="F35" s="4">
        <v>2</v>
      </c>
      <c r="G35" s="4">
        <v>2</v>
      </c>
      <c r="H35" s="4">
        <v>1</v>
      </c>
      <c r="I35" s="4">
        <v>2</v>
      </c>
      <c r="J35" s="4">
        <v>2</v>
      </c>
      <c r="K35" s="4">
        <v>1</v>
      </c>
      <c r="L35" s="4">
        <v>2</v>
      </c>
      <c r="M35" s="4">
        <v>2</v>
      </c>
      <c r="N35" s="4">
        <v>2</v>
      </c>
      <c r="O35" s="4">
        <v>2</v>
      </c>
      <c r="P35" s="4">
        <v>2</v>
      </c>
      <c r="Q35" s="4">
        <v>1</v>
      </c>
      <c r="R35" s="4">
        <v>3</v>
      </c>
      <c r="S35" s="4">
        <v>2</v>
      </c>
      <c r="T35" s="4">
        <v>33</v>
      </c>
    </row>
    <row r="36" spans="1:21">
      <c r="A36" s="4" t="s">
        <v>55</v>
      </c>
      <c r="B36" s="4">
        <v>3</v>
      </c>
      <c r="C36" s="4">
        <v>5</v>
      </c>
      <c r="D36" s="4">
        <v>5</v>
      </c>
      <c r="E36" s="4">
        <v>3</v>
      </c>
      <c r="F36" s="4">
        <v>3</v>
      </c>
      <c r="G36" s="4">
        <v>5</v>
      </c>
      <c r="H36" s="4">
        <v>5</v>
      </c>
      <c r="I36" s="4">
        <v>3</v>
      </c>
      <c r="J36" s="4">
        <v>5</v>
      </c>
      <c r="K36" s="4">
        <v>5</v>
      </c>
      <c r="L36" s="4">
        <v>4</v>
      </c>
      <c r="M36" s="4">
        <v>3</v>
      </c>
      <c r="N36" s="4">
        <v>4</v>
      </c>
      <c r="O36" s="4">
        <v>4</v>
      </c>
      <c r="P36" s="4">
        <v>5</v>
      </c>
      <c r="Q36" s="4">
        <v>5</v>
      </c>
      <c r="R36" s="4">
        <v>5</v>
      </c>
      <c r="S36" s="4">
        <v>4</v>
      </c>
      <c r="T36" s="4">
        <v>76</v>
      </c>
    </row>
    <row r="37" spans="1:21">
      <c r="A37" s="4" t="s">
        <v>56</v>
      </c>
      <c r="B37" s="4">
        <v>3</v>
      </c>
      <c r="C37" s="4">
        <v>4</v>
      </c>
      <c r="D37" s="4">
        <v>5</v>
      </c>
      <c r="E37" s="4">
        <v>5</v>
      </c>
      <c r="F37" s="4">
        <v>3</v>
      </c>
      <c r="G37" s="4">
        <v>5</v>
      </c>
      <c r="H37" s="4">
        <v>4</v>
      </c>
      <c r="I37" s="4">
        <v>5</v>
      </c>
      <c r="J37" s="4">
        <v>5</v>
      </c>
      <c r="K37" s="4">
        <v>4</v>
      </c>
      <c r="L37" s="4">
        <v>5</v>
      </c>
      <c r="M37" s="4">
        <v>4</v>
      </c>
      <c r="N37" s="4">
        <v>5</v>
      </c>
      <c r="O37" s="4">
        <v>5</v>
      </c>
      <c r="P37" s="4">
        <v>5</v>
      </c>
      <c r="Q37" s="4">
        <v>3</v>
      </c>
      <c r="R37" s="4">
        <v>5</v>
      </c>
      <c r="S37" s="4">
        <v>5</v>
      </c>
      <c r="T37" s="4">
        <v>80</v>
      </c>
    </row>
    <row r="38" spans="1:21">
      <c r="A38" s="4" t="s">
        <v>57</v>
      </c>
      <c r="B38" s="4">
        <v>2</v>
      </c>
      <c r="C38" s="4">
        <v>2</v>
      </c>
      <c r="D38" s="4">
        <v>2</v>
      </c>
      <c r="E38" s="4">
        <v>2</v>
      </c>
      <c r="F38" s="4">
        <v>1</v>
      </c>
      <c r="G38" s="4">
        <v>3</v>
      </c>
      <c r="H38" s="4">
        <v>2</v>
      </c>
      <c r="I38" s="4">
        <v>2</v>
      </c>
      <c r="J38" s="4">
        <v>2</v>
      </c>
      <c r="K38" s="4">
        <v>2</v>
      </c>
      <c r="L38" s="4">
        <v>2</v>
      </c>
      <c r="M38" s="4">
        <v>1</v>
      </c>
      <c r="N38" s="4">
        <v>2</v>
      </c>
      <c r="O38" s="4">
        <v>3</v>
      </c>
      <c r="P38" s="4">
        <v>2</v>
      </c>
      <c r="Q38" s="4">
        <v>2</v>
      </c>
      <c r="R38" s="4">
        <v>2</v>
      </c>
      <c r="S38" s="4">
        <v>3</v>
      </c>
      <c r="T38" s="4">
        <v>37</v>
      </c>
    </row>
    <row r="39" spans="1:21">
      <c r="A39" s="4" t="s">
        <v>58</v>
      </c>
      <c r="B39" s="4">
        <v>3</v>
      </c>
      <c r="C39" s="4">
        <v>4</v>
      </c>
      <c r="D39" s="4">
        <v>3</v>
      </c>
      <c r="E39" s="4">
        <v>3</v>
      </c>
      <c r="F39" s="4">
        <v>4</v>
      </c>
      <c r="G39" s="4">
        <v>5</v>
      </c>
      <c r="H39" s="4">
        <v>4</v>
      </c>
      <c r="I39" s="4">
        <v>4</v>
      </c>
      <c r="J39" s="4">
        <v>4</v>
      </c>
      <c r="K39" s="4">
        <v>4</v>
      </c>
      <c r="L39" s="4">
        <v>4</v>
      </c>
      <c r="M39" s="4">
        <v>3</v>
      </c>
      <c r="N39" s="4">
        <v>4</v>
      </c>
      <c r="O39" s="4">
        <v>4</v>
      </c>
      <c r="P39" s="4">
        <v>4</v>
      </c>
      <c r="Q39" s="4">
        <v>4</v>
      </c>
      <c r="R39" s="4">
        <v>3</v>
      </c>
      <c r="S39" s="4">
        <v>3</v>
      </c>
      <c r="T39" s="4">
        <v>67</v>
      </c>
    </row>
    <row r="40" spans="1:21">
      <c r="A40" s="4" t="s">
        <v>59</v>
      </c>
      <c r="B40" s="4">
        <v>1</v>
      </c>
      <c r="C40" s="4">
        <v>1</v>
      </c>
      <c r="D40" s="4">
        <v>1</v>
      </c>
      <c r="E40" s="4">
        <v>1</v>
      </c>
      <c r="F40" s="4">
        <v>1</v>
      </c>
      <c r="G40" s="4">
        <v>1</v>
      </c>
      <c r="H40" s="4">
        <v>1</v>
      </c>
      <c r="I40" s="4">
        <v>1</v>
      </c>
      <c r="J40" s="4">
        <v>1</v>
      </c>
      <c r="K40" s="4">
        <v>1</v>
      </c>
      <c r="L40" s="4">
        <v>2</v>
      </c>
      <c r="M40" s="4">
        <v>1</v>
      </c>
      <c r="N40" s="4">
        <v>1</v>
      </c>
      <c r="O40" s="4">
        <v>2</v>
      </c>
      <c r="P40" s="4">
        <v>1</v>
      </c>
      <c r="Q40" s="4">
        <v>1</v>
      </c>
      <c r="R40" s="4">
        <v>1</v>
      </c>
      <c r="S40" s="4">
        <v>1</v>
      </c>
      <c r="T40" s="4">
        <v>20</v>
      </c>
    </row>
    <row r="41" spans="1:21">
      <c r="A41" s="4" t="s">
        <v>60</v>
      </c>
      <c r="B41" s="4">
        <v>2</v>
      </c>
      <c r="C41" s="4">
        <v>3</v>
      </c>
      <c r="D41" s="4">
        <v>2</v>
      </c>
      <c r="E41" s="4">
        <v>2</v>
      </c>
      <c r="F41" s="4">
        <v>3</v>
      </c>
      <c r="G41" s="4">
        <v>3</v>
      </c>
      <c r="H41" s="4">
        <v>2</v>
      </c>
      <c r="I41" s="4">
        <v>3</v>
      </c>
      <c r="J41" s="4">
        <v>2</v>
      </c>
      <c r="K41" s="4">
        <v>3</v>
      </c>
      <c r="L41" s="4">
        <v>2</v>
      </c>
      <c r="M41" s="4">
        <v>3</v>
      </c>
      <c r="N41" s="4">
        <v>2</v>
      </c>
      <c r="O41" s="4">
        <v>2</v>
      </c>
      <c r="P41" s="4">
        <v>2</v>
      </c>
      <c r="Q41" s="4">
        <v>2</v>
      </c>
      <c r="R41" s="4">
        <v>2</v>
      </c>
      <c r="S41" s="4">
        <v>3</v>
      </c>
      <c r="T41" s="4">
        <v>43</v>
      </c>
    </row>
    <row r="42" spans="1:21">
      <c r="A42" s="4" t="s">
        <v>61</v>
      </c>
      <c r="B42" s="4">
        <v>3</v>
      </c>
      <c r="C42" s="4">
        <v>3</v>
      </c>
      <c r="D42" s="4">
        <v>2</v>
      </c>
      <c r="E42" s="4">
        <v>2</v>
      </c>
      <c r="F42" s="4">
        <v>3</v>
      </c>
      <c r="G42" s="4">
        <v>3</v>
      </c>
      <c r="H42" s="4">
        <v>3</v>
      </c>
      <c r="I42" s="4">
        <v>4</v>
      </c>
      <c r="J42" s="4">
        <v>2</v>
      </c>
      <c r="K42" s="4">
        <v>2</v>
      </c>
      <c r="L42" s="4">
        <v>2</v>
      </c>
      <c r="M42" s="4">
        <v>4</v>
      </c>
      <c r="N42" s="4">
        <v>3</v>
      </c>
      <c r="O42" s="4">
        <v>3</v>
      </c>
      <c r="P42" s="4">
        <v>2</v>
      </c>
      <c r="Q42" s="4">
        <v>3</v>
      </c>
      <c r="R42" s="4">
        <v>2</v>
      </c>
      <c r="S42" s="4">
        <v>2</v>
      </c>
      <c r="T42" s="4">
        <v>48</v>
      </c>
    </row>
    <row r="43" spans="1:21">
      <c r="A43" s="4" t="s">
        <v>62</v>
      </c>
      <c r="B43" s="4">
        <v>1</v>
      </c>
      <c r="C43" s="4">
        <v>1</v>
      </c>
      <c r="D43" s="4">
        <v>1</v>
      </c>
      <c r="E43" s="4">
        <v>1</v>
      </c>
      <c r="F43" s="4">
        <v>1</v>
      </c>
      <c r="G43" s="4">
        <v>1</v>
      </c>
      <c r="H43" s="4">
        <v>1</v>
      </c>
      <c r="I43" s="4">
        <v>1</v>
      </c>
      <c r="J43" s="4">
        <v>1</v>
      </c>
      <c r="K43" s="4">
        <v>2</v>
      </c>
      <c r="L43" s="4">
        <v>1</v>
      </c>
      <c r="M43" s="4">
        <v>2</v>
      </c>
      <c r="N43" s="4">
        <v>1</v>
      </c>
      <c r="O43" s="4">
        <v>1</v>
      </c>
      <c r="P43" s="4">
        <v>1</v>
      </c>
      <c r="Q43" s="4">
        <v>2</v>
      </c>
      <c r="R43" s="4">
        <v>1</v>
      </c>
      <c r="S43" s="4">
        <v>2</v>
      </c>
      <c r="T43" s="4">
        <v>22</v>
      </c>
    </row>
    <row r="44" spans="1:21">
      <c r="A44" s="4" t="s">
        <v>63</v>
      </c>
      <c r="B44" s="4">
        <v>3</v>
      </c>
      <c r="C44" s="4">
        <v>4</v>
      </c>
      <c r="D44" s="4">
        <v>3</v>
      </c>
      <c r="E44" s="4">
        <v>3</v>
      </c>
      <c r="F44" s="4">
        <v>3</v>
      </c>
      <c r="G44" s="4">
        <v>4</v>
      </c>
      <c r="H44" s="4">
        <v>4</v>
      </c>
      <c r="I44" s="4">
        <v>4</v>
      </c>
      <c r="J44" s="4">
        <v>3</v>
      </c>
      <c r="K44" s="4">
        <v>2</v>
      </c>
      <c r="L44" s="4">
        <v>3</v>
      </c>
      <c r="M44" s="4">
        <v>2</v>
      </c>
      <c r="N44" s="4">
        <v>4</v>
      </c>
      <c r="O44" s="4">
        <v>3</v>
      </c>
      <c r="P44" s="4">
        <v>3</v>
      </c>
      <c r="Q44" s="4">
        <v>3</v>
      </c>
      <c r="R44" s="4">
        <v>2</v>
      </c>
      <c r="S44" s="4">
        <v>4</v>
      </c>
      <c r="T44" s="4">
        <v>57</v>
      </c>
    </row>
    <row r="45" spans="1:21">
      <c r="A45" s="4" t="s">
        <v>64</v>
      </c>
      <c r="B45" s="4">
        <v>5</v>
      </c>
      <c r="C45" s="4">
        <v>4</v>
      </c>
      <c r="D45" s="4">
        <v>5</v>
      </c>
      <c r="E45" s="4">
        <v>4</v>
      </c>
      <c r="F45" s="4">
        <v>4</v>
      </c>
      <c r="G45" s="4">
        <v>4</v>
      </c>
      <c r="H45" s="4">
        <v>5</v>
      </c>
      <c r="I45" s="4">
        <v>4</v>
      </c>
      <c r="J45" s="4">
        <v>5</v>
      </c>
      <c r="K45" s="4">
        <v>4</v>
      </c>
      <c r="L45" s="4">
        <v>4</v>
      </c>
      <c r="M45" s="4">
        <v>5</v>
      </c>
      <c r="N45" s="4">
        <v>5</v>
      </c>
      <c r="O45" s="4">
        <v>5</v>
      </c>
      <c r="P45" s="4">
        <v>5</v>
      </c>
      <c r="Q45" s="4">
        <v>5</v>
      </c>
      <c r="R45" s="4">
        <v>3</v>
      </c>
      <c r="S45" s="4">
        <v>5</v>
      </c>
      <c r="T45" s="4">
        <v>81</v>
      </c>
    </row>
    <row r="46" spans="1:21">
      <c r="A46" s="4" t="s">
        <v>65</v>
      </c>
      <c r="B46" s="4">
        <v>5</v>
      </c>
      <c r="C46" s="4">
        <v>5</v>
      </c>
      <c r="D46" s="4">
        <v>5</v>
      </c>
      <c r="E46" s="4">
        <v>4</v>
      </c>
      <c r="F46" s="4">
        <v>5</v>
      </c>
      <c r="G46" s="4">
        <v>4</v>
      </c>
      <c r="H46" s="4">
        <v>5</v>
      </c>
      <c r="I46" s="4">
        <v>5</v>
      </c>
      <c r="J46" s="4">
        <v>4</v>
      </c>
      <c r="K46" s="4">
        <v>4</v>
      </c>
      <c r="L46" s="4">
        <v>5</v>
      </c>
      <c r="M46" s="4">
        <v>5</v>
      </c>
      <c r="N46" s="4">
        <v>4</v>
      </c>
      <c r="O46" s="4">
        <v>4</v>
      </c>
      <c r="P46" s="4">
        <v>5</v>
      </c>
      <c r="Q46" s="4">
        <v>4</v>
      </c>
      <c r="R46" s="4">
        <v>5</v>
      </c>
      <c r="S46" s="4">
        <v>5</v>
      </c>
      <c r="T46" s="4">
        <v>83</v>
      </c>
    </row>
    <row r="47" spans="1:21">
      <c r="A47" s="4" t="s">
        <v>66</v>
      </c>
      <c r="B47" s="4">
        <v>1</v>
      </c>
      <c r="C47" s="4">
        <v>1</v>
      </c>
      <c r="D47" s="4">
        <v>2</v>
      </c>
      <c r="E47" s="4">
        <v>2</v>
      </c>
      <c r="F47" s="4">
        <v>1</v>
      </c>
      <c r="G47" s="4">
        <v>1</v>
      </c>
      <c r="H47" s="4">
        <v>2</v>
      </c>
      <c r="I47" s="4">
        <v>2</v>
      </c>
      <c r="J47" s="4">
        <v>2</v>
      </c>
      <c r="K47" s="4">
        <v>1</v>
      </c>
      <c r="L47" s="4">
        <v>2</v>
      </c>
      <c r="M47" s="4">
        <v>2</v>
      </c>
      <c r="N47" s="4">
        <v>1</v>
      </c>
      <c r="O47" s="4">
        <v>2</v>
      </c>
      <c r="P47" s="4">
        <v>2</v>
      </c>
      <c r="Q47" s="4">
        <v>1</v>
      </c>
      <c r="R47" s="4">
        <v>1</v>
      </c>
      <c r="S47" s="4">
        <v>2</v>
      </c>
      <c r="T47" s="4">
        <v>28</v>
      </c>
    </row>
    <row r="48" spans="1:21">
      <c r="A48" s="4" t="s">
        <v>67</v>
      </c>
      <c r="B48" s="4">
        <v>4</v>
      </c>
      <c r="C48" s="4">
        <v>4</v>
      </c>
      <c r="D48" s="4">
        <v>5</v>
      </c>
      <c r="E48" s="4">
        <v>4</v>
      </c>
      <c r="F48" s="4">
        <v>5</v>
      </c>
      <c r="G48" s="4">
        <v>4</v>
      </c>
      <c r="H48" s="4">
        <v>4</v>
      </c>
      <c r="I48" s="4">
        <v>5</v>
      </c>
      <c r="J48" s="4">
        <v>5</v>
      </c>
      <c r="K48" s="4">
        <v>4</v>
      </c>
      <c r="L48" s="4">
        <v>5</v>
      </c>
      <c r="M48" s="4">
        <v>5</v>
      </c>
      <c r="N48" s="4">
        <v>4</v>
      </c>
      <c r="O48" s="4">
        <v>3</v>
      </c>
      <c r="P48" s="4">
        <v>3</v>
      </c>
      <c r="Q48" s="4">
        <v>5</v>
      </c>
      <c r="R48" s="4">
        <v>4</v>
      </c>
      <c r="S48" s="4">
        <v>5</v>
      </c>
      <c r="T48" s="4">
        <v>78</v>
      </c>
    </row>
    <row r="49" spans="1:21">
      <c r="A49" s="4" t="s">
        <v>68</v>
      </c>
      <c r="B49" s="4">
        <v>5</v>
      </c>
      <c r="C49" s="4">
        <v>5</v>
      </c>
      <c r="D49" s="4">
        <v>5</v>
      </c>
      <c r="E49" s="4">
        <v>4</v>
      </c>
      <c r="F49" s="4">
        <v>4</v>
      </c>
      <c r="G49" s="4">
        <v>4</v>
      </c>
      <c r="H49" s="4">
        <v>5</v>
      </c>
      <c r="I49" s="4">
        <v>5</v>
      </c>
      <c r="J49" s="4">
        <v>4</v>
      </c>
      <c r="K49" s="4">
        <v>4</v>
      </c>
      <c r="L49" s="4">
        <v>4</v>
      </c>
      <c r="M49" s="4">
        <v>5</v>
      </c>
      <c r="N49" s="4">
        <v>5</v>
      </c>
      <c r="O49" s="4">
        <v>5</v>
      </c>
      <c r="P49" s="4">
        <v>5</v>
      </c>
      <c r="Q49" s="4">
        <v>4</v>
      </c>
      <c r="R49" s="4">
        <v>5</v>
      </c>
      <c r="S49" s="4">
        <v>4</v>
      </c>
      <c r="T49" s="4">
        <v>82</v>
      </c>
    </row>
    <row r="50" spans="1:21">
      <c r="A50" s="4" t="s">
        <v>69</v>
      </c>
      <c r="B50" s="4">
        <v>3</v>
      </c>
      <c r="C50" s="4">
        <v>3</v>
      </c>
      <c r="D50" s="4">
        <v>4</v>
      </c>
      <c r="E50" s="4">
        <v>4</v>
      </c>
      <c r="F50" s="4">
        <v>3</v>
      </c>
      <c r="G50" s="4">
        <v>3</v>
      </c>
      <c r="H50" s="4">
        <v>4</v>
      </c>
      <c r="I50" s="4">
        <v>3</v>
      </c>
      <c r="J50" s="4">
        <v>5</v>
      </c>
      <c r="K50" s="4">
        <v>4</v>
      </c>
      <c r="L50" s="4">
        <v>4</v>
      </c>
      <c r="M50" s="4">
        <v>3</v>
      </c>
      <c r="N50" s="4">
        <v>4</v>
      </c>
      <c r="O50" s="4">
        <v>4</v>
      </c>
      <c r="P50" s="4">
        <v>4</v>
      </c>
      <c r="Q50" s="4">
        <v>3</v>
      </c>
      <c r="R50" s="4">
        <v>3</v>
      </c>
      <c r="S50" s="4">
        <v>3</v>
      </c>
      <c r="T50" s="4">
        <v>64</v>
      </c>
    </row>
    <row r="51" spans="1:21">
      <c r="A51" s="4" t="s">
        <v>70</v>
      </c>
      <c r="B51" s="4">
        <v>3</v>
      </c>
      <c r="C51" s="4">
        <v>5</v>
      </c>
      <c r="D51" s="4">
        <v>5</v>
      </c>
      <c r="E51" s="4">
        <v>4</v>
      </c>
      <c r="F51" s="4">
        <v>3</v>
      </c>
      <c r="G51" s="4">
        <v>5</v>
      </c>
      <c r="H51" s="4">
        <v>5</v>
      </c>
      <c r="I51" s="4">
        <v>5</v>
      </c>
      <c r="J51" s="4">
        <v>4</v>
      </c>
      <c r="K51" s="4">
        <v>5</v>
      </c>
      <c r="L51" s="4">
        <v>5</v>
      </c>
      <c r="M51" s="4">
        <v>5</v>
      </c>
      <c r="N51" s="4">
        <v>5</v>
      </c>
      <c r="O51" s="4">
        <v>5</v>
      </c>
      <c r="P51" s="4">
        <v>4</v>
      </c>
      <c r="Q51" s="4">
        <v>5</v>
      </c>
      <c r="R51" s="4">
        <v>3</v>
      </c>
      <c r="S51" s="4">
        <v>3</v>
      </c>
      <c r="T51" s="4">
        <v>79</v>
      </c>
    </row>
    <row r="52" spans="1:21">
      <c r="A52" s="4" t="s">
        <v>71</v>
      </c>
      <c r="B52" s="4">
        <v>4</v>
      </c>
      <c r="C52" s="4">
        <v>3</v>
      </c>
      <c r="D52" s="4">
        <v>4</v>
      </c>
      <c r="E52" s="4">
        <v>4</v>
      </c>
      <c r="F52" s="4">
        <v>4</v>
      </c>
      <c r="G52" s="4">
        <v>3</v>
      </c>
      <c r="H52" s="4">
        <v>4</v>
      </c>
      <c r="I52" s="4">
        <v>2</v>
      </c>
      <c r="J52" s="4">
        <v>3</v>
      </c>
      <c r="K52" s="4">
        <v>4</v>
      </c>
      <c r="L52" s="4">
        <v>2</v>
      </c>
      <c r="M52" s="4">
        <v>4</v>
      </c>
      <c r="N52" s="4">
        <v>4</v>
      </c>
      <c r="O52" s="4">
        <v>2</v>
      </c>
      <c r="P52" s="4">
        <v>4</v>
      </c>
      <c r="Q52" s="4">
        <v>4</v>
      </c>
      <c r="R52" s="4">
        <v>3</v>
      </c>
      <c r="S52" s="4">
        <v>4</v>
      </c>
      <c r="T52" s="4">
        <v>62</v>
      </c>
    </row>
    <row r="53" spans="1:21">
      <c r="A53" s="4" t="s">
        <v>72</v>
      </c>
      <c r="B53" s="4">
        <v>4</v>
      </c>
      <c r="C53" s="4">
        <v>2</v>
      </c>
      <c r="D53" s="4">
        <v>3</v>
      </c>
      <c r="E53" s="4">
        <v>3</v>
      </c>
      <c r="F53" s="4">
        <v>4</v>
      </c>
      <c r="G53" s="4">
        <v>4</v>
      </c>
      <c r="H53" s="4">
        <v>4</v>
      </c>
      <c r="I53" s="4">
        <v>4</v>
      </c>
      <c r="J53" s="4">
        <v>3</v>
      </c>
      <c r="K53" s="4">
        <v>3</v>
      </c>
      <c r="L53" s="4">
        <v>3</v>
      </c>
      <c r="M53" s="4">
        <v>4</v>
      </c>
      <c r="N53" s="4">
        <v>3</v>
      </c>
      <c r="O53" s="4">
        <v>4</v>
      </c>
      <c r="P53" s="4">
        <v>3</v>
      </c>
      <c r="Q53" s="4">
        <v>2</v>
      </c>
      <c r="R53" s="4">
        <v>4</v>
      </c>
      <c r="S53" s="4">
        <v>4</v>
      </c>
      <c r="T53" s="4">
        <v>61</v>
      </c>
    </row>
    <row r="54" spans="1:21">
      <c r="A54" s="4" t="s">
        <v>73</v>
      </c>
      <c r="B54" s="4">
        <v>2</v>
      </c>
      <c r="C54" s="4">
        <v>3</v>
      </c>
      <c r="D54" s="4">
        <v>4</v>
      </c>
      <c r="E54" s="4">
        <v>3</v>
      </c>
      <c r="F54" s="4">
        <v>4</v>
      </c>
      <c r="G54" s="4">
        <v>2</v>
      </c>
      <c r="H54" s="4">
        <v>3</v>
      </c>
      <c r="I54" s="4">
        <v>3</v>
      </c>
      <c r="J54" s="4">
        <v>4</v>
      </c>
      <c r="K54" s="4">
        <v>3</v>
      </c>
      <c r="L54" s="4">
        <v>3</v>
      </c>
      <c r="M54" s="4">
        <v>3</v>
      </c>
      <c r="N54" s="4">
        <v>3</v>
      </c>
      <c r="O54" s="4">
        <v>2</v>
      </c>
      <c r="P54" s="4">
        <v>3</v>
      </c>
      <c r="Q54" s="4">
        <v>2</v>
      </c>
      <c r="R54" s="4">
        <v>2</v>
      </c>
      <c r="S54" s="4">
        <v>3</v>
      </c>
      <c r="T54" s="4">
        <v>52</v>
      </c>
    </row>
    <row r="55" spans="1:21">
      <c r="A55" s="4" t="s">
        <v>74</v>
      </c>
      <c r="B55" s="4">
        <v>2</v>
      </c>
      <c r="C55" s="4">
        <v>2</v>
      </c>
      <c r="D55" s="4">
        <v>3</v>
      </c>
      <c r="E55" s="4">
        <v>3</v>
      </c>
      <c r="F55" s="4">
        <v>2</v>
      </c>
      <c r="G55" s="4">
        <v>3</v>
      </c>
      <c r="H55" s="4">
        <v>3</v>
      </c>
      <c r="I55" s="4">
        <v>2</v>
      </c>
      <c r="J55" s="4">
        <v>2</v>
      </c>
      <c r="K55" s="4">
        <v>2</v>
      </c>
      <c r="L55" s="4">
        <v>2</v>
      </c>
      <c r="M55" s="4">
        <v>3</v>
      </c>
      <c r="N55" s="4">
        <v>2</v>
      </c>
      <c r="O55" s="4">
        <v>2</v>
      </c>
      <c r="P55" s="4">
        <v>3</v>
      </c>
      <c r="Q55" s="4">
        <v>3</v>
      </c>
      <c r="R55" s="4">
        <v>2</v>
      </c>
      <c r="S55" s="4">
        <v>3</v>
      </c>
      <c r="T55" s="4">
        <v>44</v>
      </c>
    </row>
    <row r="56" spans="1:21">
      <c r="A56" s="4" t="s">
        <v>75</v>
      </c>
      <c r="B56" s="4">
        <v>2</v>
      </c>
      <c r="C56" s="4">
        <v>3</v>
      </c>
      <c r="D56" s="4">
        <v>2</v>
      </c>
      <c r="E56" s="4">
        <v>3</v>
      </c>
      <c r="F56" s="4">
        <v>3</v>
      </c>
      <c r="G56" s="4">
        <v>2</v>
      </c>
      <c r="H56" s="4">
        <v>2</v>
      </c>
      <c r="I56" s="4">
        <v>3</v>
      </c>
      <c r="J56" s="4">
        <v>3</v>
      </c>
      <c r="K56" s="4">
        <v>3</v>
      </c>
      <c r="L56" s="4">
        <v>3</v>
      </c>
      <c r="M56" s="4">
        <v>3</v>
      </c>
      <c r="N56" s="4">
        <v>3</v>
      </c>
      <c r="O56" s="4">
        <v>2</v>
      </c>
      <c r="P56" s="4">
        <v>3</v>
      </c>
      <c r="Q56" s="4">
        <v>3</v>
      </c>
      <c r="R56" s="4">
        <v>2</v>
      </c>
      <c r="S56" s="4">
        <v>3</v>
      </c>
      <c r="T56" s="4">
        <v>48</v>
      </c>
    </row>
    <row r="57" spans="1:21">
      <c r="A57" s="4" t="s">
        <v>76</v>
      </c>
      <c r="B57" s="4">
        <v>1</v>
      </c>
      <c r="C57" s="4">
        <v>2</v>
      </c>
      <c r="D57" s="4">
        <v>1</v>
      </c>
      <c r="E57" s="4">
        <v>2</v>
      </c>
      <c r="F57" s="4">
        <v>2</v>
      </c>
      <c r="G57" s="4">
        <v>1</v>
      </c>
      <c r="H57" s="4">
        <v>1</v>
      </c>
      <c r="I57" s="4">
        <v>2</v>
      </c>
      <c r="J57" s="4">
        <v>2</v>
      </c>
      <c r="K57" s="4">
        <v>1</v>
      </c>
      <c r="L57" s="4">
        <v>2</v>
      </c>
      <c r="M57" s="4">
        <v>2</v>
      </c>
      <c r="N57" s="4">
        <v>1</v>
      </c>
      <c r="O57" s="4">
        <v>2</v>
      </c>
      <c r="P57" s="4">
        <v>1</v>
      </c>
      <c r="Q57" s="4">
        <v>2</v>
      </c>
      <c r="R57" s="4">
        <v>2</v>
      </c>
      <c r="S57" s="4">
        <v>1</v>
      </c>
      <c r="T57" s="4">
        <v>28</v>
      </c>
    </row>
    <row r="58" spans="1:21">
      <c r="A58" s="4" t="s">
        <v>77</v>
      </c>
      <c r="B58" s="4">
        <v>2</v>
      </c>
      <c r="C58" s="4">
        <v>2</v>
      </c>
      <c r="D58" s="4">
        <v>2</v>
      </c>
      <c r="E58" s="4">
        <v>3</v>
      </c>
      <c r="F58" s="4">
        <v>3</v>
      </c>
      <c r="G58" s="4">
        <v>2</v>
      </c>
      <c r="H58" s="4">
        <v>2</v>
      </c>
      <c r="I58" s="4">
        <v>2</v>
      </c>
      <c r="J58" s="4">
        <v>4</v>
      </c>
      <c r="K58" s="4">
        <v>3</v>
      </c>
      <c r="L58" s="4">
        <v>3</v>
      </c>
      <c r="M58" s="4">
        <v>3</v>
      </c>
      <c r="N58" s="4">
        <v>3</v>
      </c>
      <c r="O58" s="4">
        <v>2</v>
      </c>
      <c r="P58" s="4">
        <v>2</v>
      </c>
      <c r="Q58" s="4">
        <v>2</v>
      </c>
      <c r="R58" s="4">
        <v>3</v>
      </c>
      <c r="S58" s="4">
        <v>3</v>
      </c>
      <c r="T58" s="4">
        <v>46</v>
      </c>
    </row>
    <row r="59" spans="1:21">
      <c r="A59" s="4" t="s">
        <v>78</v>
      </c>
      <c r="B59" s="4">
        <v>3</v>
      </c>
      <c r="C59" s="4">
        <v>3</v>
      </c>
      <c r="D59" s="4">
        <v>4</v>
      </c>
      <c r="E59" s="4">
        <v>3</v>
      </c>
      <c r="F59" s="4">
        <v>3</v>
      </c>
      <c r="G59" s="4">
        <v>4</v>
      </c>
      <c r="H59" s="4">
        <v>4</v>
      </c>
      <c r="I59" s="4">
        <v>3</v>
      </c>
      <c r="J59" s="4">
        <v>3</v>
      </c>
      <c r="K59" s="4">
        <v>3</v>
      </c>
      <c r="L59" s="4">
        <v>3</v>
      </c>
      <c r="M59" s="4">
        <v>3</v>
      </c>
      <c r="N59" s="4">
        <v>3</v>
      </c>
      <c r="O59" s="4">
        <v>3</v>
      </c>
      <c r="P59" s="4">
        <v>3</v>
      </c>
      <c r="Q59" s="4">
        <v>2</v>
      </c>
      <c r="R59" s="4">
        <v>4</v>
      </c>
      <c r="S59" s="4">
        <v>3</v>
      </c>
      <c r="T59" s="4">
        <v>57</v>
      </c>
    </row>
    <row r="60" spans="1:21">
      <c r="A60" s="4" t="s">
        <v>79</v>
      </c>
      <c r="B60" s="4">
        <v>2</v>
      </c>
      <c r="C60" s="4">
        <v>1</v>
      </c>
      <c r="D60" s="4">
        <v>2</v>
      </c>
      <c r="E60" s="4">
        <v>1</v>
      </c>
      <c r="F60" s="4">
        <v>2</v>
      </c>
      <c r="G60" s="4">
        <v>1</v>
      </c>
      <c r="H60" s="4">
        <v>1</v>
      </c>
      <c r="I60" s="4">
        <v>1</v>
      </c>
      <c r="J60" s="4">
        <v>2</v>
      </c>
      <c r="K60" s="4">
        <v>1</v>
      </c>
      <c r="L60" s="4">
        <v>1</v>
      </c>
      <c r="M60" s="4">
        <v>1</v>
      </c>
      <c r="N60" s="4">
        <v>1</v>
      </c>
      <c r="O60" s="4">
        <v>1</v>
      </c>
      <c r="P60" s="4">
        <v>1</v>
      </c>
      <c r="Q60" s="4">
        <v>2</v>
      </c>
      <c r="R60" s="4">
        <v>1</v>
      </c>
      <c r="S60" s="4">
        <v>1</v>
      </c>
      <c r="T60" s="4">
        <v>23</v>
      </c>
    </row>
    <row r="61" spans="1:21">
      <c r="A61" s="4" t="s">
        <v>80</v>
      </c>
      <c r="B61" s="4">
        <v>5</v>
      </c>
      <c r="C61" s="4">
        <v>5</v>
      </c>
      <c r="D61" s="4">
        <v>3</v>
      </c>
      <c r="E61" s="4">
        <v>3</v>
      </c>
      <c r="F61" s="4">
        <v>3</v>
      </c>
      <c r="G61" s="4">
        <v>3</v>
      </c>
      <c r="H61" s="4">
        <v>3</v>
      </c>
      <c r="I61" s="4">
        <v>4</v>
      </c>
      <c r="J61" s="4">
        <v>5</v>
      </c>
      <c r="K61" s="4">
        <v>5</v>
      </c>
      <c r="L61" s="4">
        <v>4</v>
      </c>
      <c r="M61" s="4">
        <v>4</v>
      </c>
      <c r="N61" s="4">
        <v>3</v>
      </c>
      <c r="O61" s="4">
        <v>4</v>
      </c>
      <c r="P61" s="4">
        <v>5</v>
      </c>
      <c r="Q61" s="4">
        <v>3</v>
      </c>
      <c r="R61" s="4">
        <v>5</v>
      </c>
      <c r="S61" s="4">
        <v>3</v>
      </c>
      <c r="T61" s="4">
        <v>70</v>
      </c>
    </row>
    <row r="62" spans="1:21">
      <c r="A62" s="4" t="s">
        <v>81</v>
      </c>
      <c r="B62" s="4">
        <v>3</v>
      </c>
      <c r="C62" s="4">
        <v>2</v>
      </c>
      <c r="D62" s="4">
        <v>2</v>
      </c>
      <c r="E62" s="4">
        <v>2</v>
      </c>
      <c r="F62" s="4">
        <v>2</v>
      </c>
      <c r="G62" s="4">
        <v>2</v>
      </c>
      <c r="H62" s="4">
        <v>3</v>
      </c>
      <c r="I62" s="4">
        <v>3</v>
      </c>
      <c r="J62" s="4">
        <v>2</v>
      </c>
      <c r="K62" s="4">
        <v>3</v>
      </c>
      <c r="L62" s="4">
        <v>3</v>
      </c>
      <c r="M62" s="4">
        <v>3</v>
      </c>
      <c r="N62" s="4">
        <v>4</v>
      </c>
      <c r="O62" s="4">
        <v>4</v>
      </c>
      <c r="P62" s="4">
        <v>4</v>
      </c>
      <c r="Q62" s="4">
        <v>3</v>
      </c>
      <c r="R62" s="4">
        <v>3</v>
      </c>
      <c r="S62" s="4">
        <v>2</v>
      </c>
      <c r="T62" s="4">
        <v>50</v>
      </c>
    </row>
    <row r="63" spans="1:21">
      <c r="A63" s="4" t="s">
        <v>82</v>
      </c>
      <c r="B63" s="4">
        <v>3</v>
      </c>
      <c r="C63" s="4">
        <v>3</v>
      </c>
      <c r="D63" s="4">
        <v>4</v>
      </c>
      <c r="E63" s="4">
        <v>4</v>
      </c>
      <c r="F63" s="4">
        <v>4</v>
      </c>
      <c r="G63" s="4">
        <v>4</v>
      </c>
      <c r="H63" s="4">
        <v>4</v>
      </c>
      <c r="I63" s="4">
        <v>3</v>
      </c>
      <c r="J63" s="4">
        <v>3</v>
      </c>
      <c r="K63" s="4">
        <v>4</v>
      </c>
      <c r="L63" s="4">
        <v>3</v>
      </c>
      <c r="M63" s="4">
        <v>4</v>
      </c>
      <c r="N63" s="4">
        <v>3</v>
      </c>
      <c r="O63" s="4">
        <v>4</v>
      </c>
      <c r="P63" s="4">
        <v>3</v>
      </c>
      <c r="Q63" s="4">
        <v>3</v>
      </c>
      <c r="R63" s="4">
        <v>3</v>
      </c>
      <c r="S63" s="4">
        <v>4</v>
      </c>
      <c r="T63" s="4">
        <v>63</v>
      </c>
    </row>
    <row r="64" spans="1:21">
      <c r="A64" s="4" t="s">
        <v>83</v>
      </c>
      <c r="B64" s="4">
        <v>4</v>
      </c>
      <c r="C64" s="4">
        <v>3</v>
      </c>
      <c r="D64" s="4">
        <v>3</v>
      </c>
      <c r="E64" s="4">
        <v>3</v>
      </c>
      <c r="F64" s="4">
        <v>5</v>
      </c>
      <c r="G64" s="4">
        <v>4</v>
      </c>
      <c r="H64" s="4">
        <v>3</v>
      </c>
      <c r="I64" s="4">
        <v>5</v>
      </c>
      <c r="J64" s="4">
        <v>4</v>
      </c>
      <c r="K64" s="4">
        <v>3</v>
      </c>
      <c r="L64" s="4">
        <v>3</v>
      </c>
      <c r="M64" s="4">
        <v>5</v>
      </c>
      <c r="N64" s="4">
        <v>5</v>
      </c>
      <c r="O64" s="4">
        <v>5</v>
      </c>
      <c r="P64" s="4">
        <v>3</v>
      </c>
      <c r="Q64" s="4">
        <v>5</v>
      </c>
      <c r="R64" s="4">
        <v>3</v>
      </c>
      <c r="S64" s="4">
        <v>5</v>
      </c>
      <c r="T64" s="4">
        <v>71</v>
      </c>
    </row>
    <row r="65" spans="1:21">
      <c r="A65" s="4" t="s">
        <v>84</v>
      </c>
      <c r="B65" s="4">
        <v>2</v>
      </c>
      <c r="C65" s="4">
        <v>2</v>
      </c>
      <c r="D65" s="4">
        <v>3</v>
      </c>
      <c r="E65" s="4">
        <v>2</v>
      </c>
      <c r="F65" s="4">
        <v>3</v>
      </c>
      <c r="G65" s="4">
        <v>2</v>
      </c>
      <c r="H65" s="4">
        <v>2</v>
      </c>
      <c r="I65" s="4">
        <v>2</v>
      </c>
      <c r="J65" s="4">
        <v>3</v>
      </c>
      <c r="K65" s="4">
        <v>3</v>
      </c>
      <c r="L65" s="4">
        <v>3</v>
      </c>
      <c r="M65" s="4">
        <v>2</v>
      </c>
      <c r="N65" s="4">
        <v>2</v>
      </c>
      <c r="O65" s="4">
        <v>2</v>
      </c>
      <c r="P65" s="4">
        <v>2</v>
      </c>
      <c r="Q65" s="4">
        <v>3</v>
      </c>
      <c r="R65" s="4">
        <v>2</v>
      </c>
      <c r="S65" s="4">
        <v>2</v>
      </c>
      <c r="T65" s="4">
        <v>42</v>
      </c>
    </row>
    <row r="66" spans="1:21">
      <c r="A66" s="4" t="s">
        <v>85</v>
      </c>
      <c r="B66" s="4">
        <v>5</v>
      </c>
      <c r="C66" s="4">
        <v>4</v>
      </c>
      <c r="D66" s="4">
        <v>4</v>
      </c>
      <c r="E66" s="4">
        <v>4</v>
      </c>
      <c r="F66" s="4">
        <v>4</v>
      </c>
      <c r="G66" s="4">
        <v>4</v>
      </c>
      <c r="H66" s="4">
        <v>3</v>
      </c>
      <c r="I66" s="4">
        <v>3</v>
      </c>
      <c r="J66" s="4">
        <v>3</v>
      </c>
      <c r="K66" s="4">
        <v>5</v>
      </c>
      <c r="L66" s="4">
        <v>5</v>
      </c>
      <c r="M66" s="4">
        <v>5</v>
      </c>
      <c r="N66" s="4">
        <v>4</v>
      </c>
      <c r="O66" s="4">
        <v>5</v>
      </c>
      <c r="P66" s="4">
        <v>4</v>
      </c>
      <c r="Q66" s="4">
        <v>5</v>
      </c>
      <c r="R66" s="4">
        <v>3</v>
      </c>
      <c r="S66" s="4">
        <v>3</v>
      </c>
      <c r="T66" s="4">
        <v>73</v>
      </c>
    </row>
    <row r="67" spans="1:21">
      <c r="A67" s="4" t="s">
        <v>86</v>
      </c>
      <c r="B67" s="4">
        <v>3</v>
      </c>
      <c r="C67" s="4">
        <v>2</v>
      </c>
      <c r="D67" s="4">
        <v>2</v>
      </c>
      <c r="E67" s="4">
        <v>3</v>
      </c>
      <c r="F67" s="4">
        <v>3</v>
      </c>
      <c r="G67" s="4">
        <v>2</v>
      </c>
      <c r="H67" s="4">
        <v>2</v>
      </c>
      <c r="I67" s="4">
        <v>3</v>
      </c>
      <c r="J67" s="4">
        <v>3</v>
      </c>
      <c r="K67" s="4">
        <v>3</v>
      </c>
      <c r="L67" s="4">
        <v>3</v>
      </c>
      <c r="M67" s="4">
        <v>2</v>
      </c>
      <c r="N67" s="4">
        <v>3</v>
      </c>
      <c r="O67" s="4">
        <v>3</v>
      </c>
      <c r="P67" s="4">
        <v>2</v>
      </c>
      <c r="Q67" s="4">
        <v>2</v>
      </c>
      <c r="R67" s="4">
        <v>2</v>
      </c>
      <c r="S67" s="4">
        <v>2</v>
      </c>
      <c r="T67" s="4">
        <v>45</v>
      </c>
    </row>
    <row r="68" spans="1:21">
      <c r="A68" s="4" t="s">
        <v>87</v>
      </c>
      <c r="B68" s="4">
        <v>4</v>
      </c>
      <c r="C68" s="4">
        <v>3</v>
      </c>
      <c r="D68" s="4">
        <v>3</v>
      </c>
      <c r="E68" s="4">
        <v>3</v>
      </c>
      <c r="F68" s="4">
        <v>3</v>
      </c>
      <c r="G68" s="4">
        <v>4</v>
      </c>
      <c r="H68" s="4">
        <v>4</v>
      </c>
      <c r="I68" s="4">
        <v>3</v>
      </c>
      <c r="J68" s="4">
        <v>4</v>
      </c>
      <c r="K68" s="4">
        <v>3</v>
      </c>
      <c r="L68" s="4">
        <v>3</v>
      </c>
      <c r="M68" s="4">
        <v>5</v>
      </c>
      <c r="N68" s="4">
        <v>4</v>
      </c>
      <c r="O68" s="4">
        <v>3</v>
      </c>
      <c r="P68" s="4">
        <v>3</v>
      </c>
      <c r="Q68" s="4">
        <v>3</v>
      </c>
      <c r="R68" s="4">
        <v>4</v>
      </c>
      <c r="S68" s="4">
        <v>3</v>
      </c>
      <c r="T68" s="4">
        <v>62</v>
      </c>
    </row>
    <row r="69" spans="1:21">
      <c r="A69" s="4" t="s">
        <v>88</v>
      </c>
      <c r="B69" s="4">
        <v>2</v>
      </c>
      <c r="C69" s="4">
        <v>2</v>
      </c>
      <c r="D69" s="4">
        <v>3</v>
      </c>
      <c r="E69" s="4">
        <v>2</v>
      </c>
      <c r="F69" s="4">
        <v>3</v>
      </c>
      <c r="G69" s="4">
        <v>2</v>
      </c>
      <c r="H69" s="4">
        <v>2</v>
      </c>
      <c r="I69" s="4">
        <v>2</v>
      </c>
      <c r="J69" s="4">
        <v>2</v>
      </c>
      <c r="K69" s="4">
        <v>2</v>
      </c>
      <c r="L69" s="4">
        <v>2</v>
      </c>
      <c r="M69" s="4">
        <v>2</v>
      </c>
      <c r="N69" s="4">
        <v>2</v>
      </c>
      <c r="O69" s="4">
        <v>3</v>
      </c>
      <c r="P69" s="4">
        <v>2</v>
      </c>
      <c r="Q69" s="4">
        <v>3</v>
      </c>
      <c r="R69" s="4">
        <v>2</v>
      </c>
      <c r="S69" s="4">
        <v>2</v>
      </c>
      <c r="T69" s="4">
        <v>40</v>
      </c>
    </row>
    <row r="70" spans="1:21">
      <c r="A70" s="4" t="s">
        <v>89</v>
      </c>
      <c r="B70" s="4">
        <v>5</v>
      </c>
      <c r="C70" s="4">
        <v>3</v>
      </c>
      <c r="D70" s="4">
        <v>5</v>
      </c>
      <c r="E70" s="4">
        <v>5</v>
      </c>
      <c r="F70" s="4">
        <v>5</v>
      </c>
      <c r="G70" s="4">
        <v>5</v>
      </c>
      <c r="H70" s="4">
        <v>4</v>
      </c>
      <c r="I70" s="4">
        <v>3</v>
      </c>
      <c r="J70" s="4">
        <v>3</v>
      </c>
      <c r="K70" s="4">
        <v>5</v>
      </c>
      <c r="L70" s="4">
        <v>3</v>
      </c>
      <c r="M70" s="4">
        <v>4</v>
      </c>
      <c r="N70" s="4">
        <v>5</v>
      </c>
      <c r="O70" s="4">
        <v>4</v>
      </c>
      <c r="P70" s="4">
        <v>3</v>
      </c>
      <c r="Q70" s="4">
        <v>5</v>
      </c>
      <c r="R70" s="4">
        <v>5</v>
      </c>
      <c r="S70" s="4">
        <v>3</v>
      </c>
      <c r="T70" s="4">
        <v>75</v>
      </c>
    </row>
    <row r="71" spans="1:21">
      <c r="A71" s="4" t="s">
        <v>90</v>
      </c>
      <c r="B71" s="4">
        <v>3</v>
      </c>
      <c r="C71" s="4">
        <v>2</v>
      </c>
      <c r="D71" s="4">
        <v>3</v>
      </c>
      <c r="E71" s="4">
        <v>3</v>
      </c>
      <c r="F71" s="4">
        <v>3</v>
      </c>
      <c r="G71" s="4">
        <v>4</v>
      </c>
      <c r="H71" s="4">
        <v>3</v>
      </c>
      <c r="I71" s="4">
        <v>3</v>
      </c>
      <c r="J71" s="4">
        <v>4</v>
      </c>
      <c r="K71" s="4">
        <v>2</v>
      </c>
      <c r="L71" s="4">
        <v>4</v>
      </c>
      <c r="M71" s="4">
        <v>4</v>
      </c>
      <c r="N71" s="4">
        <v>3</v>
      </c>
      <c r="O71" s="4">
        <v>3</v>
      </c>
      <c r="P71" s="4">
        <v>4</v>
      </c>
      <c r="Q71" s="4">
        <v>4</v>
      </c>
      <c r="R71" s="4">
        <v>2</v>
      </c>
      <c r="S71" s="4">
        <v>4</v>
      </c>
      <c r="T71" s="4">
        <v>58</v>
      </c>
    </row>
    <row r="72" spans="1:21">
      <c r="A72" s="4" t="s">
        <v>91</v>
      </c>
      <c r="B72" s="4">
        <v>5</v>
      </c>
      <c r="C72" s="4">
        <v>5</v>
      </c>
      <c r="D72" s="4">
        <v>5</v>
      </c>
      <c r="E72" s="4">
        <v>5</v>
      </c>
      <c r="F72" s="4">
        <v>4</v>
      </c>
      <c r="G72" s="4">
        <v>5</v>
      </c>
      <c r="H72" s="4">
        <v>5</v>
      </c>
      <c r="I72" s="4">
        <v>5</v>
      </c>
      <c r="J72" s="4">
        <v>4</v>
      </c>
      <c r="K72" s="4">
        <v>3</v>
      </c>
      <c r="L72" s="4">
        <v>5</v>
      </c>
      <c r="M72" s="4">
        <v>5</v>
      </c>
      <c r="N72" s="4">
        <v>5</v>
      </c>
      <c r="O72" s="4">
        <v>4</v>
      </c>
      <c r="P72" s="4">
        <v>5</v>
      </c>
      <c r="Q72" s="4">
        <v>5</v>
      </c>
      <c r="R72" s="4">
        <v>4</v>
      </c>
      <c r="S72" s="4">
        <v>4</v>
      </c>
      <c r="T72" s="4">
        <v>83</v>
      </c>
    </row>
    <row r="73" spans="1:21">
      <c r="A73" s="4" t="s">
        <v>92</v>
      </c>
      <c r="B73" s="4">
        <v>1</v>
      </c>
      <c r="C73" s="4">
        <v>1</v>
      </c>
      <c r="D73" s="4">
        <v>1</v>
      </c>
      <c r="E73" s="4">
        <v>1</v>
      </c>
      <c r="F73" s="4">
        <v>1</v>
      </c>
      <c r="G73" s="4">
        <v>1</v>
      </c>
      <c r="H73" s="4">
        <v>1</v>
      </c>
      <c r="I73" s="4">
        <v>1</v>
      </c>
      <c r="J73" s="4">
        <v>1</v>
      </c>
      <c r="K73" s="4">
        <v>1</v>
      </c>
      <c r="L73" s="4">
        <v>1</v>
      </c>
      <c r="M73" s="4">
        <v>1</v>
      </c>
      <c r="N73" s="4">
        <v>1</v>
      </c>
      <c r="O73" s="4">
        <v>1</v>
      </c>
      <c r="P73" s="4">
        <v>1</v>
      </c>
      <c r="Q73" s="4">
        <v>1</v>
      </c>
      <c r="R73" s="4">
        <v>1</v>
      </c>
      <c r="S73" s="4">
        <v>1</v>
      </c>
      <c r="T73" s="4">
        <v>18</v>
      </c>
    </row>
    <row r="74" spans="1:21">
      <c r="A74" s="4" t="s">
        <v>93</v>
      </c>
      <c r="B74" s="4">
        <v>4</v>
      </c>
      <c r="C74" s="4">
        <v>3</v>
      </c>
      <c r="D74" s="4">
        <v>5</v>
      </c>
      <c r="E74" s="4">
        <v>5</v>
      </c>
      <c r="F74" s="4">
        <v>4</v>
      </c>
      <c r="G74" s="4">
        <v>5</v>
      </c>
      <c r="H74" s="4">
        <v>5</v>
      </c>
      <c r="I74" s="4">
        <v>4</v>
      </c>
      <c r="J74" s="4">
        <v>3</v>
      </c>
      <c r="K74" s="4">
        <v>4</v>
      </c>
      <c r="L74" s="4">
        <v>5</v>
      </c>
      <c r="M74" s="4">
        <v>3</v>
      </c>
      <c r="N74" s="4">
        <v>4</v>
      </c>
      <c r="O74" s="4">
        <v>5</v>
      </c>
      <c r="P74" s="4">
        <v>5</v>
      </c>
      <c r="Q74" s="4">
        <v>3</v>
      </c>
      <c r="R74" s="4">
        <v>3</v>
      </c>
      <c r="S74" s="4">
        <v>4</v>
      </c>
      <c r="T74" s="4">
        <v>74</v>
      </c>
    </row>
    <row r="75" spans="1:21">
      <c r="A75" s="4" t="s">
        <v>94</v>
      </c>
      <c r="B75" s="4">
        <v>3</v>
      </c>
      <c r="C75" s="4">
        <v>2</v>
      </c>
      <c r="D75" s="4">
        <v>4</v>
      </c>
      <c r="E75" s="4">
        <v>3</v>
      </c>
      <c r="F75" s="4">
        <v>3</v>
      </c>
      <c r="G75" s="4">
        <v>2</v>
      </c>
      <c r="H75" s="4">
        <v>4</v>
      </c>
      <c r="I75" s="4">
        <v>3</v>
      </c>
      <c r="J75" s="4">
        <v>3</v>
      </c>
      <c r="K75" s="4">
        <v>3</v>
      </c>
      <c r="L75" s="4">
        <v>2</v>
      </c>
      <c r="M75" s="4">
        <v>3</v>
      </c>
      <c r="N75" s="4">
        <v>3</v>
      </c>
      <c r="O75" s="4">
        <v>2</v>
      </c>
      <c r="P75" s="4">
        <v>4</v>
      </c>
      <c r="Q75" s="4">
        <v>2</v>
      </c>
      <c r="R75" s="4">
        <v>3</v>
      </c>
      <c r="S75" s="4">
        <v>2</v>
      </c>
      <c r="T75" s="4">
        <v>51</v>
      </c>
    </row>
    <row r="76" spans="1:21">
      <c r="A76" s="4" t="s">
        <v>95</v>
      </c>
      <c r="B76" s="4">
        <v>5</v>
      </c>
      <c r="C76" s="4">
        <v>4</v>
      </c>
      <c r="D76" s="4">
        <v>4</v>
      </c>
      <c r="E76" s="4">
        <v>3</v>
      </c>
      <c r="F76" s="4">
        <v>5</v>
      </c>
      <c r="G76" s="4">
        <v>3</v>
      </c>
      <c r="H76" s="4">
        <v>4</v>
      </c>
      <c r="I76" s="4">
        <v>4</v>
      </c>
      <c r="J76" s="4">
        <v>5</v>
      </c>
      <c r="K76" s="4">
        <v>4</v>
      </c>
      <c r="L76" s="4">
        <v>5</v>
      </c>
      <c r="M76" s="4">
        <v>3</v>
      </c>
      <c r="N76" s="4">
        <v>5</v>
      </c>
      <c r="O76" s="4">
        <v>5</v>
      </c>
      <c r="P76" s="4">
        <v>3</v>
      </c>
      <c r="Q76" s="4">
        <v>5</v>
      </c>
      <c r="R76" s="4">
        <v>5</v>
      </c>
      <c r="S76" s="4">
        <v>3</v>
      </c>
      <c r="T76" s="4">
        <v>75</v>
      </c>
    </row>
    <row r="77" spans="1:21">
      <c r="A77" s="4" t="s">
        <v>96</v>
      </c>
      <c r="B77" s="4">
        <v>2</v>
      </c>
      <c r="C77" s="4">
        <v>3</v>
      </c>
      <c r="D77" s="4">
        <v>2</v>
      </c>
      <c r="E77" s="4">
        <v>3</v>
      </c>
      <c r="F77" s="4">
        <v>2</v>
      </c>
      <c r="G77" s="4">
        <v>2</v>
      </c>
      <c r="H77" s="4">
        <v>2</v>
      </c>
      <c r="I77" s="4">
        <v>2</v>
      </c>
      <c r="J77" s="4">
        <v>3</v>
      </c>
      <c r="K77" s="4">
        <v>2</v>
      </c>
      <c r="L77" s="4">
        <v>3</v>
      </c>
      <c r="M77" s="4">
        <v>2</v>
      </c>
      <c r="N77" s="4">
        <v>2</v>
      </c>
      <c r="O77" s="4">
        <v>2</v>
      </c>
      <c r="P77" s="4">
        <v>2</v>
      </c>
      <c r="Q77" s="4">
        <v>3</v>
      </c>
      <c r="R77" s="4">
        <v>3</v>
      </c>
      <c r="S77" s="4">
        <v>2</v>
      </c>
      <c r="T77" s="4">
        <v>42</v>
      </c>
    </row>
    <row r="78" spans="1:21">
      <c r="A78" s="4" t="s">
        <v>97</v>
      </c>
      <c r="B78" s="4">
        <v>3</v>
      </c>
      <c r="C78" s="4">
        <v>3</v>
      </c>
      <c r="D78" s="4">
        <v>4</v>
      </c>
      <c r="E78" s="4">
        <v>3</v>
      </c>
      <c r="F78" s="4">
        <v>2</v>
      </c>
      <c r="G78" s="4">
        <v>3</v>
      </c>
      <c r="H78" s="4">
        <v>2</v>
      </c>
      <c r="I78" s="4">
        <v>3</v>
      </c>
      <c r="J78" s="4">
        <v>2</v>
      </c>
      <c r="K78" s="4">
        <v>3</v>
      </c>
      <c r="L78" s="4">
        <v>3</v>
      </c>
      <c r="M78" s="4">
        <v>2</v>
      </c>
      <c r="N78" s="4">
        <v>3</v>
      </c>
      <c r="O78" s="4">
        <v>2</v>
      </c>
      <c r="P78" s="4">
        <v>3</v>
      </c>
      <c r="Q78" s="4">
        <v>2</v>
      </c>
      <c r="R78" s="4">
        <v>2</v>
      </c>
      <c r="S78" s="4">
        <v>2</v>
      </c>
      <c r="T78" s="4">
        <v>47</v>
      </c>
    </row>
    <row r="79" spans="1:21">
      <c r="A79" s="4" t="s">
        <v>98</v>
      </c>
      <c r="B79" s="4">
        <v>1</v>
      </c>
      <c r="C79" s="4">
        <v>1</v>
      </c>
      <c r="D79" s="4">
        <v>1</v>
      </c>
      <c r="E79" s="4">
        <v>2</v>
      </c>
      <c r="F79" s="4">
        <v>1</v>
      </c>
      <c r="G79" s="4">
        <v>1</v>
      </c>
      <c r="H79" s="4">
        <v>1</v>
      </c>
      <c r="I79" s="4">
        <v>1</v>
      </c>
      <c r="J79" s="4">
        <v>1</v>
      </c>
      <c r="K79" s="4">
        <v>1</v>
      </c>
      <c r="L79" s="4">
        <v>2</v>
      </c>
      <c r="M79" s="4">
        <v>1</v>
      </c>
      <c r="N79" s="4">
        <v>1</v>
      </c>
      <c r="O79" s="4">
        <v>2</v>
      </c>
      <c r="P79" s="4">
        <v>2</v>
      </c>
      <c r="Q79" s="4">
        <v>1</v>
      </c>
      <c r="R79" s="4">
        <v>1</v>
      </c>
      <c r="S79" s="4">
        <v>1</v>
      </c>
      <c r="T79" s="4">
        <v>22</v>
      </c>
    </row>
    <row r="80" spans="1:21">
      <c r="A80" s="4" t="s">
        <v>99</v>
      </c>
      <c r="B80" s="4">
        <v>4</v>
      </c>
      <c r="C80" s="4">
        <v>3</v>
      </c>
      <c r="D80" s="4">
        <v>5</v>
      </c>
      <c r="E80" s="4">
        <v>4</v>
      </c>
      <c r="F80" s="4">
        <v>4</v>
      </c>
      <c r="G80" s="4">
        <v>5</v>
      </c>
      <c r="H80" s="4">
        <v>5</v>
      </c>
      <c r="I80" s="4">
        <v>5</v>
      </c>
      <c r="J80" s="4">
        <v>5</v>
      </c>
      <c r="K80" s="4">
        <v>3</v>
      </c>
      <c r="L80" s="4">
        <v>5</v>
      </c>
      <c r="M80" s="4">
        <v>4</v>
      </c>
      <c r="N80" s="4">
        <v>5</v>
      </c>
      <c r="O80" s="4">
        <v>5</v>
      </c>
      <c r="P80" s="4">
        <v>5</v>
      </c>
      <c r="Q80" s="4">
        <v>5</v>
      </c>
      <c r="R80" s="4">
        <v>4</v>
      </c>
      <c r="S80" s="4">
        <v>5</v>
      </c>
      <c r="T80" s="4">
        <v>81</v>
      </c>
    </row>
    <row r="81" spans="1:21">
      <c r="A81" s="4" t="s">
        <v>100</v>
      </c>
      <c r="B81" s="4">
        <v>2</v>
      </c>
      <c r="C81" s="4">
        <v>4</v>
      </c>
      <c r="D81" s="4">
        <v>3</v>
      </c>
      <c r="E81" s="4">
        <v>3</v>
      </c>
      <c r="F81" s="4">
        <v>3</v>
      </c>
      <c r="G81" s="4">
        <v>4</v>
      </c>
      <c r="H81" s="4">
        <v>4</v>
      </c>
      <c r="I81" s="4">
        <v>2</v>
      </c>
      <c r="J81" s="4">
        <v>3</v>
      </c>
      <c r="K81" s="4">
        <v>2</v>
      </c>
      <c r="L81" s="4">
        <v>4</v>
      </c>
      <c r="M81" s="4">
        <v>2</v>
      </c>
      <c r="N81" s="4">
        <v>2</v>
      </c>
      <c r="O81" s="4">
        <v>3</v>
      </c>
      <c r="P81" s="4">
        <v>4</v>
      </c>
      <c r="Q81" s="4">
        <v>3</v>
      </c>
      <c r="R81" s="4">
        <v>2</v>
      </c>
      <c r="S81" s="4">
        <v>4</v>
      </c>
      <c r="T81" s="4">
        <v>54</v>
      </c>
    </row>
    <row r="82" spans="1:21">
      <c r="A82" s="4" t="s">
        <v>101</v>
      </c>
      <c r="B82" s="4">
        <v>5</v>
      </c>
      <c r="C82" s="4">
        <v>5</v>
      </c>
      <c r="D82" s="4">
        <v>3</v>
      </c>
      <c r="E82" s="4">
        <v>5</v>
      </c>
      <c r="F82" s="4">
        <v>5</v>
      </c>
      <c r="G82" s="4">
        <v>5</v>
      </c>
      <c r="H82" s="4">
        <v>4</v>
      </c>
      <c r="I82" s="4">
        <v>4</v>
      </c>
      <c r="J82" s="4">
        <v>4</v>
      </c>
      <c r="K82" s="4">
        <v>4</v>
      </c>
      <c r="L82" s="4">
        <v>5</v>
      </c>
      <c r="M82" s="4">
        <v>4</v>
      </c>
      <c r="N82" s="4">
        <v>4</v>
      </c>
      <c r="O82" s="4">
        <v>3</v>
      </c>
      <c r="P82" s="4">
        <v>4</v>
      </c>
      <c r="Q82" s="4">
        <v>5</v>
      </c>
      <c r="R82" s="4">
        <v>4</v>
      </c>
      <c r="S82" s="4">
        <v>5</v>
      </c>
      <c r="T82" s="4">
        <v>78</v>
      </c>
    </row>
    <row r="83" spans="1:21">
      <c r="A83" s="4" t="s">
        <v>102</v>
      </c>
      <c r="B83" s="4">
        <v>3</v>
      </c>
      <c r="C83" s="4">
        <v>3</v>
      </c>
      <c r="D83" s="4">
        <v>3</v>
      </c>
      <c r="E83" s="4">
        <v>4</v>
      </c>
      <c r="F83" s="4">
        <v>2</v>
      </c>
      <c r="G83" s="4">
        <v>2</v>
      </c>
      <c r="H83" s="4">
        <v>2</v>
      </c>
      <c r="I83" s="4">
        <v>2</v>
      </c>
      <c r="J83" s="4">
        <v>2</v>
      </c>
      <c r="K83" s="4">
        <v>2</v>
      </c>
      <c r="L83" s="4">
        <v>2</v>
      </c>
      <c r="M83" s="4">
        <v>2</v>
      </c>
      <c r="N83" s="4">
        <v>4</v>
      </c>
      <c r="O83" s="4">
        <v>3</v>
      </c>
      <c r="P83" s="4">
        <v>2</v>
      </c>
      <c r="Q83" s="4">
        <v>3</v>
      </c>
      <c r="R83" s="4">
        <v>3</v>
      </c>
      <c r="S83" s="4">
        <v>3</v>
      </c>
      <c r="T83" s="4">
        <v>47</v>
      </c>
    </row>
    <row r="84" spans="1:21">
      <c r="A84" s="4" t="s">
        <v>103</v>
      </c>
      <c r="B84" s="4">
        <v>2</v>
      </c>
      <c r="C84" s="4">
        <v>2</v>
      </c>
      <c r="D84" s="4">
        <v>2</v>
      </c>
      <c r="E84" s="4">
        <v>2</v>
      </c>
      <c r="F84" s="4">
        <v>1</v>
      </c>
      <c r="G84" s="4">
        <v>2</v>
      </c>
      <c r="H84" s="4">
        <v>2</v>
      </c>
      <c r="I84" s="4">
        <v>2</v>
      </c>
      <c r="J84" s="4">
        <v>2</v>
      </c>
      <c r="K84" s="4">
        <v>2</v>
      </c>
      <c r="L84" s="4">
        <v>2</v>
      </c>
      <c r="M84" s="4">
        <v>1</v>
      </c>
      <c r="N84" s="4">
        <v>2</v>
      </c>
      <c r="O84" s="4">
        <v>2</v>
      </c>
      <c r="P84" s="4">
        <v>2</v>
      </c>
      <c r="Q84" s="4">
        <v>2</v>
      </c>
      <c r="R84" s="4">
        <v>2</v>
      </c>
      <c r="S84" s="4">
        <v>1</v>
      </c>
      <c r="T84" s="4">
        <v>33</v>
      </c>
    </row>
    <row r="85" spans="1:21">
      <c r="A85" s="4" t="s">
        <v>104</v>
      </c>
      <c r="B85" s="4">
        <v>3</v>
      </c>
      <c r="C85" s="4">
        <v>4</v>
      </c>
      <c r="D85" s="4">
        <v>4</v>
      </c>
      <c r="E85" s="4">
        <v>3</v>
      </c>
      <c r="F85" s="4">
        <v>5</v>
      </c>
      <c r="G85" s="4">
        <v>3</v>
      </c>
      <c r="H85" s="4">
        <v>3</v>
      </c>
      <c r="I85" s="4">
        <v>4</v>
      </c>
      <c r="J85" s="4">
        <v>4</v>
      </c>
      <c r="K85" s="4">
        <v>4</v>
      </c>
      <c r="L85" s="4">
        <v>2</v>
      </c>
      <c r="M85" s="4">
        <v>4</v>
      </c>
      <c r="N85" s="4">
        <v>2</v>
      </c>
      <c r="O85" s="4">
        <v>4</v>
      </c>
      <c r="P85" s="4">
        <v>3</v>
      </c>
      <c r="Q85" s="4">
        <v>3</v>
      </c>
      <c r="R85" s="4">
        <v>5</v>
      </c>
      <c r="S85" s="4">
        <v>2</v>
      </c>
      <c r="T85" s="4">
        <v>62</v>
      </c>
    </row>
    <row r="86" spans="1:21">
      <c r="A86" s="4" t="s">
        <v>105</v>
      </c>
      <c r="B86" s="4">
        <v>3</v>
      </c>
      <c r="C86" s="4">
        <v>4</v>
      </c>
      <c r="D86" s="4">
        <v>3</v>
      </c>
      <c r="E86" s="4">
        <v>3</v>
      </c>
      <c r="F86" s="4">
        <v>3</v>
      </c>
      <c r="G86" s="4">
        <v>3</v>
      </c>
      <c r="H86" s="4">
        <v>3</v>
      </c>
      <c r="I86" s="4">
        <v>4</v>
      </c>
      <c r="J86" s="4">
        <v>4</v>
      </c>
      <c r="K86" s="4">
        <v>4</v>
      </c>
      <c r="L86" s="4">
        <v>4</v>
      </c>
      <c r="M86" s="4">
        <v>3</v>
      </c>
      <c r="N86" s="4">
        <v>3</v>
      </c>
      <c r="O86" s="4">
        <v>4</v>
      </c>
      <c r="P86" s="4">
        <v>2</v>
      </c>
      <c r="Q86" s="4">
        <v>4</v>
      </c>
      <c r="R86" s="4">
        <v>2</v>
      </c>
      <c r="S86" s="4">
        <v>2</v>
      </c>
      <c r="T86" s="4">
        <v>58</v>
      </c>
    </row>
    <row r="87" spans="1:21">
      <c r="A87" s="4" t="s">
        <v>106</v>
      </c>
      <c r="B87" s="4">
        <v>1</v>
      </c>
      <c r="C87" s="4">
        <v>2</v>
      </c>
      <c r="D87" s="4">
        <v>1</v>
      </c>
      <c r="E87" s="4">
        <v>2</v>
      </c>
      <c r="F87" s="4">
        <v>1</v>
      </c>
      <c r="G87" s="4">
        <v>1</v>
      </c>
      <c r="H87" s="4">
        <v>1</v>
      </c>
      <c r="I87" s="4">
        <v>2</v>
      </c>
      <c r="J87" s="4">
        <v>1</v>
      </c>
      <c r="K87" s="4">
        <v>1</v>
      </c>
      <c r="L87" s="4">
        <v>1</v>
      </c>
      <c r="M87" s="4">
        <v>1</v>
      </c>
      <c r="N87" s="4">
        <v>1</v>
      </c>
      <c r="O87" s="4">
        <v>2</v>
      </c>
      <c r="P87" s="4">
        <v>2</v>
      </c>
      <c r="Q87" s="4">
        <v>1</v>
      </c>
      <c r="R87" s="4">
        <v>2</v>
      </c>
      <c r="S87" s="4">
        <v>2</v>
      </c>
      <c r="T87" s="4">
        <v>25</v>
      </c>
    </row>
    <row r="88" spans="1:21">
      <c r="A88" s="4" t="s">
        <v>107</v>
      </c>
      <c r="B88" s="4">
        <v>4</v>
      </c>
      <c r="C88" s="4">
        <v>5</v>
      </c>
      <c r="D88" s="4">
        <v>5</v>
      </c>
      <c r="E88" s="4">
        <v>3</v>
      </c>
      <c r="F88" s="4">
        <v>3</v>
      </c>
      <c r="G88" s="4">
        <v>4</v>
      </c>
      <c r="H88" s="4">
        <v>3</v>
      </c>
      <c r="I88" s="4">
        <v>3</v>
      </c>
      <c r="J88" s="4">
        <v>5</v>
      </c>
      <c r="K88" s="4">
        <v>4</v>
      </c>
      <c r="L88" s="4">
        <v>3</v>
      </c>
      <c r="M88" s="4">
        <v>5</v>
      </c>
      <c r="N88" s="4">
        <v>3</v>
      </c>
      <c r="O88" s="4">
        <v>4</v>
      </c>
      <c r="P88" s="4">
        <v>5</v>
      </c>
      <c r="Q88" s="4">
        <v>5</v>
      </c>
      <c r="R88" s="4">
        <v>4</v>
      </c>
      <c r="S88" s="4">
        <v>5</v>
      </c>
      <c r="T88" s="4">
        <v>73</v>
      </c>
    </row>
    <row r="89" spans="1:21">
      <c r="A89" s="4" t="s">
        <v>108</v>
      </c>
      <c r="B89" s="4">
        <v>4</v>
      </c>
      <c r="C89" s="4">
        <v>3</v>
      </c>
      <c r="D89" s="4">
        <v>2</v>
      </c>
      <c r="E89" s="4">
        <v>3</v>
      </c>
      <c r="F89" s="4">
        <v>3</v>
      </c>
      <c r="G89" s="4">
        <v>2</v>
      </c>
      <c r="H89" s="4">
        <v>2</v>
      </c>
      <c r="I89" s="4">
        <v>2</v>
      </c>
      <c r="J89" s="4">
        <v>4</v>
      </c>
      <c r="K89" s="4">
        <v>3</v>
      </c>
      <c r="L89" s="4">
        <v>4</v>
      </c>
      <c r="M89" s="4">
        <v>3</v>
      </c>
      <c r="N89" s="4">
        <v>3</v>
      </c>
      <c r="O89" s="4">
        <v>3</v>
      </c>
      <c r="P89" s="4">
        <v>4</v>
      </c>
      <c r="Q89" s="4">
        <v>2</v>
      </c>
      <c r="R89" s="4">
        <v>4</v>
      </c>
      <c r="S89" s="4">
        <v>4</v>
      </c>
      <c r="T89" s="4">
        <v>55</v>
      </c>
    </row>
    <row r="90" spans="1:21">
      <c r="A90" s="4" t="s">
        <v>109</v>
      </c>
      <c r="B90" s="4">
        <v>3</v>
      </c>
      <c r="C90" s="4">
        <v>4</v>
      </c>
      <c r="D90" s="4">
        <v>4</v>
      </c>
      <c r="E90" s="4">
        <v>4</v>
      </c>
      <c r="F90" s="4">
        <v>4</v>
      </c>
      <c r="G90" s="4">
        <v>3</v>
      </c>
      <c r="H90" s="4">
        <v>4</v>
      </c>
      <c r="I90" s="4">
        <v>2</v>
      </c>
      <c r="J90" s="4">
        <v>3</v>
      </c>
      <c r="K90" s="4">
        <v>4</v>
      </c>
      <c r="L90" s="4">
        <v>3</v>
      </c>
      <c r="M90" s="4">
        <v>3</v>
      </c>
      <c r="N90" s="4">
        <v>3</v>
      </c>
      <c r="O90" s="4">
        <v>5</v>
      </c>
      <c r="P90" s="4">
        <v>3</v>
      </c>
      <c r="Q90" s="4">
        <v>3</v>
      </c>
      <c r="R90" s="4">
        <v>3</v>
      </c>
      <c r="S90" s="4">
        <v>4</v>
      </c>
      <c r="T90" s="4">
        <v>62</v>
      </c>
    </row>
    <row r="91" spans="1:21">
      <c r="A91" s="4" t="s">
        <v>110</v>
      </c>
      <c r="B91" s="4">
        <v>5</v>
      </c>
      <c r="C91" s="4">
        <v>4</v>
      </c>
      <c r="D91" s="4">
        <v>5</v>
      </c>
      <c r="E91" s="4">
        <v>4</v>
      </c>
      <c r="F91" s="4">
        <v>4</v>
      </c>
      <c r="G91" s="4">
        <v>4</v>
      </c>
      <c r="H91" s="4">
        <v>4</v>
      </c>
      <c r="I91" s="4">
        <v>5</v>
      </c>
      <c r="J91" s="4">
        <v>4</v>
      </c>
      <c r="K91" s="4">
        <v>3</v>
      </c>
      <c r="L91" s="4">
        <v>5</v>
      </c>
      <c r="M91" s="4">
        <v>4</v>
      </c>
      <c r="N91" s="4">
        <v>5</v>
      </c>
      <c r="O91" s="4">
        <v>4</v>
      </c>
      <c r="P91" s="4">
        <v>4</v>
      </c>
      <c r="Q91" s="4">
        <v>4</v>
      </c>
      <c r="R91" s="4">
        <v>5</v>
      </c>
      <c r="S91" s="4">
        <v>5</v>
      </c>
      <c r="T91" s="4">
        <v>78</v>
      </c>
    </row>
    <row r="92" spans="1:21">
      <c r="A92" s="4" t="s">
        <v>111</v>
      </c>
      <c r="B92" s="4">
        <v>2</v>
      </c>
      <c r="C92" s="4">
        <v>4</v>
      </c>
      <c r="D92" s="4">
        <v>3</v>
      </c>
      <c r="E92" s="4">
        <v>3</v>
      </c>
      <c r="F92" s="4">
        <v>4</v>
      </c>
      <c r="G92" s="4">
        <v>4</v>
      </c>
      <c r="H92" s="4">
        <v>3</v>
      </c>
      <c r="I92" s="4">
        <v>2</v>
      </c>
      <c r="J92" s="4">
        <v>3</v>
      </c>
      <c r="K92" s="4">
        <v>2</v>
      </c>
      <c r="L92" s="4">
        <v>2</v>
      </c>
      <c r="M92" s="4">
        <v>2</v>
      </c>
      <c r="N92" s="4">
        <v>3</v>
      </c>
      <c r="O92" s="4">
        <v>4</v>
      </c>
      <c r="P92" s="4">
        <v>4</v>
      </c>
      <c r="Q92" s="4">
        <v>3</v>
      </c>
      <c r="R92" s="4">
        <v>4</v>
      </c>
      <c r="S92" s="4">
        <v>3</v>
      </c>
      <c r="T92" s="4">
        <v>55</v>
      </c>
    </row>
    <row r="93" spans="1:21">
      <c r="A93" s="4" t="s">
        <v>112</v>
      </c>
      <c r="B93" s="4">
        <v>1</v>
      </c>
      <c r="C93" s="4">
        <v>1</v>
      </c>
      <c r="D93" s="4">
        <v>2</v>
      </c>
      <c r="E93" s="4">
        <v>2</v>
      </c>
      <c r="F93" s="4">
        <v>1</v>
      </c>
      <c r="G93" s="4">
        <v>2</v>
      </c>
      <c r="H93" s="4">
        <v>2</v>
      </c>
      <c r="I93" s="4">
        <v>2</v>
      </c>
      <c r="J93" s="4">
        <v>1</v>
      </c>
      <c r="K93" s="4">
        <v>2</v>
      </c>
      <c r="L93" s="4">
        <v>2</v>
      </c>
      <c r="M93" s="4">
        <v>2</v>
      </c>
      <c r="N93" s="4">
        <v>2</v>
      </c>
      <c r="O93" s="4">
        <v>2</v>
      </c>
      <c r="P93" s="4">
        <v>2</v>
      </c>
      <c r="Q93" s="4">
        <v>1</v>
      </c>
      <c r="R93" s="4">
        <v>2</v>
      </c>
      <c r="S93" s="4">
        <v>2</v>
      </c>
      <c r="T93" s="4">
        <v>31</v>
      </c>
    </row>
    <row r="94" spans="1:21">
      <c r="A94" s="4" t="s">
        <v>113</v>
      </c>
      <c r="B94" s="4">
        <v>5</v>
      </c>
      <c r="C94" s="4">
        <v>4</v>
      </c>
      <c r="D94" s="4">
        <v>5</v>
      </c>
      <c r="E94" s="4">
        <v>5</v>
      </c>
      <c r="F94" s="4">
        <v>5</v>
      </c>
      <c r="G94" s="4">
        <v>5</v>
      </c>
      <c r="H94" s="4">
        <v>4</v>
      </c>
      <c r="I94" s="4">
        <v>4</v>
      </c>
      <c r="J94" s="4">
        <v>4</v>
      </c>
      <c r="K94" s="4">
        <v>4</v>
      </c>
      <c r="L94" s="4">
        <v>4</v>
      </c>
      <c r="M94" s="4">
        <v>5</v>
      </c>
      <c r="N94" s="4">
        <v>5</v>
      </c>
      <c r="O94" s="4">
        <v>5</v>
      </c>
      <c r="P94" s="4">
        <v>5</v>
      </c>
      <c r="Q94" s="4">
        <v>4</v>
      </c>
      <c r="R94" s="4">
        <v>5</v>
      </c>
      <c r="S94" s="4">
        <v>4</v>
      </c>
      <c r="T94" s="4">
        <v>82</v>
      </c>
    </row>
    <row r="95" spans="1:21">
      <c r="A95" s="4" t="s">
        <v>114</v>
      </c>
      <c r="B95" s="4">
        <v>3</v>
      </c>
      <c r="C95" s="4">
        <v>3</v>
      </c>
      <c r="D95" s="4">
        <v>2</v>
      </c>
      <c r="E95" s="4">
        <v>2</v>
      </c>
      <c r="F95" s="4">
        <v>2</v>
      </c>
      <c r="G95" s="4">
        <v>3</v>
      </c>
      <c r="H95" s="4">
        <v>3</v>
      </c>
      <c r="I95" s="4">
        <v>3</v>
      </c>
      <c r="J95" s="4">
        <v>3</v>
      </c>
      <c r="K95" s="4">
        <v>2</v>
      </c>
      <c r="L95" s="4">
        <v>3</v>
      </c>
      <c r="M95" s="4">
        <v>3</v>
      </c>
      <c r="N95" s="4">
        <v>3</v>
      </c>
      <c r="O95" s="4">
        <v>3</v>
      </c>
      <c r="P95" s="4">
        <v>3</v>
      </c>
      <c r="Q95" s="4">
        <v>2</v>
      </c>
      <c r="R95" s="4">
        <v>2</v>
      </c>
      <c r="S95" s="4">
        <v>2</v>
      </c>
      <c r="T95" s="4">
        <v>47</v>
      </c>
    </row>
    <row r="96" spans="1:21">
      <c r="A96" s="4" t="s">
        <v>115</v>
      </c>
      <c r="B96" s="4">
        <v>4</v>
      </c>
      <c r="C96" s="4">
        <v>2</v>
      </c>
      <c r="D96" s="4">
        <v>3</v>
      </c>
      <c r="E96" s="4">
        <v>2</v>
      </c>
      <c r="F96" s="4">
        <v>3</v>
      </c>
      <c r="G96" s="4">
        <v>2</v>
      </c>
      <c r="H96" s="4">
        <v>3</v>
      </c>
      <c r="I96" s="4">
        <v>2</v>
      </c>
      <c r="J96" s="4">
        <v>2</v>
      </c>
      <c r="K96" s="4">
        <v>3</v>
      </c>
      <c r="L96" s="4">
        <v>3</v>
      </c>
      <c r="M96" s="4">
        <v>4</v>
      </c>
      <c r="N96" s="4">
        <v>3</v>
      </c>
      <c r="O96" s="4">
        <v>4</v>
      </c>
      <c r="P96" s="4">
        <v>3</v>
      </c>
      <c r="Q96" s="4">
        <v>3</v>
      </c>
      <c r="R96" s="4">
        <v>3</v>
      </c>
      <c r="S96" s="4">
        <v>4</v>
      </c>
      <c r="T96" s="4">
        <v>53</v>
      </c>
    </row>
    <row r="97" spans="1:21">
      <c r="A97" s="4" t="s">
        <v>116</v>
      </c>
      <c r="B97" s="4">
        <v>3</v>
      </c>
      <c r="C97" s="4">
        <v>3</v>
      </c>
      <c r="D97" s="4">
        <v>3</v>
      </c>
      <c r="E97" s="4">
        <v>3</v>
      </c>
      <c r="F97" s="4">
        <v>2</v>
      </c>
      <c r="G97" s="4">
        <v>3</v>
      </c>
      <c r="H97" s="4">
        <v>3</v>
      </c>
      <c r="I97" s="4">
        <v>3</v>
      </c>
      <c r="J97" s="4">
        <v>3</v>
      </c>
      <c r="K97" s="4">
        <v>3</v>
      </c>
      <c r="L97" s="4">
        <v>2</v>
      </c>
      <c r="M97" s="4">
        <v>2</v>
      </c>
      <c r="N97" s="4">
        <v>3</v>
      </c>
      <c r="O97" s="4">
        <v>2</v>
      </c>
      <c r="P97" s="4">
        <v>3</v>
      </c>
      <c r="Q97" s="4">
        <v>3</v>
      </c>
      <c r="R97" s="4">
        <v>2</v>
      </c>
      <c r="S97" s="4">
        <v>3</v>
      </c>
      <c r="T97" s="4">
        <v>49</v>
      </c>
    </row>
    <row r="98" spans="1:21">
      <c r="A98" s="4" t="s">
        <v>117</v>
      </c>
      <c r="B98" s="4">
        <v>4</v>
      </c>
      <c r="C98" s="4">
        <v>3</v>
      </c>
      <c r="D98" s="4">
        <v>4</v>
      </c>
      <c r="E98" s="4">
        <v>3</v>
      </c>
      <c r="F98" s="4">
        <v>4</v>
      </c>
      <c r="G98" s="4">
        <v>4</v>
      </c>
      <c r="H98" s="4">
        <v>3</v>
      </c>
      <c r="I98" s="4">
        <v>3</v>
      </c>
      <c r="J98" s="4">
        <v>2</v>
      </c>
      <c r="K98" s="4">
        <v>3</v>
      </c>
      <c r="L98" s="4">
        <v>4</v>
      </c>
      <c r="M98" s="4">
        <v>4</v>
      </c>
      <c r="N98" s="4">
        <v>2</v>
      </c>
      <c r="O98" s="4">
        <v>4</v>
      </c>
      <c r="P98" s="4">
        <v>4</v>
      </c>
      <c r="Q98" s="4">
        <v>2</v>
      </c>
      <c r="R98" s="4">
        <v>4</v>
      </c>
      <c r="S98" s="4">
        <v>2</v>
      </c>
      <c r="T98" s="4">
        <v>59</v>
      </c>
    </row>
    <row r="99" spans="1:21">
      <c r="A99" s="4" t="s">
        <v>118</v>
      </c>
      <c r="B99" s="4">
        <v>3</v>
      </c>
      <c r="C99" s="4">
        <v>3</v>
      </c>
      <c r="D99" s="4">
        <v>2</v>
      </c>
      <c r="E99" s="4">
        <v>3</v>
      </c>
      <c r="F99" s="4">
        <v>3</v>
      </c>
      <c r="G99" s="4">
        <v>2</v>
      </c>
      <c r="H99" s="4">
        <v>3</v>
      </c>
      <c r="I99" s="4">
        <v>3</v>
      </c>
      <c r="J99" s="4">
        <v>3</v>
      </c>
      <c r="K99" s="4">
        <v>3</v>
      </c>
      <c r="L99" s="4">
        <v>3</v>
      </c>
      <c r="M99" s="4">
        <v>2</v>
      </c>
      <c r="N99" s="4">
        <v>3</v>
      </c>
      <c r="O99" s="4">
        <v>2</v>
      </c>
      <c r="P99" s="4">
        <v>2</v>
      </c>
      <c r="Q99" s="4">
        <v>3</v>
      </c>
      <c r="R99" s="4">
        <v>3</v>
      </c>
      <c r="S99" s="4">
        <v>2</v>
      </c>
      <c r="T99" s="4">
        <v>48</v>
      </c>
    </row>
    <row r="100" spans="1:21">
      <c r="A100" s="4" t="s">
        <v>119</v>
      </c>
      <c r="B100" s="4">
        <v>4</v>
      </c>
      <c r="C100" s="4">
        <v>4</v>
      </c>
      <c r="D100" s="4">
        <v>4</v>
      </c>
      <c r="E100" s="4">
        <v>5</v>
      </c>
      <c r="F100" s="4">
        <v>4</v>
      </c>
      <c r="G100" s="4">
        <v>5</v>
      </c>
      <c r="H100" s="4">
        <v>3</v>
      </c>
      <c r="I100" s="4">
        <v>4</v>
      </c>
      <c r="J100" s="4">
        <v>4</v>
      </c>
      <c r="K100" s="4">
        <v>5</v>
      </c>
      <c r="L100" s="4">
        <v>5</v>
      </c>
      <c r="M100" s="4">
        <v>4</v>
      </c>
      <c r="N100" s="4">
        <v>3</v>
      </c>
      <c r="O100" s="4">
        <v>5</v>
      </c>
      <c r="P100" s="4">
        <v>5</v>
      </c>
      <c r="Q100" s="4">
        <v>3</v>
      </c>
      <c r="R100" s="4">
        <v>3</v>
      </c>
      <c r="S100" s="4">
        <v>5</v>
      </c>
      <c r="T100" s="4">
        <v>75</v>
      </c>
    </row>
    <row r="101" spans="1:21">
      <c r="A101" s="4" t="s">
        <v>120</v>
      </c>
      <c r="B101" s="4">
        <v>1</v>
      </c>
      <c r="C101" s="4">
        <v>1</v>
      </c>
      <c r="D101" s="4">
        <v>1</v>
      </c>
      <c r="E101" s="4">
        <v>1</v>
      </c>
      <c r="F101" s="4">
        <v>1</v>
      </c>
      <c r="G101" s="4">
        <v>1</v>
      </c>
      <c r="H101" s="4">
        <v>1</v>
      </c>
      <c r="I101" s="4">
        <v>1</v>
      </c>
      <c r="J101" s="4">
        <v>1</v>
      </c>
      <c r="K101" s="4">
        <v>1</v>
      </c>
      <c r="L101" s="4">
        <v>1</v>
      </c>
      <c r="M101" s="4">
        <v>1</v>
      </c>
      <c r="N101" s="4">
        <v>1</v>
      </c>
      <c r="O101" s="4">
        <v>1</v>
      </c>
      <c r="P101" s="4">
        <v>1</v>
      </c>
      <c r="Q101" s="4">
        <v>1</v>
      </c>
      <c r="R101" s="4">
        <v>1</v>
      </c>
      <c r="S101" s="4">
        <v>1</v>
      </c>
      <c r="T101" s="4">
        <v>18</v>
      </c>
    </row>
    <row r="102" spans="1:21">
      <c r="A102" s="4" t="s">
        <v>121</v>
      </c>
      <c r="B102" s="4">
        <v>4</v>
      </c>
      <c r="C102" s="4">
        <v>4</v>
      </c>
      <c r="D102" s="4">
        <v>5</v>
      </c>
      <c r="E102" s="4">
        <v>5</v>
      </c>
      <c r="F102" s="4">
        <v>4</v>
      </c>
      <c r="G102" s="4">
        <v>4</v>
      </c>
      <c r="H102" s="4">
        <v>5</v>
      </c>
      <c r="I102" s="4">
        <v>4</v>
      </c>
      <c r="J102" s="4">
        <v>5</v>
      </c>
      <c r="K102" s="4">
        <v>3</v>
      </c>
      <c r="L102" s="4">
        <v>4</v>
      </c>
      <c r="M102" s="4">
        <v>4</v>
      </c>
      <c r="N102" s="4">
        <v>5</v>
      </c>
      <c r="O102" s="4">
        <v>3</v>
      </c>
      <c r="P102" s="4">
        <v>5</v>
      </c>
      <c r="Q102" s="4">
        <v>5</v>
      </c>
      <c r="R102" s="4">
        <v>5</v>
      </c>
      <c r="S102" s="4">
        <v>5</v>
      </c>
      <c r="T102" s="4">
        <v>79</v>
      </c>
    </row>
    <row r="103" spans="1:21">
      <c r="A103" s="4" t="s">
        <v>122</v>
      </c>
      <c r="B103" s="4">
        <v>1</v>
      </c>
      <c r="C103" s="4">
        <v>1</v>
      </c>
      <c r="D103" s="4">
        <v>1</v>
      </c>
      <c r="E103" s="4">
        <v>1</v>
      </c>
      <c r="F103" s="4">
        <v>1</v>
      </c>
      <c r="G103" s="4">
        <v>1</v>
      </c>
      <c r="H103" s="4">
        <v>1</v>
      </c>
      <c r="I103" s="4">
        <v>1</v>
      </c>
      <c r="J103" s="4">
        <v>1</v>
      </c>
      <c r="K103" s="4">
        <v>1</v>
      </c>
      <c r="L103" s="4">
        <v>1</v>
      </c>
      <c r="M103" s="4">
        <v>1</v>
      </c>
      <c r="N103" s="4">
        <v>1</v>
      </c>
      <c r="O103" s="4">
        <v>1</v>
      </c>
      <c r="P103" s="4">
        <v>1</v>
      </c>
      <c r="Q103" s="4">
        <v>1</v>
      </c>
      <c r="R103" s="4">
        <v>1</v>
      </c>
      <c r="S103" s="4">
        <v>1</v>
      </c>
      <c r="T103" s="4">
        <v>18</v>
      </c>
    </row>
    <row r="104" spans="1:21">
      <c r="A104" s="4" t="s">
        <v>123</v>
      </c>
      <c r="B104" s="4">
        <v>3</v>
      </c>
      <c r="C104" s="4">
        <v>3</v>
      </c>
      <c r="D104" s="4">
        <v>3</v>
      </c>
      <c r="E104" s="4">
        <v>3</v>
      </c>
      <c r="F104" s="4">
        <v>2</v>
      </c>
      <c r="G104" s="4">
        <v>2</v>
      </c>
      <c r="H104" s="4">
        <v>2</v>
      </c>
      <c r="I104" s="4">
        <v>3</v>
      </c>
      <c r="J104" s="4">
        <v>2</v>
      </c>
      <c r="K104" s="4">
        <v>3</v>
      </c>
      <c r="L104" s="4">
        <v>2</v>
      </c>
      <c r="M104" s="4">
        <v>2</v>
      </c>
      <c r="N104" s="4">
        <v>3</v>
      </c>
      <c r="O104" s="4">
        <v>2</v>
      </c>
      <c r="P104" s="4">
        <v>2</v>
      </c>
      <c r="Q104" s="4">
        <v>2</v>
      </c>
      <c r="R104" s="4">
        <v>3</v>
      </c>
      <c r="S104" s="4">
        <v>3</v>
      </c>
      <c r="T104" s="4">
        <v>45</v>
      </c>
    </row>
    <row r="105" spans="1:21">
      <c r="A105" s="4" t="s">
        <v>124</v>
      </c>
      <c r="B105" s="4">
        <v>3</v>
      </c>
      <c r="C105" s="4">
        <v>3</v>
      </c>
      <c r="D105" s="4">
        <v>3</v>
      </c>
      <c r="E105" s="4">
        <v>2</v>
      </c>
      <c r="F105" s="4">
        <v>3</v>
      </c>
      <c r="G105" s="4">
        <v>3</v>
      </c>
      <c r="H105" s="4">
        <v>3</v>
      </c>
      <c r="I105" s="4">
        <v>2</v>
      </c>
      <c r="J105" s="4">
        <v>2</v>
      </c>
      <c r="K105" s="4">
        <v>2</v>
      </c>
      <c r="L105" s="4">
        <v>3</v>
      </c>
      <c r="M105" s="4">
        <v>2</v>
      </c>
      <c r="N105" s="4">
        <v>3</v>
      </c>
      <c r="O105" s="4">
        <v>2</v>
      </c>
      <c r="P105" s="4">
        <v>3</v>
      </c>
      <c r="Q105" s="4">
        <v>2</v>
      </c>
      <c r="R105" s="4">
        <v>3</v>
      </c>
      <c r="S105" s="4">
        <v>3</v>
      </c>
      <c r="T105" s="4">
        <v>47</v>
      </c>
    </row>
    <row r="106" spans="1:21">
      <c r="A106" s="4" t="s">
        <v>125</v>
      </c>
      <c r="B106" s="4">
        <v>3</v>
      </c>
      <c r="C106" s="4">
        <v>5</v>
      </c>
      <c r="D106" s="4">
        <v>5</v>
      </c>
      <c r="E106" s="4">
        <v>3</v>
      </c>
      <c r="F106" s="4">
        <v>5</v>
      </c>
      <c r="G106" s="4">
        <v>5</v>
      </c>
      <c r="H106" s="4">
        <v>5</v>
      </c>
      <c r="I106" s="4">
        <v>5</v>
      </c>
      <c r="J106" s="4">
        <v>5</v>
      </c>
      <c r="K106" s="4">
        <v>3</v>
      </c>
      <c r="L106" s="4">
        <v>5</v>
      </c>
      <c r="M106" s="4">
        <v>3</v>
      </c>
      <c r="N106" s="4">
        <v>3</v>
      </c>
      <c r="O106" s="4">
        <v>4</v>
      </c>
      <c r="P106" s="4">
        <v>5</v>
      </c>
      <c r="Q106" s="4">
        <v>5</v>
      </c>
      <c r="R106" s="4">
        <v>3</v>
      </c>
      <c r="S106" s="4">
        <v>4</v>
      </c>
      <c r="T106" s="4">
        <v>76</v>
      </c>
    </row>
    <row r="107" spans="1:21">
      <c r="A107" s="4" t="s">
        <v>126</v>
      </c>
      <c r="B107" s="4">
        <v>1</v>
      </c>
      <c r="C107" s="4">
        <v>1</v>
      </c>
      <c r="D107" s="4">
        <v>1</v>
      </c>
      <c r="E107" s="4">
        <v>1</v>
      </c>
      <c r="F107" s="4">
        <v>1</v>
      </c>
      <c r="G107" s="4">
        <v>1</v>
      </c>
      <c r="H107" s="4">
        <v>1</v>
      </c>
      <c r="I107" s="4">
        <v>1</v>
      </c>
      <c r="J107" s="4">
        <v>1</v>
      </c>
      <c r="K107" s="4">
        <v>1</v>
      </c>
      <c r="L107" s="4">
        <v>1</v>
      </c>
      <c r="M107" s="4">
        <v>1</v>
      </c>
      <c r="N107" s="4">
        <v>1</v>
      </c>
      <c r="O107" s="4">
        <v>1</v>
      </c>
      <c r="P107" s="4">
        <v>1</v>
      </c>
      <c r="Q107" s="4">
        <v>1</v>
      </c>
      <c r="R107" s="4">
        <v>1</v>
      </c>
      <c r="S107" s="4">
        <v>1</v>
      </c>
      <c r="T107" s="4">
        <v>18</v>
      </c>
    </row>
    <row r="108" spans="1:21">
      <c r="A108" s="4" t="s">
        <v>127</v>
      </c>
      <c r="B108" s="4">
        <v>4</v>
      </c>
      <c r="C108" s="4">
        <v>3</v>
      </c>
      <c r="D108" s="4">
        <v>3</v>
      </c>
      <c r="E108" s="4">
        <v>4</v>
      </c>
      <c r="F108" s="4">
        <v>3</v>
      </c>
      <c r="G108" s="4">
        <v>3</v>
      </c>
      <c r="H108" s="4">
        <v>5</v>
      </c>
      <c r="I108" s="4">
        <v>5</v>
      </c>
      <c r="J108" s="4">
        <v>5</v>
      </c>
      <c r="K108" s="4">
        <v>3</v>
      </c>
      <c r="L108" s="4">
        <v>4</v>
      </c>
      <c r="M108" s="4">
        <v>3</v>
      </c>
      <c r="N108" s="4">
        <v>3</v>
      </c>
      <c r="O108" s="4">
        <v>4</v>
      </c>
      <c r="P108" s="4">
        <v>4</v>
      </c>
      <c r="Q108" s="4">
        <v>4</v>
      </c>
      <c r="R108" s="4">
        <v>4</v>
      </c>
      <c r="S108" s="4">
        <v>4</v>
      </c>
      <c r="T108" s="4">
        <v>68</v>
      </c>
    </row>
    <row r="109" spans="1:21">
      <c r="A109" s="4" t="s">
        <v>128</v>
      </c>
      <c r="B109" s="4">
        <v>4</v>
      </c>
      <c r="C109" s="4">
        <v>5</v>
      </c>
      <c r="D109" s="4">
        <v>3</v>
      </c>
      <c r="E109" s="4">
        <v>5</v>
      </c>
      <c r="F109" s="4">
        <v>5</v>
      </c>
      <c r="G109" s="4">
        <v>5</v>
      </c>
      <c r="H109" s="4">
        <v>4</v>
      </c>
      <c r="I109" s="4">
        <v>4</v>
      </c>
      <c r="J109" s="4">
        <v>5</v>
      </c>
      <c r="K109" s="4">
        <v>4</v>
      </c>
      <c r="L109" s="4">
        <v>5</v>
      </c>
      <c r="M109" s="4">
        <v>4</v>
      </c>
      <c r="N109" s="4">
        <v>3</v>
      </c>
      <c r="O109" s="4">
        <v>5</v>
      </c>
      <c r="P109" s="4">
        <v>5</v>
      </c>
      <c r="Q109" s="4">
        <v>5</v>
      </c>
      <c r="R109" s="4">
        <v>5</v>
      </c>
      <c r="S109" s="4">
        <v>4</v>
      </c>
      <c r="T109" s="4">
        <v>80</v>
      </c>
    </row>
    <row r="110" spans="1:21">
      <c r="A110" s="4" t="s">
        <v>129</v>
      </c>
      <c r="B110" s="4">
        <v>3</v>
      </c>
      <c r="C110" s="4">
        <v>2</v>
      </c>
      <c r="D110" s="4">
        <v>2</v>
      </c>
      <c r="E110" s="4">
        <v>2</v>
      </c>
      <c r="F110" s="4">
        <v>3</v>
      </c>
      <c r="G110" s="4">
        <v>3</v>
      </c>
      <c r="H110" s="4">
        <v>2</v>
      </c>
      <c r="I110" s="4">
        <v>3</v>
      </c>
      <c r="J110" s="4">
        <v>2</v>
      </c>
      <c r="K110" s="4">
        <v>3</v>
      </c>
      <c r="L110" s="4">
        <v>3</v>
      </c>
      <c r="M110" s="4">
        <v>3</v>
      </c>
      <c r="N110" s="4">
        <v>3</v>
      </c>
      <c r="O110" s="4">
        <v>3</v>
      </c>
      <c r="P110" s="4">
        <v>2</v>
      </c>
      <c r="Q110" s="4">
        <v>2</v>
      </c>
      <c r="R110" s="4">
        <v>3</v>
      </c>
      <c r="S110" s="4">
        <v>2</v>
      </c>
      <c r="T110" s="4">
        <v>46</v>
      </c>
    </row>
    <row r="111" spans="1:21">
      <c r="A111" s="4" t="s">
        <v>130</v>
      </c>
      <c r="B111" s="4">
        <v>3</v>
      </c>
      <c r="C111" s="4">
        <v>3</v>
      </c>
      <c r="D111" s="4">
        <v>5</v>
      </c>
      <c r="E111" s="4">
        <v>4</v>
      </c>
      <c r="F111" s="4">
        <v>3</v>
      </c>
      <c r="G111" s="4">
        <v>4</v>
      </c>
      <c r="H111" s="4">
        <v>3</v>
      </c>
      <c r="I111" s="4">
        <v>4</v>
      </c>
      <c r="J111" s="4">
        <v>3</v>
      </c>
      <c r="K111" s="4">
        <v>3</v>
      </c>
      <c r="L111" s="4">
        <v>3</v>
      </c>
      <c r="M111" s="4">
        <v>3</v>
      </c>
      <c r="N111" s="4">
        <v>4</v>
      </c>
      <c r="O111" s="4">
        <v>3</v>
      </c>
      <c r="P111" s="4">
        <v>3</v>
      </c>
      <c r="Q111" s="4">
        <v>3</v>
      </c>
      <c r="R111" s="4">
        <v>3</v>
      </c>
      <c r="S111" s="4">
        <v>4</v>
      </c>
      <c r="T111" s="4">
        <v>61</v>
      </c>
    </row>
    <row r="112" spans="1:21">
      <c r="A112" s="4" t="s">
        <v>131</v>
      </c>
      <c r="B112" s="4">
        <v>1</v>
      </c>
      <c r="C112" s="4">
        <v>1</v>
      </c>
      <c r="D112" s="4">
        <v>1</v>
      </c>
      <c r="E112" s="4">
        <v>1</v>
      </c>
      <c r="F112" s="4">
        <v>2</v>
      </c>
      <c r="G112" s="4">
        <v>2</v>
      </c>
      <c r="H112" s="4">
        <v>2</v>
      </c>
      <c r="I112" s="4">
        <v>2</v>
      </c>
      <c r="J112" s="4">
        <v>1</v>
      </c>
      <c r="K112" s="4">
        <v>1</v>
      </c>
      <c r="L112" s="4">
        <v>1</v>
      </c>
      <c r="M112" s="4">
        <v>2</v>
      </c>
      <c r="N112" s="4">
        <v>2</v>
      </c>
      <c r="O112" s="4">
        <v>1</v>
      </c>
      <c r="P112" s="4">
        <v>2</v>
      </c>
      <c r="Q112" s="4">
        <v>1</v>
      </c>
      <c r="R112" s="4">
        <v>2</v>
      </c>
      <c r="S112" s="4">
        <v>2</v>
      </c>
      <c r="T112" s="4">
        <v>27</v>
      </c>
    </row>
    <row r="113" spans="1:21">
      <c r="A113" s="4" t="s">
        <v>132</v>
      </c>
      <c r="B113" s="4">
        <v>4</v>
      </c>
      <c r="C113" s="4">
        <v>2</v>
      </c>
      <c r="D113" s="4">
        <v>2</v>
      </c>
      <c r="E113" s="4">
        <v>3</v>
      </c>
      <c r="F113" s="4">
        <v>2</v>
      </c>
      <c r="G113" s="4">
        <v>4</v>
      </c>
      <c r="H113" s="4">
        <v>3</v>
      </c>
      <c r="I113" s="4">
        <v>3</v>
      </c>
      <c r="J113" s="4">
        <v>4</v>
      </c>
      <c r="K113" s="4">
        <v>3</v>
      </c>
      <c r="L113" s="4">
        <v>4</v>
      </c>
      <c r="M113" s="4">
        <v>3</v>
      </c>
      <c r="N113" s="4">
        <v>3</v>
      </c>
      <c r="O113" s="4">
        <v>3</v>
      </c>
      <c r="P113" s="4">
        <v>3</v>
      </c>
      <c r="Q113" s="4">
        <v>3</v>
      </c>
      <c r="R113" s="4">
        <v>2</v>
      </c>
      <c r="S113" s="4">
        <v>3</v>
      </c>
      <c r="T113" s="4">
        <v>54</v>
      </c>
    </row>
    <row r="114" spans="1:21">
      <c r="A114" s="4" t="s">
        <v>133</v>
      </c>
      <c r="B114" s="4">
        <v>2</v>
      </c>
      <c r="C114" s="4">
        <v>3</v>
      </c>
      <c r="D114" s="4">
        <v>3</v>
      </c>
      <c r="E114" s="4">
        <v>3</v>
      </c>
      <c r="F114" s="4">
        <v>3</v>
      </c>
      <c r="G114" s="4">
        <v>3</v>
      </c>
      <c r="H114" s="4">
        <v>2</v>
      </c>
      <c r="I114" s="4">
        <v>2</v>
      </c>
      <c r="J114" s="4">
        <v>2</v>
      </c>
      <c r="K114" s="4">
        <v>3</v>
      </c>
      <c r="L114" s="4">
        <v>2</v>
      </c>
      <c r="M114" s="4">
        <v>2</v>
      </c>
      <c r="N114" s="4">
        <v>2</v>
      </c>
      <c r="O114" s="4">
        <v>3</v>
      </c>
      <c r="P114" s="4">
        <v>2</v>
      </c>
      <c r="Q114" s="4">
        <v>3</v>
      </c>
      <c r="R114" s="4">
        <v>3</v>
      </c>
      <c r="S114" s="4">
        <v>2</v>
      </c>
      <c r="T114" s="4">
        <v>45</v>
      </c>
    </row>
    <row r="115" spans="1:21">
      <c r="A115" s="4" t="s">
        <v>134</v>
      </c>
      <c r="B115" s="4">
        <v>3</v>
      </c>
      <c r="C115" s="4">
        <v>3</v>
      </c>
      <c r="D115" s="4">
        <v>4</v>
      </c>
      <c r="E115" s="4">
        <v>2</v>
      </c>
      <c r="F115" s="4">
        <v>4</v>
      </c>
      <c r="G115" s="4">
        <v>3</v>
      </c>
      <c r="H115" s="4">
        <v>3</v>
      </c>
      <c r="I115" s="4">
        <v>3</v>
      </c>
      <c r="J115" s="4">
        <v>3</v>
      </c>
      <c r="K115" s="4">
        <v>3</v>
      </c>
      <c r="L115" s="4">
        <v>3</v>
      </c>
      <c r="M115" s="4">
        <v>3</v>
      </c>
      <c r="N115" s="4">
        <v>3</v>
      </c>
      <c r="O115" s="4">
        <v>4</v>
      </c>
      <c r="P115" s="4">
        <v>4</v>
      </c>
      <c r="Q115" s="4">
        <v>3</v>
      </c>
      <c r="R115" s="4">
        <v>2</v>
      </c>
      <c r="S115" s="4">
        <v>2</v>
      </c>
      <c r="T115" s="4">
        <v>55</v>
      </c>
    </row>
    <row r="116" spans="1:21">
      <c r="A116" s="4" t="s">
        <v>135</v>
      </c>
      <c r="B116" s="4">
        <v>2</v>
      </c>
      <c r="C116" s="4">
        <v>1</v>
      </c>
      <c r="D116" s="4">
        <v>1</v>
      </c>
      <c r="E116" s="4">
        <v>1</v>
      </c>
      <c r="F116" s="4">
        <v>1</v>
      </c>
      <c r="G116" s="4">
        <v>2</v>
      </c>
      <c r="H116" s="4">
        <v>2</v>
      </c>
      <c r="I116" s="4">
        <v>1</v>
      </c>
      <c r="J116" s="4">
        <v>1</v>
      </c>
      <c r="K116" s="4">
        <v>1</v>
      </c>
      <c r="L116" s="4">
        <v>2</v>
      </c>
      <c r="M116" s="4">
        <v>2</v>
      </c>
      <c r="N116" s="4">
        <v>1</v>
      </c>
      <c r="O116" s="4">
        <v>1</v>
      </c>
      <c r="P116" s="4">
        <v>1</v>
      </c>
      <c r="Q116" s="4">
        <v>2</v>
      </c>
      <c r="R116" s="4">
        <v>1</v>
      </c>
      <c r="S116" s="4">
        <v>1</v>
      </c>
      <c r="T116" s="4">
        <v>24</v>
      </c>
    </row>
    <row r="117" spans="1:21">
      <c r="A117" s="4" t="s">
        <v>136</v>
      </c>
      <c r="B117" s="4">
        <v>2</v>
      </c>
      <c r="C117" s="4">
        <v>3</v>
      </c>
      <c r="D117" s="4">
        <v>2</v>
      </c>
      <c r="E117" s="4">
        <v>3</v>
      </c>
      <c r="F117" s="4">
        <v>2</v>
      </c>
      <c r="G117" s="4">
        <v>3</v>
      </c>
      <c r="H117" s="4">
        <v>2</v>
      </c>
      <c r="I117" s="4">
        <v>2</v>
      </c>
      <c r="J117" s="4">
        <v>3</v>
      </c>
      <c r="K117" s="4">
        <v>2</v>
      </c>
      <c r="L117" s="4">
        <v>2</v>
      </c>
      <c r="M117" s="4">
        <v>2</v>
      </c>
      <c r="N117" s="4">
        <v>2</v>
      </c>
      <c r="O117" s="4">
        <v>2</v>
      </c>
      <c r="P117" s="4">
        <v>2</v>
      </c>
      <c r="Q117" s="4">
        <v>3</v>
      </c>
      <c r="R117" s="4">
        <v>2</v>
      </c>
      <c r="S117" s="4">
        <v>3</v>
      </c>
      <c r="T117" s="4">
        <v>42</v>
      </c>
    </row>
    <row r="118" spans="1:21">
      <c r="A118" s="4" t="s">
        <v>137</v>
      </c>
      <c r="B118" s="4">
        <v>2</v>
      </c>
      <c r="C118" s="4">
        <v>4</v>
      </c>
      <c r="D118" s="4">
        <v>2</v>
      </c>
      <c r="E118" s="4">
        <v>3</v>
      </c>
      <c r="F118" s="4">
        <v>2</v>
      </c>
      <c r="G118" s="4">
        <v>3</v>
      </c>
      <c r="H118" s="4">
        <v>3</v>
      </c>
      <c r="I118" s="4">
        <v>4</v>
      </c>
      <c r="J118" s="4">
        <v>3</v>
      </c>
      <c r="K118" s="4">
        <v>3</v>
      </c>
      <c r="L118" s="4">
        <v>2</v>
      </c>
      <c r="M118" s="4">
        <v>3</v>
      </c>
      <c r="N118" s="4">
        <v>2</v>
      </c>
      <c r="O118" s="4">
        <v>3</v>
      </c>
      <c r="P118" s="4">
        <v>4</v>
      </c>
      <c r="Q118" s="4">
        <v>2</v>
      </c>
      <c r="R118" s="4">
        <v>3</v>
      </c>
      <c r="S118" s="4">
        <v>2</v>
      </c>
      <c r="T118" s="4">
        <v>50</v>
      </c>
    </row>
    <row r="119" spans="1:21">
      <c r="A119" s="4" t="s">
        <v>138</v>
      </c>
      <c r="B119" s="4">
        <v>3</v>
      </c>
      <c r="C119" s="4">
        <v>3</v>
      </c>
      <c r="D119" s="4">
        <v>2</v>
      </c>
      <c r="E119" s="4">
        <v>3</v>
      </c>
      <c r="F119" s="4">
        <v>3</v>
      </c>
      <c r="G119" s="4">
        <v>3</v>
      </c>
      <c r="H119" s="4">
        <v>4</v>
      </c>
      <c r="I119" s="4">
        <v>3</v>
      </c>
      <c r="J119" s="4">
        <v>3</v>
      </c>
      <c r="K119" s="4">
        <v>2</v>
      </c>
      <c r="L119" s="4">
        <v>3</v>
      </c>
      <c r="M119" s="4">
        <v>2</v>
      </c>
      <c r="N119" s="4">
        <v>3</v>
      </c>
      <c r="O119" s="4">
        <v>2</v>
      </c>
      <c r="P119" s="4">
        <v>3</v>
      </c>
      <c r="Q119" s="4">
        <v>3</v>
      </c>
      <c r="R119" s="4">
        <v>3</v>
      </c>
      <c r="S119" s="4">
        <v>2</v>
      </c>
      <c r="T119" s="4">
        <v>50</v>
      </c>
    </row>
    <row r="120" spans="1:21">
      <c r="A120" s="4" t="s">
        <v>139</v>
      </c>
      <c r="B120" s="4">
        <v>5</v>
      </c>
      <c r="C120" s="4">
        <v>5</v>
      </c>
      <c r="D120" s="4">
        <v>3</v>
      </c>
      <c r="E120" s="4">
        <v>3</v>
      </c>
      <c r="F120" s="4">
        <v>3</v>
      </c>
      <c r="G120" s="4">
        <v>4</v>
      </c>
      <c r="H120" s="4">
        <v>3</v>
      </c>
      <c r="I120" s="4">
        <v>4</v>
      </c>
      <c r="J120" s="4">
        <v>5</v>
      </c>
      <c r="K120" s="4">
        <v>3</v>
      </c>
      <c r="L120" s="4">
        <v>4</v>
      </c>
      <c r="M120" s="4">
        <v>5</v>
      </c>
      <c r="N120" s="4">
        <v>5</v>
      </c>
      <c r="O120" s="4">
        <v>3</v>
      </c>
      <c r="P120" s="4">
        <v>3</v>
      </c>
      <c r="Q120" s="4">
        <v>3</v>
      </c>
      <c r="R120" s="4">
        <v>4</v>
      </c>
      <c r="S120" s="4">
        <v>4</v>
      </c>
      <c r="T120" s="4">
        <v>69</v>
      </c>
    </row>
    <row r="121" spans="1:21">
      <c r="A121" s="4" t="s">
        <v>140</v>
      </c>
      <c r="B121" s="4">
        <v>3</v>
      </c>
      <c r="C121" s="4">
        <v>3</v>
      </c>
      <c r="D121" s="4">
        <v>3</v>
      </c>
      <c r="E121" s="4">
        <v>3</v>
      </c>
      <c r="F121" s="4">
        <v>3</v>
      </c>
      <c r="G121" s="4">
        <v>4</v>
      </c>
      <c r="H121" s="4">
        <v>3</v>
      </c>
      <c r="I121" s="4">
        <v>2</v>
      </c>
      <c r="J121" s="4">
        <v>3</v>
      </c>
      <c r="K121" s="4">
        <v>4</v>
      </c>
      <c r="L121" s="4">
        <v>2</v>
      </c>
      <c r="M121" s="4">
        <v>3</v>
      </c>
      <c r="N121" s="4">
        <v>3</v>
      </c>
      <c r="O121" s="4">
        <v>3</v>
      </c>
      <c r="P121" s="4">
        <v>3</v>
      </c>
      <c r="Q121" s="4">
        <v>3</v>
      </c>
      <c r="R121" s="4">
        <v>2</v>
      </c>
      <c r="S121" s="4">
        <v>3</v>
      </c>
      <c r="T121" s="4">
        <v>53</v>
      </c>
    </row>
    <row r="122" spans="1:21">
      <c r="A122" s="4" t="s">
        <v>141</v>
      </c>
      <c r="B122" s="4">
        <v>2</v>
      </c>
      <c r="C122" s="4">
        <v>2</v>
      </c>
      <c r="D122" s="4">
        <v>3</v>
      </c>
      <c r="E122" s="4">
        <v>2</v>
      </c>
      <c r="F122" s="4">
        <v>3</v>
      </c>
      <c r="G122" s="4">
        <v>3</v>
      </c>
      <c r="H122" s="4">
        <v>3</v>
      </c>
      <c r="I122" s="4">
        <v>2</v>
      </c>
      <c r="J122" s="4">
        <v>3</v>
      </c>
      <c r="K122" s="4">
        <v>3</v>
      </c>
      <c r="L122" s="4">
        <v>3</v>
      </c>
      <c r="M122" s="4">
        <v>3</v>
      </c>
      <c r="N122" s="4">
        <v>2</v>
      </c>
      <c r="O122" s="4">
        <v>3</v>
      </c>
      <c r="P122" s="4">
        <v>2</v>
      </c>
      <c r="Q122" s="4">
        <v>3</v>
      </c>
      <c r="R122" s="4">
        <v>2</v>
      </c>
      <c r="S122" s="4">
        <v>2</v>
      </c>
      <c r="T122" s="4">
        <v>46</v>
      </c>
    </row>
    <row r="123" spans="1:21">
      <c r="A123" s="4" t="s">
        <v>142</v>
      </c>
      <c r="B123" s="4">
        <v>1</v>
      </c>
      <c r="C123" s="4">
        <v>1</v>
      </c>
      <c r="D123" s="4">
        <v>1</v>
      </c>
      <c r="E123" s="4">
        <v>1</v>
      </c>
      <c r="F123" s="4">
        <v>1</v>
      </c>
      <c r="G123" s="4">
        <v>1</v>
      </c>
      <c r="H123" s="4">
        <v>1</v>
      </c>
      <c r="I123" s="4">
        <v>1</v>
      </c>
      <c r="J123" s="4">
        <v>1</v>
      </c>
      <c r="K123" s="4">
        <v>1</v>
      </c>
      <c r="L123" s="4">
        <v>1</v>
      </c>
      <c r="M123" s="4">
        <v>1</v>
      </c>
      <c r="N123" s="4">
        <v>1</v>
      </c>
      <c r="O123" s="4">
        <v>1</v>
      </c>
      <c r="P123" s="4">
        <v>1</v>
      </c>
      <c r="Q123" s="4">
        <v>1</v>
      </c>
      <c r="R123" s="4">
        <v>1</v>
      </c>
      <c r="S123" s="4">
        <v>1</v>
      </c>
      <c r="T123" s="4">
        <v>18</v>
      </c>
    </row>
    <row r="124" spans="1:21">
      <c r="A124" s="4" t="s">
        <v>143</v>
      </c>
      <c r="B124" s="4">
        <v>4</v>
      </c>
      <c r="C124" s="4">
        <v>4</v>
      </c>
      <c r="D124" s="4">
        <v>4</v>
      </c>
      <c r="E124" s="4">
        <v>3</v>
      </c>
      <c r="F124" s="4">
        <v>3</v>
      </c>
      <c r="G124" s="4">
        <v>3</v>
      </c>
      <c r="H124" s="4">
        <v>4</v>
      </c>
      <c r="I124" s="4">
        <v>4</v>
      </c>
      <c r="J124" s="4">
        <v>3</v>
      </c>
      <c r="K124" s="4">
        <v>5</v>
      </c>
      <c r="L124" s="4">
        <v>5</v>
      </c>
      <c r="M124" s="4">
        <v>4</v>
      </c>
      <c r="N124" s="4">
        <v>4</v>
      </c>
      <c r="O124" s="4">
        <v>5</v>
      </c>
      <c r="P124" s="4">
        <v>3</v>
      </c>
      <c r="Q124" s="4">
        <v>5</v>
      </c>
      <c r="R124" s="4">
        <v>5</v>
      </c>
      <c r="S124" s="4">
        <v>4</v>
      </c>
      <c r="T124" s="4">
        <v>72</v>
      </c>
    </row>
    <row r="125" spans="1:21">
      <c r="A125" s="4" t="s">
        <v>144</v>
      </c>
      <c r="B125" s="4">
        <v>5</v>
      </c>
      <c r="C125" s="4">
        <v>4</v>
      </c>
      <c r="D125" s="4">
        <v>4</v>
      </c>
      <c r="E125" s="4">
        <v>5</v>
      </c>
      <c r="F125" s="4">
        <v>3</v>
      </c>
      <c r="G125" s="4">
        <v>3</v>
      </c>
      <c r="H125" s="4">
        <v>5</v>
      </c>
      <c r="I125" s="4">
        <v>5</v>
      </c>
      <c r="J125" s="4">
        <v>5</v>
      </c>
      <c r="K125" s="4">
        <v>5</v>
      </c>
      <c r="L125" s="4">
        <v>4</v>
      </c>
      <c r="M125" s="4">
        <v>4</v>
      </c>
      <c r="N125" s="4">
        <v>4</v>
      </c>
      <c r="O125" s="4">
        <v>5</v>
      </c>
      <c r="P125" s="4">
        <v>4</v>
      </c>
      <c r="Q125" s="4">
        <v>4</v>
      </c>
      <c r="R125" s="4">
        <v>5</v>
      </c>
      <c r="S125" s="4">
        <v>5</v>
      </c>
      <c r="T125" s="4">
        <v>79</v>
      </c>
    </row>
    <row r="126" spans="1:21">
      <c r="A126" s="4" t="s">
        <v>145</v>
      </c>
      <c r="B126" s="4">
        <v>2</v>
      </c>
      <c r="C126" s="4">
        <v>2</v>
      </c>
      <c r="D126" s="4">
        <v>2</v>
      </c>
      <c r="E126" s="4">
        <v>2</v>
      </c>
      <c r="F126" s="4">
        <v>2</v>
      </c>
      <c r="G126" s="4">
        <v>2</v>
      </c>
      <c r="H126" s="4">
        <v>2</v>
      </c>
      <c r="I126" s="4">
        <v>2</v>
      </c>
      <c r="J126" s="4">
        <v>3</v>
      </c>
      <c r="K126" s="4">
        <v>3</v>
      </c>
      <c r="L126" s="4">
        <v>2</v>
      </c>
      <c r="M126" s="4">
        <v>2</v>
      </c>
      <c r="N126" s="4">
        <v>2</v>
      </c>
      <c r="O126" s="4">
        <v>2</v>
      </c>
      <c r="P126" s="4">
        <v>2</v>
      </c>
      <c r="Q126" s="4">
        <v>3</v>
      </c>
      <c r="R126" s="4">
        <v>2</v>
      </c>
      <c r="S126" s="4">
        <v>3</v>
      </c>
      <c r="T126" s="4">
        <v>40</v>
      </c>
    </row>
    <row r="127" spans="1:21">
      <c r="A127" s="4" t="s">
        <v>146</v>
      </c>
      <c r="B127" s="4">
        <v>1</v>
      </c>
      <c r="C127" s="4">
        <v>2</v>
      </c>
      <c r="D127" s="4">
        <v>2</v>
      </c>
      <c r="E127" s="4">
        <v>2</v>
      </c>
      <c r="F127" s="4">
        <v>2</v>
      </c>
      <c r="G127" s="4">
        <v>1</v>
      </c>
      <c r="H127" s="4">
        <v>1</v>
      </c>
      <c r="I127" s="4">
        <v>2</v>
      </c>
      <c r="J127" s="4">
        <v>2</v>
      </c>
      <c r="K127" s="4">
        <v>2</v>
      </c>
      <c r="L127" s="4">
        <v>2</v>
      </c>
      <c r="M127" s="4">
        <v>2</v>
      </c>
      <c r="N127" s="4">
        <v>2</v>
      </c>
      <c r="O127" s="4">
        <v>2</v>
      </c>
      <c r="P127" s="4">
        <v>2</v>
      </c>
      <c r="Q127" s="4">
        <v>2</v>
      </c>
      <c r="R127" s="4">
        <v>2</v>
      </c>
      <c r="S127" s="4">
        <v>2</v>
      </c>
      <c r="T127" s="4">
        <v>33</v>
      </c>
    </row>
    <row r="128" spans="1:21">
      <c r="A128" s="4" t="s">
        <v>147</v>
      </c>
      <c r="B128" s="4">
        <v>1</v>
      </c>
      <c r="C128" s="4">
        <v>1</v>
      </c>
      <c r="D128" s="4">
        <v>1</v>
      </c>
      <c r="E128" s="4">
        <v>1</v>
      </c>
      <c r="F128" s="4">
        <v>1</v>
      </c>
      <c r="G128" s="4">
        <v>1</v>
      </c>
      <c r="H128" s="4">
        <v>1</v>
      </c>
      <c r="I128" s="4">
        <v>1</v>
      </c>
      <c r="J128" s="4">
        <v>1</v>
      </c>
      <c r="K128" s="4">
        <v>1</v>
      </c>
      <c r="L128" s="4">
        <v>1</v>
      </c>
      <c r="M128" s="4">
        <v>1</v>
      </c>
      <c r="N128" s="4">
        <v>1</v>
      </c>
      <c r="O128" s="4">
        <v>1</v>
      </c>
      <c r="P128" s="4">
        <v>1</v>
      </c>
      <c r="Q128" s="4">
        <v>1</v>
      </c>
      <c r="R128" s="4">
        <v>1</v>
      </c>
      <c r="S128" s="4">
        <v>1</v>
      </c>
      <c r="T128" s="4">
        <v>18</v>
      </c>
    </row>
    <row r="129" spans="1:21">
      <c r="A129" s="4" t="s">
        <v>148</v>
      </c>
      <c r="B129" s="4">
        <v>3</v>
      </c>
      <c r="C129" s="4">
        <v>4</v>
      </c>
      <c r="D129" s="4">
        <v>5</v>
      </c>
      <c r="E129" s="4">
        <v>5</v>
      </c>
      <c r="F129" s="4">
        <v>4</v>
      </c>
      <c r="G129" s="4">
        <v>5</v>
      </c>
      <c r="H129" s="4">
        <v>3</v>
      </c>
      <c r="I129" s="4">
        <v>5</v>
      </c>
      <c r="J129" s="4">
        <v>5</v>
      </c>
      <c r="K129" s="4">
        <v>4</v>
      </c>
      <c r="L129" s="4">
        <v>5</v>
      </c>
      <c r="M129" s="4">
        <v>3</v>
      </c>
      <c r="N129" s="4">
        <v>5</v>
      </c>
      <c r="O129" s="4">
        <v>3</v>
      </c>
      <c r="P129" s="4">
        <v>4</v>
      </c>
      <c r="Q129" s="4">
        <v>5</v>
      </c>
      <c r="R129" s="4">
        <v>5</v>
      </c>
      <c r="S129" s="4">
        <v>5</v>
      </c>
      <c r="T129" s="4">
        <v>78</v>
      </c>
    </row>
    <row r="130" spans="1:21">
      <c r="A130" s="4" t="s">
        <v>149</v>
      </c>
      <c r="B130" s="4">
        <v>3</v>
      </c>
      <c r="C130" s="4">
        <v>4</v>
      </c>
      <c r="D130" s="4">
        <v>3</v>
      </c>
      <c r="E130" s="4">
        <v>4</v>
      </c>
      <c r="F130" s="4">
        <v>4</v>
      </c>
      <c r="G130" s="4">
        <v>4</v>
      </c>
      <c r="H130" s="4">
        <v>3</v>
      </c>
      <c r="I130" s="4">
        <v>2</v>
      </c>
      <c r="J130" s="4">
        <v>3</v>
      </c>
      <c r="K130" s="4">
        <v>3</v>
      </c>
      <c r="L130" s="4">
        <v>3</v>
      </c>
      <c r="M130" s="4">
        <v>4</v>
      </c>
      <c r="N130" s="4">
        <v>3</v>
      </c>
      <c r="O130" s="4">
        <v>3</v>
      </c>
      <c r="P130" s="4">
        <v>3</v>
      </c>
      <c r="Q130" s="4">
        <v>4</v>
      </c>
      <c r="R130" s="4">
        <v>3</v>
      </c>
      <c r="S130" s="4">
        <v>4</v>
      </c>
      <c r="T130" s="4">
        <v>60</v>
      </c>
    </row>
    <row r="131" spans="1:21">
      <c r="A131" s="4" t="s">
        <v>150</v>
      </c>
      <c r="B131" s="4">
        <v>3</v>
      </c>
      <c r="C131" s="4">
        <v>5</v>
      </c>
      <c r="D131" s="4">
        <v>4</v>
      </c>
      <c r="E131" s="4">
        <v>4</v>
      </c>
      <c r="F131" s="4">
        <v>5</v>
      </c>
      <c r="G131" s="4">
        <v>5</v>
      </c>
      <c r="H131" s="4">
        <v>5</v>
      </c>
      <c r="I131" s="4">
        <v>4</v>
      </c>
      <c r="J131" s="4">
        <v>3</v>
      </c>
      <c r="K131" s="4">
        <v>5</v>
      </c>
      <c r="L131" s="4">
        <v>5</v>
      </c>
      <c r="M131" s="4">
        <v>5</v>
      </c>
      <c r="N131" s="4">
        <v>4</v>
      </c>
      <c r="O131" s="4">
        <v>4</v>
      </c>
      <c r="P131" s="4">
        <v>3</v>
      </c>
      <c r="Q131" s="4">
        <v>5</v>
      </c>
      <c r="R131" s="4">
        <v>3</v>
      </c>
      <c r="S131" s="4">
        <v>3</v>
      </c>
      <c r="T131" s="4">
        <v>75</v>
      </c>
    </row>
    <row r="132" spans="1:21">
      <c r="A132" s="4" t="s">
        <v>151</v>
      </c>
      <c r="B132" s="4">
        <v>5</v>
      </c>
      <c r="C132" s="4">
        <v>4</v>
      </c>
      <c r="D132" s="4">
        <v>3</v>
      </c>
      <c r="E132" s="4">
        <v>4</v>
      </c>
      <c r="F132" s="4">
        <v>4</v>
      </c>
      <c r="G132" s="4">
        <v>3</v>
      </c>
      <c r="H132" s="4">
        <v>4</v>
      </c>
      <c r="I132" s="4">
        <v>4</v>
      </c>
      <c r="J132" s="4">
        <v>5</v>
      </c>
      <c r="K132" s="4">
        <v>5</v>
      </c>
      <c r="L132" s="4">
        <v>4</v>
      </c>
      <c r="M132" s="4">
        <v>3</v>
      </c>
      <c r="N132" s="4">
        <v>5</v>
      </c>
      <c r="O132" s="4">
        <v>4</v>
      </c>
      <c r="P132" s="4">
        <v>4</v>
      </c>
      <c r="Q132" s="4">
        <v>5</v>
      </c>
      <c r="R132" s="4">
        <v>5</v>
      </c>
      <c r="S132" s="4">
        <v>4</v>
      </c>
      <c r="T132" s="4">
        <v>75</v>
      </c>
    </row>
    <row r="133" spans="1:21">
      <c r="A133" s="4" t="s">
        <v>152</v>
      </c>
      <c r="B133" s="4">
        <v>2</v>
      </c>
      <c r="C133" s="4">
        <v>2</v>
      </c>
      <c r="D133" s="4">
        <v>2</v>
      </c>
      <c r="E133" s="4">
        <v>1</v>
      </c>
      <c r="F133" s="4">
        <v>2</v>
      </c>
      <c r="G133" s="4">
        <v>2</v>
      </c>
      <c r="H133" s="4">
        <v>2</v>
      </c>
      <c r="I133" s="4">
        <v>2</v>
      </c>
      <c r="J133" s="4">
        <v>2</v>
      </c>
      <c r="K133" s="4">
        <v>1</v>
      </c>
      <c r="L133" s="4">
        <v>2</v>
      </c>
      <c r="M133" s="4">
        <v>2</v>
      </c>
      <c r="N133" s="4">
        <v>1</v>
      </c>
      <c r="O133" s="4">
        <v>2</v>
      </c>
      <c r="P133" s="4">
        <v>2</v>
      </c>
      <c r="Q133" s="4">
        <v>2</v>
      </c>
      <c r="R133" s="4">
        <v>2</v>
      </c>
      <c r="S133" s="4">
        <v>1</v>
      </c>
      <c r="T133" s="4">
        <v>32</v>
      </c>
    </row>
    <row r="134" spans="1:21">
      <c r="A134" s="4" t="s">
        <v>153</v>
      </c>
      <c r="B134" s="4">
        <v>2</v>
      </c>
      <c r="C134" s="4">
        <v>2</v>
      </c>
      <c r="D134" s="4">
        <v>2</v>
      </c>
      <c r="E134" s="4">
        <v>2</v>
      </c>
      <c r="F134" s="4">
        <v>2</v>
      </c>
      <c r="G134" s="4">
        <v>1</v>
      </c>
      <c r="H134" s="4">
        <v>2</v>
      </c>
      <c r="I134" s="4">
        <v>2</v>
      </c>
      <c r="J134" s="4">
        <v>1</v>
      </c>
      <c r="K134" s="4">
        <v>2</v>
      </c>
      <c r="L134" s="4">
        <v>1</v>
      </c>
      <c r="M134" s="4">
        <v>1</v>
      </c>
      <c r="N134" s="4">
        <v>2</v>
      </c>
      <c r="O134" s="4">
        <v>1</v>
      </c>
      <c r="P134" s="4">
        <v>2</v>
      </c>
      <c r="Q134" s="4">
        <v>2</v>
      </c>
      <c r="R134" s="4">
        <v>2</v>
      </c>
      <c r="S134" s="4">
        <v>2</v>
      </c>
      <c r="T134" s="4">
        <v>31</v>
      </c>
    </row>
    <row r="135" spans="1:21">
      <c r="A135" s="4" t="s">
        <v>154</v>
      </c>
      <c r="B135" s="4">
        <v>3</v>
      </c>
      <c r="C135" s="4">
        <v>4</v>
      </c>
      <c r="D135" s="4">
        <v>3</v>
      </c>
      <c r="E135" s="4">
        <v>4</v>
      </c>
      <c r="F135" s="4">
        <v>4</v>
      </c>
      <c r="G135" s="4">
        <v>2</v>
      </c>
      <c r="H135" s="4">
        <v>4</v>
      </c>
      <c r="I135" s="4">
        <v>4</v>
      </c>
      <c r="J135" s="4">
        <v>4</v>
      </c>
      <c r="K135" s="4">
        <v>3</v>
      </c>
      <c r="L135" s="4">
        <v>2</v>
      </c>
      <c r="M135" s="4">
        <v>4</v>
      </c>
      <c r="N135" s="4">
        <v>3</v>
      </c>
      <c r="O135" s="4">
        <v>4</v>
      </c>
      <c r="P135" s="4">
        <v>4</v>
      </c>
      <c r="Q135" s="4">
        <v>4</v>
      </c>
      <c r="R135" s="4">
        <v>3</v>
      </c>
      <c r="S135" s="4">
        <v>4</v>
      </c>
      <c r="T135" s="4">
        <v>63</v>
      </c>
    </row>
    <row r="136" spans="1:21">
      <c r="A136" s="4" t="s">
        <v>155</v>
      </c>
      <c r="B136" s="4">
        <v>4</v>
      </c>
      <c r="C136" s="4">
        <v>4</v>
      </c>
      <c r="D136" s="4">
        <v>3</v>
      </c>
      <c r="E136" s="4">
        <v>4</v>
      </c>
      <c r="F136" s="4">
        <v>4</v>
      </c>
      <c r="G136" s="4">
        <v>3</v>
      </c>
      <c r="H136" s="4">
        <v>3</v>
      </c>
      <c r="I136" s="4">
        <v>4</v>
      </c>
      <c r="J136" s="4">
        <v>2</v>
      </c>
      <c r="K136" s="4">
        <v>4</v>
      </c>
      <c r="L136" s="4">
        <v>2</v>
      </c>
      <c r="M136" s="4">
        <v>3</v>
      </c>
      <c r="N136" s="4">
        <v>3</v>
      </c>
      <c r="O136" s="4">
        <v>3</v>
      </c>
      <c r="P136" s="4">
        <v>3</v>
      </c>
      <c r="Q136" s="4">
        <v>4</v>
      </c>
      <c r="R136" s="4">
        <v>3</v>
      </c>
      <c r="S136" s="4">
        <v>4</v>
      </c>
      <c r="T136" s="4">
        <v>60</v>
      </c>
    </row>
    <row r="137" spans="1:21">
      <c r="A137" s="4" t="s">
        <v>156</v>
      </c>
      <c r="B137" s="4">
        <v>1</v>
      </c>
      <c r="C137" s="4">
        <v>1</v>
      </c>
      <c r="D137" s="4">
        <v>1</v>
      </c>
      <c r="E137" s="4">
        <v>2</v>
      </c>
      <c r="F137" s="4">
        <v>2</v>
      </c>
      <c r="G137" s="4">
        <v>1</v>
      </c>
      <c r="H137" s="4">
        <v>1</v>
      </c>
      <c r="I137" s="4">
        <v>2</v>
      </c>
      <c r="J137" s="4">
        <v>1</v>
      </c>
      <c r="K137" s="4">
        <v>2</v>
      </c>
      <c r="L137" s="4">
        <v>1</v>
      </c>
      <c r="M137" s="4">
        <v>1</v>
      </c>
      <c r="N137" s="4">
        <v>1</v>
      </c>
      <c r="O137" s="4">
        <v>1</v>
      </c>
      <c r="P137" s="4">
        <v>1</v>
      </c>
      <c r="Q137" s="4">
        <v>1</v>
      </c>
      <c r="R137" s="4">
        <v>1</v>
      </c>
      <c r="S137" s="4">
        <v>1</v>
      </c>
      <c r="T137" s="4">
        <v>22</v>
      </c>
    </row>
    <row r="138" spans="1:21">
      <c r="A138" s="4" t="s">
        <v>157</v>
      </c>
      <c r="B138" s="4">
        <v>3</v>
      </c>
      <c r="C138" s="4">
        <v>4</v>
      </c>
      <c r="D138" s="4">
        <v>3</v>
      </c>
      <c r="E138" s="4">
        <v>4</v>
      </c>
      <c r="F138" s="4">
        <v>3</v>
      </c>
      <c r="G138" s="4">
        <v>3</v>
      </c>
      <c r="H138" s="4">
        <v>4</v>
      </c>
      <c r="I138" s="4">
        <v>3</v>
      </c>
      <c r="J138" s="4">
        <v>3</v>
      </c>
      <c r="K138" s="4">
        <v>2</v>
      </c>
      <c r="L138" s="4">
        <v>3</v>
      </c>
      <c r="M138" s="4">
        <v>4</v>
      </c>
      <c r="N138" s="4">
        <v>5</v>
      </c>
      <c r="O138" s="4">
        <v>4</v>
      </c>
      <c r="P138" s="4">
        <v>3</v>
      </c>
      <c r="Q138" s="4">
        <v>3</v>
      </c>
      <c r="R138" s="4">
        <v>4</v>
      </c>
      <c r="S138" s="4">
        <v>4</v>
      </c>
      <c r="T138" s="4">
        <v>62</v>
      </c>
    </row>
    <row r="139" spans="1:21">
      <c r="A139" s="4" t="s">
        <v>158</v>
      </c>
      <c r="B139" s="4">
        <v>5</v>
      </c>
      <c r="C139" s="4">
        <v>5</v>
      </c>
      <c r="D139" s="4">
        <v>4</v>
      </c>
      <c r="E139" s="4">
        <v>3</v>
      </c>
      <c r="F139" s="4">
        <v>3</v>
      </c>
      <c r="G139" s="4">
        <v>3</v>
      </c>
      <c r="H139" s="4">
        <v>4</v>
      </c>
      <c r="I139" s="4">
        <v>3</v>
      </c>
      <c r="J139" s="4">
        <v>5</v>
      </c>
      <c r="K139" s="4">
        <v>4</v>
      </c>
      <c r="L139" s="4">
        <v>5</v>
      </c>
      <c r="M139" s="4">
        <v>3</v>
      </c>
      <c r="N139" s="4">
        <v>3</v>
      </c>
      <c r="O139" s="4">
        <v>4</v>
      </c>
      <c r="P139" s="4">
        <v>5</v>
      </c>
      <c r="Q139" s="4">
        <v>3</v>
      </c>
      <c r="R139" s="4">
        <v>5</v>
      </c>
      <c r="S139" s="4">
        <v>3</v>
      </c>
      <c r="T139" s="4">
        <v>70</v>
      </c>
    </row>
    <row r="140" spans="1:21">
      <c r="A140" s="4" t="s">
        <v>159</v>
      </c>
      <c r="B140" s="4">
        <v>3</v>
      </c>
      <c r="C140" s="4">
        <v>4</v>
      </c>
      <c r="D140" s="4">
        <v>3</v>
      </c>
      <c r="E140" s="4">
        <v>5</v>
      </c>
      <c r="F140" s="4">
        <v>3</v>
      </c>
      <c r="G140" s="4">
        <v>5</v>
      </c>
      <c r="H140" s="4">
        <v>4</v>
      </c>
      <c r="I140" s="4">
        <v>5</v>
      </c>
      <c r="J140" s="4">
        <v>4</v>
      </c>
      <c r="K140" s="4">
        <v>5</v>
      </c>
      <c r="L140" s="4">
        <v>5</v>
      </c>
      <c r="M140" s="4">
        <v>5</v>
      </c>
      <c r="N140" s="4">
        <v>5</v>
      </c>
      <c r="O140" s="4">
        <v>5</v>
      </c>
      <c r="P140" s="4">
        <v>4</v>
      </c>
      <c r="Q140" s="4">
        <v>5</v>
      </c>
      <c r="R140" s="4">
        <v>3</v>
      </c>
      <c r="S140" s="4">
        <v>5</v>
      </c>
      <c r="T140" s="4">
        <v>78</v>
      </c>
    </row>
    <row r="141" spans="1:21">
      <c r="A141" s="4" t="s">
        <v>160</v>
      </c>
      <c r="B141" s="4">
        <v>2</v>
      </c>
      <c r="C141" s="4">
        <v>3</v>
      </c>
      <c r="D141" s="4">
        <v>3</v>
      </c>
      <c r="E141" s="4">
        <v>2</v>
      </c>
      <c r="F141" s="4">
        <v>3</v>
      </c>
      <c r="G141" s="4">
        <v>2</v>
      </c>
      <c r="H141" s="4">
        <v>3</v>
      </c>
      <c r="I141" s="4">
        <v>2</v>
      </c>
      <c r="J141" s="4">
        <v>2</v>
      </c>
      <c r="K141" s="4">
        <v>3</v>
      </c>
      <c r="L141" s="4">
        <v>2</v>
      </c>
      <c r="M141" s="4">
        <v>3</v>
      </c>
      <c r="N141" s="4">
        <v>3</v>
      </c>
      <c r="O141" s="4">
        <v>2</v>
      </c>
      <c r="P141" s="4">
        <v>2</v>
      </c>
      <c r="Q141" s="4">
        <v>3</v>
      </c>
      <c r="R141" s="4">
        <v>2</v>
      </c>
      <c r="S141" s="4">
        <v>2</v>
      </c>
      <c r="T141" s="4">
        <v>44</v>
      </c>
    </row>
    <row r="142" spans="1:21">
      <c r="A142" s="4" t="s">
        <v>161</v>
      </c>
      <c r="B142" s="4">
        <v>3</v>
      </c>
      <c r="C142" s="4">
        <v>2</v>
      </c>
      <c r="D142" s="4">
        <v>3</v>
      </c>
      <c r="E142" s="4">
        <v>2</v>
      </c>
      <c r="F142" s="4">
        <v>3</v>
      </c>
      <c r="G142" s="4">
        <v>2</v>
      </c>
      <c r="H142" s="4">
        <v>2</v>
      </c>
      <c r="I142" s="4">
        <v>2</v>
      </c>
      <c r="J142" s="4">
        <v>2</v>
      </c>
      <c r="K142" s="4">
        <v>2</v>
      </c>
      <c r="L142" s="4">
        <v>3</v>
      </c>
      <c r="M142" s="4">
        <v>2</v>
      </c>
      <c r="N142" s="4">
        <v>2</v>
      </c>
      <c r="O142" s="4">
        <v>2</v>
      </c>
      <c r="P142" s="4">
        <v>2</v>
      </c>
      <c r="Q142" s="4">
        <v>2</v>
      </c>
      <c r="R142" s="4">
        <v>2</v>
      </c>
      <c r="S142" s="4">
        <v>2</v>
      </c>
      <c r="T142" s="4">
        <v>40</v>
      </c>
    </row>
    <row r="143" spans="1:21">
      <c r="A143" s="4" t="s">
        <v>162</v>
      </c>
      <c r="B143" s="4">
        <v>5</v>
      </c>
      <c r="C143" s="4">
        <v>5</v>
      </c>
      <c r="D143" s="4">
        <v>3</v>
      </c>
      <c r="E143" s="4">
        <v>4</v>
      </c>
      <c r="F143" s="4">
        <v>4</v>
      </c>
      <c r="G143" s="4">
        <v>4</v>
      </c>
      <c r="H143" s="4">
        <v>4</v>
      </c>
      <c r="I143" s="4">
        <v>4</v>
      </c>
      <c r="J143" s="4">
        <v>4</v>
      </c>
      <c r="K143" s="4">
        <v>5</v>
      </c>
      <c r="L143" s="4">
        <v>4</v>
      </c>
      <c r="M143" s="4">
        <v>4</v>
      </c>
      <c r="N143" s="4">
        <v>4</v>
      </c>
      <c r="O143" s="4">
        <v>4</v>
      </c>
      <c r="P143" s="4">
        <v>3</v>
      </c>
      <c r="Q143" s="4">
        <v>4</v>
      </c>
      <c r="R143" s="4">
        <v>5</v>
      </c>
      <c r="S143" s="4">
        <v>4</v>
      </c>
      <c r="T143" s="4">
        <v>74</v>
      </c>
    </row>
    <row r="144" spans="1:21">
      <c r="A144" s="4" t="s">
        <v>163</v>
      </c>
      <c r="B144" s="4">
        <v>1</v>
      </c>
      <c r="C144" s="4">
        <v>3</v>
      </c>
      <c r="D144" s="4">
        <v>3</v>
      </c>
      <c r="E144" s="4">
        <v>2</v>
      </c>
      <c r="F144" s="4">
        <v>2</v>
      </c>
      <c r="G144" s="4">
        <v>2</v>
      </c>
      <c r="H144" s="4">
        <v>2</v>
      </c>
      <c r="I144" s="4">
        <v>2</v>
      </c>
      <c r="J144" s="4">
        <v>3</v>
      </c>
      <c r="K144" s="4">
        <v>2</v>
      </c>
      <c r="L144" s="4">
        <v>2</v>
      </c>
      <c r="M144" s="4">
        <v>2</v>
      </c>
      <c r="N144" s="4">
        <v>2</v>
      </c>
      <c r="O144" s="4">
        <v>2</v>
      </c>
      <c r="P144" s="4">
        <v>2</v>
      </c>
      <c r="Q144" s="4">
        <v>3</v>
      </c>
      <c r="R144" s="4">
        <v>2</v>
      </c>
      <c r="S144" s="4">
        <v>2</v>
      </c>
      <c r="T144" s="4">
        <v>39</v>
      </c>
    </row>
    <row r="145" spans="1:21">
      <c r="A145" s="4" t="s">
        <v>164</v>
      </c>
      <c r="B145" s="4">
        <v>3</v>
      </c>
      <c r="C145" s="4">
        <v>3</v>
      </c>
      <c r="D145" s="4">
        <v>4</v>
      </c>
      <c r="E145" s="4">
        <v>4</v>
      </c>
      <c r="F145" s="4">
        <v>3</v>
      </c>
      <c r="G145" s="4">
        <v>4</v>
      </c>
      <c r="H145" s="4">
        <v>4</v>
      </c>
      <c r="I145" s="4">
        <v>2</v>
      </c>
      <c r="J145" s="4">
        <v>4</v>
      </c>
      <c r="K145" s="4">
        <v>4</v>
      </c>
      <c r="L145" s="4">
        <v>3</v>
      </c>
      <c r="M145" s="4">
        <v>4</v>
      </c>
      <c r="N145" s="4">
        <v>3</v>
      </c>
      <c r="O145" s="4">
        <v>4</v>
      </c>
      <c r="P145" s="4">
        <v>3</v>
      </c>
      <c r="Q145" s="4">
        <v>3</v>
      </c>
      <c r="R145" s="4">
        <v>4</v>
      </c>
      <c r="S145" s="4">
        <v>2</v>
      </c>
      <c r="T145" s="4">
        <v>61</v>
      </c>
    </row>
    <row r="146" spans="1:21">
      <c r="A146" s="4" t="s">
        <v>165</v>
      </c>
      <c r="B146" s="4">
        <v>3</v>
      </c>
      <c r="C146" s="4">
        <v>2</v>
      </c>
      <c r="D146" s="4">
        <v>3</v>
      </c>
      <c r="E146" s="4">
        <v>3</v>
      </c>
      <c r="F146" s="4">
        <v>3</v>
      </c>
      <c r="G146" s="4">
        <v>2</v>
      </c>
      <c r="H146" s="4">
        <v>3</v>
      </c>
      <c r="I146" s="4">
        <v>3</v>
      </c>
      <c r="J146" s="4">
        <v>4</v>
      </c>
      <c r="K146" s="4">
        <v>2</v>
      </c>
      <c r="L146" s="4">
        <v>2</v>
      </c>
      <c r="M146" s="4">
        <v>3</v>
      </c>
      <c r="N146" s="4">
        <v>3</v>
      </c>
      <c r="O146" s="4">
        <v>2</v>
      </c>
      <c r="P146" s="4">
        <v>3</v>
      </c>
      <c r="Q146" s="4">
        <v>2</v>
      </c>
      <c r="R146" s="4">
        <v>3</v>
      </c>
      <c r="S146" s="4">
        <v>3</v>
      </c>
      <c r="T146" s="4">
        <v>49</v>
      </c>
    </row>
    <row r="147" spans="1:21">
      <c r="A147" s="4" t="s">
        <v>166</v>
      </c>
      <c r="B147" s="4">
        <v>3</v>
      </c>
      <c r="C147" s="4">
        <v>4</v>
      </c>
      <c r="D147" s="4">
        <v>4</v>
      </c>
      <c r="E147" s="4">
        <v>3</v>
      </c>
      <c r="F147" s="4">
        <v>4</v>
      </c>
      <c r="G147" s="4">
        <v>4</v>
      </c>
      <c r="H147" s="4">
        <v>4</v>
      </c>
      <c r="I147" s="4">
        <v>3</v>
      </c>
      <c r="J147" s="4">
        <v>3</v>
      </c>
      <c r="K147" s="4">
        <v>3</v>
      </c>
      <c r="L147" s="4">
        <v>4</v>
      </c>
      <c r="M147" s="4">
        <v>3</v>
      </c>
      <c r="N147" s="4">
        <v>4</v>
      </c>
      <c r="O147" s="4">
        <v>3</v>
      </c>
      <c r="P147" s="4">
        <v>3</v>
      </c>
      <c r="Q147" s="4">
        <v>3</v>
      </c>
      <c r="R147" s="4">
        <v>4</v>
      </c>
      <c r="S147" s="4">
        <v>4</v>
      </c>
      <c r="T147" s="4">
        <v>63</v>
      </c>
    </row>
    <row r="148" spans="1:21">
      <c r="A148" s="4" t="s">
        <v>167</v>
      </c>
      <c r="B148" s="4">
        <v>2</v>
      </c>
      <c r="C148" s="4">
        <v>3</v>
      </c>
      <c r="D148" s="4">
        <v>2</v>
      </c>
      <c r="E148" s="4">
        <v>1</v>
      </c>
      <c r="F148" s="4">
        <v>1</v>
      </c>
      <c r="G148" s="4">
        <v>2</v>
      </c>
      <c r="H148" s="4">
        <v>2</v>
      </c>
      <c r="I148" s="4">
        <v>2</v>
      </c>
      <c r="J148" s="4">
        <v>2</v>
      </c>
      <c r="K148" s="4">
        <v>2</v>
      </c>
      <c r="L148" s="4">
        <v>2</v>
      </c>
      <c r="M148" s="4">
        <v>2</v>
      </c>
      <c r="N148" s="4">
        <v>2</v>
      </c>
      <c r="O148" s="4">
        <v>2</v>
      </c>
      <c r="P148" s="4">
        <v>2</v>
      </c>
      <c r="Q148" s="4">
        <v>3</v>
      </c>
      <c r="R148" s="4">
        <v>2</v>
      </c>
      <c r="S148" s="4">
        <v>2</v>
      </c>
      <c r="T148" s="4">
        <v>36</v>
      </c>
    </row>
    <row r="149" spans="1:21">
      <c r="A149" s="4" t="s">
        <v>168</v>
      </c>
      <c r="B149" s="4">
        <v>2</v>
      </c>
      <c r="C149" s="4">
        <v>2</v>
      </c>
      <c r="D149" s="4">
        <v>2</v>
      </c>
      <c r="E149" s="4">
        <v>2</v>
      </c>
      <c r="F149" s="4">
        <v>2</v>
      </c>
      <c r="G149" s="4">
        <v>1</v>
      </c>
      <c r="H149" s="4">
        <v>2</v>
      </c>
      <c r="I149" s="4">
        <v>2</v>
      </c>
      <c r="J149" s="4">
        <v>2</v>
      </c>
      <c r="K149" s="4">
        <v>2</v>
      </c>
      <c r="L149" s="4">
        <v>2</v>
      </c>
      <c r="M149" s="4">
        <v>1</v>
      </c>
      <c r="N149" s="4">
        <v>2</v>
      </c>
      <c r="O149" s="4">
        <v>2</v>
      </c>
      <c r="P149" s="4">
        <v>1</v>
      </c>
      <c r="Q149" s="4">
        <v>2</v>
      </c>
      <c r="R149" s="4">
        <v>2</v>
      </c>
      <c r="S149" s="4">
        <v>1</v>
      </c>
      <c r="T149" s="4">
        <v>32</v>
      </c>
    </row>
    <row r="150" spans="1:21">
      <c r="A150" s="4" t="s">
        <v>169</v>
      </c>
      <c r="B150" s="4">
        <v>4</v>
      </c>
      <c r="C150" s="4">
        <v>4</v>
      </c>
      <c r="D150" s="4">
        <v>4</v>
      </c>
      <c r="E150" s="4">
        <v>4</v>
      </c>
      <c r="F150" s="4">
        <v>4</v>
      </c>
      <c r="G150" s="4">
        <v>3</v>
      </c>
      <c r="H150" s="4">
        <v>3</v>
      </c>
      <c r="I150" s="4">
        <v>2</v>
      </c>
      <c r="J150" s="4">
        <v>3</v>
      </c>
      <c r="K150" s="4">
        <v>3</v>
      </c>
      <c r="L150" s="4">
        <v>3</v>
      </c>
      <c r="M150" s="4">
        <v>4</v>
      </c>
      <c r="N150" s="4">
        <v>4</v>
      </c>
      <c r="O150" s="4">
        <v>3</v>
      </c>
      <c r="P150" s="4">
        <v>4</v>
      </c>
      <c r="Q150" s="4">
        <v>4</v>
      </c>
      <c r="R150" s="4">
        <v>3</v>
      </c>
      <c r="S150" s="4">
        <v>4</v>
      </c>
      <c r="T150" s="4">
        <v>63</v>
      </c>
    </row>
    <row r="151" spans="1:21">
      <c r="A151" s="4" t="s">
        <v>170</v>
      </c>
      <c r="B151" s="4">
        <v>5</v>
      </c>
      <c r="C151" s="4">
        <v>4</v>
      </c>
      <c r="D151" s="4">
        <v>4</v>
      </c>
      <c r="E151" s="4">
        <v>4</v>
      </c>
      <c r="F151" s="4">
        <v>3</v>
      </c>
      <c r="G151" s="4">
        <v>3</v>
      </c>
      <c r="H151" s="4">
        <v>5</v>
      </c>
      <c r="I151" s="4">
        <v>3</v>
      </c>
      <c r="J151" s="4">
        <v>5</v>
      </c>
      <c r="K151" s="4">
        <v>4</v>
      </c>
      <c r="L151" s="4">
        <v>4</v>
      </c>
      <c r="M151" s="4">
        <v>3</v>
      </c>
      <c r="N151" s="4">
        <v>5</v>
      </c>
      <c r="O151" s="4">
        <v>4</v>
      </c>
      <c r="P151" s="4">
        <v>5</v>
      </c>
      <c r="Q151" s="4">
        <v>4</v>
      </c>
      <c r="R151" s="4">
        <v>5</v>
      </c>
      <c r="S151" s="4">
        <v>4</v>
      </c>
      <c r="T151" s="4">
        <v>74</v>
      </c>
    </row>
    <row r="152" spans="1:21">
      <c r="A152" s="4" t="s">
        <v>171</v>
      </c>
      <c r="B152" s="4">
        <v>3</v>
      </c>
      <c r="C152" s="4">
        <v>2</v>
      </c>
      <c r="D152" s="4">
        <v>3</v>
      </c>
      <c r="E152" s="4">
        <v>2</v>
      </c>
      <c r="F152" s="4">
        <v>3</v>
      </c>
      <c r="G152" s="4">
        <v>3</v>
      </c>
      <c r="H152" s="4">
        <v>3</v>
      </c>
      <c r="I152" s="4">
        <v>3</v>
      </c>
      <c r="J152" s="4">
        <v>3</v>
      </c>
      <c r="K152" s="4">
        <v>3</v>
      </c>
      <c r="L152" s="4">
        <v>3</v>
      </c>
      <c r="M152" s="4">
        <v>2</v>
      </c>
      <c r="N152" s="4">
        <v>2</v>
      </c>
      <c r="O152" s="4">
        <v>2</v>
      </c>
      <c r="P152" s="4">
        <v>3</v>
      </c>
      <c r="Q152" s="4">
        <v>2</v>
      </c>
      <c r="R152" s="4">
        <v>2</v>
      </c>
      <c r="S152" s="4">
        <v>2</v>
      </c>
      <c r="T152" s="4">
        <v>46</v>
      </c>
    </row>
    <row r="153" spans="1:21">
      <c r="A153" s="4" t="s">
        <v>172</v>
      </c>
      <c r="B153" s="4">
        <v>5</v>
      </c>
      <c r="C153" s="4">
        <v>5</v>
      </c>
      <c r="D153" s="4">
        <v>5</v>
      </c>
      <c r="E153" s="4">
        <v>4</v>
      </c>
      <c r="F153" s="4">
        <v>5</v>
      </c>
      <c r="G153" s="4">
        <v>3</v>
      </c>
      <c r="H153" s="4">
        <v>5</v>
      </c>
      <c r="I153" s="4">
        <v>5</v>
      </c>
      <c r="J153" s="4">
        <v>3</v>
      </c>
      <c r="K153" s="4">
        <v>3</v>
      </c>
      <c r="L153" s="4">
        <v>5</v>
      </c>
      <c r="M153" s="4">
        <v>4</v>
      </c>
      <c r="N153" s="4">
        <v>5</v>
      </c>
      <c r="O153" s="4">
        <v>5</v>
      </c>
      <c r="P153" s="4">
        <v>5</v>
      </c>
      <c r="Q153" s="4">
        <v>4</v>
      </c>
      <c r="R153" s="4">
        <v>5</v>
      </c>
      <c r="S153" s="4">
        <v>5</v>
      </c>
      <c r="T153" s="4">
        <v>81</v>
      </c>
    </row>
    <row r="154" spans="1:21">
      <c r="A154" s="4" t="s">
        <v>173</v>
      </c>
      <c r="B154" s="4">
        <v>2</v>
      </c>
      <c r="C154" s="4">
        <v>4</v>
      </c>
      <c r="D154" s="4">
        <v>3</v>
      </c>
      <c r="E154" s="4">
        <v>4</v>
      </c>
      <c r="F154" s="4">
        <v>2</v>
      </c>
      <c r="G154" s="4">
        <v>2</v>
      </c>
      <c r="H154" s="4">
        <v>3</v>
      </c>
      <c r="I154" s="4">
        <v>4</v>
      </c>
      <c r="J154" s="4">
        <v>3</v>
      </c>
      <c r="K154" s="4">
        <v>3</v>
      </c>
      <c r="L154" s="4">
        <v>3</v>
      </c>
      <c r="M154" s="4">
        <v>3</v>
      </c>
      <c r="N154" s="4">
        <v>4</v>
      </c>
      <c r="O154" s="4">
        <v>2</v>
      </c>
      <c r="P154" s="4">
        <v>4</v>
      </c>
      <c r="Q154" s="4">
        <v>4</v>
      </c>
      <c r="R154" s="4">
        <v>4</v>
      </c>
      <c r="S154" s="4">
        <v>3</v>
      </c>
      <c r="T154" s="4">
        <v>57</v>
      </c>
    </row>
    <row r="155" spans="1:21">
      <c r="A155" s="4" t="s">
        <v>174</v>
      </c>
      <c r="B155" s="4">
        <v>3</v>
      </c>
      <c r="C155" s="4">
        <v>3</v>
      </c>
      <c r="D155" s="4">
        <v>2</v>
      </c>
      <c r="E155" s="4">
        <v>3</v>
      </c>
      <c r="F155" s="4">
        <v>3</v>
      </c>
      <c r="G155" s="4">
        <v>2</v>
      </c>
      <c r="H155" s="4">
        <v>3</v>
      </c>
      <c r="I155" s="4">
        <v>2</v>
      </c>
      <c r="J155" s="4">
        <v>3</v>
      </c>
      <c r="K155" s="4">
        <v>3</v>
      </c>
      <c r="L155" s="4">
        <v>2</v>
      </c>
      <c r="M155" s="4">
        <v>2</v>
      </c>
      <c r="N155" s="4">
        <v>2</v>
      </c>
      <c r="O155" s="4">
        <v>2</v>
      </c>
      <c r="P155" s="4">
        <v>3</v>
      </c>
      <c r="Q155" s="4">
        <v>3</v>
      </c>
      <c r="R155" s="4">
        <v>2</v>
      </c>
      <c r="S155" s="4">
        <v>2</v>
      </c>
      <c r="T155" s="4">
        <v>45</v>
      </c>
    </row>
    <row r="156" spans="1:21">
      <c r="A156" s="4" t="s">
        <v>175</v>
      </c>
      <c r="B156" s="4">
        <v>5</v>
      </c>
      <c r="C156" s="4">
        <v>4</v>
      </c>
      <c r="D156" s="4">
        <v>5</v>
      </c>
      <c r="E156" s="4">
        <v>4</v>
      </c>
      <c r="F156" s="4">
        <v>5</v>
      </c>
      <c r="G156" s="4">
        <v>4</v>
      </c>
      <c r="H156" s="4">
        <v>4</v>
      </c>
      <c r="I156" s="4">
        <v>5</v>
      </c>
      <c r="J156" s="4">
        <v>5</v>
      </c>
      <c r="K156" s="4">
        <v>4</v>
      </c>
      <c r="L156" s="4">
        <v>5</v>
      </c>
      <c r="M156" s="4">
        <v>4</v>
      </c>
      <c r="N156" s="4">
        <v>3</v>
      </c>
      <c r="O156" s="4">
        <v>4</v>
      </c>
      <c r="P156" s="4">
        <v>5</v>
      </c>
      <c r="Q156" s="4">
        <v>5</v>
      </c>
      <c r="R156" s="4">
        <v>5</v>
      </c>
      <c r="S156" s="4">
        <v>4</v>
      </c>
      <c r="T156" s="4">
        <v>80</v>
      </c>
    </row>
    <row r="157" spans="1:21">
      <c r="A157" s="4" t="s">
        <v>176</v>
      </c>
      <c r="B157" s="4">
        <v>4</v>
      </c>
      <c r="C157" s="4">
        <v>3</v>
      </c>
      <c r="D157" s="4">
        <v>2</v>
      </c>
      <c r="E157" s="4">
        <v>2</v>
      </c>
      <c r="F157" s="4">
        <v>3</v>
      </c>
      <c r="G157" s="4">
        <v>3</v>
      </c>
      <c r="H157" s="4">
        <v>3</v>
      </c>
      <c r="I157" s="4">
        <v>2</v>
      </c>
      <c r="J157" s="4">
        <v>3</v>
      </c>
      <c r="K157" s="4">
        <v>3</v>
      </c>
      <c r="L157" s="4">
        <v>3</v>
      </c>
      <c r="M157" s="4">
        <v>2</v>
      </c>
      <c r="N157" s="4">
        <v>2</v>
      </c>
      <c r="O157" s="4">
        <v>2</v>
      </c>
      <c r="P157" s="4">
        <v>4</v>
      </c>
      <c r="Q157" s="4">
        <v>3</v>
      </c>
      <c r="R157" s="4">
        <v>3</v>
      </c>
      <c r="S157" s="4">
        <v>4</v>
      </c>
      <c r="T157" s="4">
        <v>51</v>
      </c>
    </row>
    <row r="158" spans="1:21">
      <c r="A158" s="4" t="s">
        <v>177</v>
      </c>
      <c r="B158" s="4">
        <v>3</v>
      </c>
      <c r="C158" s="4">
        <v>5</v>
      </c>
      <c r="D158" s="4">
        <v>5</v>
      </c>
      <c r="E158" s="4">
        <v>5</v>
      </c>
      <c r="F158" s="4">
        <v>5</v>
      </c>
      <c r="G158" s="4">
        <v>5</v>
      </c>
      <c r="H158" s="4">
        <v>3</v>
      </c>
      <c r="I158" s="4">
        <v>5</v>
      </c>
      <c r="J158" s="4">
        <v>4</v>
      </c>
      <c r="K158" s="4">
        <v>3</v>
      </c>
      <c r="L158" s="4">
        <v>5</v>
      </c>
      <c r="M158" s="4">
        <v>3</v>
      </c>
      <c r="N158" s="4">
        <v>5</v>
      </c>
      <c r="O158" s="4">
        <v>5</v>
      </c>
      <c r="P158" s="4">
        <v>5</v>
      </c>
      <c r="Q158" s="4">
        <v>5</v>
      </c>
      <c r="R158" s="4">
        <v>3</v>
      </c>
      <c r="S158" s="4">
        <v>5</v>
      </c>
      <c r="T158" s="4">
        <v>79</v>
      </c>
    </row>
    <row r="159" spans="1:21">
      <c r="A159" s="4" t="s">
        <v>178</v>
      </c>
      <c r="B159" s="4">
        <v>5</v>
      </c>
      <c r="C159" s="4">
        <v>5</v>
      </c>
      <c r="D159" s="4">
        <v>5</v>
      </c>
      <c r="E159" s="4">
        <v>3</v>
      </c>
      <c r="F159" s="4">
        <v>5</v>
      </c>
      <c r="G159" s="4">
        <v>3</v>
      </c>
      <c r="H159" s="4">
        <v>4</v>
      </c>
      <c r="I159" s="4">
        <v>3</v>
      </c>
      <c r="J159" s="4">
        <v>5</v>
      </c>
      <c r="K159" s="4">
        <v>4</v>
      </c>
      <c r="L159" s="4">
        <v>3</v>
      </c>
      <c r="M159" s="4">
        <v>4</v>
      </c>
      <c r="N159" s="4">
        <v>5</v>
      </c>
      <c r="O159" s="4">
        <v>5</v>
      </c>
      <c r="P159" s="4">
        <v>5</v>
      </c>
      <c r="Q159" s="4">
        <v>4</v>
      </c>
      <c r="R159" s="4">
        <v>5</v>
      </c>
      <c r="S159" s="4">
        <v>4</v>
      </c>
      <c r="T159" s="4">
        <v>77</v>
      </c>
    </row>
    <row r="160" spans="1:21">
      <c r="A160" s="4" t="s">
        <v>179</v>
      </c>
      <c r="B160" s="4">
        <v>2</v>
      </c>
      <c r="C160" s="4">
        <v>3</v>
      </c>
      <c r="D160" s="4">
        <v>3</v>
      </c>
      <c r="E160" s="4">
        <v>3</v>
      </c>
      <c r="F160" s="4">
        <v>2</v>
      </c>
      <c r="G160" s="4">
        <v>3</v>
      </c>
      <c r="H160" s="4">
        <v>3</v>
      </c>
      <c r="I160" s="4">
        <v>3</v>
      </c>
      <c r="J160" s="4">
        <v>2</v>
      </c>
      <c r="K160" s="4">
        <v>2</v>
      </c>
      <c r="L160" s="4">
        <v>3</v>
      </c>
      <c r="M160" s="4">
        <v>3</v>
      </c>
      <c r="N160" s="4">
        <v>2</v>
      </c>
      <c r="O160" s="4">
        <v>2</v>
      </c>
      <c r="P160" s="4">
        <v>2</v>
      </c>
      <c r="Q160" s="4">
        <v>3</v>
      </c>
      <c r="R160" s="4">
        <v>2</v>
      </c>
      <c r="S160" s="4">
        <v>3</v>
      </c>
      <c r="T160" s="4">
        <v>46</v>
      </c>
    </row>
    <row r="161" spans="1:21">
      <c r="A161" s="4" t="s">
        <v>180</v>
      </c>
      <c r="B161" s="4">
        <v>2</v>
      </c>
      <c r="C161" s="4">
        <v>2</v>
      </c>
      <c r="D161" s="4">
        <v>1</v>
      </c>
      <c r="E161" s="4">
        <v>1</v>
      </c>
      <c r="F161" s="4">
        <v>2</v>
      </c>
      <c r="G161" s="4">
        <v>1</v>
      </c>
      <c r="H161" s="4">
        <v>1</v>
      </c>
      <c r="I161" s="4">
        <v>1</v>
      </c>
      <c r="J161" s="4">
        <v>2</v>
      </c>
      <c r="K161" s="4">
        <v>1</v>
      </c>
      <c r="L161" s="4">
        <v>2</v>
      </c>
      <c r="M161" s="4">
        <v>1</v>
      </c>
      <c r="N161" s="4">
        <v>1</v>
      </c>
      <c r="O161" s="4">
        <v>1</v>
      </c>
      <c r="P161" s="4">
        <v>2</v>
      </c>
      <c r="Q161" s="4">
        <v>1</v>
      </c>
      <c r="R161" s="4">
        <v>1</v>
      </c>
      <c r="S161" s="4">
        <v>2</v>
      </c>
      <c r="T161" s="4">
        <v>25</v>
      </c>
    </row>
    <row r="162" spans="1:21">
      <c r="A162" s="4" t="s">
        <v>181</v>
      </c>
      <c r="B162" s="4">
        <v>5</v>
      </c>
      <c r="C162" s="4">
        <v>5</v>
      </c>
      <c r="D162" s="4">
        <v>5</v>
      </c>
      <c r="E162" s="4">
        <v>5</v>
      </c>
      <c r="F162" s="4">
        <v>5</v>
      </c>
      <c r="G162" s="4">
        <v>5</v>
      </c>
      <c r="H162" s="4">
        <v>3</v>
      </c>
      <c r="I162" s="4">
        <v>5</v>
      </c>
      <c r="J162" s="4">
        <v>5</v>
      </c>
      <c r="K162" s="4">
        <v>5</v>
      </c>
      <c r="L162" s="4">
        <v>5</v>
      </c>
      <c r="M162" s="4">
        <v>4</v>
      </c>
      <c r="N162" s="4">
        <v>5</v>
      </c>
      <c r="O162" s="4">
        <v>4</v>
      </c>
      <c r="P162" s="4">
        <v>5</v>
      </c>
      <c r="Q162" s="4">
        <v>4</v>
      </c>
      <c r="R162" s="4">
        <v>5</v>
      </c>
      <c r="S162" s="4">
        <v>5</v>
      </c>
      <c r="T162" s="4">
        <v>85</v>
      </c>
    </row>
    <row r="163" spans="1:21">
      <c r="A163" s="4" t="s">
        <v>182</v>
      </c>
      <c r="B163" s="4">
        <v>4</v>
      </c>
      <c r="C163" s="4">
        <v>3</v>
      </c>
      <c r="D163" s="4">
        <v>4</v>
      </c>
      <c r="E163" s="4">
        <v>3</v>
      </c>
      <c r="F163" s="4">
        <v>5</v>
      </c>
      <c r="G163" s="4">
        <v>4</v>
      </c>
      <c r="H163" s="4">
        <v>4</v>
      </c>
      <c r="I163" s="4">
        <v>3</v>
      </c>
      <c r="J163" s="4">
        <v>3</v>
      </c>
      <c r="K163" s="4">
        <v>4</v>
      </c>
      <c r="L163" s="4">
        <v>5</v>
      </c>
      <c r="M163" s="4">
        <v>3</v>
      </c>
      <c r="N163" s="4">
        <v>4</v>
      </c>
      <c r="O163" s="4">
        <v>4</v>
      </c>
      <c r="P163" s="4">
        <v>3</v>
      </c>
      <c r="Q163" s="4">
        <v>3</v>
      </c>
      <c r="R163" s="4">
        <v>3</v>
      </c>
      <c r="S163" s="4">
        <v>3</v>
      </c>
      <c r="T163" s="4">
        <v>65</v>
      </c>
    </row>
    <row r="164" spans="1:21">
      <c r="A164" s="4" t="s">
        <v>183</v>
      </c>
      <c r="B164" s="4">
        <v>1</v>
      </c>
      <c r="C164" s="4">
        <v>1</v>
      </c>
      <c r="D164" s="4">
        <v>1</v>
      </c>
      <c r="E164" s="4">
        <v>1</v>
      </c>
      <c r="F164" s="4">
        <v>1</v>
      </c>
      <c r="G164" s="4">
        <v>1</v>
      </c>
      <c r="H164" s="4">
        <v>1</v>
      </c>
      <c r="I164" s="4">
        <v>1</v>
      </c>
      <c r="J164" s="4">
        <v>1</v>
      </c>
      <c r="K164" s="4">
        <v>1</v>
      </c>
      <c r="L164" s="4">
        <v>1</v>
      </c>
      <c r="M164" s="4">
        <v>1</v>
      </c>
      <c r="N164" s="4">
        <v>1</v>
      </c>
      <c r="O164" s="4">
        <v>1</v>
      </c>
      <c r="P164" s="4">
        <v>1</v>
      </c>
      <c r="Q164" s="4">
        <v>1</v>
      </c>
      <c r="R164" s="4">
        <v>1</v>
      </c>
      <c r="S164" s="4">
        <v>1</v>
      </c>
      <c r="T164" s="4">
        <v>18</v>
      </c>
    </row>
    <row r="165" spans="1:21">
      <c r="A165" s="4" t="s">
        <v>184</v>
      </c>
      <c r="B165" s="4">
        <v>3</v>
      </c>
      <c r="C165" s="4">
        <v>3</v>
      </c>
      <c r="D165" s="4">
        <v>4</v>
      </c>
      <c r="E165" s="4">
        <v>5</v>
      </c>
      <c r="F165" s="4">
        <v>4</v>
      </c>
      <c r="G165" s="4">
        <v>4</v>
      </c>
      <c r="H165" s="4">
        <v>4</v>
      </c>
      <c r="I165" s="4">
        <v>4</v>
      </c>
      <c r="J165" s="4">
        <v>4</v>
      </c>
      <c r="K165" s="4">
        <v>5</v>
      </c>
      <c r="L165" s="4">
        <v>5</v>
      </c>
      <c r="M165" s="4">
        <v>4</v>
      </c>
      <c r="N165" s="4">
        <v>4</v>
      </c>
      <c r="O165" s="4">
        <v>3</v>
      </c>
      <c r="P165" s="4">
        <v>5</v>
      </c>
      <c r="Q165" s="4">
        <v>5</v>
      </c>
      <c r="R165" s="4">
        <v>4</v>
      </c>
      <c r="S165" s="4">
        <v>5</v>
      </c>
      <c r="T165" s="4">
        <v>75</v>
      </c>
    </row>
    <row r="166" spans="1:21">
      <c r="A166" s="4" t="s">
        <v>185</v>
      </c>
      <c r="B166" s="4">
        <v>3</v>
      </c>
      <c r="C166" s="4">
        <v>4</v>
      </c>
      <c r="D166" s="4">
        <v>3</v>
      </c>
      <c r="E166" s="4">
        <v>4</v>
      </c>
      <c r="F166" s="4">
        <v>3</v>
      </c>
      <c r="G166" s="4">
        <v>3</v>
      </c>
      <c r="H166" s="4">
        <v>4</v>
      </c>
      <c r="I166" s="4">
        <v>3</v>
      </c>
      <c r="J166" s="4">
        <v>4</v>
      </c>
      <c r="K166" s="4">
        <v>3</v>
      </c>
      <c r="L166" s="4">
        <v>4</v>
      </c>
      <c r="M166" s="4">
        <v>4</v>
      </c>
      <c r="N166" s="4">
        <v>3</v>
      </c>
      <c r="O166" s="4">
        <v>4</v>
      </c>
      <c r="P166" s="4">
        <v>3</v>
      </c>
      <c r="Q166" s="4">
        <v>3</v>
      </c>
      <c r="R166" s="4">
        <v>3</v>
      </c>
      <c r="S166" s="4">
        <v>4</v>
      </c>
      <c r="T166" s="4">
        <v>62</v>
      </c>
    </row>
    <row r="167" spans="1:21">
      <c r="A167" s="4" t="s">
        <v>186</v>
      </c>
      <c r="B167" s="4">
        <v>2</v>
      </c>
      <c r="C167" s="4">
        <v>3</v>
      </c>
      <c r="D167" s="4">
        <v>2</v>
      </c>
      <c r="E167" s="4">
        <v>2</v>
      </c>
      <c r="F167" s="4">
        <v>3</v>
      </c>
      <c r="G167" s="4">
        <v>2</v>
      </c>
      <c r="H167" s="4">
        <v>2</v>
      </c>
      <c r="I167" s="4">
        <v>3</v>
      </c>
      <c r="J167" s="4">
        <v>3</v>
      </c>
      <c r="K167" s="4">
        <v>2</v>
      </c>
      <c r="L167" s="4">
        <v>2</v>
      </c>
      <c r="M167" s="4">
        <v>3</v>
      </c>
      <c r="N167" s="4">
        <v>2</v>
      </c>
      <c r="O167" s="4">
        <v>3</v>
      </c>
      <c r="P167" s="4">
        <v>3</v>
      </c>
      <c r="Q167" s="4">
        <v>2</v>
      </c>
      <c r="R167" s="4">
        <v>2</v>
      </c>
      <c r="S167" s="4">
        <v>2</v>
      </c>
      <c r="T167" s="4">
        <v>43</v>
      </c>
    </row>
    <row r="168" spans="1:21">
      <c r="A168" s="4" t="s">
        <v>187</v>
      </c>
      <c r="B168" s="4">
        <v>2</v>
      </c>
      <c r="C168" s="4">
        <v>2</v>
      </c>
      <c r="D168" s="4">
        <v>3</v>
      </c>
      <c r="E168" s="4">
        <v>3</v>
      </c>
      <c r="F168" s="4">
        <v>3</v>
      </c>
      <c r="G168" s="4">
        <v>3</v>
      </c>
      <c r="H168" s="4">
        <v>3</v>
      </c>
      <c r="I168" s="4">
        <v>3</v>
      </c>
      <c r="J168" s="4">
        <v>2</v>
      </c>
      <c r="K168" s="4">
        <v>2</v>
      </c>
      <c r="L168" s="4">
        <v>2</v>
      </c>
      <c r="M168" s="4">
        <v>3</v>
      </c>
      <c r="N168" s="4">
        <v>2</v>
      </c>
      <c r="O168" s="4">
        <v>2</v>
      </c>
      <c r="P168" s="4">
        <v>3</v>
      </c>
      <c r="Q168" s="4">
        <v>3</v>
      </c>
      <c r="R168" s="4">
        <v>3</v>
      </c>
      <c r="S168" s="4">
        <v>2</v>
      </c>
      <c r="T168" s="4">
        <v>46</v>
      </c>
    </row>
    <row r="169" spans="1:21">
      <c r="A169" s="4" t="s">
        <v>188</v>
      </c>
      <c r="B169" s="4">
        <v>3</v>
      </c>
      <c r="C169" s="4">
        <v>3</v>
      </c>
      <c r="D169" s="4">
        <v>2</v>
      </c>
      <c r="E169" s="4">
        <v>3</v>
      </c>
      <c r="F169" s="4">
        <v>2</v>
      </c>
      <c r="G169" s="4">
        <v>2</v>
      </c>
      <c r="H169" s="4">
        <v>3</v>
      </c>
      <c r="I169" s="4">
        <v>2</v>
      </c>
      <c r="J169" s="4">
        <v>3</v>
      </c>
      <c r="K169" s="4">
        <v>2</v>
      </c>
      <c r="L169" s="4">
        <v>3</v>
      </c>
      <c r="M169" s="4">
        <v>3</v>
      </c>
      <c r="N169" s="4">
        <v>3</v>
      </c>
      <c r="O169" s="4">
        <v>3</v>
      </c>
      <c r="P169" s="4">
        <v>2</v>
      </c>
      <c r="Q169" s="4">
        <v>3</v>
      </c>
      <c r="R169" s="4">
        <v>3</v>
      </c>
      <c r="S169" s="4">
        <v>3</v>
      </c>
      <c r="T169" s="4">
        <v>48</v>
      </c>
    </row>
    <row r="170" spans="1:21">
      <c r="A170" s="4" t="s">
        <v>189</v>
      </c>
      <c r="B170" s="4">
        <v>2</v>
      </c>
      <c r="C170" s="4">
        <v>3</v>
      </c>
      <c r="D170" s="4">
        <v>3</v>
      </c>
      <c r="E170" s="4">
        <v>3</v>
      </c>
      <c r="F170" s="4">
        <v>4</v>
      </c>
      <c r="G170" s="4">
        <v>2</v>
      </c>
      <c r="H170" s="4">
        <v>3</v>
      </c>
      <c r="I170" s="4">
        <v>2</v>
      </c>
      <c r="J170" s="4">
        <v>2</v>
      </c>
      <c r="K170" s="4">
        <v>4</v>
      </c>
      <c r="L170" s="4">
        <v>3</v>
      </c>
      <c r="M170" s="4">
        <v>3</v>
      </c>
      <c r="N170" s="4">
        <v>3</v>
      </c>
      <c r="O170" s="4">
        <v>3</v>
      </c>
      <c r="P170" s="4">
        <v>3</v>
      </c>
      <c r="Q170" s="4">
        <v>2</v>
      </c>
      <c r="R170" s="4">
        <v>2</v>
      </c>
      <c r="S170" s="4">
        <v>2</v>
      </c>
      <c r="T170" s="4">
        <v>49</v>
      </c>
    </row>
    <row r="171" spans="1:21">
      <c r="A171" s="4" t="s">
        <v>190</v>
      </c>
      <c r="B171" s="4">
        <v>2</v>
      </c>
      <c r="C171" s="4">
        <v>3</v>
      </c>
      <c r="D171" s="4">
        <v>3</v>
      </c>
      <c r="E171" s="4">
        <v>2</v>
      </c>
      <c r="F171" s="4">
        <v>2</v>
      </c>
      <c r="G171" s="4">
        <v>2</v>
      </c>
      <c r="H171" s="4">
        <v>3</v>
      </c>
      <c r="I171" s="4">
        <v>3</v>
      </c>
      <c r="J171" s="4">
        <v>3</v>
      </c>
      <c r="K171" s="4">
        <v>3</v>
      </c>
      <c r="L171" s="4">
        <v>3</v>
      </c>
      <c r="M171" s="4">
        <v>3</v>
      </c>
      <c r="N171" s="4">
        <v>2</v>
      </c>
      <c r="O171" s="4">
        <v>4</v>
      </c>
      <c r="P171" s="4">
        <v>3</v>
      </c>
      <c r="Q171" s="4">
        <v>4</v>
      </c>
      <c r="R171" s="4">
        <v>2</v>
      </c>
      <c r="S171" s="4">
        <v>4</v>
      </c>
      <c r="T171" s="4">
        <v>51</v>
      </c>
    </row>
    <row r="172" spans="1:21">
      <c r="A172" s="4" t="s">
        <v>191</v>
      </c>
      <c r="B172" s="4">
        <v>3</v>
      </c>
      <c r="C172" s="4">
        <v>5</v>
      </c>
      <c r="D172" s="4">
        <v>4</v>
      </c>
      <c r="E172" s="4">
        <v>5</v>
      </c>
      <c r="F172" s="4">
        <v>5</v>
      </c>
      <c r="G172" s="4">
        <v>5</v>
      </c>
      <c r="H172" s="4">
        <v>5</v>
      </c>
      <c r="I172" s="4">
        <v>4</v>
      </c>
      <c r="J172" s="4">
        <v>3</v>
      </c>
      <c r="K172" s="4">
        <v>5</v>
      </c>
      <c r="L172" s="4">
        <v>5</v>
      </c>
      <c r="M172" s="4">
        <v>5</v>
      </c>
      <c r="N172" s="4">
        <v>5</v>
      </c>
      <c r="O172" s="4">
        <v>5</v>
      </c>
      <c r="P172" s="4">
        <v>4</v>
      </c>
      <c r="Q172" s="4">
        <v>5</v>
      </c>
      <c r="R172" s="4">
        <v>3</v>
      </c>
      <c r="S172" s="4">
        <v>3</v>
      </c>
      <c r="T172" s="4">
        <v>79</v>
      </c>
    </row>
    <row r="173" spans="1:21">
      <c r="A173" s="4" t="s">
        <v>192</v>
      </c>
      <c r="B173" s="4">
        <v>3</v>
      </c>
      <c r="C173" s="4">
        <v>4</v>
      </c>
      <c r="D173" s="4">
        <v>2</v>
      </c>
      <c r="E173" s="4">
        <v>3</v>
      </c>
      <c r="F173" s="4">
        <v>2</v>
      </c>
      <c r="G173" s="4">
        <v>3</v>
      </c>
      <c r="H173" s="4">
        <v>4</v>
      </c>
      <c r="I173" s="4">
        <v>4</v>
      </c>
      <c r="J173" s="4">
        <v>3</v>
      </c>
      <c r="K173" s="4">
        <v>2</v>
      </c>
      <c r="L173" s="4">
        <v>4</v>
      </c>
      <c r="M173" s="4">
        <v>2</v>
      </c>
      <c r="N173" s="4">
        <v>3</v>
      </c>
      <c r="O173" s="4">
        <v>2</v>
      </c>
      <c r="P173" s="4">
        <v>3</v>
      </c>
      <c r="Q173" s="4">
        <v>3</v>
      </c>
      <c r="R173" s="4">
        <v>3</v>
      </c>
      <c r="S173" s="4">
        <v>3</v>
      </c>
      <c r="T173" s="4">
        <v>53</v>
      </c>
    </row>
    <row r="174" spans="1:21">
      <c r="A174" s="4" t="s">
        <v>193</v>
      </c>
      <c r="B174" s="4">
        <v>2</v>
      </c>
      <c r="C174" s="4">
        <v>2</v>
      </c>
      <c r="D174" s="4">
        <v>1</v>
      </c>
      <c r="E174" s="4">
        <v>2</v>
      </c>
      <c r="F174" s="4">
        <v>1</v>
      </c>
      <c r="G174" s="4">
        <v>1</v>
      </c>
      <c r="H174" s="4">
        <v>1</v>
      </c>
      <c r="I174" s="4">
        <v>1</v>
      </c>
      <c r="J174" s="4">
        <v>2</v>
      </c>
      <c r="K174" s="4">
        <v>1</v>
      </c>
      <c r="L174" s="4">
        <v>2</v>
      </c>
      <c r="M174" s="4">
        <v>2</v>
      </c>
      <c r="N174" s="4">
        <v>2</v>
      </c>
      <c r="O174" s="4">
        <v>2</v>
      </c>
      <c r="P174" s="4">
        <v>2</v>
      </c>
      <c r="Q174" s="4">
        <v>1</v>
      </c>
      <c r="R174" s="4">
        <v>2</v>
      </c>
      <c r="S174" s="4">
        <v>2</v>
      </c>
      <c r="T174" s="4">
        <v>29</v>
      </c>
    </row>
    <row r="175" spans="1:21">
      <c r="A175" s="4" t="s">
        <v>194</v>
      </c>
      <c r="B175" s="4">
        <v>3</v>
      </c>
      <c r="C175" s="4">
        <v>2</v>
      </c>
      <c r="D175" s="4">
        <v>2</v>
      </c>
      <c r="E175" s="4">
        <v>4</v>
      </c>
      <c r="F175" s="4">
        <v>3</v>
      </c>
      <c r="G175" s="4">
        <v>4</v>
      </c>
      <c r="H175" s="4">
        <v>3</v>
      </c>
      <c r="I175" s="4">
        <v>3</v>
      </c>
      <c r="J175" s="4">
        <v>2</v>
      </c>
      <c r="K175" s="4">
        <v>3</v>
      </c>
      <c r="L175" s="4">
        <v>3</v>
      </c>
      <c r="M175" s="4">
        <v>2</v>
      </c>
      <c r="N175" s="4">
        <v>3</v>
      </c>
      <c r="O175" s="4">
        <v>3</v>
      </c>
      <c r="P175" s="4">
        <v>4</v>
      </c>
      <c r="Q175" s="4">
        <v>3</v>
      </c>
      <c r="R175" s="4">
        <v>3</v>
      </c>
      <c r="S175" s="4">
        <v>2</v>
      </c>
      <c r="T175" s="4">
        <v>52</v>
      </c>
    </row>
    <row r="176" spans="1:21">
      <c r="A176" s="4" t="s">
        <v>195</v>
      </c>
      <c r="B176" s="4">
        <v>4</v>
      </c>
      <c r="C176" s="4">
        <v>2</v>
      </c>
      <c r="D176" s="4">
        <v>4</v>
      </c>
      <c r="E176" s="4">
        <v>4</v>
      </c>
      <c r="F176" s="4">
        <v>4</v>
      </c>
      <c r="G176" s="4">
        <v>3</v>
      </c>
      <c r="H176" s="4">
        <v>4</v>
      </c>
      <c r="I176" s="4">
        <v>3</v>
      </c>
      <c r="J176" s="4">
        <v>3</v>
      </c>
      <c r="K176" s="4">
        <v>4</v>
      </c>
      <c r="L176" s="4">
        <v>3</v>
      </c>
      <c r="M176" s="4">
        <v>3</v>
      </c>
      <c r="N176" s="4">
        <v>3</v>
      </c>
      <c r="O176" s="4">
        <v>4</v>
      </c>
      <c r="P176" s="4">
        <v>2</v>
      </c>
      <c r="Q176" s="4">
        <v>3</v>
      </c>
      <c r="R176" s="4">
        <v>3</v>
      </c>
      <c r="S176" s="4">
        <v>3</v>
      </c>
      <c r="T176" s="4">
        <v>59</v>
      </c>
    </row>
    <row r="177" spans="1:21">
      <c r="A177" s="4" t="s">
        <v>196</v>
      </c>
      <c r="B177" s="4">
        <v>3</v>
      </c>
      <c r="C177" s="4">
        <v>3</v>
      </c>
      <c r="D177" s="4">
        <v>4</v>
      </c>
      <c r="E177" s="4">
        <v>3</v>
      </c>
      <c r="F177" s="4">
        <v>3</v>
      </c>
      <c r="G177" s="4">
        <v>3</v>
      </c>
      <c r="H177" s="4">
        <v>3</v>
      </c>
      <c r="I177" s="4">
        <v>4</v>
      </c>
      <c r="J177" s="4">
        <v>3</v>
      </c>
      <c r="K177" s="4">
        <v>4</v>
      </c>
      <c r="L177" s="4">
        <v>4</v>
      </c>
      <c r="M177" s="4">
        <v>4</v>
      </c>
      <c r="N177" s="4">
        <v>4</v>
      </c>
      <c r="O177" s="4">
        <v>3</v>
      </c>
      <c r="P177" s="4">
        <v>3</v>
      </c>
      <c r="Q177" s="4">
        <v>4</v>
      </c>
      <c r="R177" s="4">
        <v>3</v>
      </c>
      <c r="S177" s="4">
        <v>3</v>
      </c>
      <c r="T177" s="4">
        <v>61</v>
      </c>
    </row>
    <row r="178" spans="1:21">
      <c r="A178" s="4" t="s">
        <v>197</v>
      </c>
      <c r="B178" s="4">
        <v>5</v>
      </c>
      <c r="C178" s="4">
        <v>5</v>
      </c>
      <c r="D178" s="4">
        <v>4</v>
      </c>
      <c r="E178" s="4">
        <v>3</v>
      </c>
      <c r="F178" s="4">
        <v>4</v>
      </c>
      <c r="G178" s="4">
        <v>5</v>
      </c>
      <c r="H178" s="4">
        <v>3</v>
      </c>
      <c r="I178" s="4">
        <v>4</v>
      </c>
      <c r="J178" s="4">
        <v>3</v>
      </c>
      <c r="K178" s="4">
        <v>4</v>
      </c>
      <c r="L178" s="4">
        <v>5</v>
      </c>
      <c r="M178" s="4">
        <v>5</v>
      </c>
      <c r="N178" s="4">
        <v>4</v>
      </c>
      <c r="O178" s="4">
        <v>4</v>
      </c>
      <c r="P178" s="4">
        <v>5</v>
      </c>
      <c r="Q178" s="4">
        <v>5</v>
      </c>
      <c r="R178" s="4">
        <v>5</v>
      </c>
      <c r="S178" s="4">
        <v>4</v>
      </c>
      <c r="T178" s="4">
        <v>77</v>
      </c>
    </row>
    <row r="179" spans="1:21">
      <c r="A179" s="4" t="s">
        <v>198</v>
      </c>
      <c r="B179" s="4">
        <v>2</v>
      </c>
      <c r="C179" s="4">
        <v>3</v>
      </c>
      <c r="D179" s="4">
        <v>2</v>
      </c>
      <c r="E179" s="4">
        <v>2</v>
      </c>
      <c r="F179" s="4">
        <v>2</v>
      </c>
      <c r="G179" s="4">
        <v>2</v>
      </c>
      <c r="H179" s="4">
        <v>3</v>
      </c>
      <c r="I179" s="4">
        <v>2</v>
      </c>
      <c r="J179" s="4">
        <v>3</v>
      </c>
      <c r="K179" s="4">
        <v>2</v>
      </c>
      <c r="L179" s="4">
        <v>2</v>
      </c>
      <c r="M179" s="4">
        <v>2</v>
      </c>
      <c r="N179" s="4">
        <v>2</v>
      </c>
      <c r="O179" s="4">
        <v>2</v>
      </c>
      <c r="P179" s="4">
        <v>3</v>
      </c>
      <c r="Q179" s="4">
        <v>3</v>
      </c>
      <c r="R179" s="4">
        <v>3</v>
      </c>
      <c r="S179" s="4">
        <v>3</v>
      </c>
      <c r="T179" s="4">
        <v>43</v>
      </c>
    </row>
    <row r="180" spans="1:21">
      <c r="A180" s="4" t="s">
        <v>199</v>
      </c>
      <c r="B180" s="4">
        <v>1</v>
      </c>
      <c r="C180" s="4">
        <v>1</v>
      </c>
      <c r="D180" s="4">
        <v>1</v>
      </c>
      <c r="E180" s="4">
        <v>1</v>
      </c>
      <c r="F180" s="4">
        <v>1</v>
      </c>
      <c r="G180" s="4">
        <v>1</v>
      </c>
      <c r="H180" s="4">
        <v>1</v>
      </c>
      <c r="I180" s="4">
        <v>1</v>
      </c>
      <c r="J180" s="4">
        <v>1</v>
      </c>
      <c r="K180" s="4">
        <v>1</v>
      </c>
      <c r="L180" s="4">
        <v>1</v>
      </c>
      <c r="M180" s="4">
        <v>1</v>
      </c>
      <c r="N180" s="4">
        <v>1</v>
      </c>
      <c r="O180" s="4">
        <v>1</v>
      </c>
      <c r="P180" s="4">
        <v>1</v>
      </c>
      <c r="Q180" s="4">
        <v>1</v>
      </c>
      <c r="R180" s="4">
        <v>1</v>
      </c>
      <c r="S180" s="4">
        <v>1</v>
      </c>
      <c r="T180" s="4">
        <v>18</v>
      </c>
    </row>
    <row r="181" spans="1:21">
      <c r="A181" s="4" t="s">
        <v>200</v>
      </c>
      <c r="B181" s="4">
        <v>5</v>
      </c>
      <c r="C181" s="4">
        <v>5</v>
      </c>
      <c r="D181" s="4">
        <v>3</v>
      </c>
      <c r="E181" s="4">
        <v>5</v>
      </c>
      <c r="F181" s="4">
        <v>3</v>
      </c>
      <c r="G181" s="4">
        <v>4</v>
      </c>
      <c r="H181" s="4">
        <v>3</v>
      </c>
      <c r="I181" s="4">
        <v>5</v>
      </c>
      <c r="J181" s="4">
        <v>5</v>
      </c>
      <c r="K181" s="4">
        <v>5</v>
      </c>
      <c r="L181" s="4">
        <v>3</v>
      </c>
      <c r="M181" s="4">
        <v>5</v>
      </c>
      <c r="N181" s="4">
        <v>3</v>
      </c>
      <c r="O181" s="4">
        <v>5</v>
      </c>
      <c r="P181" s="4">
        <v>5</v>
      </c>
      <c r="Q181" s="4">
        <v>4</v>
      </c>
      <c r="R181" s="4">
        <v>5</v>
      </c>
      <c r="S181" s="4">
        <v>4</v>
      </c>
      <c r="T181" s="4">
        <v>77</v>
      </c>
    </row>
    <row r="182" spans="1:21">
      <c r="A182" s="4" t="s">
        <v>201</v>
      </c>
      <c r="B182" s="4">
        <v>3</v>
      </c>
      <c r="C182" s="4">
        <v>3</v>
      </c>
      <c r="D182" s="4">
        <v>4</v>
      </c>
      <c r="E182" s="4">
        <v>4</v>
      </c>
      <c r="F182" s="4">
        <v>4</v>
      </c>
      <c r="G182" s="4">
        <v>3</v>
      </c>
      <c r="H182" s="4">
        <v>4</v>
      </c>
      <c r="I182" s="4">
        <v>4</v>
      </c>
      <c r="J182" s="4">
        <v>3</v>
      </c>
      <c r="K182" s="4">
        <v>3</v>
      </c>
      <c r="L182" s="4">
        <v>4</v>
      </c>
      <c r="M182" s="4">
        <v>3</v>
      </c>
      <c r="N182" s="4">
        <v>3</v>
      </c>
      <c r="O182" s="4">
        <v>3</v>
      </c>
      <c r="P182" s="4">
        <v>3</v>
      </c>
      <c r="Q182" s="4">
        <v>4</v>
      </c>
      <c r="R182" s="4">
        <v>4</v>
      </c>
      <c r="S182" s="4">
        <v>4</v>
      </c>
      <c r="T182" s="4">
        <v>63</v>
      </c>
    </row>
    <row r="183" spans="1:21">
      <c r="A183" s="4" t="s">
        <v>202</v>
      </c>
      <c r="B183" s="4">
        <v>3</v>
      </c>
      <c r="C183" s="4">
        <v>2</v>
      </c>
      <c r="D183" s="4">
        <v>3</v>
      </c>
      <c r="E183" s="4">
        <v>3</v>
      </c>
      <c r="F183" s="4">
        <v>3</v>
      </c>
      <c r="G183" s="4">
        <v>3</v>
      </c>
      <c r="H183" s="4">
        <v>3</v>
      </c>
      <c r="I183" s="4">
        <v>3</v>
      </c>
      <c r="J183" s="4">
        <v>2</v>
      </c>
      <c r="K183" s="4">
        <v>2</v>
      </c>
      <c r="L183" s="4">
        <v>2</v>
      </c>
      <c r="M183" s="4">
        <v>3</v>
      </c>
      <c r="N183" s="4">
        <v>2</v>
      </c>
      <c r="O183" s="4">
        <v>2</v>
      </c>
      <c r="P183" s="4">
        <v>3</v>
      </c>
      <c r="Q183" s="4">
        <v>2</v>
      </c>
      <c r="R183" s="4">
        <v>3</v>
      </c>
      <c r="S183" s="4">
        <v>2</v>
      </c>
      <c r="T183" s="4">
        <v>46</v>
      </c>
    </row>
    <row r="184" spans="1:21">
      <c r="A184" s="4" t="s">
        <v>203</v>
      </c>
      <c r="B184" s="4">
        <v>4</v>
      </c>
      <c r="C184" s="4">
        <v>4</v>
      </c>
      <c r="D184" s="4">
        <v>3</v>
      </c>
      <c r="E184" s="4">
        <v>2</v>
      </c>
      <c r="F184" s="4">
        <v>3</v>
      </c>
      <c r="G184" s="4">
        <v>4</v>
      </c>
      <c r="H184" s="4">
        <v>3</v>
      </c>
      <c r="I184" s="4">
        <v>3</v>
      </c>
      <c r="J184" s="4">
        <v>4</v>
      </c>
      <c r="K184" s="4">
        <v>4</v>
      </c>
      <c r="L184" s="4">
        <v>4</v>
      </c>
      <c r="M184" s="4">
        <v>2</v>
      </c>
      <c r="N184" s="4">
        <v>2</v>
      </c>
      <c r="O184" s="4">
        <v>3</v>
      </c>
      <c r="P184" s="4">
        <v>4</v>
      </c>
      <c r="Q184" s="4">
        <v>4</v>
      </c>
      <c r="R184" s="4">
        <v>3</v>
      </c>
      <c r="S184" s="4">
        <v>4</v>
      </c>
      <c r="T184" s="4">
        <v>60</v>
      </c>
    </row>
    <row r="185" spans="1:21">
      <c r="A185" s="4" t="s">
        <v>204</v>
      </c>
      <c r="B185" s="4">
        <v>2</v>
      </c>
      <c r="C185" s="4">
        <v>4</v>
      </c>
      <c r="D185" s="4">
        <v>3</v>
      </c>
      <c r="E185" s="4">
        <v>3</v>
      </c>
      <c r="F185" s="4">
        <v>4</v>
      </c>
      <c r="G185" s="4">
        <v>3</v>
      </c>
      <c r="H185" s="4">
        <v>3</v>
      </c>
      <c r="I185" s="4">
        <v>4</v>
      </c>
      <c r="J185" s="4">
        <v>4</v>
      </c>
      <c r="K185" s="4">
        <v>2</v>
      </c>
      <c r="L185" s="4">
        <v>2</v>
      </c>
      <c r="M185" s="4">
        <v>4</v>
      </c>
      <c r="N185" s="4">
        <v>3</v>
      </c>
      <c r="O185" s="4">
        <v>4</v>
      </c>
      <c r="P185" s="4">
        <v>2</v>
      </c>
      <c r="Q185" s="4">
        <v>3</v>
      </c>
      <c r="R185" s="4">
        <v>4</v>
      </c>
      <c r="S185" s="4">
        <v>2</v>
      </c>
      <c r="T185" s="4">
        <v>56</v>
      </c>
    </row>
    <row r="186" spans="1:21">
      <c r="A186" s="4" t="s">
        <v>205</v>
      </c>
      <c r="B186" s="4">
        <v>3</v>
      </c>
      <c r="C186" s="4">
        <v>3</v>
      </c>
      <c r="D186" s="4">
        <v>3</v>
      </c>
      <c r="E186" s="4">
        <v>2</v>
      </c>
      <c r="F186" s="4">
        <v>2</v>
      </c>
      <c r="G186" s="4">
        <v>3</v>
      </c>
      <c r="H186" s="4">
        <v>2</v>
      </c>
      <c r="I186" s="4">
        <v>4</v>
      </c>
      <c r="J186" s="4">
        <v>4</v>
      </c>
      <c r="K186" s="4">
        <v>4</v>
      </c>
      <c r="L186" s="4">
        <v>3</v>
      </c>
      <c r="M186" s="4">
        <v>2</v>
      </c>
      <c r="N186" s="4">
        <v>2</v>
      </c>
      <c r="O186" s="4">
        <v>3</v>
      </c>
      <c r="P186" s="4">
        <v>3</v>
      </c>
      <c r="Q186" s="4">
        <v>3</v>
      </c>
      <c r="R186" s="4">
        <v>4</v>
      </c>
      <c r="S186" s="4">
        <v>2</v>
      </c>
      <c r="T186" s="4">
        <v>52</v>
      </c>
    </row>
    <row r="187" spans="1:21">
      <c r="A187" s="4" t="s">
        <v>206</v>
      </c>
      <c r="B187" s="4">
        <v>4</v>
      </c>
      <c r="C187" s="4">
        <v>5</v>
      </c>
      <c r="D187" s="4">
        <v>5</v>
      </c>
      <c r="E187" s="4">
        <v>5</v>
      </c>
      <c r="F187" s="4">
        <v>3</v>
      </c>
      <c r="G187" s="4">
        <v>5</v>
      </c>
      <c r="H187" s="4">
        <v>4</v>
      </c>
      <c r="I187" s="4">
        <v>4</v>
      </c>
      <c r="J187" s="4">
        <v>5</v>
      </c>
      <c r="K187" s="4">
        <v>3</v>
      </c>
      <c r="L187" s="4">
        <v>5</v>
      </c>
      <c r="M187" s="4">
        <v>5</v>
      </c>
      <c r="N187" s="4">
        <v>3</v>
      </c>
      <c r="O187" s="4">
        <v>5</v>
      </c>
      <c r="P187" s="4">
        <v>4</v>
      </c>
      <c r="Q187" s="4">
        <v>5</v>
      </c>
      <c r="R187" s="4">
        <v>4</v>
      </c>
      <c r="S187" s="4">
        <v>5</v>
      </c>
      <c r="T187" s="4">
        <v>79</v>
      </c>
    </row>
    <row r="188" spans="1:21">
      <c r="A188" s="4" t="s">
        <v>207</v>
      </c>
      <c r="B188" s="4">
        <v>3</v>
      </c>
      <c r="C188" s="4">
        <v>3</v>
      </c>
      <c r="D188" s="4">
        <v>3</v>
      </c>
      <c r="E188" s="4">
        <v>3</v>
      </c>
      <c r="F188" s="4">
        <v>2</v>
      </c>
      <c r="G188" s="4">
        <v>2</v>
      </c>
      <c r="H188" s="4">
        <v>3</v>
      </c>
      <c r="I188" s="4">
        <v>3</v>
      </c>
      <c r="J188" s="4">
        <v>2</v>
      </c>
      <c r="K188" s="4">
        <v>2</v>
      </c>
      <c r="L188" s="4">
        <v>2</v>
      </c>
      <c r="M188" s="4">
        <v>2</v>
      </c>
      <c r="N188" s="4">
        <v>3</v>
      </c>
      <c r="O188" s="4">
        <v>3</v>
      </c>
      <c r="P188" s="4">
        <v>2</v>
      </c>
      <c r="Q188" s="4">
        <v>3</v>
      </c>
      <c r="R188" s="4">
        <v>3</v>
      </c>
      <c r="S188" s="4">
        <v>2</v>
      </c>
      <c r="T188" s="4">
        <v>46</v>
      </c>
    </row>
    <row r="189" spans="1:21">
      <c r="A189" s="4" t="s">
        <v>208</v>
      </c>
      <c r="B189" s="4">
        <v>3</v>
      </c>
      <c r="C189" s="4">
        <v>3</v>
      </c>
      <c r="D189" s="4">
        <v>4</v>
      </c>
      <c r="E189" s="4">
        <v>4</v>
      </c>
      <c r="F189" s="4">
        <v>2</v>
      </c>
      <c r="G189" s="4">
        <v>3</v>
      </c>
      <c r="H189" s="4">
        <v>2</v>
      </c>
      <c r="I189" s="4">
        <v>2</v>
      </c>
      <c r="J189" s="4">
        <v>2</v>
      </c>
      <c r="K189" s="4">
        <v>2</v>
      </c>
      <c r="L189" s="4">
        <v>4</v>
      </c>
      <c r="M189" s="4">
        <v>3</v>
      </c>
      <c r="N189" s="4">
        <v>2</v>
      </c>
      <c r="O189" s="4">
        <v>4</v>
      </c>
      <c r="P189" s="4">
        <v>3</v>
      </c>
      <c r="Q189" s="4">
        <v>4</v>
      </c>
      <c r="R189" s="4">
        <v>3</v>
      </c>
      <c r="S189" s="4">
        <v>3</v>
      </c>
      <c r="T189" s="4">
        <v>53</v>
      </c>
    </row>
    <row r="190" spans="1:21">
      <c r="A190" s="4" t="s">
        <v>209</v>
      </c>
      <c r="B190" s="4">
        <v>4</v>
      </c>
      <c r="C190" s="4">
        <v>3</v>
      </c>
      <c r="D190" s="4">
        <v>2</v>
      </c>
      <c r="E190" s="4">
        <v>3</v>
      </c>
      <c r="F190" s="4">
        <v>4</v>
      </c>
      <c r="G190" s="4">
        <v>4</v>
      </c>
      <c r="H190" s="4">
        <v>3</v>
      </c>
      <c r="I190" s="4">
        <v>3</v>
      </c>
      <c r="J190" s="4">
        <v>3</v>
      </c>
      <c r="K190" s="4">
        <v>3</v>
      </c>
      <c r="L190" s="4">
        <v>4</v>
      </c>
      <c r="M190" s="4">
        <v>4</v>
      </c>
      <c r="N190" s="4">
        <v>4</v>
      </c>
      <c r="O190" s="4">
        <v>4</v>
      </c>
      <c r="P190" s="4">
        <v>3</v>
      </c>
      <c r="Q190" s="4">
        <v>2</v>
      </c>
      <c r="R190" s="4">
        <v>4</v>
      </c>
      <c r="S190" s="4">
        <v>3</v>
      </c>
      <c r="T190" s="4">
        <v>60</v>
      </c>
    </row>
    <row r="191" spans="1:21">
      <c r="A191" s="4" t="s">
        <v>210</v>
      </c>
      <c r="B191" s="4">
        <v>2</v>
      </c>
      <c r="C191" s="4">
        <v>3</v>
      </c>
      <c r="D191" s="4">
        <v>4</v>
      </c>
      <c r="E191" s="4">
        <v>2</v>
      </c>
      <c r="F191" s="4">
        <v>4</v>
      </c>
      <c r="G191" s="4">
        <v>3</v>
      </c>
      <c r="H191" s="4">
        <v>3</v>
      </c>
      <c r="I191" s="4">
        <v>3</v>
      </c>
      <c r="J191" s="4">
        <v>4</v>
      </c>
      <c r="K191" s="4">
        <v>2</v>
      </c>
      <c r="L191" s="4">
        <v>3</v>
      </c>
      <c r="M191" s="4">
        <v>2</v>
      </c>
      <c r="N191" s="4">
        <v>4</v>
      </c>
      <c r="O191" s="4">
        <v>4</v>
      </c>
      <c r="P191" s="4">
        <v>4</v>
      </c>
      <c r="Q191" s="4">
        <v>2</v>
      </c>
      <c r="R191" s="4">
        <v>2</v>
      </c>
      <c r="S191" s="4">
        <v>3</v>
      </c>
      <c r="T191" s="4">
        <v>54</v>
      </c>
    </row>
    <row r="192" spans="1:21">
      <c r="A192" s="4" t="s">
        <v>211</v>
      </c>
      <c r="B192" s="4">
        <v>2</v>
      </c>
      <c r="C192" s="4">
        <v>2</v>
      </c>
      <c r="D192" s="4">
        <v>2</v>
      </c>
      <c r="E192" s="4">
        <v>2</v>
      </c>
      <c r="F192" s="4">
        <v>1</v>
      </c>
      <c r="G192" s="4">
        <v>1</v>
      </c>
      <c r="H192" s="4">
        <v>2</v>
      </c>
      <c r="I192" s="4">
        <v>2</v>
      </c>
      <c r="J192" s="4">
        <v>2</v>
      </c>
      <c r="K192" s="4">
        <v>2</v>
      </c>
      <c r="L192" s="4">
        <v>2</v>
      </c>
      <c r="M192" s="4">
        <v>1</v>
      </c>
      <c r="N192" s="4">
        <v>1</v>
      </c>
      <c r="O192" s="4">
        <v>1</v>
      </c>
      <c r="P192" s="4">
        <v>1</v>
      </c>
      <c r="Q192" s="4">
        <v>1</v>
      </c>
      <c r="R192" s="4">
        <v>2</v>
      </c>
      <c r="S192" s="4">
        <v>1</v>
      </c>
      <c r="T192" s="4">
        <v>28</v>
      </c>
    </row>
    <row r="193" spans="1:21">
      <c r="A193" s="4" t="s">
        <v>212</v>
      </c>
      <c r="B193" s="4">
        <v>3</v>
      </c>
      <c r="C193" s="4">
        <v>4</v>
      </c>
      <c r="D193" s="4">
        <v>3</v>
      </c>
      <c r="E193" s="4">
        <v>2</v>
      </c>
      <c r="F193" s="4">
        <v>3</v>
      </c>
      <c r="G193" s="4">
        <v>3</v>
      </c>
      <c r="H193" s="4">
        <v>4</v>
      </c>
      <c r="I193" s="4">
        <v>3</v>
      </c>
      <c r="J193" s="4">
        <v>3</v>
      </c>
      <c r="K193" s="4">
        <v>2</v>
      </c>
      <c r="L193" s="4">
        <v>2</v>
      </c>
      <c r="M193" s="4">
        <v>3</v>
      </c>
      <c r="N193" s="4">
        <v>3</v>
      </c>
      <c r="O193" s="4">
        <v>3</v>
      </c>
      <c r="P193" s="4">
        <v>4</v>
      </c>
      <c r="Q193" s="4">
        <v>3</v>
      </c>
      <c r="R193" s="4">
        <v>3</v>
      </c>
      <c r="S193" s="4">
        <v>2</v>
      </c>
      <c r="T193" s="4">
        <v>53</v>
      </c>
    </row>
    <row r="194" spans="1:21">
      <c r="A194" s="4" t="s">
        <v>213</v>
      </c>
      <c r="B194" s="4">
        <v>3</v>
      </c>
      <c r="C194" s="4">
        <v>3</v>
      </c>
      <c r="D194" s="4">
        <v>3</v>
      </c>
      <c r="E194" s="4">
        <v>2</v>
      </c>
      <c r="F194" s="4">
        <v>2</v>
      </c>
      <c r="G194" s="4">
        <v>3</v>
      </c>
      <c r="H194" s="4">
        <v>3</v>
      </c>
      <c r="I194" s="4">
        <v>3</v>
      </c>
      <c r="J194" s="4">
        <v>3</v>
      </c>
      <c r="K194" s="4">
        <v>3</v>
      </c>
      <c r="L194" s="4">
        <v>2</v>
      </c>
      <c r="M194" s="4">
        <v>2</v>
      </c>
      <c r="N194" s="4">
        <v>2</v>
      </c>
      <c r="O194" s="4">
        <v>3</v>
      </c>
      <c r="P194" s="4">
        <v>3</v>
      </c>
      <c r="Q194" s="4">
        <v>3</v>
      </c>
      <c r="R194" s="4">
        <v>3</v>
      </c>
      <c r="S194" s="4">
        <v>3</v>
      </c>
      <c r="T194" s="4">
        <v>49</v>
      </c>
    </row>
    <row r="195" spans="1:21">
      <c r="A195" s="4" t="s">
        <v>214</v>
      </c>
      <c r="B195" s="4">
        <v>2</v>
      </c>
      <c r="C195" s="4">
        <v>1</v>
      </c>
      <c r="D195" s="4">
        <v>2</v>
      </c>
      <c r="E195" s="4">
        <v>1</v>
      </c>
      <c r="F195" s="4">
        <v>1</v>
      </c>
      <c r="G195" s="4">
        <v>1</v>
      </c>
      <c r="H195" s="4">
        <v>2</v>
      </c>
      <c r="I195" s="4">
        <v>1</v>
      </c>
      <c r="J195" s="4">
        <v>2</v>
      </c>
      <c r="K195" s="4">
        <v>1</v>
      </c>
      <c r="L195" s="4">
        <v>2</v>
      </c>
      <c r="M195" s="4">
        <v>1</v>
      </c>
      <c r="N195" s="4">
        <v>2</v>
      </c>
      <c r="O195" s="4">
        <v>1</v>
      </c>
      <c r="P195" s="4">
        <v>2</v>
      </c>
      <c r="Q195" s="4">
        <v>2</v>
      </c>
      <c r="R195" s="4">
        <v>2</v>
      </c>
      <c r="S195" s="4">
        <v>1</v>
      </c>
      <c r="T195" s="4">
        <v>27</v>
      </c>
    </row>
    <row r="196" spans="1:21">
      <c r="A196" s="4" t="s">
        <v>215</v>
      </c>
      <c r="B196" s="4">
        <v>4</v>
      </c>
      <c r="C196" s="4">
        <v>4</v>
      </c>
      <c r="D196" s="4">
        <v>5</v>
      </c>
      <c r="E196" s="4">
        <v>5</v>
      </c>
      <c r="F196" s="4">
        <v>5</v>
      </c>
      <c r="G196" s="4">
        <v>4</v>
      </c>
      <c r="H196" s="4">
        <v>5</v>
      </c>
      <c r="I196" s="4">
        <v>5</v>
      </c>
      <c r="J196" s="4">
        <v>5</v>
      </c>
      <c r="K196" s="4">
        <v>5</v>
      </c>
      <c r="L196" s="4">
        <v>5</v>
      </c>
      <c r="M196" s="4">
        <v>4</v>
      </c>
      <c r="N196" s="4">
        <v>4</v>
      </c>
      <c r="O196" s="4">
        <v>5</v>
      </c>
      <c r="P196" s="4">
        <v>4</v>
      </c>
      <c r="Q196" s="4">
        <v>5</v>
      </c>
      <c r="R196" s="4">
        <v>4</v>
      </c>
      <c r="S196" s="4">
        <v>5</v>
      </c>
      <c r="T196" s="4">
        <v>83</v>
      </c>
    </row>
    <row r="197" spans="1:21">
      <c r="A197" s="4" t="s">
        <v>216</v>
      </c>
      <c r="B197" s="4">
        <v>1</v>
      </c>
      <c r="C197" s="4">
        <v>1</v>
      </c>
      <c r="D197" s="4">
        <v>1</v>
      </c>
      <c r="E197" s="4">
        <v>1</v>
      </c>
      <c r="F197" s="4">
        <v>1</v>
      </c>
      <c r="G197" s="4">
        <v>1</v>
      </c>
      <c r="H197" s="4">
        <v>1</v>
      </c>
      <c r="I197" s="4">
        <v>1</v>
      </c>
      <c r="J197" s="4">
        <v>1</v>
      </c>
      <c r="K197" s="4">
        <v>1</v>
      </c>
      <c r="L197" s="4">
        <v>1</v>
      </c>
      <c r="M197" s="4">
        <v>1</v>
      </c>
      <c r="N197" s="4">
        <v>1</v>
      </c>
      <c r="O197" s="4">
        <v>1</v>
      </c>
      <c r="P197" s="4">
        <v>1</v>
      </c>
      <c r="Q197" s="4">
        <v>1</v>
      </c>
      <c r="R197" s="4">
        <v>1</v>
      </c>
      <c r="S197" s="4">
        <v>1</v>
      </c>
      <c r="T197" s="4">
        <v>18</v>
      </c>
    </row>
    <row r="198" spans="1:21">
      <c r="A198" s="4" t="s">
        <v>217</v>
      </c>
      <c r="B198" s="4">
        <v>4</v>
      </c>
      <c r="C198" s="4">
        <v>4</v>
      </c>
      <c r="D198" s="4">
        <v>5</v>
      </c>
      <c r="E198" s="4">
        <v>4</v>
      </c>
      <c r="F198" s="4">
        <v>5</v>
      </c>
      <c r="G198" s="4">
        <v>4</v>
      </c>
      <c r="H198" s="4">
        <v>5</v>
      </c>
      <c r="I198" s="4">
        <v>5</v>
      </c>
      <c r="J198" s="4">
        <v>5</v>
      </c>
      <c r="K198" s="4">
        <v>5</v>
      </c>
      <c r="L198" s="4">
        <v>5</v>
      </c>
      <c r="M198" s="4">
        <v>5</v>
      </c>
      <c r="N198" s="4">
        <v>5</v>
      </c>
      <c r="O198" s="4">
        <v>5</v>
      </c>
      <c r="P198" s="4">
        <v>5</v>
      </c>
      <c r="Q198" s="4">
        <v>3</v>
      </c>
      <c r="R198" s="4">
        <v>5</v>
      </c>
      <c r="S198" s="4">
        <v>4</v>
      </c>
      <c r="T198" s="4">
        <v>83</v>
      </c>
    </row>
    <row r="199" spans="1:21">
      <c r="A199" s="4" t="s">
        <v>218</v>
      </c>
      <c r="B199" s="4">
        <v>3</v>
      </c>
      <c r="C199" s="4">
        <v>2</v>
      </c>
      <c r="D199" s="4">
        <v>2</v>
      </c>
      <c r="E199" s="4">
        <v>3</v>
      </c>
      <c r="F199" s="4">
        <v>2</v>
      </c>
      <c r="G199" s="4">
        <v>3</v>
      </c>
      <c r="H199" s="4">
        <v>3</v>
      </c>
      <c r="I199" s="4">
        <v>2</v>
      </c>
      <c r="J199" s="4">
        <v>2</v>
      </c>
      <c r="K199" s="4">
        <v>2</v>
      </c>
      <c r="L199" s="4">
        <v>3</v>
      </c>
      <c r="M199" s="4">
        <v>3</v>
      </c>
      <c r="N199" s="4">
        <v>3</v>
      </c>
      <c r="O199" s="4">
        <v>3</v>
      </c>
      <c r="P199" s="4">
        <v>3</v>
      </c>
      <c r="Q199" s="4">
        <v>2</v>
      </c>
      <c r="R199" s="4">
        <v>3</v>
      </c>
      <c r="S199" s="4">
        <v>2</v>
      </c>
      <c r="T199" s="4">
        <v>46</v>
      </c>
    </row>
    <row r="200" spans="1:21">
      <c r="A200" s="4" t="s">
        <v>219</v>
      </c>
      <c r="B200" s="4">
        <v>2</v>
      </c>
      <c r="C200" s="4">
        <v>2</v>
      </c>
      <c r="D200" s="4">
        <v>2</v>
      </c>
      <c r="E200" s="4">
        <v>2</v>
      </c>
      <c r="F200" s="4">
        <v>3</v>
      </c>
      <c r="G200" s="4">
        <v>3</v>
      </c>
      <c r="H200" s="4">
        <v>3</v>
      </c>
      <c r="I200" s="4">
        <v>2</v>
      </c>
      <c r="J200" s="4">
        <v>2</v>
      </c>
      <c r="K200" s="4">
        <v>3</v>
      </c>
      <c r="L200" s="4">
        <v>2</v>
      </c>
      <c r="M200" s="4">
        <v>3</v>
      </c>
      <c r="N200" s="4">
        <v>2</v>
      </c>
      <c r="O200" s="4">
        <v>2</v>
      </c>
      <c r="P200" s="4">
        <v>3</v>
      </c>
      <c r="Q200" s="4">
        <v>3</v>
      </c>
      <c r="R200" s="4">
        <v>2</v>
      </c>
      <c r="S200" s="4">
        <v>2</v>
      </c>
      <c r="T200" s="4">
        <v>43</v>
      </c>
    </row>
    <row r="201" spans="1:21">
      <c r="A201" s="4" t="s">
        <v>220</v>
      </c>
      <c r="B201" s="4">
        <v>3</v>
      </c>
      <c r="C201" s="4">
        <v>3</v>
      </c>
      <c r="D201" s="4">
        <v>3</v>
      </c>
      <c r="E201" s="4">
        <v>3</v>
      </c>
      <c r="F201" s="4">
        <v>3</v>
      </c>
      <c r="G201" s="4">
        <v>3</v>
      </c>
      <c r="H201" s="4">
        <v>3</v>
      </c>
      <c r="I201" s="4">
        <v>3</v>
      </c>
      <c r="J201" s="4">
        <v>2</v>
      </c>
      <c r="K201" s="4">
        <v>4</v>
      </c>
      <c r="L201" s="4">
        <v>3</v>
      </c>
      <c r="M201" s="4">
        <v>4</v>
      </c>
      <c r="N201" s="4">
        <v>3</v>
      </c>
      <c r="O201" s="4">
        <v>3</v>
      </c>
      <c r="P201" s="4">
        <v>4</v>
      </c>
      <c r="Q201" s="4">
        <v>2</v>
      </c>
      <c r="R201" s="4">
        <v>2</v>
      </c>
      <c r="S201" s="4">
        <v>4</v>
      </c>
      <c r="T201" s="4">
        <v>55</v>
      </c>
    </row>
    <row r="202" spans="1:21">
      <c r="A202" s="4" t="s">
        <v>221</v>
      </c>
      <c r="B202" s="4">
        <v>5</v>
      </c>
      <c r="C202" s="4">
        <v>3</v>
      </c>
      <c r="D202" s="4">
        <v>4</v>
      </c>
      <c r="E202" s="4">
        <v>3</v>
      </c>
      <c r="F202" s="4">
        <v>4</v>
      </c>
      <c r="G202" s="4">
        <v>5</v>
      </c>
      <c r="H202" s="4">
        <v>5</v>
      </c>
      <c r="I202" s="4">
        <v>5</v>
      </c>
      <c r="J202" s="4">
        <v>5</v>
      </c>
      <c r="K202" s="4">
        <v>5</v>
      </c>
      <c r="L202" s="4">
        <v>3</v>
      </c>
      <c r="M202" s="4">
        <v>5</v>
      </c>
      <c r="N202" s="4">
        <v>5</v>
      </c>
      <c r="O202" s="4">
        <v>3</v>
      </c>
      <c r="P202" s="4">
        <v>5</v>
      </c>
      <c r="Q202" s="4">
        <v>5</v>
      </c>
      <c r="R202" s="4">
        <v>3</v>
      </c>
      <c r="S202" s="4">
        <v>5</v>
      </c>
      <c r="T202" s="4">
        <v>78</v>
      </c>
    </row>
    <row r="203" spans="1:21">
      <c r="A203" s="4" t="s">
        <v>222</v>
      </c>
      <c r="B203" s="4">
        <v>4</v>
      </c>
      <c r="C203" s="4">
        <v>4</v>
      </c>
      <c r="D203" s="4">
        <v>3</v>
      </c>
      <c r="E203" s="4">
        <v>5</v>
      </c>
      <c r="F203" s="4">
        <v>3</v>
      </c>
      <c r="G203" s="4">
        <v>4</v>
      </c>
      <c r="H203" s="4">
        <v>4</v>
      </c>
      <c r="I203" s="4">
        <v>4</v>
      </c>
      <c r="J203" s="4">
        <v>5</v>
      </c>
      <c r="K203" s="4">
        <v>4</v>
      </c>
      <c r="L203" s="4">
        <v>4</v>
      </c>
      <c r="M203" s="4">
        <v>5</v>
      </c>
      <c r="N203" s="4">
        <v>4</v>
      </c>
      <c r="O203" s="4">
        <v>3</v>
      </c>
      <c r="P203" s="4">
        <v>3</v>
      </c>
      <c r="Q203" s="4">
        <v>4</v>
      </c>
      <c r="R203" s="4">
        <v>5</v>
      </c>
      <c r="S203" s="4">
        <v>4</v>
      </c>
      <c r="T203" s="4">
        <v>72</v>
      </c>
    </row>
    <row r="204" spans="1:21">
      <c r="A204" s="4" t="s">
        <v>223</v>
      </c>
      <c r="B204" s="4">
        <v>1</v>
      </c>
      <c r="C204" s="4">
        <v>1</v>
      </c>
      <c r="D204" s="4">
        <v>2</v>
      </c>
      <c r="E204" s="4">
        <v>1</v>
      </c>
      <c r="F204" s="4">
        <v>2</v>
      </c>
      <c r="G204" s="4">
        <v>2</v>
      </c>
      <c r="H204" s="4">
        <v>2</v>
      </c>
      <c r="I204" s="4">
        <v>2</v>
      </c>
      <c r="J204" s="4">
        <v>2</v>
      </c>
      <c r="K204" s="4">
        <v>2</v>
      </c>
      <c r="L204" s="4">
        <v>1</v>
      </c>
      <c r="M204" s="4">
        <v>1</v>
      </c>
      <c r="N204" s="4">
        <v>1</v>
      </c>
      <c r="O204" s="4">
        <v>1</v>
      </c>
      <c r="P204" s="4">
        <v>1</v>
      </c>
      <c r="Q204" s="4">
        <v>1</v>
      </c>
      <c r="R204" s="4">
        <v>1</v>
      </c>
      <c r="S204" s="4">
        <v>1</v>
      </c>
      <c r="T204" s="4">
        <v>25</v>
      </c>
    </row>
    <row r="205" spans="1:21">
      <c r="A205" s="4" t="s">
        <v>224</v>
      </c>
      <c r="B205" s="4">
        <v>3</v>
      </c>
      <c r="C205" s="4">
        <v>5</v>
      </c>
      <c r="D205" s="4">
        <v>4</v>
      </c>
      <c r="E205" s="4">
        <v>5</v>
      </c>
      <c r="F205" s="4">
        <v>4</v>
      </c>
      <c r="G205" s="4">
        <v>5</v>
      </c>
      <c r="H205" s="4">
        <v>5</v>
      </c>
      <c r="I205" s="4">
        <v>4</v>
      </c>
      <c r="J205" s="4">
        <v>4</v>
      </c>
      <c r="K205" s="4">
        <v>5</v>
      </c>
      <c r="L205" s="4">
        <v>5</v>
      </c>
      <c r="M205" s="4">
        <v>5</v>
      </c>
      <c r="N205" s="4">
        <v>4</v>
      </c>
      <c r="O205" s="4">
        <v>5</v>
      </c>
      <c r="P205" s="4">
        <v>5</v>
      </c>
      <c r="Q205" s="4">
        <v>4</v>
      </c>
      <c r="R205" s="4">
        <v>4</v>
      </c>
      <c r="S205" s="4">
        <v>4</v>
      </c>
      <c r="T205" s="4">
        <v>80</v>
      </c>
    </row>
    <row r="206" spans="1:21">
      <c r="A206" s="4" t="s">
        <v>225</v>
      </c>
      <c r="B206" s="4">
        <v>5</v>
      </c>
      <c r="C206" s="4">
        <v>3</v>
      </c>
      <c r="D206" s="4">
        <v>4</v>
      </c>
      <c r="E206" s="4">
        <v>5</v>
      </c>
      <c r="F206" s="4">
        <v>4</v>
      </c>
      <c r="G206" s="4">
        <v>4</v>
      </c>
      <c r="H206" s="4">
        <v>4</v>
      </c>
      <c r="I206" s="4">
        <v>3</v>
      </c>
      <c r="J206" s="4">
        <v>5</v>
      </c>
      <c r="K206" s="4">
        <v>5</v>
      </c>
      <c r="L206" s="4">
        <v>5</v>
      </c>
      <c r="M206" s="4">
        <v>4</v>
      </c>
      <c r="N206" s="4">
        <v>3</v>
      </c>
      <c r="O206" s="4">
        <v>5</v>
      </c>
      <c r="P206" s="4">
        <v>4</v>
      </c>
      <c r="Q206" s="4">
        <v>5</v>
      </c>
      <c r="R206" s="4">
        <v>4</v>
      </c>
      <c r="S206" s="4">
        <v>5</v>
      </c>
      <c r="T206" s="4">
        <v>77</v>
      </c>
    </row>
    <row r="207" spans="1:21">
      <c r="A207" s="4" t="s">
        <v>226</v>
      </c>
      <c r="B207" s="4">
        <v>1</v>
      </c>
      <c r="C207" s="4">
        <v>1</v>
      </c>
      <c r="D207" s="4">
        <v>1</v>
      </c>
      <c r="E207" s="4">
        <v>1</v>
      </c>
      <c r="F207" s="4">
        <v>1</v>
      </c>
      <c r="G207" s="4">
        <v>2</v>
      </c>
      <c r="H207" s="4">
        <v>2</v>
      </c>
      <c r="I207" s="4">
        <v>1</v>
      </c>
      <c r="J207" s="4">
        <v>2</v>
      </c>
      <c r="K207" s="4">
        <v>1</v>
      </c>
      <c r="L207" s="4">
        <v>2</v>
      </c>
      <c r="M207" s="4">
        <v>1</v>
      </c>
      <c r="N207" s="4">
        <v>2</v>
      </c>
      <c r="O207" s="4">
        <v>1</v>
      </c>
      <c r="P207" s="4">
        <v>1</v>
      </c>
      <c r="Q207" s="4">
        <v>1</v>
      </c>
      <c r="R207" s="4">
        <v>1</v>
      </c>
      <c r="S207" s="4">
        <v>1</v>
      </c>
      <c r="T207" s="4">
        <v>23</v>
      </c>
    </row>
    <row r="208" spans="1:21">
      <c r="A208" s="4" t="s">
        <v>227</v>
      </c>
      <c r="B208" s="4">
        <v>1</v>
      </c>
      <c r="C208" s="4">
        <v>2</v>
      </c>
      <c r="D208" s="4">
        <v>2</v>
      </c>
      <c r="E208" s="4">
        <v>2</v>
      </c>
      <c r="F208" s="4">
        <v>2</v>
      </c>
      <c r="G208" s="4">
        <v>2</v>
      </c>
      <c r="H208" s="4">
        <v>1</v>
      </c>
      <c r="I208" s="4">
        <v>2</v>
      </c>
      <c r="J208" s="4">
        <v>2</v>
      </c>
      <c r="K208" s="4">
        <v>1</v>
      </c>
      <c r="L208" s="4">
        <v>2</v>
      </c>
      <c r="M208" s="4">
        <v>1</v>
      </c>
      <c r="N208" s="4">
        <v>1</v>
      </c>
      <c r="O208" s="4">
        <v>1</v>
      </c>
      <c r="P208" s="4">
        <v>2</v>
      </c>
      <c r="Q208" s="4">
        <v>2</v>
      </c>
      <c r="R208" s="4">
        <v>2</v>
      </c>
      <c r="S208" s="4">
        <v>2</v>
      </c>
      <c r="T208" s="4">
        <v>30</v>
      </c>
    </row>
    <row r="209" spans="1:21">
      <c r="A209" s="4" t="s">
        <v>228</v>
      </c>
      <c r="B209" s="4">
        <v>2</v>
      </c>
      <c r="C209" s="4">
        <v>1</v>
      </c>
      <c r="D209" s="4">
        <v>1</v>
      </c>
      <c r="E209" s="4">
        <v>2</v>
      </c>
      <c r="F209" s="4">
        <v>2</v>
      </c>
      <c r="G209" s="4">
        <v>1</v>
      </c>
      <c r="H209" s="4">
        <v>1</v>
      </c>
      <c r="I209" s="4">
        <v>1</v>
      </c>
      <c r="J209" s="4">
        <v>2</v>
      </c>
      <c r="K209" s="4">
        <v>2</v>
      </c>
      <c r="L209" s="4">
        <v>2</v>
      </c>
      <c r="M209" s="4">
        <v>1</v>
      </c>
      <c r="N209" s="4">
        <v>2</v>
      </c>
      <c r="O209" s="4">
        <v>2</v>
      </c>
      <c r="P209" s="4">
        <v>1</v>
      </c>
      <c r="Q209" s="4">
        <v>2</v>
      </c>
      <c r="R209" s="4">
        <v>1</v>
      </c>
      <c r="S209" s="4">
        <v>1</v>
      </c>
      <c r="T209" s="4">
        <v>27</v>
      </c>
    </row>
    <row r="210" spans="1:21">
      <c r="A210" s="4" t="s">
        <v>229</v>
      </c>
      <c r="B210" s="4">
        <v>2</v>
      </c>
      <c r="C210" s="4">
        <v>2</v>
      </c>
      <c r="D210" s="4">
        <v>2</v>
      </c>
      <c r="E210" s="4">
        <v>1</v>
      </c>
      <c r="F210" s="4">
        <v>2</v>
      </c>
      <c r="G210" s="4">
        <v>2</v>
      </c>
      <c r="H210" s="4">
        <v>2</v>
      </c>
      <c r="I210" s="4">
        <v>2</v>
      </c>
      <c r="J210" s="4">
        <v>2</v>
      </c>
      <c r="K210" s="4">
        <v>1</v>
      </c>
      <c r="L210" s="4">
        <v>2</v>
      </c>
      <c r="M210" s="4">
        <v>2</v>
      </c>
      <c r="N210" s="4">
        <v>2</v>
      </c>
      <c r="O210" s="4">
        <v>2</v>
      </c>
      <c r="P210" s="4">
        <v>2</v>
      </c>
      <c r="Q210" s="4">
        <v>2</v>
      </c>
      <c r="R210" s="4">
        <v>2</v>
      </c>
      <c r="S210" s="4">
        <v>2</v>
      </c>
      <c r="T210" s="4">
        <v>34</v>
      </c>
    </row>
    <row r="211" spans="1:21">
      <c r="A211" s="4" t="s">
        <v>230</v>
      </c>
      <c r="B211" s="4">
        <v>1</v>
      </c>
      <c r="C211" s="4">
        <v>1</v>
      </c>
      <c r="D211" s="4">
        <v>1</v>
      </c>
      <c r="E211" s="4">
        <v>1</v>
      </c>
      <c r="F211" s="4">
        <v>2</v>
      </c>
      <c r="G211" s="4">
        <v>1</v>
      </c>
      <c r="H211" s="4">
        <v>2</v>
      </c>
      <c r="I211" s="4">
        <v>1</v>
      </c>
      <c r="J211" s="4">
        <v>2</v>
      </c>
      <c r="K211" s="4">
        <v>1</v>
      </c>
      <c r="L211" s="4">
        <v>1</v>
      </c>
      <c r="M211" s="4">
        <v>1</v>
      </c>
      <c r="N211" s="4">
        <v>1</v>
      </c>
      <c r="O211" s="4">
        <v>2</v>
      </c>
      <c r="P211" s="4">
        <v>1</v>
      </c>
      <c r="Q211" s="4">
        <v>1</v>
      </c>
      <c r="R211" s="4">
        <v>1</v>
      </c>
      <c r="S211" s="4">
        <v>2</v>
      </c>
      <c r="T211" s="4">
        <v>23</v>
      </c>
    </row>
    <row r="212" spans="1:21">
      <c r="A212" s="4" t="s">
        <v>231</v>
      </c>
      <c r="B212" s="4">
        <v>2</v>
      </c>
      <c r="C212" s="4">
        <v>1</v>
      </c>
      <c r="D212" s="4">
        <v>2</v>
      </c>
      <c r="E212" s="4">
        <v>2</v>
      </c>
      <c r="F212" s="4">
        <v>1</v>
      </c>
      <c r="G212" s="4">
        <v>2</v>
      </c>
      <c r="H212" s="4">
        <v>2</v>
      </c>
      <c r="I212" s="4">
        <v>2</v>
      </c>
      <c r="J212" s="4">
        <v>2</v>
      </c>
      <c r="K212" s="4">
        <v>2</v>
      </c>
      <c r="L212" s="4">
        <v>1</v>
      </c>
      <c r="M212" s="4">
        <v>2</v>
      </c>
      <c r="N212" s="4">
        <v>2</v>
      </c>
      <c r="O212" s="4">
        <v>2</v>
      </c>
      <c r="P212" s="4">
        <v>2</v>
      </c>
      <c r="Q212" s="4">
        <v>2</v>
      </c>
      <c r="R212" s="4">
        <v>2</v>
      </c>
      <c r="S212" s="4">
        <v>1</v>
      </c>
      <c r="T212" s="4">
        <v>32</v>
      </c>
    </row>
    <row r="213" spans="1:21">
      <c r="A213" s="4" t="s">
        <v>232</v>
      </c>
      <c r="B213" s="4">
        <v>2</v>
      </c>
      <c r="C213" s="4">
        <v>1</v>
      </c>
      <c r="D213" s="4">
        <v>2</v>
      </c>
      <c r="E213" s="4">
        <v>2</v>
      </c>
      <c r="F213" s="4">
        <v>1</v>
      </c>
      <c r="G213" s="4">
        <v>2</v>
      </c>
      <c r="H213" s="4">
        <v>1</v>
      </c>
      <c r="I213" s="4">
        <v>2</v>
      </c>
      <c r="J213" s="4">
        <v>2</v>
      </c>
      <c r="K213" s="4">
        <v>2</v>
      </c>
      <c r="L213" s="4">
        <v>2</v>
      </c>
      <c r="M213" s="4">
        <v>1</v>
      </c>
      <c r="N213" s="4">
        <v>1</v>
      </c>
      <c r="O213" s="4">
        <v>1</v>
      </c>
      <c r="P213" s="4">
        <v>2</v>
      </c>
      <c r="Q213" s="4">
        <v>2</v>
      </c>
      <c r="R213" s="4">
        <v>2</v>
      </c>
      <c r="S213" s="4">
        <v>2</v>
      </c>
      <c r="T213" s="4">
        <v>30</v>
      </c>
    </row>
    <row r="214" spans="1:21">
      <c r="A214" s="4" t="s">
        <v>233</v>
      </c>
      <c r="B214" s="4">
        <v>1</v>
      </c>
      <c r="C214" s="4">
        <v>1</v>
      </c>
      <c r="D214" s="4">
        <v>1</v>
      </c>
      <c r="E214" s="4">
        <v>2</v>
      </c>
      <c r="F214" s="4">
        <v>1</v>
      </c>
      <c r="G214" s="4">
        <v>2</v>
      </c>
      <c r="H214" s="4">
        <v>1</v>
      </c>
      <c r="I214" s="4">
        <v>1</v>
      </c>
      <c r="J214" s="4">
        <v>1</v>
      </c>
      <c r="K214" s="4">
        <v>2</v>
      </c>
      <c r="L214" s="4">
        <v>1</v>
      </c>
      <c r="M214" s="4">
        <v>2</v>
      </c>
      <c r="N214" s="4">
        <v>1</v>
      </c>
      <c r="O214" s="4">
        <v>2</v>
      </c>
      <c r="P214" s="4">
        <v>1</v>
      </c>
      <c r="Q214" s="4">
        <v>1</v>
      </c>
      <c r="R214" s="4">
        <v>1</v>
      </c>
      <c r="S214" s="4">
        <v>1</v>
      </c>
      <c r="T214" s="4">
        <v>23</v>
      </c>
    </row>
    <row r="215" spans="1:21">
      <c r="A215" s="4" t="s">
        <v>234</v>
      </c>
      <c r="B215" s="4">
        <v>1</v>
      </c>
      <c r="C215" s="4">
        <v>1</v>
      </c>
      <c r="D215" s="4">
        <v>1</v>
      </c>
      <c r="E215" s="4">
        <v>1</v>
      </c>
      <c r="F215" s="4">
        <v>1</v>
      </c>
      <c r="G215" s="4">
        <v>1</v>
      </c>
      <c r="H215" s="4">
        <v>1</v>
      </c>
      <c r="I215" s="4">
        <v>1</v>
      </c>
      <c r="J215" s="4">
        <v>1</v>
      </c>
      <c r="K215" s="4">
        <v>1</v>
      </c>
      <c r="L215" s="4">
        <v>1</v>
      </c>
      <c r="M215" s="4">
        <v>1</v>
      </c>
      <c r="N215" s="4">
        <v>1</v>
      </c>
      <c r="O215" s="4">
        <v>1</v>
      </c>
      <c r="P215" s="4">
        <v>1</v>
      </c>
      <c r="Q215" s="4">
        <v>1</v>
      </c>
      <c r="R215" s="4">
        <v>1</v>
      </c>
      <c r="S215" s="4">
        <v>1</v>
      </c>
      <c r="T215" s="4">
        <v>18</v>
      </c>
    </row>
    <row r="216" spans="1:21">
      <c r="A216" s="4" t="s">
        <v>235</v>
      </c>
      <c r="B216" s="4">
        <v>2</v>
      </c>
      <c r="C216" s="4">
        <v>1</v>
      </c>
      <c r="D216" s="4">
        <v>2</v>
      </c>
      <c r="E216" s="4">
        <v>1</v>
      </c>
      <c r="F216" s="4">
        <v>2</v>
      </c>
      <c r="G216" s="4">
        <v>1</v>
      </c>
      <c r="H216" s="4">
        <v>2</v>
      </c>
      <c r="I216" s="4">
        <v>1</v>
      </c>
      <c r="J216" s="4">
        <v>2</v>
      </c>
      <c r="K216" s="4">
        <v>1</v>
      </c>
      <c r="L216" s="4">
        <v>1</v>
      </c>
      <c r="M216" s="4">
        <v>2</v>
      </c>
      <c r="N216" s="4">
        <v>2</v>
      </c>
      <c r="O216" s="4">
        <v>1</v>
      </c>
      <c r="P216" s="4">
        <v>1</v>
      </c>
      <c r="Q216" s="4">
        <v>1</v>
      </c>
      <c r="R216" s="4">
        <v>1</v>
      </c>
      <c r="S216" s="4">
        <v>2</v>
      </c>
      <c r="T216" s="4">
        <v>26</v>
      </c>
    </row>
    <row r="217" spans="1:21">
      <c r="A217" s="4" t="s">
        <v>236</v>
      </c>
      <c r="B217" s="4">
        <v>1</v>
      </c>
      <c r="C217" s="4">
        <v>2</v>
      </c>
      <c r="D217" s="4">
        <v>2</v>
      </c>
      <c r="E217" s="4">
        <v>1</v>
      </c>
      <c r="F217" s="4">
        <v>2</v>
      </c>
      <c r="G217" s="4">
        <v>2</v>
      </c>
      <c r="H217" s="4">
        <v>2</v>
      </c>
      <c r="I217" s="4">
        <v>2</v>
      </c>
      <c r="J217" s="4">
        <v>2</v>
      </c>
      <c r="K217" s="4">
        <v>2</v>
      </c>
      <c r="L217" s="4">
        <v>2</v>
      </c>
      <c r="M217" s="4">
        <v>2</v>
      </c>
      <c r="N217" s="4">
        <v>2</v>
      </c>
      <c r="O217" s="4">
        <v>2</v>
      </c>
      <c r="P217" s="4">
        <v>1</v>
      </c>
      <c r="Q217" s="4">
        <v>2</v>
      </c>
      <c r="R217" s="4">
        <v>2</v>
      </c>
      <c r="S217" s="4">
        <v>2</v>
      </c>
      <c r="T217" s="4">
        <v>33</v>
      </c>
    </row>
    <row r="218" spans="1:21">
      <c r="A218" s="4" t="s">
        <v>237</v>
      </c>
      <c r="B218" s="4">
        <v>1</v>
      </c>
      <c r="C218" s="4">
        <v>1</v>
      </c>
      <c r="D218" s="4">
        <v>1</v>
      </c>
      <c r="E218" s="4">
        <v>1</v>
      </c>
      <c r="F218" s="4">
        <v>1</v>
      </c>
      <c r="G218" s="4">
        <v>1</v>
      </c>
      <c r="H218" s="4">
        <v>1</v>
      </c>
      <c r="I218" s="4">
        <v>1</v>
      </c>
      <c r="J218" s="4">
        <v>1</v>
      </c>
      <c r="K218" s="4">
        <v>1</v>
      </c>
      <c r="L218" s="4">
        <v>1</v>
      </c>
      <c r="M218" s="4">
        <v>1</v>
      </c>
      <c r="N218" s="4">
        <v>1</v>
      </c>
      <c r="O218" s="4">
        <v>2</v>
      </c>
      <c r="P218" s="4">
        <v>1</v>
      </c>
      <c r="Q218" s="4">
        <v>1</v>
      </c>
      <c r="R218" s="4">
        <v>1</v>
      </c>
      <c r="S218" s="4">
        <v>1</v>
      </c>
      <c r="T218" s="4">
        <v>19</v>
      </c>
    </row>
    <row r="219" spans="1:21">
      <c r="A219" s="4" t="s">
        <v>238</v>
      </c>
      <c r="B219" s="4">
        <v>1</v>
      </c>
      <c r="C219" s="4">
        <v>1</v>
      </c>
      <c r="D219" s="4">
        <v>1</v>
      </c>
      <c r="E219" s="4">
        <v>1</v>
      </c>
      <c r="F219" s="4">
        <v>1</v>
      </c>
      <c r="G219" s="4">
        <v>1</v>
      </c>
      <c r="H219" s="4">
        <v>1</v>
      </c>
      <c r="I219" s="4">
        <v>1</v>
      </c>
      <c r="J219" s="4">
        <v>1</v>
      </c>
      <c r="K219" s="4">
        <v>1</v>
      </c>
      <c r="L219" s="4">
        <v>1</v>
      </c>
      <c r="M219" s="4">
        <v>1</v>
      </c>
      <c r="N219" s="4">
        <v>1</v>
      </c>
      <c r="O219" s="4">
        <v>1</v>
      </c>
      <c r="P219" s="4">
        <v>1</v>
      </c>
      <c r="Q219" s="4">
        <v>1</v>
      </c>
      <c r="R219" s="4">
        <v>1</v>
      </c>
      <c r="S219" s="4">
        <v>1</v>
      </c>
      <c r="T219" s="4">
        <v>18</v>
      </c>
    </row>
    <row r="220" spans="1:21">
      <c r="A220" s="4" t="s">
        <v>239</v>
      </c>
      <c r="B220" s="4">
        <v>2</v>
      </c>
      <c r="C220" s="4">
        <v>2</v>
      </c>
      <c r="D220" s="4">
        <v>1</v>
      </c>
      <c r="E220" s="4">
        <v>2</v>
      </c>
      <c r="F220" s="4">
        <v>2</v>
      </c>
      <c r="G220" s="4">
        <v>2</v>
      </c>
      <c r="H220" s="4">
        <v>2</v>
      </c>
      <c r="I220" s="4">
        <v>1</v>
      </c>
      <c r="J220" s="4">
        <v>1</v>
      </c>
      <c r="K220" s="4">
        <v>2</v>
      </c>
      <c r="L220" s="4">
        <v>2</v>
      </c>
      <c r="M220" s="4">
        <v>2</v>
      </c>
      <c r="N220" s="4">
        <v>1</v>
      </c>
      <c r="O220" s="4">
        <v>2</v>
      </c>
      <c r="P220" s="4">
        <v>2</v>
      </c>
      <c r="Q220" s="4">
        <v>1</v>
      </c>
      <c r="R220" s="4">
        <v>2</v>
      </c>
      <c r="S220" s="4">
        <v>1</v>
      </c>
      <c r="T220" s="4">
        <v>30</v>
      </c>
    </row>
    <row r="221" spans="1:21">
      <c r="A221" s="4" t="s">
        <v>240</v>
      </c>
      <c r="B221" s="4">
        <v>2</v>
      </c>
      <c r="C221" s="4">
        <v>2</v>
      </c>
      <c r="D221" s="4">
        <v>2</v>
      </c>
      <c r="E221" s="4">
        <v>2</v>
      </c>
      <c r="F221" s="4">
        <v>1</v>
      </c>
      <c r="G221" s="4">
        <v>2</v>
      </c>
      <c r="H221" s="4">
        <v>2</v>
      </c>
      <c r="I221" s="4">
        <v>1</v>
      </c>
      <c r="J221" s="4">
        <v>2</v>
      </c>
      <c r="K221" s="4">
        <v>2</v>
      </c>
      <c r="L221" s="4">
        <v>2</v>
      </c>
      <c r="M221" s="4">
        <v>2</v>
      </c>
      <c r="N221" s="4">
        <v>2</v>
      </c>
      <c r="O221" s="4">
        <v>1</v>
      </c>
      <c r="P221" s="4">
        <v>2</v>
      </c>
      <c r="Q221" s="4">
        <v>2</v>
      </c>
      <c r="R221" s="4">
        <v>1</v>
      </c>
      <c r="S221" s="4">
        <v>2</v>
      </c>
      <c r="T221" s="4">
        <v>32</v>
      </c>
    </row>
    <row r="222" spans="1:21">
      <c r="A222" s="4" t="s">
        <v>241</v>
      </c>
      <c r="B222" s="4">
        <v>2</v>
      </c>
      <c r="C222" s="4">
        <v>1</v>
      </c>
      <c r="D222" s="4">
        <v>1</v>
      </c>
      <c r="E222" s="4">
        <v>2</v>
      </c>
      <c r="F222" s="4">
        <v>2</v>
      </c>
      <c r="G222" s="4">
        <v>2</v>
      </c>
      <c r="H222" s="4">
        <v>2</v>
      </c>
      <c r="I222" s="4">
        <v>2</v>
      </c>
      <c r="J222" s="4">
        <v>1</v>
      </c>
      <c r="K222" s="4">
        <v>1</v>
      </c>
      <c r="L222" s="4">
        <v>2</v>
      </c>
      <c r="M222" s="4">
        <v>1</v>
      </c>
      <c r="N222" s="4">
        <v>2</v>
      </c>
      <c r="O222" s="4">
        <v>2</v>
      </c>
      <c r="P222" s="4">
        <v>1</v>
      </c>
      <c r="Q222" s="4">
        <v>2</v>
      </c>
      <c r="R222" s="4">
        <v>2</v>
      </c>
      <c r="S222" s="4">
        <v>2</v>
      </c>
      <c r="T222" s="4">
        <v>30</v>
      </c>
    </row>
    <row r="223" spans="1:21">
      <c r="A223" s="4" t="s">
        <v>242</v>
      </c>
      <c r="B223" s="4">
        <v>1</v>
      </c>
      <c r="C223" s="4">
        <v>1</v>
      </c>
      <c r="D223" s="4">
        <v>1</v>
      </c>
      <c r="E223" s="4">
        <v>1</v>
      </c>
      <c r="F223" s="4">
        <v>1</v>
      </c>
      <c r="G223" s="4">
        <v>1</v>
      </c>
      <c r="H223" s="4">
        <v>1</v>
      </c>
      <c r="I223" s="4">
        <v>1</v>
      </c>
      <c r="J223" s="4">
        <v>1</v>
      </c>
      <c r="K223" s="4">
        <v>1</v>
      </c>
      <c r="L223" s="4">
        <v>1</v>
      </c>
      <c r="M223" s="4">
        <v>1</v>
      </c>
      <c r="N223" s="4">
        <v>1</v>
      </c>
      <c r="O223" s="4">
        <v>1</v>
      </c>
      <c r="P223" s="4">
        <v>1</v>
      </c>
      <c r="Q223" s="4">
        <v>1</v>
      </c>
      <c r="R223" s="4">
        <v>1</v>
      </c>
      <c r="S223" s="4">
        <v>1</v>
      </c>
      <c r="T223" s="4">
        <v>18</v>
      </c>
    </row>
    <row r="224" spans="1:21">
      <c r="A224" s="4" t="s">
        <v>243</v>
      </c>
      <c r="B224" s="4">
        <v>1</v>
      </c>
      <c r="C224" s="4">
        <v>1</v>
      </c>
      <c r="D224" s="4">
        <v>1</v>
      </c>
      <c r="E224" s="4">
        <v>1</v>
      </c>
      <c r="F224" s="4">
        <v>1</v>
      </c>
      <c r="G224" s="4">
        <v>1</v>
      </c>
      <c r="H224" s="4">
        <v>1</v>
      </c>
      <c r="I224" s="4">
        <v>1</v>
      </c>
      <c r="J224" s="4">
        <v>1</v>
      </c>
      <c r="K224" s="4">
        <v>1</v>
      </c>
      <c r="L224" s="4">
        <v>1</v>
      </c>
      <c r="M224" s="4">
        <v>1</v>
      </c>
      <c r="N224" s="4">
        <v>1</v>
      </c>
      <c r="O224" s="4">
        <v>1</v>
      </c>
      <c r="P224" s="4">
        <v>2</v>
      </c>
      <c r="Q224" s="4">
        <v>1</v>
      </c>
      <c r="R224" s="4">
        <v>1</v>
      </c>
      <c r="S224" s="4">
        <v>1</v>
      </c>
      <c r="T224" s="4">
        <v>19</v>
      </c>
    </row>
    <row r="225" spans="1:21">
      <c r="A225" s="4" t="s">
        <v>244</v>
      </c>
      <c r="B225" s="4">
        <v>1</v>
      </c>
      <c r="C225" s="4">
        <v>2</v>
      </c>
      <c r="D225" s="4">
        <v>2</v>
      </c>
      <c r="E225" s="4">
        <v>2</v>
      </c>
      <c r="F225" s="4">
        <v>2</v>
      </c>
      <c r="G225" s="4">
        <v>2</v>
      </c>
      <c r="H225" s="4">
        <v>1</v>
      </c>
      <c r="I225" s="4">
        <v>3</v>
      </c>
      <c r="J225" s="4">
        <v>2</v>
      </c>
      <c r="K225" s="4">
        <v>2</v>
      </c>
      <c r="L225" s="4">
        <v>2</v>
      </c>
      <c r="M225" s="4">
        <v>1</v>
      </c>
      <c r="N225" s="4">
        <v>2</v>
      </c>
      <c r="O225" s="4">
        <v>3</v>
      </c>
      <c r="P225" s="4">
        <v>2</v>
      </c>
      <c r="Q225" s="4">
        <v>2</v>
      </c>
      <c r="R225" s="4">
        <v>1</v>
      </c>
      <c r="S225" s="4">
        <v>2</v>
      </c>
      <c r="T225" s="4">
        <v>34</v>
      </c>
    </row>
    <row r="226" spans="1:21">
      <c r="A226" s="4" t="s">
        <v>245</v>
      </c>
      <c r="B226" s="4">
        <v>1</v>
      </c>
      <c r="C226" s="4">
        <v>1</v>
      </c>
      <c r="D226" s="4">
        <v>1</v>
      </c>
      <c r="E226" s="4">
        <v>1</v>
      </c>
      <c r="F226" s="4">
        <v>1</v>
      </c>
      <c r="G226" s="4">
        <v>1</v>
      </c>
      <c r="H226" s="4">
        <v>1</v>
      </c>
      <c r="I226" s="4">
        <v>1</v>
      </c>
      <c r="J226" s="4">
        <v>1</v>
      </c>
      <c r="K226" s="4">
        <v>1</v>
      </c>
      <c r="L226" s="4">
        <v>1</v>
      </c>
      <c r="M226" s="4">
        <v>1</v>
      </c>
      <c r="N226" s="4">
        <v>1</v>
      </c>
      <c r="O226" s="4">
        <v>1</v>
      </c>
      <c r="P226" s="4">
        <v>1</v>
      </c>
      <c r="Q226" s="4">
        <v>1</v>
      </c>
      <c r="R226" s="4">
        <v>1</v>
      </c>
      <c r="S226" s="4">
        <v>1</v>
      </c>
      <c r="T226" s="4">
        <v>18</v>
      </c>
    </row>
    <row r="227" spans="1:21">
      <c r="A227" s="4" t="s">
        <v>246</v>
      </c>
      <c r="B227" s="4">
        <v>2</v>
      </c>
      <c r="C227" s="4">
        <v>2</v>
      </c>
      <c r="D227" s="4">
        <v>2</v>
      </c>
      <c r="E227" s="4">
        <v>2</v>
      </c>
      <c r="F227" s="4">
        <v>1</v>
      </c>
      <c r="G227" s="4">
        <v>2</v>
      </c>
      <c r="H227" s="4">
        <v>1</v>
      </c>
      <c r="I227" s="4">
        <v>2</v>
      </c>
      <c r="J227" s="4">
        <v>2</v>
      </c>
      <c r="K227" s="4">
        <v>1</v>
      </c>
      <c r="L227" s="4">
        <v>2</v>
      </c>
      <c r="M227" s="4">
        <v>1</v>
      </c>
      <c r="N227" s="4">
        <v>1</v>
      </c>
      <c r="O227" s="4">
        <v>1</v>
      </c>
      <c r="P227" s="4">
        <v>1</v>
      </c>
      <c r="Q227" s="4">
        <v>1</v>
      </c>
      <c r="R227" s="4">
        <v>1</v>
      </c>
      <c r="S227" s="4">
        <v>1</v>
      </c>
      <c r="T227" s="4">
        <v>26</v>
      </c>
    </row>
    <row r="228" spans="1:21">
      <c r="A228" s="4" t="s">
        <v>247</v>
      </c>
      <c r="B228" s="4">
        <v>3</v>
      </c>
      <c r="C228" s="4">
        <v>2</v>
      </c>
      <c r="D228" s="4">
        <v>2</v>
      </c>
      <c r="E228" s="4">
        <v>3</v>
      </c>
      <c r="F228" s="4">
        <v>2</v>
      </c>
      <c r="G228" s="4">
        <v>2</v>
      </c>
      <c r="H228" s="4">
        <v>3</v>
      </c>
      <c r="I228" s="4">
        <v>2</v>
      </c>
      <c r="J228" s="4">
        <v>2</v>
      </c>
      <c r="K228" s="4">
        <v>2</v>
      </c>
      <c r="L228" s="4">
        <v>1</v>
      </c>
      <c r="M228" s="4">
        <v>2</v>
      </c>
      <c r="N228" s="4">
        <v>1</v>
      </c>
      <c r="O228" s="4">
        <v>2</v>
      </c>
      <c r="P228" s="4">
        <v>1</v>
      </c>
      <c r="Q228" s="4">
        <v>2</v>
      </c>
      <c r="R228" s="4">
        <v>1</v>
      </c>
      <c r="S228" s="4">
        <v>2</v>
      </c>
      <c r="T228" s="4">
        <v>35</v>
      </c>
    </row>
    <row r="229" spans="1:21">
      <c r="A229" s="4" t="s">
        <v>248</v>
      </c>
      <c r="B229" s="4">
        <v>2</v>
      </c>
      <c r="C229" s="4">
        <v>2</v>
      </c>
      <c r="D229" s="4">
        <v>3</v>
      </c>
      <c r="E229" s="4">
        <v>3</v>
      </c>
      <c r="F229" s="4">
        <v>2</v>
      </c>
      <c r="G229" s="4">
        <v>2</v>
      </c>
      <c r="H229" s="4">
        <v>2</v>
      </c>
      <c r="I229" s="4">
        <v>2</v>
      </c>
      <c r="J229" s="4">
        <v>2</v>
      </c>
      <c r="K229" s="4">
        <v>2</v>
      </c>
      <c r="L229" s="4">
        <v>2</v>
      </c>
      <c r="M229" s="4">
        <v>2</v>
      </c>
      <c r="N229" s="4">
        <v>3</v>
      </c>
      <c r="O229" s="4">
        <v>2</v>
      </c>
      <c r="P229" s="4">
        <v>2</v>
      </c>
      <c r="Q229" s="4">
        <v>2</v>
      </c>
      <c r="R229" s="4">
        <v>2</v>
      </c>
      <c r="S229" s="4">
        <v>2</v>
      </c>
      <c r="T229" s="4">
        <v>39</v>
      </c>
    </row>
    <row r="230" spans="1:21">
      <c r="A230" s="4" t="s">
        <v>249</v>
      </c>
      <c r="B230" s="4">
        <v>2</v>
      </c>
      <c r="C230" s="4">
        <v>3</v>
      </c>
      <c r="D230" s="4">
        <v>2</v>
      </c>
      <c r="E230" s="4">
        <v>1</v>
      </c>
      <c r="F230" s="4">
        <v>2</v>
      </c>
      <c r="G230" s="4">
        <v>3</v>
      </c>
      <c r="H230" s="4">
        <v>2</v>
      </c>
      <c r="I230" s="4">
        <v>2</v>
      </c>
      <c r="J230" s="4">
        <v>2</v>
      </c>
      <c r="K230" s="4">
        <v>2</v>
      </c>
      <c r="L230" s="4">
        <v>3</v>
      </c>
      <c r="M230" s="4">
        <v>2</v>
      </c>
      <c r="N230" s="4">
        <v>2</v>
      </c>
      <c r="O230" s="4">
        <v>2</v>
      </c>
      <c r="P230" s="4">
        <v>3</v>
      </c>
      <c r="Q230" s="4">
        <v>2</v>
      </c>
      <c r="R230" s="4">
        <v>2</v>
      </c>
      <c r="S230" s="4">
        <v>3</v>
      </c>
      <c r="T230" s="4">
        <v>40</v>
      </c>
    </row>
    <row r="231" spans="1:21">
      <c r="A231" s="4" t="s">
        <v>250</v>
      </c>
      <c r="B231" s="4">
        <v>2</v>
      </c>
      <c r="C231" s="4">
        <v>2</v>
      </c>
      <c r="D231" s="4">
        <v>2</v>
      </c>
      <c r="E231" s="4">
        <v>1</v>
      </c>
      <c r="F231" s="4">
        <v>2</v>
      </c>
      <c r="G231" s="4">
        <v>2</v>
      </c>
      <c r="H231" s="4">
        <v>2</v>
      </c>
      <c r="I231" s="4">
        <v>2</v>
      </c>
      <c r="J231" s="4">
        <v>2</v>
      </c>
      <c r="K231" s="4">
        <v>1</v>
      </c>
      <c r="L231" s="4">
        <v>2</v>
      </c>
      <c r="M231" s="4">
        <v>2</v>
      </c>
      <c r="N231" s="4">
        <v>1</v>
      </c>
      <c r="O231" s="4">
        <v>2</v>
      </c>
      <c r="P231" s="4">
        <v>2</v>
      </c>
      <c r="Q231" s="4">
        <v>2</v>
      </c>
      <c r="R231" s="4">
        <v>2</v>
      </c>
      <c r="S231" s="4">
        <v>2</v>
      </c>
      <c r="T231" s="4">
        <v>33</v>
      </c>
    </row>
    <row r="232" spans="1:21">
      <c r="A232" s="4" t="s">
        <v>251</v>
      </c>
      <c r="B232" s="4">
        <v>1</v>
      </c>
      <c r="C232" s="4">
        <v>1</v>
      </c>
      <c r="D232" s="4">
        <v>1</v>
      </c>
      <c r="E232" s="4">
        <v>1</v>
      </c>
      <c r="F232" s="4">
        <v>1</v>
      </c>
      <c r="G232" s="4">
        <v>1</v>
      </c>
      <c r="H232" s="4">
        <v>1</v>
      </c>
      <c r="I232" s="4">
        <v>1</v>
      </c>
      <c r="J232" s="4">
        <v>1</v>
      </c>
      <c r="K232" s="4">
        <v>1</v>
      </c>
      <c r="L232" s="4">
        <v>1</v>
      </c>
      <c r="M232" s="4">
        <v>1</v>
      </c>
      <c r="N232" s="4">
        <v>1</v>
      </c>
      <c r="O232" s="4">
        <v>1</v>
      </c>
      <c r="P232" s="4">
        <v>1</v>
      </c>
      <c r="Q232" s="4">
        <v>1</v>
      </c>
      <c r="R232" s="4">
        <v>1</v>
      </c>
      <c r="S232" s="4">
        <v>1</v>
      </c>
      <c r="T232" s="4">
        <v>18</v>
      </c>
    </row>
    <row r="233" spans="1:21">
      <c r="A233" s="4" t="s">
        <v>252</v>
      </c>
      <c r="B233" s="4">
        <v>2</v>
      </c>
      <c r="C233" s="4">
        <v>2</v>
      </c>
      <c r="D233" s="4">
        <v>2</v>
      </c>
      <c r="E233" s="4">
        <v>2</v>
      </c>
      <c r="F233" s="4">
        <v>3</v>
      </c>
      <c r="G233" s="4">
        <v>2</v>
      </c>
      <c r="H233" s="4">
        <v>3</v>
      </c>
      <c r="I233" s="4">
        <v>2</v>
      </c>
      <c r="J233" s="4">
        <v>3</v>
      </c>
      <c r="K233" s="4">
        <v>2</v>
      </c>
      <c r="L233" s="4">
        <v>2</v>
      </c>
      <c r="M233" s="4">
        <v>3</v>
      </c>
      <c r="N233" s="4">
        <v>1</v>
      </c>
      <c r="O233" s="4">
        <v>2</v>
      </c>
      <c r="P233" s="4">
        <v>2</v>
      </c>
      <c r="Q233" s="4">
        <v>1</v>
      </c>
      <c r="R233" s="4">
        <v>2</v>
      </c>
      <c r="S233" s="4">
        <v>2</v>
      </c>
      <c r="T233" s="4">
        <v>38</v>
      </c>
    </row>
    <row r="234" spans="1:21">
      <c r="A234" s="4" t="s">
        <v>253</v>
      </c>
      <c r="B234" s="4">
        <v>2</v>
      </c>
      <c r="C234" s="4">
        <v>2</v>
      </c>
      <c r="D234" s="4">
        <v>2</v>
      </c>
      <c r="E234" s="4">
        <v>2</v>
      </c>
      <c r="F234" s="4">
        <v>1</v>
      </c>
      <c r="G234" s="4">
        <v>2</v>
      </c>
      <c r="H234" s="4">
        <v>1</v>
      </c>
      <c r="I234" s="4">
        <v>2</v>
      </c>
      <c r="J234" s="4">
        <v>2</v>
      </c>
      <c r="K234" s="4">
        <v>1</v>
      </c>
      <c r="L234" s="4">
        <v>1</v>
      </c>
      <c r="M234" s="4">
        <v>2</v>
      </c>
      <c r="N234" s="4">
        <v>1</v>
      </c>
      <c r="O234" s="4">
        <v>2</v>
      </c>
      <c r="P234" s="4">
        <v>2</v>
      </c>
      <c r="Q234" s="4">
        <v>1</v>
      </c>
      <c r="R234" s="4">
        <v>2</v>
      </c>
      <c r="S234" s="4">
        <v>2</v>
      </c>
      <c r="T234" s="4">
        <v>30</v>
      </c>
    </row>
    <row r="235" spans="1:21">
      <c r="A235" s="4" t="s">
        <v>254</v>
      </c>
      <c r="B235" s="4">
        <v>2</v>
      </c>
      <c r="C235" s="4">
        <v>1</v>
      </c>
      <c r="D235" s="4">
        <v>1</v>
      </c>
      <c r="E235" s="4">
        <v>1</v>
      </c>
      <c r="F235" s="4">
        <v>1</v>
      </c>
      <c r="G235" s="4">
        <v>1</v>
      </c>
      <c r="H235" s="4">
        <v>1</v>
      </c>
      <c r="I235" s="4">
        <v>1</v>
      </c>
      <c r="J235" s="4">
        <v>1</v>
      </c>
      <c r="K235" s="4">
        <v>1</v>
      </c>
      <c r="L235" s="4">
        <v>1</v>
      </c>
      <c r="M235" s="4">
        <v>1</v>
      </c>
      <c r="N235" s="4">
        <v>1</v>
      </c>
      <c r="O235" s="4">
        <v>1</v>
      </c>
      <c r="P235" s="4">
        <v>1</v>
      </c>
      <c r="Q235" s="4">
        <v>1</v>
      </c>
      <c r="R235" s="4">
        <v>1</v>
      </c>
      <c r="S235" s="4">
        <v>1</v>
      </c>
      <c r="T235" s="4">
        <v>19</v>
      </c>
    </row>
    <row r="236" spans="1:21">
      <c r="A236" s="4" t="s">
        <v>255</v>
      </c>
      <c r="B236" s="4">
        <v>2</v>
      </c>
      <c r="C236" s="4">
        <v>2</v>
      </c>
      <c r="D236" s="4">
        <v>2</v>
      </c>
      <c r="E236" s="4">
        <v>1</v>
      </c>
      <c r="F236" s="4">
        <v>2</v>
      </c>
      <c r="G236" s="4">
        <v>2</v>
      </c>
      <c r="H236" s="4">
        <v>2</v>
      </c>
      <c r="I236" s="4">
        <v>1</v>
      </c>
      <c r="J236" s="4">
        <v>2</v>
      </c>
      <c r="K236" s="4">
        <v>2</v>
      </c>
      <c r="L236" s="4">
        <v>1</v>
      </c>
      <c r="M236" s="4">
        <v>2</v>
      </c>
      <c r="N236" s="4">
        <v>1</v>
      </c>
      <c r="O236" s="4">
        <v>1</v>
      </c>
      <c r="P236" s="4">
        <v>1</v>
      </c>
      <c r="Q236" s="4">
        <v>2</v>
      </c>
      <c r="R236" s="4">
        <v>1</v>
      </c>
      <c r="S236" s="4">
        <v>1</v>
      </c>
      <c r="T236" s="4">
        <v>28</v>
      </c>
    </row>
    <row r="237" spans="1:21">
      <c r="A237" s="4" t="s">
        <v>256</v>
      </c>
      <c r="B237" s="4">
        <v>2</v>
      </c>
      <c r="C237" s="4">
        <v>1</v>
      </c>
      <c r="D237" s="4">
        <v>1</v>
      </c>
      <c r="E237" s="4">
        <v>2</v>
      </c>
      <c r="F237" s="4">
        <v>1</v>
      </c>
      <c r="G237" s="4">
        <v>2</v>
      </c>
      <c r="H237" s="4">
        <v>2</v>
      </c>
      <c r="I237" s="4">
        <v>1</v>
      </c>
      <c r="J237" s="4">
        <v>2</v>
      </c>
      <c r="K237" s="4">
        <v>2</v>
      </c>
      <c r="L237" s="4">
        <v>2</v>
      </c>
      <c r="M237" s="4">
        <v>1</v>
      </c>
      <c r="N237" s="4">
        <v>2</v>
      </c>
      <c r="O237" s="4">
        <v>2</v>
      </c>
      <c r="P237" s="4">
        <v>2</v>
      </c>
      <c r="Q237" s="4">
        <v>2</v>
      </c>
      <c r="R237" s="4">
        <v>2</v>
      </c>
      <c r="S237" s="4">
        <v>2</v>
      </c>
      <c r="T237" s="4">
        <v>31</v>
      </c>
    </row>
    <row r="238" spans="1:21">
      <c r="A238" s="4" t="s">
        <v>257</v>
      </c>
      <c r="B238" s="4">
        <v>1</v>
      </c>
      <c r="C238" s="4">
        <v>1</v>
      </c>
      <c r="D238" s="4">
        <v>1</v>
      </c>
      <c r="E238" s="4">
        <v>1</v>
      </c>
      <c r="F238" s="4">
        <v>1</v>
      </c>
      <c r="G238" s="4">
        <v>1</v>
      </c>
      <c r="H238" s="4">
        <v>1</v>
      </c>
      <c r="I238" s="4">
        <v>1</v>
      </c>
      <c r="J238" s="4">
        <v>1</v>
      </c>
      <c r="K238" s="4">
        <v>1</v>
      </c>
      <c r="L238" s="4">
        <v>1</v>
      </c>
      <c r="M238" s="4">
        <v>1</v>
      </c>
      <c r="N238" s="4">
        <v>1</v>
      </c>
      <c r="O238" s="4">
        <v>1</v>
      </c>
      <c r="P238" s="4">
        <v>1</v>
      </c>
      <c r="Q238" s="4">
        <v>1</v>
      </c>
      <c r="R238" s="4">
        <v>1</v>
      </c>
      <c r="S238" s="4">
        <v>1</v>
      </c>
      <c r="T238" s="4">
        <v>18</v>
      </c>
    </row>
    <row r="239" spans="1:21">
      <c r="A239" s="4" t="s">
        <v>258</v>
      </c>
      <c r="B239" s="4">
        <v>1</v>
      </c>
      <c r="C239" s="4">
        <v>1</v>
      </c>
      <c r="D239" s="4">
        <v>1</v>
      </c>
      <c r="E239" s="4">
        <v>1</v>
      </c>
      <c r="F239" s="4">
        <v>1</v>
      </c>
      <c r="G239" s="4">
        <v>1</v>
      </c>
      <c r="H239" s="4">
        <v>1</v>
      </c>
      <c r="I239" s="4">
        <v>1</v>
      </c>
      <c r="J239" s="4">
        <v>1</v>
      </c>
      <c r="K239" s="4">
        <v>1</v>
      </c>
      <c r="L239" s="4">
        <v>1</v>
      </c>
      <c r="M239" s="4">
        <v>1</v>
      </c>
      <c r="N239" s="4">
        <v>1</v>
      </c>
      <c r="O239" s="4">
        <v>1</v>
      </c>
      <c r="P239" s="4">
        <v>1</v>
      </c>
      <c r="Q239" s="4">
        <v>1</v>
      </c>
      <c r="R239" s="4">
        <v>1</v>
      </c>
      <c r="S239" s="4">
        <v>1</v>
      </c>
      <c r="T239" s="4">
        <v>18</v>
      </c>
    </row>
    <row r="240" spans="1:21">
      <c r="A240" s="4" t="s">
        <v>259</v>
      </c>
      <c r="B240" s="4">
        <v>1</v>
      </c>
      <c r="C240" s="4">
        <v>2</v>
      </c>
      <c r="D240" s="4">
        <v>2</v>
      </c>
      <c r="E240" s="4">
        <v>2</v>
      </c>
      <c r="F240" s="4">
        <v>2</v>
      </c>
      <c r="G240" s="4">
        <v>2</v>
      </c>
      <c r="H240" s="4">
        <v>3</v>
      </c>
      <c r="I240" s="4">
        <v>2</v>
      </c>
      <c r="J240" s="4">
        <v>2</v>
      </c>
      <c r="K240" s="4">
        <v>3</v>
      </c>
      <c r="L240" s="4">
        <v>2</v>
      </c>
      <c r="M240" s="4">
        <v>2</v>
      </c>
      <c r="N240" s="4">
        <v>2</v>
      </c>
      <c r="O240" s="4">
        <v>2</v>
      </c>
      <c r="P240" s="4">
        <v>2</v>
      </c>
      <c r="Q240" s="4">
        <v>2</v>
      </c>
      <c r="R240" s="4">
        <v>2</v>
      </c>
      <c r="S240" s="4">
        <v>1</v>
      </c>
      <c r="T240" s="4">
        <v>36</v>
      </c>
    </row>
    <row r="241" spans="1:21">
      <c r="A241" s="4" t="s">
        <v>260</v>
      </c>
      <c r="B241" s="4">
        <v>1</v>
      </c>
      <c r="C241" s="4">
        <v>1</v>
      </c>
      <c r="D241" s="4">
        <v>1</v>
      </c>
      <c r="E241" s="4">
        <v>2</v>
      </c>
      <c r="F241" s="4">
        <v>2</v>
      </c>
      <c r="G241" s="4">
        <v>1</v>
      </c>
      <c r="H241" s="4">
        <v>2</v>
      </c>
      <c r="I241" s="4">
        <v>2</v>
      </c>
      <c r="J241" s="4">
        <v>2</v>
      </c>
      <c r="K241" s="4">
        <v>1</v>
      </c>
      <c r="L241" s="4">
        <v>2</v>
      </c>
      <c r="M241" s="4">
        <v>1</v>
      </c>
      <c r="N241" s="4">
        <v>1</v>
      </c>
      <c r="O241" s="4">
        <v>1</v>
      </c>
      <c r="P241" s="4">
        <v>1</v>
      </c>
      <c r="Q241" s="4">
        <v>2</v>
      </c>
      <c r="R241" s="4">
        <v>2</v>
      </c>
      <c r="S241" s="4">
        <v>1</v>
      </c>
      <c r="T241" s="4">
        <v>26</v>
      </c>
    </row>
    <row r="242" spans="1:21">
      <c r="A242" s="4" t="s">
        <v>261</v>
      </c>
      <c r="B242" s="4">
        <v>1</v>
      </c>
      <c r="C242" s="4">
        <v>1</v>
      </c>
      <c r="D242" s="4">
        <v>1</v>
      </c>
      <c r="E242" s="4">
        <v>1</v>
      </c>
      <c r="F242" s="4">
        <v>1</v>
      </c>
      <c r="G242" s="4">
        <v>1</v>
      </c>
      <c r="H242" s="4">
        <v>1</v>
      </c>
      <c r="I242" s="4">
        <v>1</v>
      </c>
      <c r="J242" s="4">
        <v>1</v>
      </c>
      <c r="K242" s="4">
        <v>1</v>
      </c>
      <c r="L242" s="4">
        <v>1</v>
      </c>
      <c r="M242" s="4">
        <v>1</v>
      </c>
      <c r="N242" s="4">
        <v>1</v>
      </c>
      <c r="O242" s="4">
        <v>1</v>
      </c>
      <c r="P242" s="4">
        <v>1</v>
      </c>
      <c r="Q242" s="4">
        <v>1</v>
      </c>
      <c r="R242" s="4">
        <v>1</v>
      </c>
      <c r="S242" s="4">
        <v>1</v>
      </c>
      <c r="T242" s="4">
        <v>18</v>
      </c>
    </row>
    <row r="243" spans="1:21">
      <c r="A243" s="4" t="s">
        <v>262</v>
      </c>
      <c r="B243" s="4">
        <v>1</v>
      </c>
      <c r="C243" s="4">
        <v>1</v>
      </c>
      <c r="D243" s="4">
        <v>2</v>
      </c>
      <c r="E243" s="4">
        <v>2</v>
      </c>
      <c r="F243" s="4">
        <v>2</v>
      </c>
      <c r="G243" s="4">
        <v>1</v>
      </c>
      <c r="H243" s="4">
        <v>1</v>
      </c>
      <c r="I243" s="4">
        <v>1</v>
      </c>
      <c r="J243" s="4">
        <v>2</v>
      </c>
      <c r="K243" s="4">
        <v>2</v>
      </c>
      <c r="L243" s="4">
        <v>2</v>
      </c>
      <c r="M243" s="4">
        <v>1</v>
      </c>
      <c r="N243" s="4">
        <v>1</v>
      </c>
      <c r="O243" s="4">
        <v>1</v>
      </c>
      <c r="P243" s="4">
        <v>1</v>
      </c>
      <c r="Q243" s="4">
        <v>2</v>
      </c>
      <c r="R243" s="4">
        <v>1</v>
      </c>
      <c r="S243" s="4">
        <v>1</v>
      </c>
      <c r="T243" s="4">
        <v>25</v>
      </c>
    </row>
    <row r="244" spans="1:21">
      <c r="A244" s="4" t="s">
        <v>263</v>
      </c>
      <c r="B244" s="4">
        <v>3</v>
      </c>
      <c r="C244" s="4">
        <v>2</v>
      </c>
      <c r="D244" s="4">
        <v>3</v>
      </c>
      <c r="E244" s="4">
        <v>2</v>
      </c>
      <c r="F244" s="4">
        <v>2</v>
      </c>
      <c r="G244" s="4">
        <v>1</v>
      </c>
      <c r="H244" s="4">
        <v>2</v>
      </c>
      <c r="I244" s="4">
        <v>2</v>
      </c>
      <c r="J244" s="4">
        <v>2</v>
      </c>
      <c r="K244" s="4">
        <v>2</v>
      </c>
      <c r="L244" s="4">
        <v>2</v>
      </c>
      <c r="M244" s="4">
        <v>2</v>
      </c>
      <c r="N244" s="4">
        <v>2</v>
      </c>
      <c r="O244" s="4">
        <v>1</v>
      </c>
      <c r="P244" s="4">
        <v>2</v>
      </c>
      <c r="Q244" s="4">
        <v>2</v>
      </c>
      <c r="R244" s="4">
        <v>2</v>
      </c>
      <c r="S244" s="4">
        <v>2</v>
      </c>
      <c r="T244" s="4">
        <v>36</v>
      </c>
    </row>
    <row r="245" spans="1:21">
      <c r="A245" s="4" t="s">
        <v>264</v>
      </c>
      <c r="B245" s="4">
        <v>1</v>
      </c>
      <c r="C245" s="4">
        <v>2</v>
      </c>
      <c r="D245" s="4">
        <v>1</v>
      </c>
      <c r="E245" s="4">
        <v>1</v>
      </c>
      <c r="F245" s="4">
        <v>2</v>
      </c>
      <c r="G245" s="4">
        <v>2</v>
      </c>
      <c r="H245" s="4">
        <v>2</v>
      </c>
      <c r="I245" s="4">
        <v>2</v>
      </c>
      <c r="J245" s="4">
        <v>1</v>
      </c>
      <c r="K245" s="4">
        <v>2</v>
      </c>
      <c r="L245" s="4">
        <v>2</v>
      </c>
      <c r="M245" s="4">
        <v>2</v>
      </c>
      <c r="N245" s="4">
        <v>1</v>
      </c>
      <c r="O245" s="4">
        <v>1</v>
      </c>
      <c r="P245" s="4">
        <v>1</v>
      </c>
      <c r="Q245" s="4">
        <v>1</v>
      </c>
      <c r="R245" s="4">
        <v>1</v>
      </c>
      <c r="S245" s="4">
        <v>1</v>
      </c>
      <c r="T245" s="4">
        <v>26</v>
      </c>
    </row>
    <row r="246" spans="1:21">
      <c r="A246" s="4" t="s">
        <v>265</v>
      </c>
      <c r="B246" s="4">
        <v>1</v>
      </c>
      <c r="C246" s="4">
        <v>1</v>
      </c>
      <c r="D246" s="4">
        <v>2</v>
      </c>
      <c r="E246" s="4">
        <v>1</v>
      </c>
      <c r="F246" s="4">
        <v>2</v>
      </c>
      <c r="G246" s="4">
        <v>2</v>
      </c>
      <c r="H246" s="4">
        <v>1</v>
      </c>
      <c r="I246" s="4">
        <v>2</v>
      </c>
      <c r="J246" s="4">
        <v>1</v>
      </c>
      <c r="K246" s="4">
        <v>2</v>
      </c>
      <c r="L246" s="4">
        <v>2</v>
      </c>
      <c r="M246" s="4">
        <v>2</v>
      </c>
      <c r="N246" s="4">
        <v>1</v>
      </c>
      <c r="O246" s="4">
        <v>2</v>
      </c>
      <c r="P246" s="4">
        <v>2</v>
      </c>
      <c r="Q246" s="4">
        <v>2</v>
      </c>
      <c r="R246" s="4">
        <v>2</v>
      </c>
      <c r="S246" s="4">
        <v>2</v>
      </c>
      <c r="T246" s="4">
        <v>30</v>
      </c>
    </row>
    <row r="247" spans="1:21">
      <c r="A247" s="4" t="s">
        <v>266</v>
      </c>
      <c r="B247" s="4">
        <v>2</v>
      </c>
      <c r="C247" s="4">
        <v>2</v>
      </c>
      <c r="D247" s="4">
        <v>2</v>
      </c>
      <c r="E247" s="4">
        <v>2</v>
      </c>
      <c r="F247" s="4">
        <v>2</v>
      </c>
      <c r="G247" s="4">
        <v>1</v>
      </c>
      <c r="H247" s="4">
        <v>1</v>
      </c>
      <c r="I247" s="4">
        <v>2</v>
      </c>
      <c r="J247" s="4">
        <v>1</v>
      </c>
      <c r="K247" s="4">
        <v>2</v>
      </c>
      <c r="L247" s="4">
        <v>1</v>
      </c>
      <c r="M247" s="4">
        <v>2</v>
      </c>
      <c r="N247" s="4">
        <v>2</v>
      </c>
      <c r="O247" s="4">
        <v>2</v>
      </c>
      <c r="P247" s="4">
        <v>2</v>
      </c>
      <c r="Q247" s="4">
        <v>2</v>
      </c>
      <c r="R247" s="4">
        <v>1</v>
      </c>
      <c r="S247" s="4">
        <v>1</v>
      </c>
      <c r="T247" s="4">
        <v>30</v>
      </c>
    </row>
    <row r="248" spans="1:21">
      <c r="A248" s="4" t="s">
        <v>267</v>
      </c>
      <c r="B248" s="4">
        <v>1</v>
      </c>
      <c r="C248" s="4">
        <v>2</v>
      </c>
      <c r="D248" s="4">
        <v>2</v>
      </c>
      <c r="E248" s="4">
        <v>2</v>
      </c>
      <c r="F248" s="4">
        <v>2</v>
      </c>
      <c r="G248" s="4">
        <v>2</v>
      </c>
      <c r="H248" s="4">
        <v>1</v>
      </c>
      <c r="I248" s="4">
        <v>1</v>
      </c>
      <c r="J248" s="4">
        <v>2</v>
      </c>
      <c r="K248" s="4">
        <v>2</v>
      </c>
      <c r="L248" s="4">
        <v>2</v>
      </c>
      <c r="M248" s="4">
        <v>1</v>
      </c>
      <c r="N248" s="4">
        <v>2</v>
      </c>
      <c r="O248" s="4">
        <v>2</v>
      </c>
      <c r="P248" s="4">
        <v>1</v>
      </c>
      <c r="Q248" s="4">
        <v>2</v>
      </c>
      <c r="R248" s="4">
        <v>2</v>
      </c>
      <c r="S248" s="4">
        <v>1</v>
      </c>
      <c r="T248" s="4">
        <v>30</v>
      </c>
    </row>
    <row r="249" spans="1:21">
      <c r="A249" s="4" t="s">
        <v>268</v>
      </c>
      <c r="B249" s="4">
        <v>2</v>
      </c>
      <c r="C249" s="4">
        <v>2</v>
      </c>
      <c r="D249" s="4">
        <v>2</v>
      </c>
      <c r="E249" s="4">
        <v>2</v>
      </c>
      <c r="F249" s="4">
        <v>2</v>
      </c>
      <c r="G249" s="4">
        <v>2</v>
      </c>
      <c r="H249" s="4">
        <v>2</v>
      </c>
      <c r="I249" s="4">
        <v>2</v>
      </c>
      <c r="J249" s="4">
        <v>2</v>
      </c>
      <c r="K249" s="4">
        <v>2</v>
      </c>
      <c r="L249" s="4">
        <v>2</v>
      </c>
      <c r="M249" s="4">
        <v>2</v>
      </c>
      <c r="N249" s="4">
        <v>2</v>
      </c>
      <c r="O249" s="4">
        <v>2</v>
      </c>
      <c r="P249" s="4">
        <v>2</v>
      </c>
      <c r="Q249" s="4">
        <v>2</v>
      </c>
      <c r="R249" s="4">
        <v>1</v>
      </c>
      <c r="S249" s="4">
        <v>2</v>
      </c>
      <c r="T249" s="4">
        <v>35</v>
      </c>
    </row>
    <row r="250" spans="1:21">
      <c r="A250" s="4" t="s">
        <v>269</v>
      </c>
      <c r="B250" s="4">
        <v>2</v>
      </c>
      <c r="C250" s="4">
        <v>1</v>
      </c>
      <c r="D250" s="4">
        <v>2</v>
      </c>
      <c r="E250" s="4">
        <v>1</v>
      </c>
      <c r="F250" s="4">
        <v>2</v>
      </c>
      <c r="G250" s="4">
        <v>2</v>
      </c>
      <c r="H250" s="4">
        <v>2</v>
      </c>
      <c r="I250" s="4">
        <v>1</v>
      </c>
      <c r="J250" s="4">
        <v>2</v>
      </c>
      <c r="K250" s="4">
        <v>1</v>
      </c>
      <c r="L250" s="4">
        <v>2</v>
      </c>
      <c r="M250" s="4">
        <v>2</v>
      </c>
      <c r="N250" s="4">
        <v>1</v>
      </c>
      <c r="O250" s="4">
        <v>1</v>
      </c>
      <c r="P250" s="4">
        <v>2</v>
      </c>
      <c r="Q250" s="4">
        <v>1</v>
      </c>
      <c r="R250" s="4">
        <v>2</v>
      </c>
      <c r="S250" s="4">
        <v>2</v>
      </c>
      <c r="T250" s="4">
        <v>29</v>
      </c>
    </row>
    <row r="251" spans="1:21">
      <c r="A251" s="4" t="s">
        <v>270</v>
      </c>
      <c r="B251" s="4">
        <v>1</v>
      </c>
      <c r="C251" s="4">
        <v>1</v>
      </c>
      <c r="D251" s="4">
        <v>1</v>
      </c>
      <c r="E251" s="4">
        <v>1</v>
      </c>
      <c r="F251" s="4">
        <v>1</v>
      </c>
      <c r="G251" s="4">
        <v>2</v>
      </c>
      <c r="H251" s="4">
        <v>2</v>
      </c>
      <c r="I251" s="4">
        <v>1</v>
      </c>
      <c r="J251" s="4">
        <v>1</v>
      </c>
      <c r="K251" s="4">
        <v>1</v>
      </c>
      <c r="L251" s="4">
        <v>1</v>
      </c>
      <c r="M251" s="4">
        <v>2</v>
      </c>
      <c r="N251" s="4">
        <v>1</v>
      </c>
      <c r="O251" s="4">
        <v>1</v>
      </c>
      <c r="P251" s="4">
        <v>1</v>
      </c>
      <c r="Q251" s="4">
        <v>1</v>
      </c>
      <c r="R251" s="4">
        <v>1</v>
      </c>
      <c r="S251" s="4">
        <v>1</v>
      </c>
      <c r="T251" s="4">
        <v>21</v>
      </c>
    </row>
    <row r="252" spans="1:21">
      <c r="A252" s="4" t="s">
        <v>271</v>
      </c>
      <c r="B252" s="4">
        <v>2</v>
      </c>
      <c r="C252" s="4">
        <v>2</v>
      </c>
      <c r="D252" s="4">
        <v>2</v>
      </c>
      <c r="E252" s="4">
        <v>1</v>
      </c>
      <c r="F252" s="4">
        <v>1</v>
      </c>
      <c r="G252" s="4">
        <v>2</v>
      </c>
      <c r="H252" s="4">
        <v>2</v>
      </c>
      <c r="I252" s="4">
        <v>2</v>
      </c>
      <c r="J252" s="4">
        <v>1</v>
      </c>
      <c r="K252" s="4">
        <v>1</v>
      </c>
      <c r="L252" s="4">
        <v>1</v>
      </c>
      <c r="M252" s="4">
        <v>2</v>
      </c>
      <c r="N252" s="4">
        <v>1</v>
      </c>
      <c r="O252" s="4">
        <v>2</v>
      </c>
      <c r="P252" s="4">
        <v>2</v>
      </c>
      <c r="Q252" s="4">
        <v>2</v>
      </c>
      <c r="R252" s="4">
        <v>2</v>
      </c>
      <c r="S252" s="4">
        <v>2</v>
      </c>
      <c r="T252" s="4">
        <v>30</v>
      </c>
    </row>
    <row r="253" spans="1:21">
      <c r="A253" s="4" t="s">
        <v>272</v>
      </c>
      <c r="B253" s="4">
        <v>1</v>
      </c>
      <c r="C253" s="4">
        <v>2</v>
      </c>
      <c r="D253" s="4">
        <v>2</v>
      </c>
      <c r="E253" s="4">
        <v>2</v>
      </c>
      <c r="F253" s="4">
        <v>2</v>
      </c>
      <c r="G253" s="4">
        <v>1</v>
      </c>
      <c r="H253" s="4">
        <v>2</v>
      </c>
      <c r="I253" s="4">
        <v>2</v>
      </c>
      <c r="J253" s="4">
        <v>2</v>
      </c>
      <c r="K253" s="4">
        <v>2</v>
      </c>
      <c r="L253" s="4">
        <v>1</v>
      </c>
      <c r="M253" s="4">
        <v>2</v>
      </c>
      <c r="N253" s="4">
        <v>1</v>
      </c>
      <c r="O253" s="4">
        <v>1</v>
      </c>
      <c r="P253" s="4">
        <v>2</v>
      </c>
      <c r="Q253" s="4">
        <v>1</v>
      </c>
      <c r="R253" s="4">
        <v>1</v>
      </c>
      <c r="S253" s="4">
        <v>2</v>
      </c>
      <c r="T253" s="4">
        <v>29</v>
      </c>
    </row>
    <row r="254" spans="1:21">
      <c r="A254" s="4" t="s">
        <v>273</v>
      </c>
      <c r="B254" s="4">
        <v>2</v>
      </c>
      <c r="C254" s="4">
        <v>3</v>
      </c>
      <c r="D254" s="4">
        <v>3</v>
      </c>
      <c r="E254" s="4">
        <v>3</v>
      </c>
      <c r="F254" s="4">
        <v>2</v>
      </c>
      <c r="G254" s="4">
        <v>2</v>
      </c>
      <c r="H254" s="4">
        <v>2</v>
      </c>
      <c r="I254" s="4">
        <v>3</v>
      </c>
      <c r="J254" s="4">
        <v>2</v>
      </c>
      <c r="K254" s="4">
        <v>2</v>
      </c>
      <c r="L254" s="4">
        <v>2</v>
      </c>
      <c r="M254" s="4">
        <v>1</v>
      </c>
      <c r="N254" s="4">
        <v>2</v>
      </c>
      <c r="O254" s="4">
        <v>2</v>
      </c>
      <c r="P254" s="4">
        <v>2</v>
      </c>
      <c r="Q254" s="4">
        <v>2</v>
      </c>
      <c r="R254" s="4">
        <v>2</v>
      </c>
      <c r="S254" s="4">
        <v>2</v>
      </c>
      <c r="T254" s="4">
        <v>39</v>
      </c>
    </row>
    <row r="255" spans="1:21">
      <c r="A255" s="4" t="s">
        <v>274</v>
      </c>
      <c r="B255" s="4">
        <v>1</v>
      </c>
      <c r="C255" s="4">
        <v>1</v>
      </c>
      <c r="D255" s="4">
        <v>1</v>
      </c>
      <c r="E255" s="4">
        <v>1</v>
      </c>
      <c r="F255" s="4">
        <v>1</v>
      </c>
      <c r="G255" s="4">
        <v>1</v>
      </c>
      <c r="H255" s="4">
        <v>1</v>
      </c>
      <c r="I255" s="4">
        <v>1</v>
      </c>
      <c r="J255" s="4">
        <v>1</v>
      </c>
      <c r="K255" s="4">
        <v>1</v>
      </c>
      <c r="L255" s="4">
        <v>1</v>
      </c>
      <c r="M255" s="4">
        <v>1</v>
      </c>
      <c r="N255" s="4">
        <v>1</v>
      </c>
      <c r="O255" s="4">
        <v>2</v>
      </c>
      <c r="P255" s="4">
        <v>1</v>
      </c>
      <c r="Q255" s="4">
        <v>1</v>
      </c>
      <c r="R255" s="4">
        <v>1</v>
      </c>
      <c r="S255" s="4">
        <v>1</v>
      </c>
      <c r="T255" s="4">
        <v>19</v>
      </c>
    </row>
    <row r="256" spans="1:21">
      <c r="A256" s="4" t="s">
        <v>275</v>
      </c>
      <c r="B256" s="4">
        <v>2</v>
      </c>
      <c r="C256" s="4">
        <v>1</v>
      </c>
      <c r="D256" s="4">
        <v>1</v>
      </c>
      <c r="E256" s="4">
        <v>1</v>
      </c>
      <c r="F256" s="4">
        <v>2</v>
      </c>
      <c r="G256" s="4">
        <v>2</v>
      </c>
      <c r="H256" s="4">
        <v>2</v>
      </c>
      <c r="I256" s="4">
        <v>2</v>
      </c>
      <c r="J256" s="4">
        <v>2</v>
      </c>
      <c r="K256" s="4">
        <v>1</v>
      </c>
      <c r="L256" s="4">
        <v>2</v>
      </c>
      <c r="M256" s="4">
        <v>2</v>
      </c>
      <c r="N256" s="4">
        <v>2</v>
      </c>
      <c r="O256" s="4">
        <v>1</v>
      </c>
      <c r="P256" s="4">
        <v>1</v>
      </c>
      <c r="Q256" s="4">
        <v>1</v>
      </c>
      <c r="R256" s="4">
        <v>2</v>
      </c>
      <c r="S256" s="4">
        <v>2</v>
      </c>
      <c r="T256" s="4">
        <v>29</v>
      </c>
    </row>
    <row r="257" spans="1:21">
      <c r="A257" s="4" t="s">
        <v>276</v>
      </c>
      <c r="B257" s="4">
        <v>2</v>
      </c>
      <c r="C257" s="4">
        <v>2</v>
      </c>
      <c r="D257" s="4">
        <v>2</v>
      </c>
      <c r="E257" s="4">
        <v>2</v>
      </c>
      <c r="F257" s="4">
        <v>1</v>
      </c>
      <c r="G257" s="4">
        <v>2</v>
      </c>
      <c r="H257" s="4">
        <v>2</v>
      </c>
      <c r="I257" s="4">
        <v>2</v>
      </c>
      <c r="J257" s="4">
        <v>1</v>
      </c>
      <c r="K257" s="4">
        <v>1</v>
      </c>
      <c r="L257" s="4">
        <v>1</v>
      </c>
      <c r="M257" s="4">
        <v>2</v>
      </c>
      <c r="N257" s="4">
        <v>2</v>
      </c>
      <c r="O257" s="4">
        <v>2</v>
      </c>
      <c r="P257" s="4">
        <v>3</v>
      </c>
      <c r="Q257" s="4">
        <v>2</v>
      </c>
      <c r="R257" s="4">
        <v>2</v>
      </c>
      <c r="S257" s="4">
        <v>2</v>
      </c>
      <c r="T257" s="4">
        <v>33</v>
      </c>
    </row>
    <row r="258" spans="1:21">
      <c r="A258" s="4" t="s">
        <v>277</v>
      </c>
      <c r="B258" s="4">
        <v>2</v>
      </c>
      <c r="C258" s="4">
        <v>2</v>
      </c>
      <c r="D258" s="4">
        <v>2</v>
      </c>
      <c r="E258" s="4">
        <v>2</v>
      </c>
      <c r="F258" s="4">
        <v>1</v>
      </c>
      <c r="G258" s="4">
        <v>2</v>
      </c>
      <c r="H258" s="4">
        <v>2</v>
      </c>
      <c r="I258" s="4">
        <v>2</v>
      </c>
      <c r="J258" s="4">
        <v>2</v>
      </c>
      <c r="K258" s="4">
        <v>1</v>
      </c>
      <c r="L258" s="4">
        <v>2</v>
      </c>
      <c r="M258" s="4">
        <v>1</v>
      </c>
      <c r="N258" s="4">
        <v>2</v>
      </c>
      <c r="O258" s="4">
        <v>2</v>
      </c>
      <c r="P258" s="4">
        <v>2</v>
      </c>
      <c r="Q258" s="4">
        <v>1</v>
      </c>
      <c r="R258" s="4">
        <v>2</v>
      </c>
      <c r="S258" s="4">
        <v>2</v>
      </c>
      <c r="T258" s="4">
        <v>32</v>
      </c>
    </row>
    <row r="259" spans="1:21">
      <c r="A259" s="4" t="s">
        <v>278</v>
      </c>
      <c r="B259" s="4">
        <v>2</v>
      </c>
      <c r="C259" s="4">
        <v>2</v>
      </c>
      <c r="D259" s="4">
        <v>2</v>
      </c>
      <c r="E259" s="4">
        <v>2</v>
      </c>
      <c r="F259" s="4">
        <v>2</v>
      </c>
      <c r="G259" s="4">
        <v>2</v>
      </c>
      <c r="H259" s="4">
        <v>3</v>
      </c>
      <c r="I259" s="4">
        <v>2</v>
      </c>
      <c r="J259" s="4">
        <v>2</v>
      </c>
      <c r="K259" s="4">
        <v>2</v>
      </c>
      <c r="L259" s="4">
        <v>3</v>
      </c>
      <c r="M259" s="4">
        <v>2</v>
      </c>
      <c r="N259" s="4">
        <v>2</v>
      </c>
      <c r="O259" s="4">
        <v>3</v>
      </c>
      <c r="P259" s="4">
        <v>2</v>
      </c>
      <c r="Q259" s="4">
        <v>3</v>
      </c>
      <c r="R259" s="4">
        <v>2</v>
      </c>
      <c r="S259" s="4">
        <v>2</v>
      </c>
      <c r="T259" s="4">
        <v>40</v>
      </c>
    </row>
    <row r="260" spans="1:21">
      <c r="A260" s="4" t="s">
        <v>279</v>
      </c>
      <c r="B260" s="4">
        <v>1</v>
      </c>
      <c r="C260" s="4">
        <v>1</v>
      </c>
      <c r="D260" s="4">
        <v>1</v>
      </c>
      <c r="E260" s="4">
        <v>1</v>
      </c>
      <c r="F260" s="4">
        <v>1</v>
      </c>
      <c r="G260" s="4">
        <v>1</v>
      </c>
      <c r="H260" s="4">
        <v>2</v>
      </c>
      <c r="I260" s="4">
        <v>2</v>
      </c>
      <c r="J260" s="4">
        <v>1</v>
      </c>
      <c r="K260" s="4">
        <v>1</v>
      </c>
      <c r="L260" s="4">
        <v>1</v>
      </c>
      <c r="M260" s="4">
        <v>2</v>
      </c>
      <c r="N260" s="4">
        <v>1</v>
      </c>
      <c r="O260" s="4">
        <v>1</v>
      </c>
      <c r="P260" s="4">
        <v>2</v>
      </c>
      <c r="Q260" s="4">
        <v>1</v>
      </c>
      <c r="R260" s="4">
        <v>1</v>
      </c>
      <c r="S260" s="4">
        <v>1</v>
      </c>
      <c r="T260" s="4">
        <v>22</v>
      </c>
    </row>
    <row r="261" spans="1:21">
      <c r="A261" s="4" t="s">
        <v>280</v>
      </c>
      <c r="B261" s="4">
        <v>2</v>
      </c>
      <c r="C261" s="4">
        <v>2</v>
      </c>
      <c r="D261" s="4">
        <v>3</v>
      </c>
      <c r="E261" s="4">
        <v>2</v>
      </c>
      <c r="F261" s="4">
        <v>3</v>
      </c>
      <c r="G261" s="4">
        <v>2</v>
      </c>
      <c r="H261" s="4">
        <v>2</v>
      </c>
      <c r="I261" s="4">
        <v>2</v>
      </c>
      <c r="J261" s="4">
        <v>2</v>
      </c>
      <c r="K261" s="4">
        <v>2</v>
      </c>
      <c r="L261" s="4">
        <v>1</v>
      </c>
      <c r="M261" s="4">
        <v>2</v>
      </c>
      <c r="N261" s="4">
        <v>2</v>
      </c>
      <c r="O261" s="4">
        <v>2</v>
      </c>
      <c r="P261" s="4">
        <v>2</v>
      </c>
      <c r="Q261" s="4">
        <v>3</v>
      </c>
      <c r="R261" s="4">
        <v>2</v>
      </c>
      <c r="S261" s="4">
        <v>3</v>
      </c>
      <c r="T261" s="4">
        <v>39</v>
      </c>
    </row>
    <row r="262" spans="1:21">
      <c r="A262" s="4" t="s">
        <v>281</v>
      </c>
      <c r="B262" s="4">
        <v>2</v>
      </c>
      <c r="C262" s="4">
        <v>1</v>
      </c>
      <c r="D262" s="4">
        <v>1</v>
      </c>
      <c r="E262" s="4">
        <v>1</v>
      </c>
      <c r="F262" s="4">
        <v>1</v>
      </c>
      <c r="G262" s="4">
        <v>1</v>
      </c>
      <c r="H262" s="4">
        <v>2</v>
      </c>
      <c r="I262" s="4">
        <v>2</v>
      </c>
      <c r="J262" s="4">
        <v>1</v>
      </c>
      <c r="K262" s="4">
        <v>2</v>
      </c>
      <c r="L262" s="4">
        <v>1</v>
      </c>
      <c r="M262" s="4">
        <v>2</v>
      </c>
      <c r="N262" s="4">
        <v>1</v>
      </c>
      <c r="O262" s="4">
        <v>2</v>
      </c>
      <c r="P262" s="4">
        <v>2</v>
      </c>
      <c r="Q262" s="4">
        <v>1</v>
      </c>
      <c r="R262" s="4">
        <v>1</v>
      </c>
      <c r="S262" s="4">
        <v>1</v>
      </c>
      <c r="T262" s="4">
        <v>25</v>
      </c>
    </row>
    <row r="263" spans="1:21">
      <c r="A263" s="4" t="s">
        <v>282</v>
      </c>
      <c r="B263" s="4">
        <v>2</v>
      </c>
      <c r="C263" s="4">
        <v>2</v>
      </c>
      <c r="D263" s="4">
        <v>3</v>
      </c>
      <c r="E263" s="4">
        <v>2</v>
      </c>
      <c r="F263" s="4">
        <v>2</v>
      </c>
      <c r="G263" s="4">
        <v>3</v>
      </c>
      <c r="H263" s="4">
        <v>2</v>
      </c>
      <c r="I263" s="4">
        <v>2</v>
      </c>
      <c r="J263" s="4">
        <v>2</v>
      </c>
      <c r="K263" s="4">
        <v>2</v>
      </c>
      <c r="L263" s="4">
        <v>2</v>
      </c>
      <c r="M263" s="4">
        <v>3</v>
      </c>
      <c r="N263" s="4">
        <v>2</v>
      </c>
      <c r="O263" s="4">
        <v>2</v>
      </c>
      <c r="P263" s="4">
        <v>2</v>
      </c>
      <c r="Q263" s="4">
        <v>2</v>
      </c>
      <c r="R263" s="4">
        <v>3</v>
      </c>
      <c r="S263" s="4">
        <v>2</v>
      </c>
      <c r="T263" s="4">
        <v>40</v>
      </c>
    </row>
    <row r="264" spans="1:21">
      <c r="A264" s="4" t="s">
        <v>283</v>
      </c>
      <c r="B264" s="4">
        <v>1</v>
      </c>
      <c r="C264" s="4">
        <v>2</v>
      </c>
      <c r="D264" s="4">
        <v>2</v>
      </c>
      <c r="E264" s="4">
        <v>2</v>
      </c>
      <c r="F264" s="4">
        <v>2</v>
      </c>
      <c r="G264" s="4">
        <v>1</v>
      </c>
      <c r="H264" s="4">
        <v>2</v>
      </c>
      <c r="I264" s="4">
        <v>2</v>
      </c>
      <c r="J264" s="4">
        <v>2</v>
      </c>
      <c r="K264" s="4">
        <v>1</v>
      </c>
      <c r="L264" s="4">
        <v>2</v>
      </c>
      <c r="M264" s="4">
        <v>2</v>
      </c>
      <c r="N264" s="4">
        <v>1</v>
      </c>
      <c r="O264" s="4">
        <v>2</v>
      </c>
      <c r="P264" s="4">
        <v>2</v>
      </c>
      <c r="Q264" s="4">
        <v>2</v>
      </c>
      <c r="R264" s="4">
        <v>2</v>
      </c>
      <c r="S264" s="4">
        <v>2</v>
      </c>
      <c r="T264" s="4">
        <v>32</v>
      </c>
    </row>
    <row r="265" spans="1:21">
      <c r="A265" s="4" t="s">
        <v>284</v>
      </c>
      <c r="B265" s="4">
        <v>2</v>
      </c>
      <c r="C265" s="4">
        <v>2</v>
      </c>
      <c r="D265" s="4">
        <v>1</v>
      </c>
      <c r="E265" s="4">
        <v>2</v>
      </c>
      <c r="F265" s="4">
        <v>2</v>
      </c>
      <c r="G265" s="4">
        <v>2</v>
      </c>
      <c r="H265" s="4">
        <v>2</v>
      </c>
      <c r="I265" s="4">
        <v>2</v>
      </c>
      <c r="J265" s="4">
        <v>2</v>
      </c>
      <c r="K265" s="4">
        <v>2</v>
      </c>
      <c r="L265" s="4">
        <v>2</v>
      </c>
      <c r="M265" s="4">
        <v>2</v>
      </c>
      <c r="N265" s="4">
        <v>2</v>
      </c>
      <c r="O265" s="4">
        <v>3</v>
      </c>
      <c r="P265" s="4">
        <v>2</v>
      </c>
      <c r="Q265" s="4">
        <v>3</v>
      </c>
      <c r="R265" s="4">
        <v>2</v>
      </c>
      <c r="S265" s="4">
        <v>2</v>
      </c>
      <c r="T265" s="4">
        <v>37</v>
      </c>
    </row>
    <row r="266" spans="1:21">
      <c r="A266" s="4" t="s">
        <v>285</v>
      </c>
      <c r="B266" s="4">
        <v>2</v>
      </c>
      <c r="C266" s="4">
        <v>1</v>
      </c>
      <c r="D266" s="4">
        <v>2</v>
      </c>
      <c r="E266" s="4">
        <v>2</v>
      </c>
      <c r="F266" s="4">
        <v>1</v>
      </c>
      <c r="G266" s="4">
        <v>1</v>
      </c>
      <c r="H266" s="4">
        <v>1</v>
      </c>
      <c r="I266" s="4">
        <v>2</v>
      </c>
      <c r="J266" s="4">
        <v>1</v>
      </c>
      <c r="K266" s="4">
        <v>1</v>
      </c>
      <c r="L266" s="4">
        <v>2</v>
      </c>
      <c r="M266" s="4">
        <v>1</v>
      </c>
      <c r="N266" s="4">
        <v>2</v>
      </c>
      <c r="O266" s="4">
        <v>1</v>
      </c>
      <c r="P266" s="4">
        <v>1</v>
      </c>
      <c r="Q266" s="4">
        <v>1</v>
      </c>
      <c r="R266" s="4">
        <v>2</v>
      </c>
      <c r="S266" s="4">
        <v>1</v>
      </c>
      <c r="T266" s="4">
        <v>25</v>
      </c>
    </row>
    <row r="267" spans="1:21">
      <c r="A267" s="4" t="s">
        <v>286</v>
      </c>
      <c r="B267" s="4">
        <v>2</v>
      </c>
      <c r="C267" s="4">
        <v>2</v>
      </c>
      <c r="D267" s="4">
        <v>2</v>
      </c>
      <c r="E267" s="4">
        <v>2</v>
      </c>
      <c r="F267" s="4">
        <v>1</v>
      </c>
      <c r="G267" s="4">
        <v>2</v>
      </c>
      <c r="H267" s="4">
        <v>2</v>
      </c>
      <c r="I267" s="4">
        <v>3</v>
      </c>
      <c r="J267" s="4">
        <v>2</v>
      </c>
      <c r="K267" s="4">
        <v>1</v>
      </c>
      <c r="L267" s="4">
        <v>3</v>
      </c>
      <c r="M267" s="4">
        <v>2</v>
      </c>
      <c r="N267" s="4">
        <v>2</v>
      </c>
      <c r="O267" s="4">
        <v>2</v>
      </c>
      <c r="P267" s="4">
        <v>2</v>
      </c>
      <c r="Q267" s="4">
        <v>2</v>
      </c>
      <c r="R267" s="4">
        <v>2</v>
      </c>
      <c r="S267" s="4">
        <v>2</v>
      </c>
      <c r="T267" s="4">
        <v>36</v>
      </c>
    </row>
    <row r="268" spans="1:21">
      <c r="A268" s="4" t="s">
        <v>287</v>
      </c>
      <c r="B268" s="4">
        <v>2</v>
      </c>
      <c r="C268" s="4">
        <v>2</v>
      </c>
      <c r="D268" s="4">
        <v>1</v>
      </c>
      <c r="E268" s="4">
        <v>2</v>
      </c>
      <c r="F268" s="4">
        <v>2</v>
      </c>
      <c r="G268" s="4">
        <v>1</v>
      </c>
      <c r="H268" s="4">
        <v>1</v>
      </c>
      <c r="I268" s="4">
        <v>2</v>
      </c>
      <c r="J268" s="4">
        <v>2</v>
      </c>
      <c r="K268" s="4">
        <v>1</v>
      </c>
      <c r="L268" s="4">
        <v>2</v>
      </c>
      <c r="M268" s="4">
        <v>2</v>
      </c>
      <c r="N268" s="4">
        <v>1</v>
      </c>
      <c r="O268" s="4">
        <v>2</v>
      </c>
      <c r="P268" s="4">
        <v>1</v>
      </c>
      <c r="Q268" s="4">
        <v>1</v>
      </c>
      <c r="R268" s="4">
        <v>2</v>
      </c>
      <c r="S268" s="4">
        <v>2</v>
      </c>
      <c r="T268" s="4">
        <v>29</v>
      </c>
    </row>
    <row r="269" spans="1:21">
      <c r="A269" s="4" t="s">
        <v>288</v>
      </c>
      <c r="B269" s="4">
        <v>2</v>
      </c>
      <c r="C269" s="4">
        <v>3</v>
      </c>
      <c r="D269" s="4">
        <v>2</v>
      </c>
      <c r="E269" s="4">
        <v>3</v>
      </c>
      <c r="F269" s="4">
        <v>2</v>
      </c>
      <c r="G269" s="4">
        <v>2</v>
      </c>
      <c r="H269" s="4">
        <v>2</v>
      </c>
      <c r="I269" s="4">
        <v>2</v>
      </c>
      <c r="J269" s="4">
        <v>2</v>
      </c>
      <c r="K269" s="4">
        <v>3</v>
      </c>
      <c r="L269" s="4">
        <v>2</v>
      </c>
      <c r="M269" s="4">
        <v>2</v>
      </c>
      <c r="N269" s="4">
        <v>2</v>
      </c>
      <c r="O269" s="4">
        <v>2</v>
      </c>
      <c r="P269" s="4">
        <v>2</v>
      </c>
      <c r="Q269" s="4">
        <v>2</v>
      </c>
      <c r="R269" s="4">
        <v>2</v>
      </c>
      <c r="S269" s="4">
        <v>2</v>
      </c>
      <c r="T269" s="4">
        <v>39</v>
      </c>
    </row>
    <row r="270" spans="1:21">
      <c r="A270" s="4" t="s">
        <v>289</v>
      </c>
      <c r="B270" s="4">
        <v>3</v>
      </c>
      <c r="C270" s="4">
        <v>2</v>
      </c>
      <c r="D270" s="4">
        <v>2</v>
      </c>
      <c r="E270" s="4">
        <v>1</v>
      </c>
      <c r="F270" s="4">
        <v>2</v>
      </c>
      <c r="G270" s="4">
        <v>2</v>
      </c>
      <c r="H270" s="4">
        <v>3</v>
      </c>
      <c r="I270" s="4">
        <v>2</v>
      </c>
      <c r="J270" s="4">
        <v>2</v>
      </c>
      <c r="K270" s="4">
        <v>2</v>
      </c>
      <c r="L270" s="4">
        <v>2</v>
      </c>
      <c r="M270" s="4">
        <v>2</v>
      </c>
      <c r="N270" s="4">
        <v>2</v>
      </c>
      <c r="O270" s="4">
        <v>2</v>
      </c>
      <c r="P270" s="4">
        <v>3</v>
      </c>
      <c r="Q270" s="4">
        <v>2</v>
      </c>
      <c r="R270" s="4">
        <v>3</v>
      </c>
      <c r="S270" s="4">
        <v>2</v>
      </c>
      <c r="T270" s="4">
        <v>39</v>
      </c>
    </row>
    <row r="271" spans="1:21">
      <c r="A271" s="4" t="s">
        <v>290</v>
      </c>
      <c r="B271" s="4">
        <v>2</v>
      </c>
      <c r="C271" s="4">
        <v>2</v>
      </c>
      <c r="D271" s="4">
        <v>2</v>
      </c>
      <c r="E271" s="4">
        <v>3</v>
      </c>
      <c r="F271" s="4">
        <v>2</v>
      </c>
      <c r="G271" s="4">
        <v>2</v>
      </c>
      <c r="H271" s="4">
        <v>3</v>
      </c>
      <c r="I271" s="4">
        <v>2</v>
      </c>
      <c r="J271" s="4">
        <v>2</v>
      </c>
      <c r="K271" s="4">
        <v>1</v>
      </c>
      <c r="L271" s="4">
        <v>2</v>
      </c>
      <c r="M271" s="4">
        <v>2</v>
      </c>
      <c r="N271" s="4">
        <v>2</v>
      </c>
      <c r="O271" s="4">
        <v>2</v>
      </c>
      <c r="P271" s="4">
        <v>1</v>
      </c>
      <c r="Q271" s="4">
        <v>2</v>
      </c>
      <c r="R271" s="4">
        <v>1</v>
      </c>
      <c r="S271" s="4">
        <v>2</v>
      </c>
      <c r="T271" s="4">
        <v>35</v>
      </c>
    </row>
    <row r="272" spans="1:21">
      <c r="A272" s="4" t="s">
        <v>291</v>
      </c>
      <c r="B272" s="4">
        <v>2</v>
      </c>
      <c r="C272" s="4">
        <v>2</v>
      </c>
      <c r="D272" s="4">
        <v>2</v>
      </c>
      <c r="E272" s="4">
        <v>2</v>
      </c>
      <c r="F272" s="4">
        <v>2</v>
      </c>
      <c r="G272" s="4">
        <v>1</v>
      </c>
      <c r="H272" s="4">
        <v>2</v>
      </c>
      <c r="I272" s="4">
        <v>2</v>
      </c>
      <c r="J272" s="4">
        <v>2</v>
      </c>
      <c r="K272" s="4">
        <v>1</v>
      </c>
      <c r="L272" s="4">
        <v>1</v>
      </c>
      <c r="M272" s="4">
        <v>2</v>
      </c>
      <c r="N272" s="4">
        <v>2</v>
      </c>
      <c r="O272" s="4">
        <v>1</v>
      </c>
      <c r="P272" s="4">
        <v>2</v>
      </c>
      <c r="Q272" s="4">
        <v>2</v>
      </c>
      <c r="R272" s="4">
        <v>2</v>
      </c>
      <c r="S272" s="4">
        <v>1</v>
      </c>
      <c r="T272" s="4">
        <v>31</v>
      </c>
    </row>
    <row r="273" spans="1:21">
      <c r="A273" s="4" t="s">
        <v>292</v>
      </c>
      <c r="B273" s="4">
        <v>2</v>
      </c>
      <c r="C273" s="4">
        <v>2</v>
      </c>
      <c r="D273" s="4">
        <v>1</v>
      </c>
      <c r="E273" s="4">
        <v>2</v>
      </c>
      <c r="F273" s="4">
        <v>2</v>
      </c>
      <c r="G273" s="4">
        <v>2</v>
      </c>
      <c r="H273" s="4">
        <v>2</v>
      </c>
      <c r="I273" s="4">
        <v>2</v>
      </c>
      <c r="J273" s="4">
        <v>2</v>
      </c>
      <c r="K273" s="4">
        <v>2</v>
      </c>
      <c r="L273" s="4">
        <v>2</v>
      </c>
      <c r="M273" s="4">
        <v>2</v>
      </c>
      <c r="N273" s="4">
        <v>2</v>
      </c>
      <c r="O273" s="4">
        <v>2</v>
      </c>
      <c r="P273" s="4">
        <v>2</v>
      </c>
      <c r="Q273" s="4">
        <v>2</v>
      </c>
      <c r="R273" s="4">
        <v>2</v>
      </c>
      <c r="S273" s="4">
        <v>2</v>
      </c>
      <c r="T273" s="4">
        <v>35</v>
      </c>
    </row>
    <row r="274" spans="1:21">
      <c r="A274" s="4" t="s">
        <v>293</v>
      </c>
      <c r="B274" s="4">
        <v>2</v>
      </c>
      <c r="C274" s="4">
        <v>2</v>
      </c>
      <c r="D274" s="4">
        <v>2</v>
      </c>
      <c r="E274" s="4">
        <v>2</v>
      </c>
      <c r="F274" s="4">
        <v>2</v>
      </c>
      <c r="G274" s="4">
        <v>2</v>
      </c>
      <c r="H274" s="4">
        <v>2</v>
      </c>
      <c r="I274" s="4">
        <v>2</v>
      </c>
      <c r="J274" s="4">
        <v>1</v>
      </c>
      <c r="K274" s="4">
        <v>2</v>
      </c>
      <c r="L274" s="4">
        <v>2</v>
      </c>
      <c r="M274" s="4">
        <v>1</v>
      </c>
      <c r="N274" s="4">
        <v>1</v>
      </c>
      <c r="O274" s="4">
        <v>1</v>
      </c>
      <c r="P274" s="4">
        <v>2</v>
      </c>
      <c r="Q274" s="4">
        <v>2</v>
      </c>
      <c r="R274" s="4">
        <v>2</v>
      </c>
      <c r="S274" s="4">
        <v>2</v>
      </c>
      <c r="T274" s="4">
        <v>32</v>
      </c>
    </row>
    <row r="275" spans="1:21">
      <c r="A275" s="4" t="s">
        <v>294</v>
      </c>
      <c r="B275" s="4">
        <v>1</v>
      </c>
      <c r="C275" s="4">
        <v>1</v>
      </c>
      <c r="D275" s="4">
        <v>2</v>
      </c>
      <c r="E275" s="4">
        <v>2</v>
      </c>
      <c r="F275" s="4">
        <v>1</v>
      </c>
      <c r="G275" s="4">
        <v>2</v>
      </c>
      <c r="H275" s="4">
        <v>1</v>
      </c>
      <c r="I275" s="4">
        <v>1</v>
      </c>
      <c r="J275" s="4">
        <v>1</v>
      </c>
      <c r="K275" s="4">
        <v>2</v>
      </c>
      <c r="L275" s="4">
        <v>1</v>
      </c>
      <c r="M275" s="4">
        <v>2</v>
      </c>
      <c r="N275" s="4">
        <v>2</v>
      </c>
      <c r="O275" s="4">
        <v>1</v>
      </c>
      <c r="P275" s="4">
        <v>2</v>
      </c>
      <c r="Q275" s="4">
        <v>1</v>
      </c>
      <c r="R275" s="4">
        <v>2</v>
      </c>
      <c r="S275" s="4">
        <v>2</v>
      </c>
      <c r="T275" s="4">
        <v>27</v>
      </c>
    </row>
    <row r="276" spans="1:21">
      <c r="A276" s="4" t="s">
        <v>295</v>
      </c>
      <c r="B276" s="4">
        <v>1</v>
      </c>
      <c r="C276" s="4">
        <v>1</v>
      </c>
      <c r="D276" s="4">
        <v>1</v>
      </c>
      <c r="E276" s="4">
        <v>2</v>
      </c>
      <c r="F276" s="4">
        <v>1</v>
      </c>
      <c r="G276" s="4">
        <v>1</v>
      </c>
      <c r="H276" s="4">
        <v>1</v>
      </c>
      <c r="I276" s="4">
        <v>1</v>
      </c>
      <c r="J276" s="4">
        <v>1</v>
      </c>
      <c r="K276" s="4">
        <v>1</v>
      </c>
      <c r="L276" s="4">
        <v>1</v>
      </c>
      <c r="M276" s="4">
        <v>1</v>
      </c>
      <c r="N276" s="4">
        <v>1</v>
      </c>
      <c r="O276" s="4">
        <v>1</v>
      </c>
      <c r="P276" s="4">
        <v>1</v>
      </c>
      <c r="Q276" s="4">
        <v>1</v>
      </c>
      <c r="R276" s="4">
        <v>2</v>
      </c>
      <c r="S276" s="4">
        <v>2</v>
      </c>
      <c r="T276" s="4">
        <v>21</v>
      </c>
    </row>
    <row r="277" spans="1:21">
      <c r="A277" s="4" t="s">
        <v>296</v>
      </c>
      <c r="B277" s="4">
        <v>2</v>
      </c>
      <c r="C277" s="4">
        <v>2</v>
      </c>
      <c r="D277" s="4">
        <v>2</v>
      </c>
      <c r="E277" s="4">
        <v>3</v>
      </c>
      <c r="F277" s="4">
        <v>3</v>
      </c>
      <c r="G277" s="4">
        <v>1</v>
      </c>
      <c r="H277" s="4">
        <v>2</v>
      </c>
      <c r="I277" s="4">
        <v>2</v>
      </c>
      <c r="J277" s="4">
        <v>3</v>
      </c>
      <c r="K277" s="4">
        <v>3</v>
      </c>
      <c r="L277" s="4">
        <v>2</v>
      </c>
      <c r="M277" s="4">
        <v>2</v>
      </c>
      <c r="N277" s="4">
        <v>2</v>
      </c>
      <c r="O277" s="4">
        <v>2</v>
      </c>
      <c r="P277" s="4">
        <v>2</v>
      </c>
      <c r="Q277" s="4">
        <v>2</v>
      </c>
      <c r="R277" s="4">
        <v>2</v>
      </c>
      <c r="S277" s="4">
        <v>2</v>
      </c>
      <c r="T277" s="4">
        <v>39</v>
      </c>
    </row>
    <row r="278" spans="1:21">
      <c r="A278" s="4" t="s">
        <v>297</v>
      </c>
      <c r="B278" s="4">
        <v>2</v>
      </c>
      <c r="C278" s="4">
        <v>1</v>
      </c>
      <c r="D278" s="4">
        <v>2</v>
      </c>
      <c r="E278" s="4">
        <v>2</v>
      </c>
      <c r="F278" s="4">
        <v>2</v>
      </c>
      <c r="G278" s="4">
        <v>2</v>
      </c>
      <c r="H278" s="4">
        <v>1</v>
      </c>
      <c r="I278" s="4">
        <v>2</v>
      </c>
      <c r="J278" s="4">
        <v>2</v>
      </c>
      <c r="K278" s="4">
        <v>2</v>
      </c>
      <c r="L278" s="4">
        <v>1</v>
      </c>
      <c r="M278" s="4">
        <v>2</v>
      </c>
      <c r="N278" s="4">
        <v>2</v>
      </c>
      <c r="O278" s="4">
        <v>1</v>
      </c>
      <c r="P278" s="4">
        <v>1</v>
      </c>
      <c r="Q278" s="4">
        <v>2</v>
      </c>
      <c r="R278" s="4">
        <v>2</v>
      </c>
      <c r="S278" s="4">
        <v>2</v>
      </c>
      <c r="T278" s="4">
        <v>31</v>
      </c>
    </row>
    <row r="279" spans="1:21">
      <c r="A279" s="4" t="s">
        <v>298</v>
      </c>
      <c r="B279" s="4">
        <v>1</v>
      </c>
      <c r="C279" s="4">
        <v>1</v>
      </c>
      <c r="D279" s="4">
        <v>1</v>
      </c>
      <c r="E279" s="4">
        <v>1</v>
      </c>
      <c r="F279" s="4">
        <v>1</v>
      </c>
      <c r="G279" s="4">
        <v>1</v>
      </c>
      <c r="H279" s="4">
        <v>1</v>
      </c>
      <c r="I279" s="4">
        <v>1</v>
      </c>
      <c r="J279" s="4">
        <v>1</v>
      </c>
      <c r="K279" s="4">
        <v>1</v>
      </c>
      <c r="L279" s="4">
        <v>1</v>
      </c>
      <c r="M279" s="4">
        <v>1</v>
      </c>
      <c r="N279" s="4">
        <v>1</v>
      </c>
      <c r="O279" s="4">
        <v>1</v>
      </c>
      <c r="P279" s="4">
        <v>1</v>
      </c>
      <c r="Q279" s="4">
        <v>1</v>
      </c>
      <c r="R279" s="4">
        <v>1</v>
      </c>
      <c r="S279" s="4">
        <v>1</v>
      </c>
      <c r="T279" s="4">
        <v>18</v>
      </c>
    </row>
    <row r="280" spans="1:21">
      <c r="A280" s="4" t="s">
        <v>299</v>
      </c>
      <c r="B280" s="4">
        <v>3</v>
      </c>
      <c r="C280" s="4">
        <v>3</v>
      </c>
      <c r="D280" s="4">
        <v>3</v>
      </c>
      <c r="E280" s="4">
        <v>2</v>
      </c>
      <c r="F280" s="4">
        <v>3</v>
      </c>
      <c r="G280" s="4">
        <v>2</v>
      </c>
      <c r="H280" s="4">
        <v>2</v>
      </c>
      <c r="I280" s="4">
        <v>2</v>
      </c>
      <c r="J280" s="4">
        <v>2</v>
      </c>
      <c r="K280" s="4">
        <v>3</v>
      </c>
      <c r="L280" s="4">
        <v>2</v>
      </c>
      <c r="M280" s="4">
        <v>2</v>
      </c>
      <c r="N280" s="4">
        <v>2</v>
      </c>
      <c r="O280" s="4">
        <v>2</v>
      </c>
      <c r="P280" s="4">
        <v>2</v>
      </c>
      <c r="Q280" s="4">
        <v>2</v>
      </c>
      <c r="R280" s="4">
        <v>2</v>
      </c>
      <c r="S280" s="4">
        <v>2</v>
      </c>
      <c r="T280" s="4">
        <v>41</v>
      </c>
    </row>
    <row r="281" spans="1:21">
      <c r="A281" s="4" t="s">
        <v>300</v>
      </c>
      <c r="B281" s="4">
        <v>1</v>
      </c>
      <c r="C281" s="4">
        <v>2</v>
      </c>
      <c r="D281" s="4">
        <v>1</v>
      </c>
      <c r="E281" s="4">
        <v>2</v>
      </c>
      <c r="F281" s="4">
        <v>1</v>
      </c>
      <c r="G281" s="4">
        <v>2</v>
      </c>
      <c r="H281" s="4">
        <v>1</v>
      </c>
      <c r="I281" s="4">
        <v>2</v>
      </c>
      <c r="J281" s="4">
        <v>1</v>
      </c>
      <c r="K281" s="4">
        <v>2</v>
      </c>
      <c r="L281" s="4">
        <v>1</v>
      </c>
      <c r="M281" s="4">
        <v>2</v>
      </c>
      <c r="N281" s="4">
        <v>2</v>
      </c>
      <c r="O281" s="4">
        <v>2</v>
      </c>
      <c r="P281" s="4">
        <v>2</v>
      </c>
      <c r="Q281" s="4">
        <v>2</v>
      </c>
      <c r="R281" s="4">
        <v>2</v>
      </c>
      <c r="S281" s="4">
        <v>2</v>
      </c>
      <c r="T281" s="4">
        <v>30</v>
      </c>
    </row>
    <row r="282" spans="1:21">
      <c r="A282" s="4" t="s">
        <v>301</v>
      </c>
      <c r="B282" s="4">
        <v>2</v>
      </c>
      <c r="C282" s="4">
        <v>2</v>
      </c>
      <c r="D282" s="4">
        <v>1</v>
      </c>
      <c r="E282" s="4">
        <v>2</v>
      </c>
      <c r="F282" s="4">
        <v>1</v>
      </c>
      <c r="G282" s="4">
        <v>2</v>
      </c>
      <c r="H282" s="4">
        <v>2</v>
      </c>
      <c r="I282" s="4">
        <v>2</v>
      </c>
      <c r="J282" s="4">
        <v>1</v>
      </c>
      <c r="K282" s="4">
        <v>2</v>
      </c>
      <c r="L282" s="4">
        <v>2</v>
      </c>
      <c r="M282" s="4">
        <v>1</v>
      </c>
      <c r="N282" s="4">
        <v>2</v>
      </c>
      <c r="O282" s="4">
        <v>2</v>
      </c>
      <c r="P282" s="4">
        <v>2</v>
      </c>
      <c r="Q282" s="4">
        <v>2</v>
      </c>
      <c r="R282" s="4">
        <v>2</v>
      </c>
      <c r="S282" s="4">
        <v>2</v>
      </c>
      <c r="T282" s="4">
        <v>32</v>
      </c>
    </row>
    <row r="283" spans="1:21">
      <c r="A283" s="4" t="s">
        <v>302</v>
      </c>
      <c r="B283" s="4">
        <v>1</v>
      </c>
      <c r="C283" s="4">
        <v>2</v>
      </c>
      <c r="D283" s="4">
        <v>2</v>
      </c>
      <c r="E283" s="4">
        <v>2</v>
      </c>
      <c r="F283" s="4">
        <v>1</v>
      </c>
      <c r="G283" s="4">
        <v>1</v>
      </c>
      <c r="H283" s="4">
        <v>2</v>
      </c>
      <c r="I283" s="4">
        <v>2</v>
      </c>
      <c r="J283" s="4">
        <v>2</v>
      </c>
      <c r="K283" s="4">
        <v>2</v>
      </c>
      <c r="L283" s="4">
        <v>2</v>
      </c>
      <c r="M283" s="4">
        <v>2</v>
      </c>
      <c r="N283" s="4">
        <v>1</v>
      </c>
      <c r="O283" s="4">
        <v>2</v>
      </c>
      <c r="P283" s="4">
        <v>2</v>
      </c>
      <c r="Q283" s="4">
        <v>1</v>
      </c>
      <c r="R283" s="4">
        <v>1</v>
      </c>
      <c r="S283" s="4">
        <v>1</v>
      </c>
      <c r="T283" s="4">
        <v>29</v>
      </c>
    </row>
    <row r="284" spans="1:21">
      <c r="A284" s="4" t="s">
        <v>303</v>
      </c>
      <c r="B284" s="4">
        <v>1</v>
      </c>
      <c r="C284" s="4">
        <v>2</v>
      </c>
      <c r="D284" s="4">
        <v>2</v>
      </c>
      <c r="E284" s="4">
        <v>2</v>
      </c>
      <c r="F284" s="4">
        <v>2</v>
      </c>
      <c r="G284" s="4">
        <v>1</v>
      </c>
      <c r="H284" s="4">
        <v>1</v>
      </c>
      <c r="I284" s="4">
        <v>2</v>
      </c>
      <c r="J284" s="4">
        <v>2</v>
      </c>
      <c r="K284" s="4">
        <v>1</v>
      </c>
      <c r="L284" s="4">
        <v>1</v>
      </c>
      <c r="M284" s="4">
        <v>1</v>
      </c>
      <c r="N284" s="4">
        <v>2</v>
      </c>
      <c r="O284" s="4">
        <v>1</v>
      </c>
      <c r="P284" s="4">
        <v>1</v>
      </c>
      <c r="Q284" s="4">
        <v>1</v>
      </c>
      <c r="R284" s="4">
        <v>1</v>
      </c>
      <c r="S284" s="4">
        <v>1</v>
      </c>
      <c r="T284" s="4">
        <v>25</v>
      </c>
    </row>
    <row r="285" spans="1:21">
      <c r="A285" s="4" t="s">
        <v>304</v>
      </c>
      <c r="B285" s="4">
        <v>1</v>
      </c>
      <c r="C285" s="4">
        <v>1</v>
      </c>
      <c r="D285" s="4">
        <v>1</v>
      </c>
      <c r="E285" s="4">
        <v>1</v>
      </c>
      <c r="F285" s="4">
        <v>1</v>
      </c>
      <c r="G285" s="4">
        <v>1</v>
      </c>
      <c r="H285" s="4">
        <v>1</v>
      </c>
      <c r="I285" s="4">
        <v>1</v>
      </c>
      <c r="J285" s="4">
        <v>1</v>
      </c>
      <c r="K285" s="4">
        <v>1</v>
      </c>
      <c r="L285" s="4">
        <v>1</v>
      </c>
      <c r="M285" s="4">
        <v>1</v>
      </c>
      <c r="N285" s="4">
        <v>1</v>
      </c>
      <c r="O285" s="4">
        <v>1</v>
      </c>
      <c r="P285" s="4">
        <v>2</v>
      </c>
      <c r="Q285" s="4">
        <v>2</v>
      </c>
      <c r="R285" s="4">
        <v>1</v>
      </c>
      <c r="S285" s="4">
        <v>1</v>
      </c>
      <c r="T285" s="4">
        <v>20</v>
      </c>
    </row>
    <row r="286" spans="1:21">
      <c r="A286" s="4" t="s">
        <v>305</v>
      </c>
      <c r="B286" s="4">
        <v>2</v>
      </c>
      <c r="C286" s="4">
        <v>2</v>
      </c>
      <c r="D286" s="4">
        <v>2</v>
      </c>
      <c r="E286" s="4">
        <v>1</v>
      </c>
      <c r="F286" s="4">
        <v>2</v>
      </c>
      <c r="G286" s="4">
        <v>2</v>
      </c>
      <c r="H286" s="4">
        <v>1</v>
      </c>
      <c r="I286" s="4">
        <v>2</v>
      </c>
      <c r="J286" s="4">
        <v>1</v>
      </c>
      <c r="K286" s="4">
        <v>2</v>
      </c>
      <c r="L286" s="4">
        <v>1</v>
      </c>
      <c r="M286" s="4">
        <v>2</v>
      </c>
      <c r="N286" s="4">
        <v>2</v>
      </c>
      <c r="O286" s="4">
        <v>2</v>
      </c>
      <c r="P286" s="4">
        <v>2</v>
      </c>
      <c r="Q286" s="4">
        <v>2</v>
      </c>
      <c r="R286" s="4">
        <v>2</v>
      </c>
      <c r="S286" s="4">
        <v>2</v>
      </c>
      <c r="T286" s="4">
        <v>32</v>
      </c>
    </row>
    <row r="287" spans="1:21">
      <c r="A287" s="4" t="s">
        <v>306</v>
      </c>
      <c r="B287" s="4">
        <v>2</v>
      </c>
      <c r="C287" s="4">
        <v>1</v>
      </c>
      <c r="D287" s="4">
        <v>2</v>
      </c>
      <c r="E287" s="4">
        <v>2</v>
      </c>
      <c r="F287" s="4">
        <v>1</v>
      </c>
      <c r="G287" s="4">
        <v>2</v>
      </c>
      <c r="H287" s="4">
        <v>2</v>
      </c>
      <c r="I287" s="4">
        <v>1</v>
      </c>
      <c r="J287" s="4">
        <v>2</v>
      </c>
      <c r="K287" s="4">
        <v>1</v>
      </c>
      <c r="L287" s="4">
        <v>1</v>
      </c>
      <c r="M287" s="4">
        <v>1</v>
      </c>
      <c r="N287" s="4">
        <v>2</v>
      </c>
      <c r="O287" s="4">
        <v>1</v>
      </c>
      <c r="P287" s="4">
        <v>2</v>
      </c>
      <c r="Q287" s="4">
        <v>2</v>
      </c>
      <c r="R287" s="4">
        <v>1</v>
      </c>
      <c r="S287" s="4">
        <v>2</v>
      </c>
      <c r="T287" s="4">
        <v>28</v>
      </c>
    </row>
    <row r="288" spans="1:21">
      <c r="A288" s="4" t="s">
        <v>307</v>
      </c>
      <c r="B288" s="4">
        <v>1</v>
      </c>
      <c r="C288" s="4">
        <v>1</v>
      </c>
      <c r="D288" s="4">
        <v>1</v>
      </c>
      <c r="E288" s="4">
        <v>1</v>
      </c>
      <c r="F288" s="4">
        <v>1</v>
      </c>
      <c r="G288" s="4">
        <v>2</v>
      </c>
      <c r="H288" s="4">
        <v>2</v>
      </c>
      <c r="I288" s="4">
        <v>1</v>
      </c>
      <c r="J288" s="4">
        <v>1</v>
      </c>
      <c r="K288" s="4">
        <v>1</v>
      </c>
      <c r="L288" s="4">
        <v>1</v>
      </c>
      <c r="M288" s="4">
        <v>2</v>
      </c>
      <c r="N288" s="4">
        <v>1</v>
      </c>
      <c r="O288" s="4">
        <v>2</v>
      </c>
      <c r="P288" s="4">
        <v>2</v>
      </c>
      <c r="Q288" s="4">
        <v>1</v>
      </c>
      <c r="R288" s="4">
        <v>2</v>
      </c>
      <c r="S288" s="4">
        <v>1</v>
      </c>
      <c r="T288" s="4">
        <v>24</v>
      </c>
    </row>
    <row r="289" spans="1:21">
      <c r="A289" s="4" t="s">
        <v>308</v>
      </c>
      <c r="B289" s="4">
        <v>1</v>
      </c>
      <c r="C289" s="4">
        <v>1</v>
      </c>
      <c r="D289" s="4">
        <v>1</v>
      </c>
      <c r="E289" s="4">
        <v>1</v>
      </c>
      <c r="F289" s="4">
        <v>1</v>
      </c>
      <c r="G289" s="4">
        <v>1</v>
      </c>
      <c r="H289" s="4">
        <v>1</v>
      </c>
      <c r="I289" s="4">
        <v>2</v>
      </c>
      <c r="J289" s="4">
        <v>1</v>
      </c>
      <c r="K289" s="4">
        <v>1</v>
      </c>
      <c r="L289" s="4">
        <v>1</v>
      </c>
      <c r="M289" s="4">
        <v>1</v>
      </c>
      <c r="N289" s="4">
        <v>1</v>
      </c>
      <c r="O289" s="4">
        <v>1</v>
      </c>
      <c r="P289" s="4">
        <v>1</v>
      </c>
      <c r="Q289" s="4">
        <v>1</v>
      </c>
      <c r="R289" s="4">
        <v>1</v>
      </c>
      <c r="S289" s="4">
        <v>1</v>
      </c>
      <c r="T289" s="4">
        <v>19</v>
      </c>
    </row>
    <row r="290" spans="1:21">
      <c r="A290" s="4" t="s">
        <v>309</v>
      </c>
      <c r="B290" s="4">
        <v>3</v>
      </c>
      <c r="C290" s="4">
        <v>2</v>
      </c>
      <c r="D290" s="4">
        <v>2</v>
      </c>
      <c r="E290" s="4">
        <v>2</v>
      </c>
      <c r="F290" s="4">
        <v>2</v>
      </c>
      <c r="G290" s="4">
        <v>2</v>
      </c>
      <c r="H290" s="4">
        <v>2</v>
      </c>
      <c r="I290" s="4">
        <v>2</v>
      </c>
      <c r="J290" s="4">
        <v>1</v>
      </c>
      <c r="K290" s="4">
        <v>2</v>
      </c>
      <c r="L290" s="4">
        <v>2</v>
      </c>
      <c r="M290" s="4">
        <v>1</v>
      </c>
      <c r="N290" s="4">
        <v>3</v>
      </c>
      <c r="O290" s="4">
        <v>2</v>
      </c>
      <c r="P290" s="4">
        <v>2</v>
      </c>
      <c r="Q290" s="4">
        <v>2</v>
      </c>
      <c r="R290" s="4">
        <v>2</v>
      </c>
      <c r="S290" s="4">
        <v>2</v>
      </c>
      <c r="T290" s="4">
        <v>36</v>
      </c>
    </row>
    <row r="291" spans="1:21">
      <c r="A291" s="4" t="s">
        <v>310</v>
      </c>
      <c r="B291" s="4">
        <v>1</v>
      </c>
      <c r="C291" s="4">
        <v>1</v>
      </c>
      <c r="D291" s="4">
        <v>1</v>
      </c>
      <c r="E291" s="4">
        <v>2</v>
      </c>
      <c r="F291" s="4">
        <v>2</v>
      </c>
      <c r="G291" s="4">
        <v>1</v>
      </c>
      <c r="H291" s="4">
        <v>2</v>
      </c>
      <c r="I291" s="4">
        <v>1</v>
      </c>
      <c r="J291" s="4">
        <v>2</v>
      </c>
      <c r="K291" s="4">
        <v>1</v>
      </c>
      <c r="L291" s="4">
        <v>2</v>
      </c>
      <c r="M291" s="4">
        <v>1</v>
      </c>
      <c r="N291" s="4">
        <v>2</v>
      </c>
      <c r="O291" s="4">
        <v>2</v>
      </c>
      <c r="P291" s="4">
        <v>2</v>
      </c>
      <c r="Q291" s="4">
        <v>1</v>
      </c>
      <c r="R291" s="4">
        <v>1</v>
      </c>
      <c r="S291" s="4">
        <v>1</v>
      </c>
      <c r="T291" s="4">
        <v>26</v>
      </c>
    </row>
    <row r="292" spans="1:21">
      <c r="A292" s="4" t="s">
        <v>311</v>
      </c>
      <c r="B292" s="4">
        <v>1</v>
      </c>
      <c r="C292" s="4">
        <v>2</v>
      </c>
      <c r="D292" s="4">
        <v>1</v>
      </c>
      <c r="E292" s="4">
        <v>1</v>
      </c>
      <c r="F292" s="4">
        <v>2</v>
      </c>
      <c r="G292" s="4">
        <v>2</v>
      </c>
      <c r="H292" s="4">
        <v>1</v>
      </c>
      <c r="I292" s="4">
        <v>1</v>
      </c>
      <c r="J292" s="4">
        <v>2</v>
      </c>
      <c r="K292" s="4">
        <v>2</v>
      </c>
      <c r="L292" s="4">
        <v>2</v>
      </c>
      <c r="M292" s="4">
        <v>2</v>
      </c>
      <c r="N292" s="4">
        <v>1</v>
      </c>
      <c r="O292" s="4">
        <v>1</v>
      </c>
      <c r="P292" s="4">
        <v>1</v>
      </c>
      <c r="Q292" s="4">
        <v>2</v>
      </c>
      <c r="R292" s="4">
        <v>1</v>
      </c>
      <c r="S292" s="4">
        <v>2</v>
      </c>
      <c r="T292" s="4">
        <v>27</v>
      </c>
    </row>
    <row r="293" spans="1:21">
      <c r="A293" s="4" t="s">
        <v>312</v>
      </c>
      <c r="B293" s="4">
        <v>2</v>
      </c>
      <c r="C293" s="4">
        <v>2</v>
      </c>
      <c r="D293" s="4">
        <v>2</v>
      </c>
      <c r="E293" s="4">
        <v>1</v>
      </c>
      <c r="F293" s="4">
        <v>1</v>
      </c>
      <c r="G293" s="4">
        <v>2</v>
      </c>
      <c r="H293" s="4">
        <v>1</v>
      </c>
      <c r="I293" s="4">
        <v>2</v>
      </c>
      <c r="J293" s="4">
        <v>2</v>
      </c>
      <c r="K293" s="4">
        <v>1</v>
      </c>
      <c r="L293" s="4">
        <v>2</v>
      </c>
      <c r="M293" s="4">
        <v>2</v>
      </c>
      <c r="N293" s="4">
        <v>2</v>
      </c>
      <c r="O293" s="4">
        <v>1</v>
      </c>
      <c r="P293" s="4">
        <v>1</v>
      </c>
      <c r="Q293" s="4">
        <v>2</v>
      </c>
      <c r="R293" s="4">
        <v>1</v>
      </c>
      <c r="S293" s="4">
        <v>1</v>
      </c>
      <c r="T293" s="4">
        <v>28</v>
      </c>
    </row>
    <row r="294" spans="1:21">
      <c r="A294" t="s">
        <v>313</v>
      </c>
      <c r="B294" t="str">
        <f>SUM(B5:B293)</f>
        <v>0</v>
      </c>
      <c r="C294" t="str">
        <f>SUM(C5:C293)</f>
        <v>0</v>
      </c>
      <c r="D294" t="str">
        <f>SUM(D5:D293)</f>
        <v>0</v>
      </c>
      <c r="E294" t="str">
        <f>SUM(E5:E293)</f>
        <v>0</v>
      </c>
      <c r="F294" t="str">
        <f>SUM(F5:F293)</f>
        <v>0</v>
      </c>
      <c r="G294" t="str">
        <f>SUM(G5:G293)</f>
        <v>0</v>
      </c>
      <c r="H294" t="str">
        <f>SUM(H5:H293)</f>
        <v>0</v>
      </c>
      <c r="I294" t="str">
        <f>SUM(I5:I293)</f>
        <v>0</v>
      </c>
      <c r="J294" t="str">
        <f>SUM(J5:J293)</f>
        <v>0</v>
      </c>
      <c r="K294" t="str">
        <f>SUM(K5:K293)</f>
        <v>0</v>
      </c>
      <c r="L294" t="str">
        <f>SUM(L5:L293)</f>
        <v>0</v>
      </c>
      <c r="M294" t="str">
        <f>SUM(M5:M293)</f>
        <v>0</v>
      </c>
      <c r="N294" t="str">
        <f>SUM(N5:N293)</f>
        <v>0</v>
      </c>
      <c r="O294" t="str">
        <f>SUM(O5:O293)</f>
        <v>0</v>
      </c>
      <c r="P294" t="str">
        <f>SUM(P5:P293)</f>
        <v>0</v>
      </c>
      <c r="Q294" t="str">
        <f>SUM(Q5:Q293)</f>
        <v>0</v>
      </c>
      <c r="R294" t="str">
        <f>SUM(R5:R293)</f>
        <v>0</v>
      </c>
      <c r="S294" t="str">
        <f>SUM(S5:S293)</f>
        <v>0</v>
      </c>
      <c r="T294" t="str">
        <f>SUM(T5:T293)</f>
        <v>0</v>
      </c>
    </row>
    <row r="295" spans="1:21">
      <c r="A295" t="s">
        <v>314</v>
      </c>
      <c r="B295" t="str">
        <f>MODE(B5:B293)</f>
        <v>0</v>
      </c>
      <c r="C295" t="str">
        <f>MODE(C5:C293)</f>
        <v>0</v>
      </c>
      <c r="D295" t="str">
        <f>MODE(D5:D293)</f>
        <v>0</v>
      </c>
      <c r="E295" t="str">
        <f>MODE(E5:E293)</f>
        <v>0</v>
      </c>
      <c r="F295" t="str">
        <f>MODE(F5:F293)</f>
        <v>0</v>
      </c>
      <c r="G295" t="str">
        <f>MODE(G5:G293)</f>
        <v>0</v>
      </c>
      <c r="H295" t="str">
        <f>MODE(H5:H293)</f>
        <v>0</v>
      </c>
      <c r="I295" t="str">
        <f>MODE(I5:I293)</f>
        <v>0</v>
      </c>
      <c r="J295" t="str">
        <f>MODE(J5:J293)</f>
        <v>0</v>
      </c>
      <c r="K295" t="str">
        <f>MODE(K5:K293)</f>
        <v>0</v>
      </c>
      <c r="L295" t="str">
        <f>MODE(L5:L293)</f>
        <v>0</v>
      </c>
      <c r="M295" t="str">
        <f>MODE(M5:M293)</f>
        <v>0</v>
      </c>
      <c r="N295" t="str">
        <f>MODE(N5:N293)</f>
        <v>0</v>
      </c>
      <c r="O295" t="str">
        <f>MODE(O5:O293)</f>
        <v>0</v>
      </c>
      <c r="P295" t="str">
        <f>MODE(P5:P293)</f>
        <v>0</v>
      </c>
      <c r="Q295" t="str">
        <f>MODE(Q5:Q293)</f>
        <v>0</v>
      </c>
      <c r="R295" t="str">
        <f>MODE(R5:R293)</f>
        <v>0</v>
      </c>
      <c r="S295" t="str">
        <f>MODE(S5:S293)</f>
        <v>0</v>
      </c>
      <c r="T295" t="str">
        <f>MODE(T5:T293)</f>
        <v>0</v>
      </c>
    </row>
    <row r="296" spans="1:21">
      <c r="A296" t="s">
        <v>315</v>
      </c>
      <c r="B296" t="str">
        <f>(B294/289)</f>
        <v>0</v>
      </c>
      <c r="C296" t="str">
        <f>(C294/289)</f>
        <v>0</v>
      </c>
      <c r="D296" t="str">
        <f>(D294/289)</f>
        <v>0</v>
      </c>
      <c r="E296" t="str">
        <f>(E294/289)</f>
        <v>0</v>
      </c>
      <c r="F296" t="str">
        <f>(F294/289)</f>
        <v>0</v>
      </c>
      <c r="G296" t="str">
        <f>(G294/289)</f>
        <v>0</v>
      </c>
      <c r="H296" t="str">
        <f>(H294/289)</f>
        <v>0</v>
      </c>
      <c r="I296" t="str">
        <f>(I294/289)</f>
        <v>0</v>
      </c>
      <c r="J296" t="str">
        <f>(J294/289)</f>
        <v>0</v>
      </c>
      <c r="K296" t="str">
        <f>(K294/289)</f>
        <v>0</v>
      </c>
      <c r="L296" t="str">
        <f>(L294/289)</f>
        <v>0</v>
      </c>
      <c r="M296" t="str">
        <f>(M294/289)</f>
        <v>0</v>
      </c>
      <c r="N296" t="str">
        <f>(N294/289)</f>
        <v>0</v>
      </c>
      <c r="O296" t="str">
        <f>(O294/289)</f>
        <v>0</v>
      </c>
      <c r="P296" t="str">
        <f>(P294/289)</f>
        <v>0</v>
      </c>
      <c r="Q296" t="str">
        <f>(Q294/289)</f>
        <v>0</v>
      </c>
      <c r="R296" t="str">
        <f>(R294/289)</f>
        <v>0</v>
      </c>
      <c r="S296" t="str">
        <f>(S294/289)</f>
        <v>0</v>
      </c>
      <c r="T296" t="str">
        <f>(T294/289)</f>
        <v>0</v>
      </c>
    </row>
    <row r="297" spans="1:21">
      <c r="A297" t="s">
        <v>316</v>
      </c>
      <c r="B297" t="str">
        <f>MEDIAN(B5:B293)</f>
        <v>0</v>
      </c>
      <c r="C297" t="str">
        <f>MEDIAN(C5:C293)</f>
        <v>0</v>
      </c>
      <c r="D297" t="str">
        <f>MEDIAN(D5:D293)</f>
        <v>0</v>
      </c>
      <c r="E297" t="str">
        <f>MEDIAN(E5:E293)</f>
        <v>0</v>
      </c>
      <c r="F297" t="str">
        <f>MEDIAN(F5:F293)</f>
        <v>0</v>
      </c>
      <c r="G297" t="str">
        <f>MEDIAN(G5:G293)</f>
        <v>0</v>
      </c>
      <c r="H297" t="str">
        <f>MEDIAN(H5:H293)</f>
        <v>0</v>
      </c>
      <c r="I297" t="str">
        <f>MEDIAN(I5:I293)</f>
        <v>0</v>
      </c>
      <c r="J297" t="str">
        <f>MEDIAN(J5:J293)</f>
        <v>0</v>
      </c>
      <c r="K297" t="str">
        <f>MEDIAN(K5:K293)</f>
        <v>0</v>
      </c>
      <c r="L297" t="str">
        <f>MEDIAN(L5:L293)</f>
        <v>0</v>
      </c>
      <c r="M297" t="str">
        <f>MEDIAN(M5:M293)</f>
        <v>0</v>
      </c>
      <c r="N297" t="str">
        <f>MEDIAN(N5:N293)</f>
        <v>0</v>
      </c>
      <c r="O297" t="str">
        <f>MEDIAN(O5:O293)</f>
        <v>0</v>
      </c>
      <c r="P297" t="str">
        <f>MEDIAN(P5:P293)</f>
        <v>0</v>
      </c>
      <c r="Q297" t="str">
        <f>MEDIAN(Q5:Q293)</f>
        <v>0</v>
      </c>
      <c r="R297" t="str">
        <f>MEDIAN(R5:R293)</f>
        <v>0</v>
      </c>
      <c r="S297" t="str">
        <f>MEDIAN(S5:S293)</f>
        <v>0</v>
      </c>
      <c r="T297" t="str">
        <f>MEDIAN(T5:T293)</f>
        <v>0</v>
      </c>
    </row>
    <row r="298" spans="1:21">
      <c r="A298" t="s">
        <v>317</v>
      </c>
      <c r="B298" t="str">
        <f>ROUND(STDEV(B5:B293),2)</f>
        <v>0</v>
      </c>
      <c r="C298" t="str">
        <f>ROUND(STDEV(C5:C293),2)</f>
        <v>0</v>
      </c>
      <c r="D298" t="str">
        <f>ROUND(STDEV(D5:D293),2)</f>
        <v>0</v>
      </c>
      <c r="E298" t="str">
        <f>ROUND(STDEV(E5:E293),2)</f>
        <v>0</v>
      </c>
      <c r="F298" t="str">
        <f>ROUND(STDEV(F5:F293),2)</f>
        <v>0</v>
      </c>
      <c r="G298" t="str">
        <f>ROUND(STDEV(G5:G293),2)</f>
        <v>0</v>
      </c>
      <c r="H298" t="str">
        <f>ROUND(STDEV(H5:H293),2)</f>
        <v>0</v>
      </c>
      <c r="I298" t="str">
        <f>ROUND(STDEV(I5:I293),2)</f>
        <v>0</v>
      </c>
      <c r="J298" t="str">
        <f>ROUND(STDEV(J5:J293),2)</f>
        <v>0</v>
      </c>
      <c r="K298" t="str">
        <f>ROUND(STDEV(K5:K293),2)</f>
        <v>0</v>
      </c>
      <c r="L298" t="str">
        <f>ROUND(STDEV(L5:L293),2)</f>
        <v>0</v>
      </c>
      <c r="M298" t="str">
        <f>ROUND(STDEV(M5:M293),2)</f>
        <v>0</v>
      </c>
      <c r="N298" t="str">
        <f>ROUND(STDEV(N5:N293),2)</f>
        <v>0</v>
      </c>
      <c r="O298" t="str">
        <f>ROUND(STDEV(O5:O293),2)</f>
        <v>0</v>
      </c>
      <c r="P298" t="str">
        <f>ROUND(STDEV(P5:P293),2)</f>
        <v>0</v>
      </c>
      <c r="Q298" t="str">
        <f>ROUND(STDEV(Q5:Q293),2)</f>
        <v>0</v>
      </c>
      <c r="R298" t="str">
        <f>ROUND(STDEV(R5:R293),2)</f>
        <v>0</v>
      </c>
      <c r="S298" t="str">
        <f>ROUND(STDEV(S5:S293),2)</f>
        <v>0</v>
      </c>
      <c r="T298" t="str">
        <f>ROUND(STDEV(T5:T293),2)</f>
        <v>0</v>
      </c>
    </row>
    <row r="299" spans="1:21">
      <c r="A299" t="s">
        <v>318</v>
      </c>
      <c r="B299" s="5" t="str">
        <f>(B298/B296)</f>
        <v>0</v>
      </c>
      <c r="C299" s="5" t="str">
        <f>(C298/C296)</f>
        <v>0</v>
      </c>
      <c r="D299" s="5" t="str">
        <f>(D298/D296)</f>
        <v>0</v>
      </c>
      <c r="E299" s="5" t="str">
        <f>(E298/E296)</f>
        <v>0</v>
      </c>
      <c r="F299" s="5" t="str">
        <f>(F298/F296)</f>
        <v>0</v>
      </c>
      <c r="G299" s="5" t="str">
        <f>(G298/G296)</f>
        <v>0</v>
      </c>
      <c r="H299" s="5" t="str">
        <f>(H298/H296)</f>
        <v>0</v>
      </c>
      <c r="I299" s="5" t="str">
        <f>(I298/I296)</f>
        <v>0</v>
      </c>
      <c r="J299" s="5" t="str">
        <f>(J298/J296)</f>
        <v>0</v>
      </c>
      <c r="K299" s="5" t="str">
        <f>(K298/K296)</f>
        <v>0</v>
      </c>
      <c r="L299" s="5" t="str">
        <f>(L298/L296)</f>
        <v>0</v>
      </c>
      <c r="M299" s="5" t="str">
        <f>(M298/M296)</f>
        <v>0</v>
      </c>
      <c r="N299" s="5" t="str">
        <f>(N298/N296)</f>
        <v>0</v>
      </c>
      <c r="O299" s="5" t="str">
        <f>(O298/O296)</f>
        <v>0</v>
      </c>
      <c r="P299" s="5" t="str">
        <f>(P298/P296)</f>
        <v>0</v>
      </c>
      <c r="Q299" s="5" t="str">
        <f>(Q298/Q296)</f>
        <v>0</v>
      </c>
      <c r="R299" s="5" t="str">
        <f>(R298/R296)</f>
        <v>0</v>
      </c>
      <c r="S299" s="5" t="str">
        <f>(S298/S296)</f>
        <v>0</v>
      </c>
      <c r="T299" s="5" t="str">
        <f>(T298/T296)</f>
        <v>0</v>
      </c>
    </row>
    <row r="300" spans="1:21">
      <c r="A300" t="s">
        <v>319</v>
      </c>
      <c r="B300" t="str">
        <f>COUNTIF($B$5:$B$293,$A1289)</f>
        <v>0</v>
      </c>
      <c r="C300" t="str">
        <f>COUNTIF($C$5:$C$293,$A1289)</f>
        <v>0</v>
      </c>
      <c r="D300" t="str">
        <f>COUNTIF($D$5:$D$293,$A1289)</f>
        <v>0</v>
      </c>
      <c r="E300" t="str">
        <f>COUNTIF($E$5:$E$293,$A1289)</f>
        <v>0</v>
      </c>
      <c r="F300" t="str">
        <f>COUNTIF($F$5:$F$293,$A1289)</f>
        <v>0</v>
      </c>
      <c r="G300" t="str">
        <f>COUNTIF($G$5:$G$293,$A1289)</f>
        <v>0</v>
      </c>
      <c r="H300" t="str">
        <f>COUNTIF($H$5:$H$293,$A1289)</f>
        <v>0</v>
      </c>
      <c r="I300" t="str">
        <f>COUNTIF($I$5:$I$293,$A1289)</f>
        <v>0</v>
      </c>
      <c r="J300" t="str">
        <f>COUNTIF($J$5:$J$293,$A1289)</f>
        <v>0</v>
      </c>
      <c r="K300" t="str">
        <f>COUNTIF($K$5:$K$293,$A1289)</f>
        <v>0</v>
      </c>
      <c r="L300" t="str">
        <f>COUNTIF($L$5:$L$293,$A1289)</f>
        <v>0</v>
      </c>
      <c r="M300" t="str">
        <f>COUNTIF($M$5:$M$293,$A1289)</f>
        <v>0</v>
      </c>
      <c r="N300" t="str">
        <f>COUNTIF($N$5:$N$293,$A1289)</f>
        <v>0</v>
      </c>
      <c r="O300" t="str">
        <f>COUNTIF($O$5:$O$293,$A1289)</f>
        <v>0</v>
      </c>
      <c r="P300" t="str">
        <f>COUNTIF($P$5:$P$293,$A1289)</f>
        <v>0</v>
      </c>
      <c r="Q300" t="str">
        <f>COUNTIF($Q$5:$Q$293,$A1289)</f>
        <v>0</v>
      </c>
      <c r="R300" t="str">
        <f>COUNTIF($R$5:$R$293,$A1289)</f>
        <v>0</v>
      </c>
      <c r="S300" t="str">
        <f>COUNTIF($S$5:$S$293,$A1289)</f>
        <v>0</v>
      </c>
    </row>
    <row r="301" spans="1:21">
      <c r="A301" t="s">
        <v>320</v>
      </c>
      <c r="B301" t="str">
        <f>COUNTIF($B$5:$B$293,$A1290)</f>
        <v>0</v>
      </c>
      <c r="C301" t="str">
        <f>COUNTIF($C$5:$C$293,$A1290)</f>
        <v>0</v>
      </c>
      <c r="D301" t="str">
        <f>COUNTIF($D$5:$D$293,$A1290)</f>
        <v>0</v>
      </c>
      <c r="E301" t="str">
        <f>COUNTIF($E$5:$E$293,$A1290)</f>
        <v>0</v>
      </c>
      <c r="F301" t="str">
        <f>COUNTIF($F$5:$F$293,$A1290)</f>
        <v>0</v>
      </c>
      <c r="G301" t="str">
        <f>COUNTIF($G$5:$G$293,$A1290)</f>
        <v>0</v>
      </c>
      <c r="H301" t="str">
        <f>COUNTIF($H$5:$H$293,$A1290)</f>
        <v>0</v>
      </c>
      <c r="I301" t="str">
        <f>COUNTIF($I$5:$I$293,$A1290)</f>
        <v>0</v>
      </c>
      <c r="J301" t="str">
        <f>COUNTIF($J$5:$J$293,$A1290)</f>
        <v>0</v>
      </c>
      <c r="K301" t="str">
        <f>COUNTIF($K$5:$K$293,$A1290)</f>
        <v>0</v>
      </c>
      <c r="L301" t="str">
        <f>COUNTIF($L$5:$L$293,$A1290)</f>
        <v>0</v>
      </c>
      <c r="M301" t="str">
        <f>COUNTIF($M$5:$M$293,$A1290)</f>
        <v>0</v>
      </c>
      <c r="N301" t="str">
        <f>COUNTIF($N$5:$N$293,$A1290)</f>
        <v>0</v>
      </c>
      <c r="O301" t="str">
        <f>COUNTIF($O$5:$O$293,$A1290)</f>
        <v>0</v>
      </c>
      <c r="P301" t="str">
        <f>COUNTIF($P$5:$P$293,$A1290)</f>
        <v>0</v>
      </c>
      <c r="Q301" t="str">
        <f>COUNTIF($Q$5:$Q$293,$A1290)</f>
        <v>0</v>
      </c>
      <c r="R301" t="str">
        <f>COUNTIF($R$5:$R$293,$A1290)</f>
        <v>0</v>
      </c>
      <c r="S301" t="str">
        <f>COUNTIF($S$5:$S$293,$A1290)</f>
        <v>0</v>
      </c>
    </row>
    <row r="302" spans="1:21">
      <c r="A302" t="s">
        <v>321</v>
      </c>
      <c r="B302" t="str">
        <f>COUNTIF($B$5:$B$293,$A1291)</f>
        <v>0</v>
      </c>
      <c r="C302" t="str">
        <f>COUNTIF($C$5:$C$293,$A1291)</f>
        <v>0</v>
      </c>
      <c r="D302" t="str">
        <f>COUNTIF($D$5:$D$293,$A1291)</f>
        <v>0</v>
      </c>
      <c r="E302" t="str">
        <f>COUNTIF($E$5:$E$293,$A1291)</f>
        <v>0</v>
      </c>
      <c r="F302" t="str">
        <f>COUNTIF($F$5:$F$293,$A1291)</f>
        <v>0</v>
      </c>
      <c r="G302" t="str">
        <f>COUNTIF($G$5:$G$293,$A1291)</f>
        <v>0</v>
      </c>
      <c r="H302" t="str">
        <f>COUNTIF($H$5:$H$293,$A1291)</f>
        <v>0</v>
      </c>
      <c r="I302" t="str">
        <f>COUNTIF($I$5:$I$293,$A1291)</f>
        <v>0</v>
      </c>
      <c r="J302" t="str">
        <f>COUNTIF($J$5:$J$293,$A1291)</f>
        <v>0</v>
      </c>
      <c r="K302" t="str">
        <f>COUNTIF($K$5:$K$293,$A1291)</f>
        <v>0</v>
      </c>
      <c r="L302" t="str">
        <f>COUNTIF($L$5:$L$293,$A1291)</f>
        <v>0</v>
      </c>
      <c r="M302" t="str">
        <f>COUNTIF($M$5:$M$293,$A1291)</f>
        <v>0</v>
      </c>
      <c r="N302" t="str">
        <f>COUNTIF($N$5:$N$293,$A1291)</f>
        <v>0</v>
      </c>
      <c r="O302" t="str">
        <f>COUNTIF($O$5:$O$293,$A1291)</f>
        <v>0</v>
      </c>
      <c r="P302" t="str">
        <f>COUNTIF($P$5:$P$293,$A1291)</f>
        <v>0</v>
      </c>
      <c r="Q302" t="str">
        <f>COUNTIF($Q$5:$Q$293,$A1291)</f>
        <v>0</v>
      </c>
      <c r="R302" t="str">
        <f>COUNTIF($R$5:$R$293,$A1291)</f>
        <v>0</v>
      </c>
      <c r="S302" t="str">
        <f>COUNTIF($S$5:$S$293,$A1291)</f>
        <v>0</v>
      </c>
    </row>
    <row r="303" spans="1:21">
      <c r="A303" t="s">
        <v>322</v>
      </c>
      <c r="B303" t="str">
        <f>COUNTIF($B$5:$B$293,$A1292)</f>
        <v>0</v>
      </c>
      <c r="C303" t="str">
        <f>COUNTIF($C$5:$C$293,$A1292)</f>
        <v>0</v>
      </c>
      <c r="D303" t="str">
        <f>COUNTIF($D$5:$D$293,$A1292)</f>
        <v>0</v>
      </c>
      <c r="E303" t="str">
        <f>COUNTIF($E$5:$E$293,$A1292)</f>
        <v>0</v>
      </c>
      <c r="F303" t="str">
        <f>COUNTIF($F$5:$F$293,$A1292)</f>
        <v>0</v>
      </c>
      <c r="G303" t="str">
        <f>COUNTIF($G$5:$G$293,$A1292)</f>
        <v>0</v>
      </c>
      <c r="H303" t="str">
        <f>COUNTIF($H$5:$H$293,$A1292)</f>
        <v>0</v>
      </c>
      <c r="I303" t="str">
        <f>COUNTIF($I$5:$I$293,$A1292)</f>
        <v>0</v>
      </c>
      <c r="J303" t="str">
        <f>COUNTIF($J$5:$J$293,$A1292)</f>
        <v>0</v>
      </c>
      <c r="K303" t="str">
        <f>COUNTIF($K$5:$K$293,$A1292)</f>
        <v>0</v>
      </c>
      <c r="L303" t="str">
        <f>COUNTIF($L$5:$L$293,$A1292)</f>
        <v>0</v>
      </c>
      <c r="M303" t="str">
        <f>COUNTIF($M$5:$M$293,$A1292)</f>
        <v>0</v>
      </c>
      <c r="N303" t="str">
        <f>COUNTIF($N$5:$N$293,$A1292)</f>
        <v>0</v>
      </c>
      <c r="O303" t="str">
        <f>COUNTIF($O$5:$O$293,$A1292)</f>
        <v>0</v>
      </c>
      <c r="P303" t="str">
        <f>COUNTIF($P$5:$P$293,$A1292)</f>
        <v>0</v>
      </c>
      <c r="Q303" t="str">
        <f>COUNTIF($Q$5:$Q$293,$A1292)</f>
        <v>0</v>
      </c>
      <c r="R303" t="str">
        <f>COUNTIF($R$5:$R$293,$A1292)</f>
        <v>0</v>
      </c>
      <c r="S303" t="str">
        <f>COUNTIF($S$5:$S$293,$A1292)</f>
        <v>0</v>
      </c>
    </row>
    <row r="304" spans="1:21">
      <c r="A304" t="s">
        <v>323</v>
      </c>
      <c r="B304" t="str">
        <f>COUNTIF($B$5:$B$293,$A1293)</f>
        <v>0</v>
      </c>
      <c r="C304" t="str">
        <f>COUNTIF($C$5:$C$293,$A1293)</f>
        <v>0</v>
      </c>
      <c r="D304" t="str">
        <f>COUNTIF($D$5:$D$293,$A1293)</f>
        <v>0</v>
      </c>
      <c r="E304" t="str">
        <f>COUNTIF($E$5:$E$293,$A1293)</f>
        <v>0</v>
      </c>
      <c r="F304" t="str">
        <f>COUNTIF($F$5:$F$293,$A1293)</f>
        <v>0</v>
      </c>
      <c r="G304" t="str">
        <f>COUNTIF($G$5:$G$293,$A1293)</f>
        <v>0</v>
      </c>
      <c r="H304" t="str">
        <f>COUNTIF($H$5:$H$293,$A1293)</f>
        <v>0</v>
      </c>
      <c r="I304" t="str">
        <f>COUNTIF($I$5:$I$293,$A1293)</f>
        <v>0</v>
      </c>
      <c r="J304" t="str">
        <f>COUNTIF($J$5:$J$293,$A1293)</f>
        <v>0</v>
      </c>
      <c r="K304" t="str">
        <f>COUNTIF($K$5:$K$293,$A1293)</f>
        <v>0</v>
      </c>
      <c r="L304" t="str">
        <f>COUNTIF($L$5:$L$293,$A1293)</f>
        <v>0</v>
      </c>
      <c r="M304" t="str">
        <f>COUNTIF($M$5:$M$293,$A1293)</f>
        <v>0</v>
      </c>
      <c r="N304" t="str">
        <f>COUNTIF($N$5:$N$293,$A1293)</f>
        <v>0</v>
      </c>
      <c r="O304" t="str">
        <f>COUNTIF($O$5:$O$293,$A1293)</f>
        <v>0</v>
      </c>
      <c r="P304" t="str">
        <f>COUNTIF($P$5:$P$293,$A1293)</f>
        <v>0</v>
      </c>
      <c r="Q304" t="str">
        <f>COUNTIF($Q$5:$Q$293,$A1293)</f>
        <v>0</v>
      </c>
      <c r="R304" t="str">
        <f>COUNTIF($R$5:$R$293,$A1293)</f>
        <v>0</v>
      </c>
      <c r="S304" t="str">
        <f>COUNTIF($S$5:$S$293,$A1293)</f>
        <v>0</v>
      </c>
    </row>
    <row r="305" spans="1:21">
      <c r="A305" t="s">
        <v>4</v>
      </c>
      <c r="B305" t="str">
        <f>SUM($B300:$B304)</f>
        <v>0</v>
      </c>
      <c r="C305" t="str">
        <f>SUM($C300:$C304)</f>
        <v>0</v>
      </c>
      <c r="D305" t="str">
        <f>SUM($D300:$D304)</f>
        <v>0</v>
      </c>
      <c r="E305" t="str">
        <f>SUM($E300:$E304)</f>
        <v>0</v>
      </c>
      <c r="F305" t="str">
        <f>SUM($F300:$F304)</f>
        <v>0</v>
      </c>
      <c r="G305" t="str">
        <f>SUM($G300:$G304)</f>
        <v>0</v>
      </c>
      <c r="H305" t="str">
        <f>SUM($H300:$H304)</f>
        <v>0</v>
      </c>
      <c r="I305" t="str">
        <f>SUM($I300:$I304)</f>
        <v>0</v>
      </c>
      <c r="J305" t="str">
        <f>SUM($J300:$J304)</f>
        <v>0</v>
      </c>
      <c r="K305" t="str">
        <f>SUM($K300:$K304)</f>
        <v>0</v>
      </c>
      <c r="L305" t="str">
        <f>SUM($L300:$L304)</f>
        <v>0</v>
      </c>
      <c r="M305" t="str">
        <f>SUM($M300:$M304)</f>
        <v>0</v>
      </c>
      <c r="N305" t="str">
        <f>SUM($N300:$N304)</f>
        <v>0</v>
      </c>
      <c r="O305" t="str">
        <f>SUM($O300:$O304)</f>
        <v>0</v>
      </c>
      <c r="P305" t="str">
        <f>SUM($P300:$P304)</f>
        <v>0</v>
      </c>
      <c r="Q305" t="str">
        <f>SUM($Q300:$Q304)</f>
        <v>0</v>
      </c>
      <c r="R305" t="str">
        <f>SUM($R300:$R304)</f>
        <v>0</v>
      </c>
      <c r="S305" t="str">
        <f>SUM($S300:$S304)</f>
        <v>0</v>
      </c>
    </row>
    <row r="306" spans="1:21">
      <c r="A306" t="s">
        <v>324</v>
      </c>
      <c r="B306" s="5" t="str">
        <f>($B300/$B305)</f>
        <v>0</v>
      </c>
      <c r="C306" s="5" t="str">
        <f>($C300/$C305)</f>
        <v>0</v>
      </c>
      <c r="D306" s="5" t="str">
        <f>($D300/$D305)</f>
        <v>0</v>
      </c>
      <c r="E306" s="5" t="str">
        <f>($E300/$E305)</f>
        <v>0</v>
      </c>
      <c r="F306" s="5" t="str">
        <f>($F300/$F305)</f>
        <v>0</v>
      </c>
      <c r="G306" s="5" t="str">
        <f>($G300/$G305)</f>
        <v>0</v>
      </c>
      <c r="H306" s="5" t="str">
        <f>($H300/$H305)</f>
        <v>0</v>
      </c>
      <c r="I306" s="5" t="str">
        <f>($I300/$I305)</f>
        <v>0</v>
      </c>
      <c r="J306" s="5" t="str">
        <f>($J300/$J305)</f>
        <v>0</v>
      </c>
      <c r="K306" s="5" t="str">
        <f>($K300/$K305)</f>
        <v>0</v>
      </c>
      <c r="L306" s="5" t="str">
        <f>($L300/$L305)</f>
        <v>0</v>
      </c>
      <c r="M306" s="5" t="str">
        <f>($M300/$M305)</f>
        <v>0</v>
      </c>
      <c r="N306" s="5" t="str">
        <f>($N300/$N305)</f>
        <v>0</v>
      </c>
      <c r="O306" s="5" t="str">
        <f>($O300/$O305)</f>
        <v>0</v>
      </c>
      <c r="P306" s="5" t="str">
        <f>($P300/$P305)</f>
        <v>0</v>
      </c>
      <c r="Q306" s="5" t="str">
        <f>($Q300/$Q305)</f>
        <v>0</v>
      </c>
      <c r="R306" s="5" t="str">
        <f>($R300/$R305)</f>
        <v>0</v>
      </c>
      <c r="S306" s="5" t="str">
        <f>($S300/$S305)</f>
        <v>0</v>
      </c>
    </row>
    <row r="307" spans="1:21">
      <c r="A307" t="s">
        <v>325</v>
      </c>
      <c r="B307" s="5" t="str">
        <f>($B301/$B305)</f>
        <v>0</v>
      </c>
      <c r="C307" s="5" t="str">
        <f>($C301/$C305)</f>
        <v>0</v>
      </c>
      <c r="D307" s="5" t="str">
        <f>($D301/$D305)</f>
        <v>0</v>
      </c>
      <c r="E307" s="5" t="str">
        <f>($E301/$E305)</f>
        <v>0</v>
      </c>
      <c r="F307" s="5" t="str">
        <f>($F301/$F305)</f>
        <v>0</v>
      </c>
      <c r="G307" s="5" t="str">
        <f>($G301/$G305)</f>
        <v>0</v>
      </c>
      <c r="H307" s="5" t="str">
        <f>($H301/$H305)</f>
        <v>0</v>
      </c>
      <c r="I307" s="5" t="str">
        <f>($I301/$I305)</f>
        <v>0</v>
      </c>
      <c r="J307" s="5" t="str">
        <f>($J301/$J305)</f>
        <v>0</v>
      </c>
      <c r="K307" s="5" t="str">
        <f>($K301/$K305)</f>
        <v>0</v>
      </c>
      <c r="L307" s="5" t="str">
        <f>($L301/$L305)</f>
        <v>0</v>
      </c>
      <c r="M307" s="5" t="str">
        <f>($M301/$M305)</f>
        <v>0</v>
      </c>
      <c r="N307" s="5" t="str">
        <f>($N301/$N305)</f>
        <v>0</v>
      </c>
      <c r="O307" s="5" t="str">
        <f>($O301/$O305)</f>
        <v>0</v>
      </c>
      <c r="P307" s="5" t="str">
        <f>($P301/$P305)</f>
        <v>0</v>
      </c>
      <c r="Q307" s="5" t="str">
        <f>($Q301/$Q305)</f>
        <v>0</v>
      </c>
      <c r="R307" s="5" t="str">
        <f>($R301/$R305)</f>
        <v>0</v>
      </c>
      <c r="S307" s="5" t="str">
        <f>($S301/$S305)</f>
        <v>0</v>
      </c>
    </row>
    <row r="308" spans="1:21">
      <c r="A308" t="s">
        <v>326</v>
      </c>
      <c r="B308" s="5" t="str">
        <f>($B302/$B305)</f>
        <v>0</v>
      </c>
      <c r="C308" s="5" t="str">
        <f>($C302/$C305)</f>
        <v>0</v>
      </c>
      <c r="D308" s="5" t="str">
        <f>($D302/$D305)</f>
        <v>0</v>
      </c>
      <c r="E308" s="5" t="str">
        <f>($E302/$E305)</f>
        <v>0</v>
      </c>
      <c r="F308" s="5" t="str">
        <f>($F302/$F305)</f>
        <v>0</v>
      </c>
      <c r="G308" s="5" t="str">
        <f>($G302/$G305)</f>
        <v>0</v>
      </c>
      <c r="H308" s="5" t="str">
        <f>($H302/$H305)</f>
        <v>0</v>
      </c>
      <c r="I308" s="5" t="str">
        <f>($I302/$I305)</f>
        <v>0</v>
      </c>
      <c r="J308" s="5" t="str">
        <f>($J302/$J305)</f>
        <v>0</v>
      </c>
      <c r="K308" s="5" t="str">
        <f>($K302/$K305)</f>
        <v>0</v>
      </c>
      <c r="L308" s="5" t="str">
        <f>($L302/$L305)</f>
        <v>0</v>
      </c>
      <c r="M308" s="5" t="str">
        <f>($M302/$M305)</f>
        <v>0</v>
      </c>
      <c r="N308" s="5" t="str">
        <f>($N302/$N305)</f>
        <v>0</v>
      </c>
      <c r="O308" s="5" t="str">
        <f>($O302/$O305)</f>
        <v>0</v>
      </c>
      <c r="P308" s="5" t="str">
        <f>($P302/$P305)</f>
        <v>0</v>
      </c>
      <c r="Q308" s="5" t="str">
        <f>($Q302/$Q305)</f>
        <v>0</v>
      </c>
      <c r="R308" s="5" t="str">
        <f>($R302/$R305)</f>
        <v>0</v>
      </c>
      <c r="S308" s="5" t="str">
        <f>($S302/$S305)</f>
        <v>0</v>
      </c>
    </row>
    <row r="309" spans="1:21">
      <c r="A309" t="s">
        <v>327</v>
      </c>
      <c r="B309" s="5" t="str">
        <f>($B303/$B305)</f>
        <v>0</v>
      </c>
      <c r="C309" s="5" t="str">
        <f>($C303/$C305)</f>
        <v>0</v>
      </c>
      <c r="D309" s="5" t="str">
        <f>($D303/$D305)</f>
        <v>0</v>
      </c>
      <c r="E309" s="5" t="str">
        <f>($E303/$E305)</f>
        <v>0</v>
      </c>
      <c r="F309" s="5" t="str">
        <f>($F303/$F305)</f>
        <v>0</v>
      </c>
      <c r="G309" s="5" t="str">
        <f>($G303/$G305)</f>
        <v>0</v>
      </c>
      <c r="H309" s="5" t="str">
        <f>($H303/$H305)</f>
        <v>0</v>
      </c>
      <c r="I309" s="5" t="str">
        <f>($I303/$I305)</f>
        <v>0</v>
      </c>
      <c r="J309" s="5" t="str">
        <f>($J303/$J305)</f>
        <v>0</v>
      </c>
      <c r="K309" s="5" t="str">
        <f>($K303/$K305)</f>
        <v>0</v>
      </c>
      <c r="L309" s="5" t="str">
        <f>($L303/$L305)</f>
        <v>0</v>
      </c>
      <c r="M309" s="5" t="str">
        <f>($M303/$M305)</f>
        <v>0</v>
      </c>
      <c r="N309" s="5" t="str">
        <f>($N303/$N305)</f>
        <v>0</v>
      </c>
      <c r="O309" s="5" t="str">
        <f>($O303/$O305)</f>
        <v>0</v>
      </c>
      <c r="P309" s="5" t="str">
        <f>($P303/$P305)</f>
        <v>0</v>
      </c>
      <c r="Q309" s="5" t="str">
        <f>($Q303/$Q305)</f>
        <v>0</v>
      </c>
      <c r="R309" s="5" t="str">
        <f>($R303/$R305)</f>
        <v>0</v>
      </c>
      <c r="S309" s="5" t="str">
        <f>($S303/$S305)</f>
        <v>0</v>
      </c>
    </row>
    <row r="310" spans="1:21">
      <c r="A310" t="s">
        <v>328</v>
      </c>
      <c r="B310" s="5" t="str">
        <f>($B304/$B305)</f>
        <v>0</v>
      </c>
      <c r="C310" s="5" t="str">
        <f>($C304/$C305)</f>
        <v>0</v>
      </c>
      <c r="D310" s="5" t="str">
        <f>($D304/$D305)</f>
        <v>0</v>
      </c>
      <c r="E310" s="5" t="str">
        <f>($E304/$E305)</f>
        <v>0</v>
      </c>
      <c r="F310" s="5" t="str">
        <f>($F304/$F305)</f>
        <v>0</v>
      </c>
      <c r="G310" s="5" t="str">
        <f>($G304/$G305)</f>
        <v>0</v>
      </c>
      <c r="H310" s="5" t="str">
        <f>($H304/$H305)</f>
        <v>0</v>
      </c>
      <c r="I310" s="5" t="str">
        <f>($I304/$I305)</f>
        <v>0</v>
      </c>
      <c r="J310" s="5" t="str">
        <f>($J304/$J305)</f>
        <v>0</v>
      </c>
      <c r="K310" s="5" t="str">
        <f>($K304/$K305)</f>
        <v>0</v>
      </c>
      <c r="L310" s="5" t="str">
        <f>($L304/$L305)</f>
        <v>0</v>
      </c>
      <c r="M310" s="5" t="str">
        <f>($M304/$M305)</f>
        <v>0</v>
      </c>
      <c r="N310" s="5" t="str">
        <f>($N304/$N305)</f>
        <v>0</v>
      </c>
      <c r="O310" s="5" t="str">
        <f>($O304/$O305)</f>
        <v>0</v>
      </c>
      <c r="P310" s="5" t="str">
        <f>($P304/$P305)</f>
        <v>0</v>
      </c>
      <c r="Q310" s="5" t="str">
        <f>($Q304/$Q305)</f>
        <v>0</v>
      </c>
      <c r="R310" s="5" t="str">
        <f>($R304/$R305)</f>
        <v>0</v>
      </c>
      <c r="S310" s="5" t="str">
        <f>($S304/$S305)</f>
        <v>0</v>
      </c>
    </row>
    <row r="311" spans="1:21">
      <c r="A311" t="s">
        <v>329</v>
      </c>
      <c r="B311" s="5" t="str">
        <f>SUM($B306:$B310)</f>
        <v>0</v>
      </c>
      <c r="C311" s="5" t="str">
        <f>SUM($C306:$C310)</f>
        <v>0</v>
      </c>
      <c r="D311" s="5" t="str">
        <f>SUM($D306:$D310)</f>
        <v>0</v>
      </c>
      <c r="E311" s="5" t="str">
        <f>SUM($E306:$E310)</f>
        <v>0</v>
      </c>
      <c r="F311" s="5" t="str">
        <f>SUM($F306:$F310)</f>
        <v>0</v>
      </c>
      <c r="G311" s="5" t="str">
        <f>SUM($G306:$G310)</f>
        <v>0</v>
      </c>
      <c r="H311" s="5" t="str">
        <f>SUM($H306:$H310)</f>
        <v>0</v>
      </c>
      <c r="I311" s="5" t="str">
        <f>SUM($I306:$I310)</f>
        <v>0</v>
      </c>
      <c r="J311" s="5" t="str">
        <f>SUM($J306:$J310)</f>
        <v>0</v>
      </c>
      <c r="K311" s="5" t="str">
        <f>SUM($K306:$K310)</f>
        <v>0</v>
      </c>
      <c r="L311" s="5" t="str">
        <f>SUM($L306:$L310)</f>
        <v>0</v>
      </c>
      <c r="M311" s="5" t="str">
        <f>SUM($M306:$M310)</f>
        <v>0</v>
      </c>
      <c r="N311" s="5" t="str">
        <f>SUM($N306:$N310)</f>
        <v>0</v>
      </c>
      <c r="O311" s="5" t="str">
        <f>SUM($O306:$O310)</f>
        <v>0</v>
      </c>
      <c r="P311" s="5" t="str">
        <f>SUM($P306:$P310)</f>
        <v>0</v>
      </c>
      <c r="Q311" s="5" t="str">
        <f>SUM($Q306:$Q310)</f>
        <v>0</v>
      </c>
      <c r="R311" s="5" t="str">
        <f>SUM($R306:$R310)</f>
        <v>0</v>
      </c>
      <c r="S311" s="5" t="str">
        <f>SUM($S306:$S310)</f>
        <v>0</v>
      </c>
    </row>
    <row r="1289" spans="1:21">
      <c r="A1289" s="4">
        <v>1</v>
      </c>
    </row>
    <row r="1290" spans="1:21">
      <c r="A1290" s="4">
        <v>2</v>
      </c>
    </row>
    <row r="1291" spans="1:21">
      <c r="A1291" s="4">
        <v>3</v>
      </c>
    </row>
    <row r="1292" spans="1:21">
      <c r="A1292" s="4">
        <v>4</v>
      </c>
    </row>
    <row r="1293" spans="1:21">
      <c r="A1293" s="4">
        <v>5</v>
      </c>
    </row>
    <row r="1294" spans="1:21">
      <c r="B1294" t="str">
        <f>SUM($B1289:$B1293)</f>
        <v>0</v>
      </c>
      <c r="C1294" t="str">
        <f>SUM($C1289:$C1293)</f>
        <v>0</v>
      </c>
      <c r="D1294" t="str">
        <f>SUM($D1289:$D1293)</f>
        <v>0</v>
      </c>
      <c r="E1294" t="str">
        <f>SUM($E1289:$E1293)</f>
        <v>0</v>
      </c>
      <c r="F1294" t="str">
        <f>SUM($F1289:$F1293)</f>
        <v>0</v>
      </c>
      <c r="G1294" t="str">
        <f>SUM($G1289:$G1293)</f>
        <v>0</v>
      </c>
      <c r="H1294" t="str">
        <f>SUM($H1289:$H1293)</f>
        <v>0</v>
      </c>
      <c r="I1294" t="str">
        <f>SUM($I1289:$I1293)</f>
        <v>0</v>
      </c>
      <c r="J1294" t="str">
        <f>SUM($J1289:$J1293)</f>
        <v>0</v>
      </c>
      <c r="K1294" t="str">
        <f>SUM($K1289:$K1293)</f>
        <v>0</v>
      </c>
      <c r="L1294" t="str">
        <f>SUM($L1289:$L1293)</f>
        <v>0</v>
      </c>
      <c r="M1294" t="str">
        <f>SUM($M1289:$M1293)</f>
        <v>0</v>
      </c>
      <c r="N1294" t="str">
        <f>SUM($N1289:$N1293)</f>
        <v>0</v>
      </c>
      <c r="O1294" t="str">
        <f>SUM($O1289:$O1293)</f>
        <v>0</v>
      </c>
      <c r="P1294" t="str">
        <f>SUM($P1289:$P1293)</f>
        <v>0</v>
      </c>
      <c r="Q1294" t="str">
        <f>SUM($Q1289:$Q1293)</f>
        <v>0</v>
      </c>
      <c r="R1294" t="str">
        <f>SUM($R1289:$R1293)</f>
        <v>0</v>
      </c>
      <c r="S1294" t="str">
        <f>SUM($S1289:$S1293)</f>
        <v>0</v>
      </c>
    </row>
    <row r="1295" spans="1:21">
      <c r="B1295" s="5"/>
      <c r="C1295" s="5"/>
      <c r="D1295" s="5"/>
      <c r="E1295" s="5"/>
      <c r="F1295" s="5"/>
      <c r="G1295" s="5"/>
      <c r="H1295" s="5"/>
      <c r="I1295" s="5"/>
      <c r="J1295" s="5"/>
      <c r="K1295" s="5"/>
      <c r="L1295" s="5"/>
      <c r="M1295" s="5"/>
      <c r="N1295" s="5"/>
      <c r="O1295" s="5"/>
      <c r="P1295" s="5"/>
      <c r="Q1295" s="5"/>
      <c r="R1295" s="5"/>
      <c r="S1295" s="5"/>
    </row>
    <row r="1296" spans="1:21">
      <c r="B1296" s="5"/>
      <c r="C1296" s="5"/>
      <c r="D1296" s="5"/>
      <c r="E1296" s="5"/>
      <c r="F1296" s="5"/>
      <c r="G1296" s="5"/>
      <c r="H1296" s="5"/>
      <c r="I1296" s="5"/>
      <c r="J1296" s="5"/>
      <c r="K1296" s="5"/>
      <c r="L1296" s="5"/>
      <c r="M1296" s="5"/>
      <c r="N1296" s="5"/>
      <c r="O1296" s="5"/>
      <c r="P1296" s="5"/>
      <c r="Q1296" s="5"/>
      <c r="R1296" s="5"/>
      <c r="S1296" s="5"/>
    </row>
    <row r="1297" spans="1:21">
      <c r="B1297" s="5"/>
      <c r="C1297" s="5"/>
      <c r="D1297" s="5"/>
      <c r="E1297" s="5"/>
      <c r="F1297" s="5"/>
      <c r="G1297" s="5"/>
      <c r="H1297" s="5"/>
      <c r="I1297" s="5"/>
      <c r="J1297" s="5"/>
      <c r="K1297" s="5"/>
      <c r="L1297" s="5"/>
      <c r="M1297" s="5"/>
      <c r="N1297" s="5"/>
      <c r="O1297" s="5"/>
      <c r="P1297" s="5"/>
      <c r="Q1297" s="5"/>
      <c r="R1297" s="5"/>
      <c r="S1297" s="5"/>
    </row>
    <row r="1298" spans="1:21">
      <c r="B1298" s="5"/>
      <c r="C1298" s="5"/>
      <c r="D1298" s="5"/>
      <c r="E1298" s="5"/>
      <c r="F1298" s="5"/>
      <c r="G1298" s="5"/>
      <c r="H1298" s="5"/>
      <c r="I1298" s="5"/>
      <c r="J1298" s="5"/>
      <c r="K1298" s="5"/>
      <c r="L1298" s="5"/>
      <c r="M1298" s="5"/>
      <c r="N1298" s="5"/>
      <c r="O1298" s="5"/>
      <c r="P1298" s="5"/>
      <c r="Q1298" s="5"/>
      <c r="R1298" s="5"/>
      <c r="S1298" s="5"/>
    </row>
    <row r="1299" spans="1:21">
      <c r="B1299" s="5"/>
      <c r="C1299" s="5"/>
      <c r="D1299" s="5"/>
      <c r="E1299" s="5"/>
      <c r="F1299" s="5"/>
      <c r="G1299" s="5"/>
      <c r="H1299" s="5"/>
      <c r="I1299" s="5"/>
      <c r="J1299" s="5"/>
      <c r="K1299" s="5"/>
      <c r="L1299" s="5"/>
      <c r="M1299" s="5"/>
      <c r="N1299" s="5"/>
      <c r="O1299" s="5"/>
      <c r="P1299" s="5"/>
      <c r="Q1299" s="5"/>
      <c r="R1299" s="5"/>
      <c r="S1299" s="5"/>
    </row>
    <row r="1300" spans="1:21">
      <c r="B1300" s="5" t="str">
        <f>SUM($B1295:$B1299)</f>
        <v>0</v>
      </c>
      <c r="C1300" s="5" t="str">
        <f>SUM($C1295:$C1299)</f>
        <v>0</v>
      </c>
      <c r="D1300" s="5" t="str">
        <f>SUM($D1295:$D1299)</f>
        <v>0</v>
      </c>
      <c r="E1300" s="5" t="str">
        <f>SUM($E1295:$E1299)</f>
        <v>0</v>
      </c>
      <c r="F1300" s="5" t="str">
        <f>SUM($F1295:$F1299)</f>
        <v>0</v>
      </c>
      <c r="G1300" s="5" t="str">
        <f>SUM($G1295:$G1299)</f>
        <v>0</v>
      </c>
      <c r="H1300" s="5" t="str">
        <f>SUM($H1295:$H1299)</f>
        <v>0</v>
      </c>
      <c r="I1300" s="5" t="str">
        <f>SUM($I1295:$I1299)</f>
        <v>0</v>
      </c>
      <c r="J1300" s="5" t="str">
        <f>SUM($J1295:$J1299)</f>
        <v>0</v>
      </c>
      <c r="K1300" s="5" t="str">
        <f>SUM($K1295:$K1299)</f>
        <v>0</v>
      </c>
      <c r="L1300" s="5" t="str">
        <f>SUM($L1295:$L1299)</f>
        <v>0</v>
      </c>
      <c r="M1300" s="5" t="str">
        <f>SUM($M1295:$M1299)</f>
        <v>0</v>
      </c>
      <c r="N1300" s="5" t="str">
        <f>SUM($N1295:$N1299)</f>
        <v>0</v>
      </c>
      <c r="O1300" s="5" t="str">
        <f>SUM($O1295:$O1299)</f>
        <v>0</v>
      </c>
      <c r="P1300" s="5" t="str">
        <f>SUM($P1295:$P1299)</f>
        <v>0</v>
      </c>
      <c r="Q1300" s="5" t="str">
        <f>SUM($Q1295:$Q1299)</f>
        <v>0</v>
      </c>
      <c r="R1300" s="5" t="str">
        <f>SUM($R1295:$R1299)</f>
        <v>0</v>
      </c>
      <c r="S1300" s="5" t="str">
        <f>SUM($S1295:$S1299)</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U2"/>
    <mergeCell ref="B3:G3"/>
    <mergeCell ref="H3:M3"/>
    <mergeCell ref="N3:S3"/>
    <mergeCell ref="T3:T3"/>
    <mergeCell ref="U3:U3"/>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A6:A6"/>
    <mergeCell ref="B6:B6"/>
    <mergeCell ref="C6:C6"/>
    <mergeCell ref="D6:D6"/>
    <mergeCell ref="E6:E6"/>
    <mergeCell ref="F6:F6"/>
    <mergeCell ref="G6:G6"/>
    <mergeCell ref="H6:H6"/>
    <mergeCell ref="I6:I6"/>
    <mergeCell ref="J6:J6"/>
    <mergeCell ref="K6:K6"/>
    <mergeCell ref="L6:L6"/>
    <mergeCell ref="M6:M6"/>
    <mergeCell ref="N6:N6"/>
    <mergeCell ref="O6:O6"/>
    <mergeCell ref="P6:P6"/>
    <mergeCell ref="Q6:Q6"/>
    <mergeCell ref="R6:R6"/>
    <mergeCell ref="S6:S6"/>
    <mergeCell ref="T6:T6"/>
    <mergeCell ref="A7:A7"/>
    <mergeCell ref="B7:B7"/>
    <mergeCell ref="C7:C7"/>
    <mergeCell ref="D7:D7"/>
    <mergeCell ref="E7:E7"/>
    <mergeCell ref="F7:F7"/>
    <mergeCell ref="G7:G7"/>
    <mergeCell ref="H7:H7"/>
    <mergeCell ref="I7:I7"/>
    <mergeCell ref="J7:J7"/>
    <mergeCell ref="K7:K7"/>
    <mergeCell ref="L7:L7"/>
    <mergeCell ref="M7:M7"/>
    <mergeCell ref="N7:N7"/>
    <mergeCell ref="O7:O7"/>
    <mergeCell ref="P7:P7"/>
    <mergeCell ref="Q7:Q7"/>
    <mergeCell ref="R7:R7"/>
    <mergeCell ref="S7:S7"/>
    <mergeCell ref="T7:T7"/>
    <mergeCell ref="A8:A8"/>
    <mergeCell ref="B8:B8"/>
    <mergeCell ref="C8:C8"/>
    <mergeCell ref="D8:D8"/>
    <mergeCell ref="E8:E8"/>
    <mergeCell ref="F8:F8"/>
    <mergeCell ref="G8:G8"/>
    <mergeCell ref="H8:H8"/>
    <mergeCell ref="I8:I8"/>
    <mergeCell ref="J8:J8"/>
    <mergeCell ref="K8:K8"/>
    <mergeCell ref="L8:L8"/>
    <mergeCell ref="M8:M8"/>
    <mergeCell ref="N8:N8"/>
    <mergeCell ref="O8:O8"/>
    <mergeCell ref="P8:P8"/>
    <mergeCell ref="Q8:Q8"/>
    <mergeCell ref="R8:R8"/>
    <mergeCell ref="S8:S8"/>
    <mergeCell ref="T8:T8"/>
    <mergeCell ref="A9:A9"/>
    <mergeCell ref="B9:B9"/>
    <mergeCell ref="C9:C9"/>
    <mergeCell ref="D9:D9"/>
    <mergeCell ref="E9:E9"/>
    <mergeCell ref="F9:F9"/>
    <mergeCell ref="G9:G9"/>
    <mergeCell ref="H9:H9"/>
    <mergeCell ref="I9:I9"/>
    <mergeCell ref="J9:J9"/>
    <mergeCell ref="K9:K9"/>
    <mergeCell ref="L9:L9"/>
    <mergeCell ref="M9:M9"/>
    <mergeCell ref="N9:N9"/>
    <mergeCell ref="O9:O9"/>
    <mergeCell ref="P9:P9"/>
    <mergeCell ref="Q9:Q9"/>
    <mergeCell ref="R9:R9"/>
    <mergeCell ref="S9:S9"/>
    <mergeCell ref="T9:T9"/>
    <mergeCell ref="A10:A10"/>
    <mergeCell ref="B10:B10"/>
    <mergeCell ref="C10:C10"/>
    <mergeCell ref="D10:D10"/>
    <mergeCell ref="E10:E10"/>
    <mergeCell ref="F10:F10"/>
    <mergeCell ref="G10:G10"/>
    <mergeCell ref="H10:H10"/>
    <mergeCell ref="I10:I10"/>
    <mergeCell ref="J10:J10"/>
    <mergeCell ref="K10:K10"/>
    <mergeCell ref="L10:L10"/>
    <mergeCell ref="M10:M10"/>
    <mergeCell ref="N10:N10"/>
    <mergeCell ref="O10:O10"/>
    <mergeCell ref="P10:P10"/>
    <mergeCell ref="Q10:Q10"/>
    <mergeCell ref="R10:R10"/>
    <mergeCell ref="S10:S10"/>
    <mergeCell ref="T10:T10"/>
    <mergeCell ref="A11:A11"/>
    <mergeCell ref="B11:B11"/>
    <mergeCell ref="C11:C11"/>
    <mergeCell ref="D11:D11"/>
    <mergeCell ref="E11:E11"/>
    <mergeCell ref="F11:F11"/>
    <mergeCell ref="G11:G11"/>
    <mergeCell ref="H11:H11"/>
    <mergeCell ref="I11:I11"/>
    <mergeCell ref="J11:J11"/>
    <mergeCell ref="K11:K11"/>
    <mergeCell ref="L11:L11"/>
    <mergeCell ref="M11:M11"/>
    <mergeCell ref="N11:N11"/>
    <mergeCell ref="O11:O11"/>
    <mergeCell ref="P11:P11"/>
    <mergeCell ref="Q11:Q11"/>
    <mergeCell ref="R11:R11"/>
    <mergeCell ref="S11:S11"/>
    <mergeCell ref="T11:T11"/>
    <mergeCell ref="A12:A12"/>
    <mergeCell ref="B12:B12"/>
    <mergeCell ref="C12:C12"/>
    <mergeCell ref="D12:D12"/>
    <mergeCell ref="E12:E12"/>
    <mergeCell ref="F12:F12"/>
    <mergeCell ref="G12:G12"/>
    <mergeCell ref="H12:H12"/>
    <mergeCell ref="I12:I12"/>
    <mergeCell ref="J12:J12"/>
    <mergeCell ref="K12:K12"/>
    <mergeCell ref="L12:L12"/>
    <mergeCell ref="M12:M12"/>
    <mergeCell ref="N12:N12"/>
    <mergeCell ref="O12:O12"/>
    <mergeCell ref="P12:P12"/>
    <mergeCell ref="Q12:Q12"/>
    <mergeCell ref="R12:R12"/>
    <mergeCell ref="S12:S12"/>
    <mergeCell ref="T12:T12"/>
    <mergeCell ref="A13:A13"/>
    <mergeCell ref="B13:B13"/>
    <mergeCell ref="C13:C13"/>
    <mergeCell ref="D13:D13"/>
    <mergeCell ref="E13:E13"/>
    <mergeCell ref="F13:F13"/>
    <mergeCell ref="G13:G13"/>
    <mergeCell ref="H13:H13"/>
    <mergeCell ref="I13:I13"/>
    <mergeCell ref="J13:J13"/>
    <mergeCell ref="K13:K13"/>
    <mergeCell ref="L13:L13"/>
    <mergeCell ref="M13:M13"/>
    <mergeCell ref="N13:N13"/>
    <mergeCell ref="O13:O13"/>
    <mergeCell ref="P13:P13"/>
    <mergeCell ref="Q13:Q13"/>
    <mergeCell ref="R13:R13"/>
    <mergeCell ref="S13:S13"/>
    <mergeCell ref="T13:T13"/>
    <mergeCell ref="A14:A14"/>
    <mergeCell ref="B14:B14"/>
    <mergeCell ref="C14:C14"/>
    <mergeCell ref="D14:D14"/>
    <mergeCell ref="E14:E14"/>
    <mergeCell ref="F14:F14"/>
    <mergeCell ref="G14:G14"/>
    <mergeCell ref="H14:H14"/>
    <mergeCell ref="I14:I14"/>
    <mergeCell ref="J14:J14"/>
    <mergeCell ref="K14:K14"/>
    <mergeCell ref="L14:L14"/>
    <mergeCell ref="M14:M14"/>
    <mergeCell ref="N14:N14"/>
    <mergeCell ref="O14:O14"/>
    <mergeCell ref="P14:P14"/>
    <mergeCell ref="Q14:Q14"/>
    <mergeCell ref="R14:R14"/>
    <mergeCell ref="S14:S14"/>
    <mergeCell ref="T14:T14"/>
    <mergeCell ref="A15:A15"/>
    <mergeCell ref="B15:B15"/>
    <mergeCell ref="C15:C15"/>
    <mergeCell ref="D15:D15"/>
    <mergeCell ref="E15:E15"/>
    <mergeCell ref="F15:F15"/>
    <mergeCell ref="G15:G15"/>
    <mergeCell ref="H15:H15"/>
    <mergeCell ref="I15:I15"/>
    <mergeCell ref="J15:J15"/>
    <mergeCell ref="K15:K15"/>
    <mergeCell ref="L15:L15"/>
    <mergeCell ref="M15:M15"/>
    <mergeCell ref="N15:N15"/>
    <mergeCell ref="O15:O15"/>
    <mergeCell ref="P15:P15"/>
    <mergeCell ref="Q15:Q15"/>
    <mergeCell ref="R15:R15"/>
    <mergeCell ref="S15:S15"/>
    <mergeCell ref="T15:T15"/>
    <mergeCell ref="A16:A16"/>
    <mergeCell ref="B16:B16"/>
    <mergeCell ref="C16:C16"/>
    <mergeCell ref="D16:D16"/>
    <mergeCell ref="E16:E16"/>
    <mergeCell ref="F16:F16"/>
    <mergeCell ref="G16:G16"/>
    <mergeCell ref="H16:H16"/>
    <mergeCell ref="I16:I16"/>
    <mergeCell ref="J16:J16"/>
    <mergeCell ref="K16:K16"/>
    <mergeCell ref="L16:L16"/>
    <mergeCell ref="M16:M16"/>
    <mergeCell ref="N16:N16"/>
    <mergeCell ref="O16:O16"/>
    <mergeCell ref="P16:P16"/>
    <mergeCell ref="Q16:Q16"/>
    <mergeCell ref="R16:R16"/>
    <mergeCell ref="S16:S16"/>
    <mergeCell ref="T16:T16"/>
    <mergeCell ref="A17:A17"/>
    <mergeCell ref="B17:B17"/>
    <mergeCell ref="C17:C17"/>
    <mergeCell ref="D17:D17"/>
    <mergeCell ref="E17:E17"/>
    <mergeCell ref="F17:F17"/>
    <mergeCell ref="G17:G17"/>
    <mergeCell ref="H17:H17"/>
    <mergeCell ref="I17:I17"/>
    <mergeCell ref="J17:J17"/>
    <mergeCell ref="K17:K17"/>
    <mergeCell ref="L17:L17"/>
    <mergeCell ref="M17:M17"/>
    <mergeCell ref="N17:N17"/>
    <mergeCell ref="O17:O17"/>
    <mergeCell ref="P17:P17"/>
    <mergeCell ref="Q17:Q17"/>
    <mergeCell ref="R17:R17"/>
    <mergeCell ref="S17:S17"/>
    <mergeCell ref="T17:T17"/>
    <mergeCell ref="A18:A18"/>
    <mergeCell ref="B18:B18"/>
    <mergeCell ref="C18:C18"/>
    <mergeCell ref="D18:D18"/>
    <mergeCell ref="E18:E18"/>
    <mergeCell ref="F18:F18"/>
    <mergeCell ref="G18:G18"/>
    <mergeCell ref="H18:H18"/>
    <mergeCell ref="I18:I18"/>
    <mergeCell ref="J18:J18"/>
    <mergeCell ref="K18:K18"/>
    <mergeCell ref="L18:L18"/>
    <mergeCell ref="M18:M18"/>
    <mergeCell ref="N18:N18"/>
    <mergeCell ref="O18:O18"/>
    <mergeCell ref="P18:P18"/>
    <mergeCell ref="Q18:Q18"/>
    <mergeCell ref="R18:R18"/>
    <mergeCell ref="S18:S18"/>
    <mergeCell ref="T18:T18"/>
    <mergeCell ref="A19:A19"/>
    <mergeCell ref="B19:B19"/>
    <mergeCell ref="C19:C19"/>
    <mergeCell ref="D19:D19"/>
    <mergeCell ref="E19:E19"/>
    <mergeCell ref="F19:F19"/>
    <mergeCell ref="G19:G19"/>
    <mergeCell ref="H19:H19"/>
    <mergeCell ref="I19:I19"/>
    <mergeCell ref="J19:J19"/>
    <mergeCell ref="K19:K19"/>
    <mergeCell ref="L19:L19"/>
    <mergeCell ref="M19:M19"/>
    <mergeCell ref="N19:N19"/>
    <mergeCell ref="O19:O19"/>
    <mergeCell ref="P19:P19"/>
    <mergeCell ref="Q19:Q19"/>
    <mergeCell ref="R19:R19"/>
    <mergeCell ref="S19:S19"/>
    <mergeCell ref="T19:T19"/>
    <mergeCell ref="A20:A20"/>
    <mergeCell ref="B20:B20"/>
    <mergeCell ref="C20:C20"/>
    <mergeCell ref="D20:D20"/>
    <mergeCell ref="E20:E20"/>
    <mergeCell ref="F20:F20"/>
    <mergeCell ref="G20:G20"/>
    <mergeCell ref="H20:H20"/>
    <mergeCell ref="I20:I20"/>
    <mergeCell ref="J20:J20"/>
    <mergeCell ref="K20:K20"/>
    <mergeCell ref="L20:L20"/>
    <mergeCell ref="M20:M20"/>
    <mergeCell ref="N20:N20"/>
    <mergeCell ref="O20:O20"/>
    <mergeCell ref="P20:P20"/>
    <mergeCell ref="Q20:Q20"/>
    <mergeCell ref="R20:R20"/>
    <mergeCell ref="S20:S20"/>
    <mergeCell ref="T20:T20"/>
    <mergeCell ref="A21:A21"/>
    <mergeCell ref="B21:B21"/>
    <mergeCell ref="C21:C21"/>
    <mergeCell ref="D21:D21"/>
    <mergeCell ref="E21:E21"/>
    <mergeCell ref="F21:F21"/>
    <mergeCell ref="G21:G21"/>
    <mergeCell ref="H21:H21"/>
    <mergeCell ref="I21:I21"/>
    <mergeCell ref="J21:J21"/>
    <mergeCell ref="K21:K21"/>
    <mergeCell ref="L21:L21"/>
    <mergeCell ref="M21:M21"/>
    <mergeCell ref="N21:N21"/>
    <mergeCell ref="O21:O21"/>
    <mergeCell ref="P21:P21"/>
    <mergeCell ref="Q21:Q21"/>
    <mergeCell ref="R21:R21"/>
    <mergeCell ref="S21:S21"/>
    <mergeCell ref="T21:T21"/>
    <mergeCell ref="A22:A22"/>
    <mergeCell ref="B22:B22"/>
    <mergeCell ref="C22:C22"/>
    <mergeCell ref="D22:D22"/>
    <mergeCell ref="E22:E22"/>
    <mergeCell ref="F22:F22"/>
    <mergeCell ref="G22:G22"/>
    <mergeCell ref="H22:H22"/>
    <mergeCell ref="I22:I22"/>
    <mergeCell ref="J22:J22"/>
    <mergeCell ref="K22:K22"/>
    <mergeCell ref="L22:L22"/>
    <mergeCell ref="M22:M22"/>
    <mergeCell ref="N22:N22"/>
    <mergeCell ref="O22:O22"/>
    <mergeCell ref="P22:P22"/>
    <mergeCell ref="Q22:Q22"/>
    <mergeCell ref="R22:R22"/>
    <mergeCell ref="S22:S22"/>
    <mergeCell ref="T22:T22"/>
    <mergeCell ref="A23:A23"/>
    <mergeCell ref="B23:B23"/>
    <mergeCell ref="C23:C23"/>
    <mergeCell ref="D23:D23"/>
    <mergeCell ref="E23:E23"/>
    <mergeCell ref="F23:F23"/>
    <mergeCell ref="G23:G23"/>
    <mergeCell ref="H23:H23"/>
    <mergeCell ref="I23:I23"/>
    <mergeCell ref="J23:J23"/>
    <mergeCell ref="K23:K23"/>
    <mergeCell ref="L23:L23"/>
    <mergeCell ref="M23:M23"/>
    <mergeCell ref="N23:N23"/>
    <mergeCell ref="O23:O23"/>
    <mergeCell ref="P23:P23"/>
    <mergeCell ref="Q23:Q23"/>
    <mergeCell ref="R23:R23"/>
    <mergeCell ref="S23:S23"/>
    <mergeCell ref="T23:T23"/>
    <mergeCell ref="A24:A24"/>
    <mergeCell ref="B24:B24"/>
    <mergeCell ref="C24:C24"/>
    <mergeCell ref="D24:D24"/>
    <mergeCell ref="E24:E24"/>
    <mergeCell ref="F24:F24"/>
    <mergeCell ref="G24:G24"/>
    <mergeCell ref="H24:H24"/>
    <mergeCell ref="I24:I24"/>
    <mergeCell ref="J24:J24"/>
    <mergeCell ref="K24:K24"/>
    <mergeCell ref="L24:L24"/>
    <mergeCell ref="M24:M24"/>
    <mergeCell ref="N24:N24"/>
    <mergeCell ref="O24:O24"/>
    <mergeCell ref="P24:P24"/>
    <mergeCell ref="Q24:Q24"/>
    <mergeCell ref="R24:R24"/>
    <mergeCell ref="S24:S24"/>
    <mergeCell ref="T24:T24"/>
    <mergeCell ref="A25:A25"/>
    <mergeCell ref="B25:B25"/>
    <mergeCell ref="C25:C25"/>
    <mergeCell ref="D25:D25"/>
    <mergeCell ref="E25:E25"/>
    <mergeCell ref="F25:F25"/>
    <mergeCell ref="G25:G25"/>
    <mergeCell ref="H25:H25"/>
    <mergeCell ref="I25:I25"/>
    <mergeCell ref="J25:J25"/>
    <mergeCell ref="K25:K25"/>
    <mergeCell ref="L25:L25"/>
    <mergeCell ref="M25:M25"/>
    <mergeCell ref="N25:N25"/>
    <mergeCell ref="O25:O25"/>
    <mergeCell ref="P25:P25"/>
    <mergeCell ref="Q25:Q25"/>
    <mergeCell ref="R25:R25"/>
    <mergeCell ref="S25:S25"/>
    <mergeCell ref="T25:T25"/>
    <mergeCell ref="A26:A26"/>
    <mergeCell ref="B26:B26"/>
    <mergeCell ref="C26:C26"/>
    <mergeCell ref="D26:D26"/>
    <mergeCell ref="E26:E26"/>
    <mergeCell ref="F26:F26"/>
    <mergeCell ref="G26:G26"/>
    <mergeCell ref="H26:H26"/>
    <mergeCell ref="I26:I26"/>
    <mergeCell ref="J26:J26"/>
    <mergeCell ref="K26:K26"/>
    <mergeCell ref="L26:L26"/>
    <mergeCell ref="M26:M26"/>
    <mergeCell ref="N26:N26"/>
    <mergeCell ref="O26:O26"/>
    <mergeCell ref="P26:P26"/>
    <mergeCell ref="Q26:Q26"/>
    <mergeCell ref="R26:R26"/>
    <mergeCell ref="S26:S26"/>
    <mergeCell ref="T26:T26"/>
    <mergeCell ref="A27:A27"/>
    <mergeCell ref="B27:B27"/>
    <mergeCell ref="C27:C27"/>
    <mergeCell ref="D27:D27"/>
    <mergeCell ref="E27:E27"/>
    <mergeCell ref="F27:F27"/>
    <mergeCell ref="G27:G27"/>
    <mergeCell ref="H27:H27"/>
    <mergeCell ref="I27:I27"/>
    <mergeCell ref="J27:J27"/>
    <mergeCell ref="K27:K27"/>
    <mergeCell ref="L27:L27"/>
    <mergeCell ref="M27:M27"/>
    <mergeCell ref="N27:N27"/>
    <mergeCell ref="O27:O27"/>
    <mergeCell ref="P27:P27"/>
    <mergeCell ref="Q27:Q27"/>
    <mergeCell ref="R27:R27"/>
    <mergeCell ref="S27:S27"/>
    <mergeCell ref="T27:T27"/>
    <mergeCell ref="A28:A28"/>
    <mergeCell ref="B28:B28"/>
    <mergeCell ref="C28:C28"/>
    <mergeCell ref="D28:D28"/>
    <mergeCell ref="E28:E28"/>
    <mergeCell ref="F28:F28"/>
    <mergeCell ref="G28:G28"/>
    <mergeCell ref="H28:H28"/>
    <mergeCell ref="I28:I28"/>
    <mergeCell ref="J28:J28"/>
    <mergeCell ref="K28:K28"/>
    <mergeCell ref="L28:L28"/>
    <mergeCell ref="M28:M28"/>
    <mergeCell ref="N28:N28"/>
    <mergeCell ref="O28:O28"/>
    <mergeCell ref="P28:P28"/>
    <mergeCell ref="Q28:Q28"/>
    <mergeCell ref="R28:R28"/>
    <mergeCell ref="S28:S28"/>
    <mergeCell ref="T28:T28"/>
    <mergeCell ref="A29:A29"/>
    <mergeCell ref="B29:B29"/>
    <mergeCell ref="C29:C29"/>
    <mergeCell ref="D29:D29"/>
    <mergeCell ref="E29:E29"/>
    <mergeCell ref="F29:F29"/>
    <mergeCell ref="G29:G29"/>
    <mergeCell ref="H29:H29"/>
    <mergeCell ref="I29:I29"/>
    <mergeCell ref="J29:J29"/>
    <mergeCell ref="K29:K29"/>
    <mergeCell ref="L29:L29"/>
    <mergeCell ref="M29:M29"/>
    <mergeCell ref="N29:N29"/>
    <mergeCell ref="O29:O29"/>
    <mergeCell ref="P29:P29"/>
    <mergeCell ref="Q29:Q29"/>
    <mergeCell ref="R29:R29"/>
    <mergeCell ref="S29:S29"/>
    <mergeCell ref="T29:T29"/>
    <mergeCell ref="A30:A30"/>
    <mergeCell ref="B30:B30"/>
    <mergeCell ref="C30:C30"/>
    <mergeCell ref="D30:D30"/>
    <mergeCell ref="E30:E30"/>
    <mergeCell ref="F30:F30"/>
    <mergeCell ref="G30:G30"/>
    <mergeCell ref="H30:H30"/>
    <mergeCell ref="I30:I30"/>
    <mergeCell ref="J30:J30"/>
    <mergeCell ref="K30:K30"/>
    <mergeCell ref="L30:L30"/>
    <mergeCell ref="M30:M30"/>
    <mergeCell ref="N30:N30"/>
    <mergeCell ref="O30:O30"/>
    <mergeCell ref="P30:P30"/>
    <mergeCell ref="Q30:Q30"/>
    <mergeCell ref="R30:R30"/>
    <mergeCell ref="S30:S30"/>
    <mergeCell ref="T30:T30"/>
    <mergeCell ref="A31:A31"/>
    <mergeCell ref="B31:B31"/>
    <mergeCell ref="C31:C31"/>
    <mergeCell ref="D31:D31"/>
    <mergeCell ref="E31:E31"/>
    <mergeCell ref="F31:F31"/>
    <mergeCell ref="G31:G31"/>
    <mergeCell ref="H31:H31"/>
    <mergeCell ref="I31:I31"/>
    <mergeCell ref="J31:J31"/>
    <mergeCell ref="K31:K31"/>
    <mergeCell ref="L31:L31"/>
    <mergeCell ref="M31:M31"/>
    <mergeCell ref="N31:N31"/>
    <mergeCell ref="O31:O31"/>
    <mergeCell ref="P31:P31"/>
    <mergeCell ref="Q31:Q31"/>
    <mergeCell ref="R31:R31"/>
    <mergeCell ref="S31:S31"/>
    <mergeCell ref="T31:T31"/>
    <mergeCell ref="A32:A32"/>
    <mergeCell ref="B32:B32"/>
    <mergeCell ref="C32:C32"/>
    <mergeCell ref="D32:D32"/>
    <mergeCell ref="E32:E32"/>
    <mergeCell ref="F32:F32"/>
    <mergeCell ref="G32:G32"/>
    <mergeCell ref="H32:H32"/>
    <mergeCell ref="I32:I32"/>
    <mergeCell ref="J32:J32"/>
    <mergeCell ref="K32:K32"/>
    <mergeCell ref="L32:L32"/>
    <mergeCell ref="M32:M32"/>
    <mergeCell ref="N32:N32"/>
    <mergeCell ref="O32:O32"/>
    <mergeCell ref="P32:P32"/>
    <mergeCell ref="Q32:Q32"/>
    <mergeCell ref="R32:R32"/>
    <mergeCell ref="S32:S32"/>
    <mergeCell ref="T32:T32"/>
    <mergeCell ref="A33:A33"/>
    <mergeCell ref="B33:B33"/>
    <mergeCell ref="C33:C33"/>
    <mergeCell ref="D33:D33"/>
    <mergeCell ref="E33:E33"/>
    <mergeCell ref="F33:F33"/>
    <mergeCell ref="G33:G33"/>
    <mergeCell ref="H33:H33"/>
    <mergeCell ref="I33:I33"/>
    <mergeCell ref="J33:J33"/>
    <mergeCell ref="K33:K33"/>
    <mergeCell ref="L33:L33"/>
    <mergeCell ref="M33:M33"/>
    <mergeCell ref="N33:N33"/>
    <mergeCell ref="O33:O33"/>
    <mergeCell ref="P33:P33"/>
    <mergeCell ref="Q33:Q33"/>
    <mergeCell ref="R33:R33"/>
    <mergeCell ref="S33:S33"/>
    <mergeCell ref="T33:T33"/>
    <mergeCell ref="A34:A34"/>
    <mergeCell ref="B34:B34"/>
    <mergeCell ref="C34:C34"/>
    <mergeCell ref="D34:D34"/>
    <mergeCell ref="E34:E34"/>
    <mergeCell ref="F34:F34"/>
    <mergeCell ref="G34:G34"/>
    <mergeCell ref="H34:H34"/>
    <mergeCell ref="I34:I34"/>
    <mergeCell ref="J34:J34"/>
    <mergeCell ref="K34:K34"/>
    <mergeCell ref="L34:L34"/>
    <mergeCell ref="M34:M34"/>
    <mergeCell ref="N34:N34"/>
    <mergeCell ref="O34:O34"/>
    <mergeCell ref="P34:P34"/>
    <mergeCell ref="Q34:Q34"/>
    <mergeCell ref="R34:R34"/>
    <mergeCell ref="S34:S34"/>
    <mergeCell ref="T34:T34"/>
    <mergeCell ref="A35:A35"/>
    <mergeCell ref="B35:B35"/>
    <mergeCell ref="C35:C35"/>
    <mergeCell ref="D35:D35"/>
    <mergeCell ref="E35:E35"/>
    <mergeCell ref="F35:F35"/>
    <mergeCell ref="G35:G35"/>
    <mergeCell ref="H35:H35"/>
    <mergeCell ref="I35:I35"/>
    <mergeCell ref="J35:J35"/>
    <mergeCell ref="K35:K35"/>
    <mergeCell ref="L35:L35"/>
    <mergeCell ref="M35:M35"/>
    <mergeCell ref="N35:N35"/>
    <mergeCell ref="O35:O35"/>
    <mergeCell ref="P35:P35"/>
    <mergeCell ref="Q35:Q35"/>
    <mergeCell ref="R35:R35"/>
    <mergeCell ref="S35:S35"/>
    <mergeCell ref="T35:T35"/>
    <mergeCell ref="A36:A36"/>
    <mergeCell ref="B36:B36"/>
    <mergeCell ref="C36:C36"/>
    <mergeCell ref="D36:D36"/>
    <mergeCell ref="E36:E36"/>
    <mergeCell ref="F36:F36"/>
    <mergeCell ref="G36:G36"/>
    <mergeCell ref="H36:H36"/>
    <mergeCell ref="I36:I36"/>
    <mergeCell ref="J36:J36"/>
    <mergeCell ref="K36:K36"/>
    <mergeCell ref="L36:L36"/>
    <mergeCell ref="M36:M36"/>
    <mergeCell ref="N36:N36"/>
    <mergeCell ref="O36:O36"/>
    <mergeCell ref="P36:P36"/>
    <mergeCell ref="Q36:Q36"/>
    <mergeCell ref="R36:R36"/>
    <mergeCell ref="S36:S36"/>
    <mergeCell ref="T36:T36"/>
    <mergeCell ref="A37:A37"/>
    <mergeCell ref="B37:B37"/>
    <mergeCell ref="C37:C37"/>
    <mergeCell ref="D37:D37"/>
    <mergeCell ref="E37:E37"/>
    <mergeCell ref="F37:F37"/>
    <mergeCell ref="G37:G37"/>
    <mergeCell ref="H37:H37"/>
    <mergeCell ref="I37:I37"/>
    <mergeCell ref="J37:J37"/>
    <mergeCell ref="K37:K37"/>
    <mergeCell ref="L37:L37"/>
    <mergeCell ref="M37:M37"/>
    <mergeCell ref="N37:N37"/>
    <mergeCell ref="O37:O37"/>
    <mergeCell ref="P37:P37"/>
    <mergeCell ref="Q37:Q37"/>
    <mergeCell ref="R37:R37"/>
    <mergeCell ref="S37:S37"/>
    <mergeCell ref="T37:T37"/>
    <mergeCell ref="A38:A38"/>
    <mergeCell ref="B38:B38"/>
    <mergeCell ref="C38:C38"/>
    <mergeCell ref="D38:D38"/>
    <mergeCell ref="E38:E38"/>
    <mergeCell ref="F38:F38"/>
    <mergeCell ref="G38:G38"/>
    <mergeCell ref="H38:H38"/>
    <mergeCell ref="I38:I38"/>
    <mergeCell ref="J38:J38"/>
    <mergeCell ref="K38:K38"/>
    <mergeCell ref="L38:L38"/>
    <mergeCell ref="M38:M38"/>
    <mergeCell ref="N38:N38"/>
    <mergeCell ref="O38:O38"/>
    <mergeCell ref="P38:P38"/>
    <mergeCell ref="Q38:Q38"/>
    <mergeCell ref="R38:R38"/>
    <mergeCell ref="S38:S38"/>
    <mergeCell ref="T38:T38"/>
    <mergeCell ref="A39:A39"/>
    <mergeCell ref="B39:B39"/>
    <mergeCell ref="C39:C39"/>
    <mergeCell ref="D39:D39"/>
    <mergeCell ref="E39:E39"/>
    <mergeCell ref="F39:F39"/>
    <mergeCell ref="G39:G39"/>
    <mergeCell ref="H39:H39"/>
    <mergeCell ref="I39:I39"/>
    <mergeCell ref="J39:J39"/>
    <mergeCell ref="K39:K39"/>
    <mergeCell ref="L39:L39"/>
    <mergeCell ref="M39:M39"/>
    <mergeCell ref="N39:N39"/>
    <mergeCell ref="O39:O39"/>
    <mergeCell ref="P39:P39"/>
    <mergeCell ref="Q39:Q39"/>
    <mergeCell ref="R39:R39"/>
    <mergeCell ref="S39:S39"/>
    <mergeCell ref="T39:T39"/>
    <mergeCell ref="A40:A40"/>
    <mergeCell ref="B40:B40"/>
    <mergeCell ref="C40:C40"/>
    <mergeCell ref="D40:D40"/>
    <mergeCell ref="E40:E40"/>
    <mergeCell ref="F40:F40"/>
    <mergeCell ref="G40:G40"/>
    <mergeCell ref="H40:H40"/>
    <mergeCell ref="I40:I40"/>
    <mergeCell ref="J40:J40"/>
    <mergeCell ref="K40:K40"/>
    <mergeCell ref="L40:L40"/>
    <mergeCell ref="M40:M40"/>
    <mergeCell ref="N40:N40"/>
    <mergeCell ref="O40:O40"/>
    <mergeCell ref="P40:P40"/>
    <mergeCell ref="Q40:Q40"/>
    <mergeCell ref="R40:R40"/>
    <mergeCell ref="S40:S40"/>
    <mergeCell ref="T40:T40"/>
    <mergeCell ref="A41:A41"/>
    <mergeCell ref="B41:B41"/>
    <mergeCell ref="C41:C41"/>
    <mergeCell ref="D41:D41"/>
    <mergeCell ref="E41:E41"/>
    <mergeCell ref="F41:F41"/>
    <mergeCell ref="G41:G41"/>
    <mergeCell ref="H41:H41"/>
    <mergeCell ref="I41:I41"/>
    <mergeCell ref="J41:J41"/>
    <mergeCell ref="K41:K41"/>
    <mergeCell ref="L41:L41"/>
    <mergeCell ref="M41:M41"/>
    <mergeCell ref="N41:N41"/>
    <mergeCell ref="O41:O41"/>
    <mergeCell ref="P41:P41"/>
    <mergeCell ref="Q41:Q41"/>
    <mergeCell ref="R41:R41"/>
    <mergeCell ref="S41:S41"/>
    <mergeCell ref="T41:T41"/>
    <mergeCell ref="A42:A42"/>
    <mergeCell ref="B42:B42"/>
    <mergeCell ref="C42:C42"/>
    <mergeCell ref="D42:D42"/>
    <mergeCell ref="E42:E42"/>
    <mergeCell ref="F42:F42"/>
    <mergeCell ref="G42:G42"/>
    <mergeCell ref="H42:H42"/>
    <mergeCell ref="I42:I42"/>
    <mergeCell ref="J42:J42"/>
    <mergeCell ref="K42:K42"/>
    <mergeCell ref="L42:L42"/>
    <mergeCell ref="M42:M42"/>
    <mergeCell ref="N42:N42"/>
    <mergeCell ref="O42:O42"/>
    <mergeCell ref="P42:P42"/>
    <mergeCell ref="Q42:Q42"/>
    <mergeCell ref="R42:R42"/>
    <mergeCell ref="S42:S42"/>
    <mergeCell ref="T42:T42"/>
    <mergeCell ref="A43:A43"/>
    <mergeCell ref="B43:B43"/>
    <mergeCell ref="C43:C43"/>
    <mergeCell ref="D43:D43"/>
    <mergeCell ref="E43:E43"/>
    <mergeCell ref="F43:F43"/>
    <mergeCell ref="G43:G43"/>
    <mergeCell ref="H43:H43"/>
    <mergeCell ref="I43:I43"/>
    <mergeCell ref="J43:J43"/>
    <mergeCell ref="K43:K43"/>
    <mergeCell ref="L43:L43"/>
    <mergeCell ref="M43:M43"/>
    <mergeCell ref="N43:N43"/>
    <mergeCell ref="O43:O43"/>
    <mergeCell ref="P43:P43"/>
    <mergeCell ref="Q43:Q43"/>
    <mergeCell ref="R43:R43"/>
    <mergeCell ref="S43:S43"/>
    <mergeCell ref="T43:T43"/>
    <mergeCell ref="A44:A44"/>
    <mergeCell ref="B44:B44"/>
    <mergeCell ref="C44:C44"/>
    <mergeCell ref="D44:D44"/>
    <mergeCell ref="E44:E44"/>
    <mergeCell ref="F44:F44"/>
    <mergeCell ref="G44:G44"/>
    <mergeCell ref="H44:H44"/>
    <mergeCell ref="I44:I44"/>
    <mergeCell ref="J44:J44"/>
    <mergeCell ref="K44:K44"/>
    <mergeCell ref="L44:L44"/>
    <mergeCell ref="M44:M44"/>
    <mergeCell ref="N44:N44"/>
    <mergeCell ref="O44:O44"/>
    <mergeCell ref="P44:P44"/>
    <mergeCell ref="Q44:Q44"/>
    <mergeCell ref="R44:R44"/>
    <mergeCell ref="S44:S44"/>
    <mergeCell ref="T44:T44"/>
    <mergeCell ref="A45:A45"/>
    <mergeCell ref="B45:B45"/>
    <mergeCell ref="C45:C45"/>
    <mergeCell ref="D45:D45"/>
    <mergeCell ref="E45:E45"/>
    <mergeCell ref="F45:F45"/>
    <mergeCell ref="G45:G45"/>
    <mergeCell ref="H45:H45"/>
    <mergeCell ref="I45:I45"/>
    <mergeCell ref="J45:J45"/>
    <mergeCell ref="K45:K45"/>
    <mergeCell ref="L45:L45"/>
    <mergeCell ref="M45:M45"/>
    <mergeCell ref="N45:N45"/>
    <mergeCell ref="O45:O45"/>
    <mergeCell ref="P45:P45"/>
    <mergeCell ref="Q45:Q45"/>
    <mergeCell ref="R45:R45"/>
    <mergeCell ref="S45:S45"/>
    <mergeCell ref="T45:T45"/>
    <mergeCell ref="A46:A46"/>
    <mergeCell ref="B46:B46"/>
    <mergeCell ref="C46:C46"/>
    <mergeCell ref="D46:D46"/>
    <mergeCell ref="E46:E46"/>
    <mergeCell ref="F46:F46"/>
    <mergeCell ref="G46:G46"/>
    <mergeCell ref="H46:H46"/>
    <mergeCell ref="I46:I46"/>
    <mergeCell ref="J46:J46"/>
    <mergeCell ref="K46:K46"/>
    <mergeCell ref="L46:L46"/>
    <mergeCell ref="M46:M46"/>
    <mergeCell ref="N46:N46"/>
    <mergeCell ref="O46:O46"/>
    <mergeCell ref="P46:P46"/>
    <mergeCell ref="Q46:Q46"/>
    <mergeCell ref="R46:R46"/>
    <mergeCell ref="S46:S46"/>
    <mergeCell ref="T46:T46"/>
    <mergeCell ref="A47:A47"/>
    <mergeCell ref="B47:B47"/>
    <mergeCell ref="C47:C47"/>
    <mergeCell ref="D47:D47"/>
    <mergeCell ref="E47:E47"/>
    <mergeCell ref="F47:F47"/>
    <mergeCell ref="G47:G47"/>
    <mergeCell ref="H47:H47"/>
    <mergeCell ref="I47:I47"/>
    <mergeCell ref="J47:J47"/>
    <mergeCell ref="K47:K47"/>
    <mergeCell ref="L47:L47"/>
    <mergeCell ref="M47:M47"/>
    <mergeCell ref="N47:N47"/>
    <mergeCell ref="O47:O47"/>
    <mergeCell ref="P47:P47"/>
    <mergeCell ref="Q47:Q47"/>
    <mergeCell ref="R47:R47"/>
    <mergeCell ref="S47:S47"/>
    <mergeCell ref="T47:T47"/>
    <mergeCell ref="A48:A48"/>
    <mergeCell ref="B48:B48"/>
    <mergeCell ref="C48:C48"/>
    <mergeCell ref="D48:D48"/>
    <mergeCell ref="E48:E48"/>
    <mergeCell ref="F48:F48"/>
    <mergeCell ref="G48:G48"/>
    <mergeCell ref="H48:H48"/>
    <mergeCell ref="I48:I48"/>
    <mergeCell ref="J48:J48"/>
    <mergeCell ref="K48:K48"/>
    <mergeCell ref="L48:L48"/>
    <mergeCell ref="M48:M48"/>
    <mergeCell ref="N48:N48"/>
    <mergeCell ref="O48:O48"/>
    <mergeCell ref="P48:P48"/>
    <mergeCell ref="Q48:Q48"/>
    <mergeCell ref="R48:R48"/>
    <mergeCell ref="S48:S48"/>
    <mergeCell ref="T48:T48"/>
    <mergeCell ref="A49:A49"/>
    <mergeCell ref="B49:B49"/>
    <mergeCell ref="C49:C49"/>
    <mergeCell ref="D49:D49"/>
    <mergeCell ref="E49:E49"/>
    <mergeCell ref="F49:F49"/>
    <mergeCell ref="G49:G49"/>
    <mergeCell ref="H49:H49"/>
    <mergeCell ref="I49:I49"/>
    <mergeCell ref="J49:J49"/>
    <mergeCell ref="K49:K49"/>
    <mergeCell ref="L49:L49"/>
    <mergeCell ref="M49:M49"/>
    <mergeCell ref="N49:N49"/>
    <mergeCell ref="O49:O49"/>
    <mergeCell ref="P49:P49"/>
    <mergeCell ref="Q49:Q49"/>
    <mergeCell ref="R49:R49"/>
    <mergeCell ref="S49:S49"/>
    <mergeCell ref="T49:T49"/>
    <mergeCell ref="A50:A50"/>
    <mergeCell ref="B50:B50"/>
    <mergeCell ref="C50:C50"/>
    <mergeCell ref="D50:D50"/>
    <mergeCell ref="E50:E50"/>
    <mergeCell ref="F50:F50"/>
    <mergeCell ref="G50:G50"/>
    <mergeCell ref="H50:H50"/>
    <mergeCell ref="I50:I50"/>
    <mergeCell ref="J50:J50"/>
    <mergeCell ref="K50:K50"/>
    <mergeCell ref="L50:L50"/>
    <mergeCell ref="M50:M50"/>
    <mergeCell ref="N50:N50"/>
    <mergeCell ref="O50:O50"/>
    <mergeCell ref="P50:P50"/>
    <mergeCell ref="Q50:Q50"/>
    <mergeCell ref="R50:R50"/>
    <mergeCell ref="S50:S50"/>
    <mergeCell ref="T50:T50"/>
    <mergeCell ref="A51:A51"/>
    <mergeCell ref="B51:B51"/>
    <mergeCell ref="C51:C51"/>
    <mergeCell ref="D51:D51"/>
    <mergeCell ref="E51:E51"/>
    <mergeCell ref="F51:F51"/>
    <mergeCell ref="G51:G51"/>
    <mergeCell ref="H51:H51"/>
    <mergeCell ref="I51:I51"/>
    <mergeCell ref="J51:J51"/>
    <mergeCell ref="K51:K51"/>
    <mergeCell ref="L51:L51"/>
    <mergeCell ref="M51:M51"/>
    <mergeCell ref="N51:N51"/>
    <mergeCell ref="O51:O51"/>
    <mergeCell ref="P51:P51"/>
    <mergeCell ref="Q51:Q51"/>
    <mergeCell ref="R51:R51"/>
    <mergeCell ref="S51:S51"/>
    <mergeCell ref="T51:T51"/>
    <mergeCell ref="A52:A52"/>
    <mergeCell ref="B52:B52"/>
    <mergeCell ref="C52:C52"/>
    <mergeCell ref="D52:D52"/>
    <mergeCell ref="E52:E52"/>
    <mergeCell ref="F52:F52"/>
    <mergeCell ref="G52:G52"/>
    <mergeCell ref="H52:H52"/>
    <mergeCell ref="I52:I52"/>
    <mergeCell ref="J52:J52"/>
    <mergeCell ref="K52:K52"/>
    <mergeCell ref="L52:L52"/>
    <mergeCell ref="M52:M52"/>
    <mergeCell ref="N52:N52"/>
    <mergeCell ref="O52:O52"/>
    <mergeCell ref="P52:P52"/>
    <mergeCell ref="Q52:Q52"/>
    <mergeCell ref="R52:R52"/>
    <mergeCell ref="S52:S52"/>
    <mergeCell ref="T52:T52"/>
    <mergeCell ref="A53:A53"/>
    <mergeCell ref="B53:B53"/>
    <mergeCell ref="C53:C53"/>
    <mergeCell ref="D53:D53"/>
    <mergeCell ref="E53:E53"/>
    <mergeCell ref="F53:F53"/>
    <mergeCell ref="G53:G53"/>
    <mergeCell ref="H53:H53"/>
    <mergeCell ref="I53:I53"/>
    <mergeCell ref="J53:J53"/>
    <mergeCell ref="K53:K53"/>
    <mergeCell ref="L53:L53"/>
    <mergeCell ref="M53:M53"/>
    <mergeCell ref="N53:N53"/>
    <mergeCell ref="O53:O53"/>
    <mergeCell ref="P53:P53"/>
    <mergeCell ref="Q53:Q53"/>
    <mergeCell ref="R53:R53"/>
    <mergeCell ref="S53:S53"/>
    <mergeCell ref="T53:T53"/>
    <mergeCell ref="A54:A54"/>
    <mergeCell ref="B54:B54"/>
    <mergeCell ref="C54:C54"/>
    <mergeCell ref="D54:D54"/>
    <mergeCell ref="E54:E54"/>
    <mergeCell ref="F54:F54"/>
    <mergeCell ref="G54:G54"/>
    <mergeCell ref="H54:H54"/>
    <mergeCell ref="I54:I54"/>
    <mergeCell ref="J54:J54"/>
    <mergeCell ref="K54:K54"/>
    <mergeCell ref="L54:L54"/>
    <mergeCell ref="M54:M54"/>
    <mergeCell ref="N54:N54"/>
    <mergeCell ref="O54:O54"/>
    <mergeCell ref="P54:P54"/>
    <mergeCell ref="Q54:Q54"/>
    <mergeCell ref="R54:R54"/>
    <mergeCell ref="S54:S54"/>
    <mergeCell ref="T54:T54"/>
    <mergeCell ref="A55:A55"/>
    <mergeCell ref="B55:B55"/>
    <mergeCell ref="C55:C55"/>
    <mergeCell ref="D55:D55"/>
    <mergeCell ref="E55:E55"/>
    <mergeCell ref="F55:F55"/>
    <mergeCell ref="G55:G55"/>
    <mergeCell ref="H55:H55"/>
    <mergeCell ref="I55:I55"/>
    <mergeCell ref="J55:J55"/>
    <mergeCell ref="K55:K55"/>
    <mergeCell ref="L55:L55"/>
    <mergeCell ref="M55:M55"/>
    <mergeCell ref="N55:N55"/>
    <mergeCell ref="O55:O55"/>
    <mergeCell ref="P55:P55"/>
    <mergeCell ref="Q55:Q55"/>
    <mergeCell ref="R55:R55"/>
    <mergeCell ref="S55:S55"/>
    <mergeCell ref="T55:T55"/>
    <mergeCell ref="A56:A56"/>
    <mergeCell ref="B56:B56"/>
    <mergeCell ref="C56:C56"/>
    <mergeCell ref="D56:D56"/>
    <mergeCell ref="E56:E56"/>
    <mergeCell ref="F56:F56"/>
    <mergeCell ref="G56:G56"/>
    <mergeCell ref="H56:H56"/>
    <mergeCell ref="I56:I56"/>
    <mergeCell ref="J56:J56"/>
    <mergeCell ref="K56:K56"/>
    <mergeCell ref="L56:L56"/>
    <mergeCell ref="M56:M56"/>
    <mergeCell ref="N56:N56"/>
    <mergeCell ref="O56:O56"/>
    <mergeCell ref="P56:P56"/>
    <mergeCell ref="Q56:Q56"/>
    <mergeCell ref="R56:R56"/>
    <mergeCell ref="S56:S56"/>
    <mergeCell ref="T56:T56"/>
    <mergeCell ref="A57:A57"/>
    <mergeCell ref="B57:B57"/>
    <mergeCell ref="C57:C57"/>
    <mergeCell ref="D57:D57"/>
    <mergeCell ref="E57:E57"/>
    <mergeCell ref="F57:F57"/>
    <mergeCell ref="G57:G57"/>
    <mergeCell ref="H57:H57"/>
    <mergeCell ref="I57:I57"/>
    <mergeCell ref="J57:J57"/>
    <mergeCell ref="K57:K57"/>
    <mergeCell ref="L57:L57"/>
    <mergeCell ref="M57:M57"/>
    <mergeCell ref="N57:N57"/>
    <mergeCell ref="O57:O57"/>
    <mergeCell ref="P57:P57"/>
    <mergeCell ref="Q57:Q57"/>
    <mergeCell ref="R57:R57"/>
    <mergeCell ref="S57:S57"/>
    <mergeCell ref="T57:T57"/>
    <mergeCell ref="A58:A58"/>
    <mergeCell ref="B58:B58"/>
    <mergeCell ref="C58:C58"/>
    <mergeCell ref="D58:D58"/>
    <mergeCell ref="E58:E58"/>
    <mergeCell ref="F58:F58"/>
    <mergeCell ref="G58:G58"/>
    <mergeCell ref="H58:H58"/>
    <mergeCell ref="I58:I58"/>
    <mergeCell ref="J58:J58"/>
    <mergeCell ref="K58:K58"/>
    <mergeCell ref="L58:L58"/>
    <mergeCell ref="M58:M58"/>
    <mergeCell ref="N58:N58"/>
    <mergeCell ref="O58:O58"/>
    <mergeCell ref="P58:P58"/>
    <mergeCell ref="Q58:Q58"/>
    <mergeCell ref="R58:R58"/>
    <mergeCell ref="S58:S58"/>
    <mergeCell ref="T58:T58"/>
    <mergeCell ref="A59:A59"/>
    <mergeCell ref="B59:B59"/>
    <mergeCell ref="C59:C59"/>
    <mergeCell ref="D59:D59"/>
    <mergeCell ref="E59:E59"/>
    <mergeCell ref="F59:F59"/>
    <mergeCell ref="G59:G59"/>
    <mergeCell ref="H59:H59"/>
    <mergeCell ref="I59:I59"/>
    <mergeCell ref="J59:J59"/>
    <mergeCell ref="K59:K59"/>
    <mergeCell ref="L59:L59"/>
    <mergeCell ref="M59:M59"/>
    <mergeCell ref="N59:N59"/>
    <mergeCell ref="O59:O59"/>
    <mergeCell ref="P59:P59"/>
    <mergeCell ref="Q59:Q59"/>
    <mergeCell ref="R59:R59"/>
    <mergeCell ref="S59:S59"/>
    <mergeCell ref="T59:T59"/>
    <mergeCell ref="A60:A60"/>
    <mergeCell ref="B60:B60"/>
    <mergeCell ref="C60:C60"/>
    <mergeCell ref="D60:D60"/>
    <mergeCell ref="E60:E60"/>
    <mergeCell ref="F60:F60"/>
    <mergeCell ref="G60:G60"/>
    <mergeCell ref="H60:H60"/>
    <mergeCell ref="I60:I60"/>
    <mergeCell ref="J60:J60"/>
    <mergeCell ref="K60:K60"/>
    <mergeCell ref="L60:L60"/>
    <mergeCell ref="M60:M60"/>
    <mergeCell ref="N60:N60"/>
    <mergeCell ref="O60:O60"/>
    <mergeCell ref="P60:P60"/>
    <mergeCell ref="Q60:Q60"/>
    <mergeCell ref="R60:R60"/>
    <mergeCell ref="S60:S60"/>
    <mergeCell ref="T60:T60"/>
    <mergeCell ref="A61:A61"/>
    <mergeCell ref="B61:B61"/>
    <mergeCell ref="C61:C61"/>
    <mergeCell ref="D61:D61"/>
    <mergeCell ref="E61:E61"/>
    <mergeCell ref="F61:F61"/>
    <mergeCell ref="G61:G61"/>
    <mergeCell ref="H61:H61"/>
    <mergeCell ref="I61:I61"/>
    <mergeCell ref="J61:J61"/>
    <mergeCell ref="K61:K61"/>
    <mergeCell ref="L61:L61"/>
    <mergeCell ref="M61:M61"/>
    <mergeCell ref="N61:N61"/>
    <mergeCell ref="O61:O61"/>
    <mergeCell ref="P61:P61"/>
    <mergeCell ref="Q61:Q61"/>
    <mergeCell ref="R61:R61"/>
    <mergeCell ref="S61:S61"/>
    <mergeCell ref="T61:T61"/>
    <mergeCell ref="A62:A62"/>
    <mergeCell ref="B62:B62"/>
    <mergeCell ref="C62:C62"/>
    <mergeCell ref="D62:D62"/>
    <mergeCell ref="E62:E62"/>
    <mergeCell ref="F62:F62"/>
    <mergeCell ref="G62:G62"/>
    <mergeCell ref="H62:H62"/>
    <mergeCell ref="I62:I62"/>
    <mergeCell ref="J62:J62"/>
    <mergeCell ref="K62:K62"/>
    <mergeCell ref="L62:L62"/>
    <mergeCell ref="M62:M62"/>
    <mergeCell ref="N62:N62"/>
    <mergeCell ref="O62:O62"/>
    <mergeCell ref="P62:P62"/>
    <mergeCell ref="Q62:Q62"/>
    <mergeCell ref="R62:R62"/>
    <mergeCell ref="S62:S62"/>
    <mergeCell ref="T62:T62"/>
    <mergeCell ref="A63:A63"/>
    <mergeCell ref="B63:B63"/>
    <mergeCell ref="C63:C63"/>
    <mergeCell ref="D63:D63"/>
    <mergeCell ref="E63:E63"/>
    <mergeCell ref="F63:F63"/>
    <mergeCell ref="G63:G63"/>
    <mergeCell ref="H63:H63"/>
    <mergeCell ref="I63:I63"/>
    <mergeCell ref="J63:J63"/>
    <mergeCell ref="K63:K63"/>
    <mergeCell ref="L63:L63"/>
    <mergeCell ref="M63:M63"/>
    <mergeCell ref="N63:N63"/>
    <mergeCell ref="O63:O63"/>
    <mergeCell ref="P63:P63"/>
    <mergeCell ref="Q63:Q63"/>
    <mergeCell ref="R63:R63"/>
    <mergeCell ref="S63:S63"/>
    <mergeCell ref="T63:T63"/>
    <mergeCell ref="A64:A64"/>
    <mergeCell ref="B64:B64"/>
    <mergeCell ref="C64:C64"/>
    <mergeCell ref="D64:D64"/>
    <mergeCell ref="E64:E64"/>
    <mergeCell ref="F64:F64"/>
    <mergeCell ref="G64:G64"/>
    <mergeCell ref="H64:H64"/>
    <mergeCell ref="I64:I64"/>
    <mergeCell ref="J64:J64"/>
    <mergeCell ref="K64:K64"/>
    <mergeCell ref="L64:L64"/>
    <mergeCell ref="M64:M64"/>
    <mergeCell ref="N64:N64"/>
    <mergeCell ref="O64:O64"/>
    <mergeCell ref="P64:P64"/>
    <mergeCell ref="Q64:Q64"/>
    <mergeCell ref="R64:R64"/>
    <mergeCell ref="S64:S64"/>
    <mergeCell ref="T64:T64"/>
    <mergeCell ref="A65:A65"/>
    <mergeCell ref="B65:B65"/>
    <mergeCell ref="C65:C65"/>
    <mergeCell ref="D65:D65"/>
    <mergeCell ref="E65:E65"/>
    <mergeCell ref="F65:F65"/>
    <mergeCell ref="G65:G65"/>
    <mergeCell ref="H65:H65"/>
    <mergeCell ref="I65:I65"/>
    <mergeCell ref="J65:J65"/>
    <mergeCell ref="K65:K65"/>
    <mergeCell ref="L65:L65"/>
    <mergeCell ref="M65:M65"/>
    <mergeCell ref="N65:N65"/>
    <mergeCell ref="O65:O65"/>
    <mergeCell ref="P65:P65"/>
    <mergeCell ref="Q65:Q65"/>
    <mergeCell ref="R65:R65"/>
    <mergeCell ref="S65:S65"/>
    <mergeCell ref="T65:T65"/>
    <mergeCell ref="A66:A66"/>
    <mergeCell ref="B66:B66"/>
    <mergeCell ref="C66:C66"/>
    <mergeCell ref="D66:D66"/>
    <mergeCell ref="E66:E66"/>
    <mergeCell ref="F66:F66"/>
    <mergeCell ref="G66:G66"/>
    <mergeCell ref="H66:H66"/>
    <mergeCell ref="I66:I66"/>
    <mergeCell ref="J66:J66"/>
    <mergeCell ref="K66:K66"/>
    <mergeCell ref="L66:L66"/>
    <mergeCell ref="M66:M66"/>
    <mergeCell ref="N66:N66"/>
    <mergeCell ref="O66:O66"/>
    <mergeCell ref="P66:P66"/>
    <mergeCell ref="Q66:Q66"/>
    <mergeCell ref="R66:R66"/>
    <mergeCell ref="S66:S66"/>
    <mergeCell ref="T66:T66"/>
    <mergeCell ref="A67:A67"/>
    <mergeCell ref="B67:B67"/>
    <mergeCell ref="C67:C67"/>
    <mergeCell ref="D67:D67"/>
    <mergeCell ref="E67:E67"/>
    <mergeCell ref="F67:F67"/>
    <mergeCell ref="G67:G67"/>
    <mergeCell ref="H67:H67"/>
    <mergeCell ref="I67:I67"/>
    <mergeCell ref="J67:J67"/>
    <mergeCell ref="K67:K67"/>
    <mergeCell ref="L67:L67"/>
    <mergeCell ref="M67:M67"/>
    <mergeCell ref="N67:N67"/>
    <mergeCell ref="O67:O67"/>
    <mergeCell ref="P67:P67"/>
    <mergeCell ref="Q67:Q67"/>
    <mergeCell ref="R67:R67"/>
    <mergeCell ref="S67:S67"/>
    <mergeCell ref="T67:T67"/>
    <mergeCell ref="A68:A68"/>
    <mergeCell ref="B68:B68"/>
    <mergeCell ref="C68:C68"/>
    <mergeCell ref="D68:D68"/>
    <mergeCell ref="E68:E68"/>
    <mergeCell ref="F68:F68"/>
    <mergeCell ref="G68:G68"/>
    <mergeCell ref="H68:H68"/>
    <mergeCell ref="I68:I68"/>
    <mergeCell ref="J68:J68"/>
    <mergeCell ref="K68:K68"/>
    <mergeCell ref="L68:L68"/>
    <mergeCell ref="M68:M68"/>
    <mergeCell ref="N68:N68"/>
    <mergeCell ref="O68:O68"/>
    <mergeCell ref="P68:P68"/>
    <mergeCell ref="Q68:Q68"/>
    <mergeCell ref="R68:R68"/>
    <mergeCell ref="S68:S68"/>
    <mergeCell ref="T68:T68"/>
    <mergeCell ref="A69:A69"/>
    <mergeCell ref="B69:B69"/>
    <mergeCell ref="C69:C69"/>
    <mergeCell ref="D69:D69"/>
    <mergeCell ref="E69:E69"/>
    <mergeCell ref="F69:F69"/>
    <mergeCell ref="G69:G69"/>
    <mergeCell ref="H69:H69"/>
    <mergeCell ref="I69:I69"/>
    <mergeCell ref="J69:J69"/>
    <mergeCell ref="K69:K69"/>
    <mergeCell ref="L69:L69"/>
    <mergeCell ref="M69:M69"/>
    <mergeCell ref="N69:N69"/>
    <mergeCell ref="O69:O69"/>
    <mergeCell ref="P69:P69"/>
    <mergeCell ref="Q69:Q69"/>
    <mergeCell ref="R69:R69"/>
    <mergeCell ref="S69:S69"/>
    <mergeCell ref="T69:T69"/>
    <mergeCell ref="A70:A70"/>
    <mergeCell ref="B70:B70"/>
    <mergeCell ref="C70:C70"/>
    <mergeCell ref="D70:D70"/>
    <mergeCell ref="E70:E70"/>
    <mergeCell ref="F70:F70"/>
    <mergeCell ref="G70:G70"/>
    <mergeCell ref="H70:H70"/>
    <mergeCell ref="I70:I70"/>
    <mergeCell ref="J70:J70"/>
    <mergeCell ref="K70:K70"/>
    <mergeCell ref="L70:L70"/>
    <mergeCell ref="M70:M70"/>
    <mergeCell ref="N70:N70"/>
    <mergeCell ref="O70:O70"/>
    <mergeCell ref="P70:P70"/>
    <mergeCell ref="Q70:Q70"/>
    <mergeCell ref="R70:R70"/>
    <mergeCell ref="S70:S70"/>
    <mergeCell ref="T70:T70"/>
    <mergeCell ref="A71:A71"/>
    <mergeCell ref="B71:B71"/>
    <mergeCell ref="C71:C71"/>
    <mergeCell ref="D71:D71"/>
    <mergeCell ref="E71:E71"/>
    <mergeCell ref="F71:F71"/>
    <mergeCell ref="G71:G71"/>
    <mergeCell ref="H71:H71"/>
    <mergeCell ref="I71:I71"/>
    <mergeCell ref="J71:J71"/>
    <mergeCell ref="K71:K71"/>
    <mergeCell ref="L71:L71"/>
    <mergeCell ref="M71:M71"/>
    <mergeCell ref="N71:N71"/>
    <mergeCell ref="O71:O71"/>
    <mergeCell ref="P71:P71"/>
    <mergeCell ref="Q71:Q71"/>
    <mergeCell ref="R71:R71"/>
    <mergeCell ref="S71:S71"/>
    <mergeCell ref="T71:T71"/>
    <mergeCell ref="A72:A72"/>
    <mergeCell ref="B72:B72"/>
    <mergeCell ref="C72:C72"/>
    <mergeCell ref="D72:D72"/>
    <mergeCell ref="E72:E72"/>
    <mergeCell ref="F72:F72"/>
    <mergeCell ref="G72:G72"/>
    <mergeCell ref="H72:H72"/>
    <mergeCell ref="I72:I72"/>
    <mergeCell ref="J72:J72"/>
    <mergeCell ref="K72:K72"/>
    <mergeCell ref="L72:L72"/>
    <mergeCell ref="M72:M72"/>
    <mergeCell ref="N72:N72"/>
    <mergeCell ref="O72:O72"/>
    <mergeCell ref="P72:P72"/>
    <mergeCell ref="Q72:Q72"/>
    <mergeCell ref="R72:R72"/>
    <mergeCell ref="S72:S72"/>
    <mergeCell ref="T72:T72"/>
    <mergeCell ref="A73:A73"/>
    <mergeCell ref="B73:B73"/>
    <mergeCell ref="C73:C73"/>
    <mergeCell ref="D73:D73"/>
    <mergeCell ref="E73:E73"/>
    <mergeCell ref="F73:F73"/>
    <mergeCell ref="G73:G73"/>
    <mergeCell ref="H73:H73"/>
    <mergeCell ref="I73:I73"/>
    <mergeCell ref="J73:J73"/>
    <mergeCell ref="K73:K73"/>
    <mergeCell ref="L73:L73"/>
    <mergeCell ref="M73:M73"/>
    <mergeCell ref="N73:N73"/>
    <mergeCell ref="O73:O73"/>
    <mergeCell ref="P73:P73"/>
    <mergeCell ref="Q73:Q73"/>
    <mergeCell ref="R73:R73"/>
    <mergeCell ref="S73:S73"/>
    <mergeCell ref="T73:T73"/>
    <mergeCell ref="A74:A74"/>
    <mergeCell ref="B74:B74"/>
    <mergeCell ref="C74:C74"/>
    <mergeCell ref="D74:D74"/>
    <mergeCell ref="E74:E74"/>
    <mergeCell ref="F74:F74"/>
    <mergeCell ref="G74:G74"/>
    <mergeCell ref="H74:H74"/>
    <mergeCell ref="I74:I74"/>
    <mergeCell ref="J74:J74"/>
    <mergeCell ref="K74:K74"/>
    <mergeCell ref="L74:L74"/>
    <mergeCell ref="M74:M74"/>
    <mergeCell ref="N74:N74"/>
    <mergeCell ref="O74:O74"/>
    <mergeCell ref="P74:P74"/>
    <mergeCell ref="Q74:Q74"/>
    <mergeCell ref="R74:R74"/>
    <mergeCell ref="S74:S74"/>
    <mergeCell ref="T74:T74"/>
    <mergeCell ref="A75:A75"/>
    <mergeCell ref="B75:B75"/>
    <mergeCell ref="C75:C75"/>
    <mergeCell ref="D75:D75"/>
    <mergeCell ref="E75:E75"/>
    <mergeCell ref="F75:F75"/>
    <mergeCell ref="G75:G75"/>
    <mergeCell ref="H75:H75"/>
    <mergeCell ref="I75:I75"/>
    <mergeCell ref="J75:J75"/>
    <mergeCell ref="K75:K75"/>
    <mergeCell ref="L75:L75"/>
    <mergeCell ref="M75:M75"/>
    <mergeCell ref="N75:N75"/>
    <mergeCell ref="O75:O75"/>
    <mergeCell ref="P75:P75"/>
    <mergeCell ref="Q75:Q75"/>
    <mergeCell ref="R75:R75"/>
    <mergeCell ref="S75:S75"/>
    <mergeCell ref="T75:T75"/>
    <mergeCell ref="A76:A76"/>
    <mergeCell ref="B76:B76"/>
    <mergeCell ref="C76:C76"/>
    <mergeCell ref="D76:D76"/>
    <mergeCell ref="E76:E76"/>
    <mergeCell ref="F76:F76"/>
    <mergeCell ref="G76:G76"/>
    <mergeCell ref="H76:H76"/>
    <mergeCell ref="I76:I76"/>
    <mergeCell ref="J76:J76"/>
    <mergeCell ref="K76:K76"/>
    <mergeCell ref="L76:L76"/>
    <mergeCell ref="M76:M76"/>
    <mergeCell ref="N76:N76"/>
    <mergeCell ref="O76:O76"/>
    <mergeCell ref="P76:P76"/>
    <mergeCell ref="Q76:Q76"/>
    <mergeCell ref="R76:R76"/>
    <mergeCell ref="S76:S76"/>
    <mergeCell ref="T76:T76"/>
    <mergeCell ref="A77:A77"/>
    <mergeCell ref="B77:B77"/>
    <mergeCell ref="C77:C77"/>
    <mergeCell ref="D77:D77"/>
    <mergeCell ref="E77:E77"/>
    <mergeCell ref="F77:F77"/>
    <mergeCell ref="G77:G77"/>
    <mergeCell ref="H77:H77"/>
    <mergeCell ref="I77:I77"/>
    <mergeCell ref="J77:J77"/>
    <mergeCell ref="K77:K77"/>
    <mergeCell ref="L77:L77"/>
    <mergeCell ref="M77:M77"/>
    <mergeCell ref="N77:N77"/>
    <mergeCell ref="O77:O77"/>
    <mergeCell ref="P77:P77"/>
    <mergeCell ref="Q77:Q77"/>
    <mergeCell ref="R77:R77"/>
    <mergeCell ref="S77:S77"/>
    <mergeCell ref="T77:T77"/>
    <mergeCell ref="A78:A78"/>
    <mergeCell ref="B78:B78"/>
    <mergeCell ref="C78:C78"/>
    <mergeCell ref="D78:D78"/>
    <mergeCell ref="E78:E78"/>
    <mergeCell ref="F78:F78"/>
    <mergeCell ref="G78:G78"/>
    <mergeCell ref="H78:H78"/>
    <mergeCell ref="I78:I78"/>
    <mergeCell ref="J78:J78"/>
    <mergeCell ref="K78:K78"/>
    <mergeCell ref="L78:L78"/>
    <mergeCell ref="M78:M78"/>
    <mergeCell ref="N78:N78"/>
    <mergeCell ref="O78:O78"/>
    <mergeCell ref="P78:P78"/>
    <mergeCell ref="Q78:Q78"/>
    <mergeCell ref="R78:R78"/>
    <mergeCell ref="S78:S78"/>
    <mergeCell ref="T78:T78"/>
    <mergeCell ref="A79:A79"/>
    <mergeCell ref="B79:B79"/>
    <mergeCell ref="C79:C79"/>
    <mergeCell ref="D79:D79"/>
    <mergeCell ref="E79:E79"/>
    <mergeCell ref="F79:F79"/>
    <mergeCell ref="G79:G79"/>
    <mergeCell ref="H79:H79"/>
    <mergeCell ref="I79:I79"/>
    <mergeCell ref="J79:J79"/>
    <mergeCell ref="K79:K79"/>
    <mergeCell ref="L79:L79"/>
    <mergeCell ref="M79:M79"/>
    <mergeCell ref="N79:N79"/>
    <mergeCell ref="O79:O79"/>
    <mergeCell ref="P79:P79"/>
    <mergeCell ref="Q79:Q79"/>
    <mergeCell ref="R79:R79"/>
    <mergeCell ref="S79:S79"/>
    <mergeCell ref="T79:T79"/>
    <mergeCell ref="A80:A80"/>
    <mergeCell ref="B80:B80"/>
    <mergeCell ref="C80:C80"/>
    <mergeCell ref="D80:D80"/>
    <mergeCell ref="E80:E80"/>
    <mergeCell ref="F80:F80"/>
    <mergeCell ref="G80:G80"/>
    <mergeCell ref="H80:H80"/>
    <mergeCell ref="I80:I80"/>
    <mergeCell ref="J80:J80"/>
    <mergeCell ref="K80:K80"/>
    <mergeCell ref="L80:L80"/>
    <mergeCell ref="M80:M80"/>
    <mergeCell ref="N80:N80"/>
    <mergeCell ref="O80:O80"/>
    <mergeCell ref="P80:P80"/>
    <mergeCell ref="Q80:Q80"/>
    <mergeCell ref="R80:R80"/>
    <mergeCell ref="S80:S80"/>
    <mergeCell ref="T80:T80"/>
    <mergeCell ref="A81:A81"/>
    <mergeCell ref="B81:B81"/>
    <mergeCell ref="C81:C81"/>
    <mergeCell ref="D81:D81"/>
    <mergeCell ref="E81:E81"/>
    <mergeCell ref="F81:F81"/>
    <mergeCell ref="G81:G81"/>
    <mergeCell ref="H81:H81"/>
    <mergeCell ref="I81:I81"/>
    <mergeCell ref="J81:J81"/>
    <mergeCell ref="K81:K81"/>
    <mergeCell ref="L81:L81"/>
    <mergeCell ref="M81:M81"/>
    <mergeCell ref="N81:N81"/>
    <mergeCell ref="O81:O81"/>
    <mergeCell ref="P81:P81"/>
    <mergeCell ref="Q81:Q81"/>
    <mergeCell ref="R81:R81"/>
    <mergeCell ref="S81:S81"/>
    <mergeCell ref="T81:T81"/>
    <mergeCell ref="A82:A82"/>
    <mergeCell ref="B82:B82"/>
    <mergeCell ref="C82:C82"/>
    <mergeCell ref="D82:D82"/>
    <mergeCell ref="E82:E82"/>
    <mergeCell ref="F82:F82"/>
    <mergeCell ref="G82:G82"/>
    <mergeCell ref="H82:H82"/>
    <mergeCell ref="I82:I82"/>
    <mergeCell ref="J82:J82"/>
    <mergeCell ref="K82:K82"/>
    <mergeCell ref="L82:L82"/>
    <mergeCell ref="M82:M82"/>
    <mergeCell ref="N82:N82"/>
    <mergeCell ref="O82:O82"/>
    <mergeCell ref="P82:P82"/>
    <mergeCell ref="Q82:Q82"/>
    <mergeCell ref="R82:R82"/>
    <mergeCell ref="S82:S82"/>
    <mergeCell ref="T82:T82"/>
    <mergeCell ref="A83:A83"/>
    <mergeCell ref="B83:B83"/>
    <mergeCell ref="C83:C83"/>
    <mergeCell ref="D83:D83"/>
    <mergeCell ref="E83:E83"/>
    <mergeCell ref="F83:F83"/>
    <mergeCell ref="G83:G83"/>
    <mergeCell ref="H83:H83"/>
    <mergeCell ref="I83:I83"/>
    <mergeCell ref="J83:J83"/>
    <mergeCell ref="K83:K83"/>
    <mergeCell ref="L83:L83"/>
    <mergeCell ref="M83:M83"/>
    <mergeCell ref="N83:N83"/>
    <mergeCell ref="O83:O83"/>
    <mergeCell ref="P83:P83"/>
    <mergeCell ref="Q83:Q83"/>
    <mergeCell ref="R83:R83"/>
    <mergeCell ref="S83:S83"/>
    <mergeCell ref="T83:T83"/>
    <mergeCell ref="A84:A84"/>
    <mergeCell ref="B84:B84"/>
    <mergeCell ref="C84:C84"/>
    <mergeCell ref="D84:D84"/>
    <mergeCell ref="E84:E84"/>
    <mergeCell ref="F84:F84"/>
    <mergeCell ref="G84:G84"/>
    <mergeCell ref="H84:H84"/>
    <mergeCell ref="I84:I84"/>
    <mergeCell ref="J84:J84"/>
    <mergeCell ref="K84:K84"/>
    <mergeCell ref="L84:L84"/>
    <mergeCell ref="M84:M84"/>
    <mergeCell ref="N84:N84"/>
    <mergeCell ref="O84:O84"/>
    <mergeCell ref="P84:P84"/>
    <mergeCell ref="Q84:Q84"/>
    <mergeCell ref="R84:R84"/>
    <mergeCell ref="S84:S84"/>
    <mergeCell ref="T84:T84"/>
    <mergeCell ref="A85:A85"/>
    <mergeCell ref="B85:B85"/>
    <mergeCell ref="C85:C85"/>
    <mergeCell ref="D85:D85"/>
    <mergeCell ref="E85:E85"/>
    <mergeCell ref="F85:F85"/>
    <mergeCell ref="G85:G85"/>
    <mergeCell ref="H85:H85"/>
    <mergeCell ref="I85:I85"/>
    <mergeCell ref="J85:J85"/>
    <mergeCell ref="K85:K85"/>
    <mergeCell ref="L85:L85"/>
    <mergeCell ref="M85:M85"/>
    <mergeCell ref="N85:N85"/>
    <mergeCell ref="O85:O85"/>
    <mergeCell ref="P85:P85"/>
    <mergeCell ref="Q85:Q85"/>
    <mergeCell ref="R85:R85"/>
    <mergeCell ref="S85:S85"/>
    <mergeCell ref="T85:T85"/>
    <mergeCell ref="A86:A86"/>
    <mergeCell ref="B86:B86"/>
    <mergeCell ref="C86:C86"/>
    <mergeCell ref="D86:D86"/>
    <mergeCell ref="E86:E86"/>
    <mergeCell ref="F86:F86"/>
    <mergeCell ref="G86:G86"/>
    <mergeCell ref="H86:H86"/>
    <mergeCell ref="I86:I86"/>
    <mergeCell ref="J86:J86"/>
    <mergeCell ref="K86:K86"/>
    <mergeCell ref="L86:L86"/>
    <mergeCell ref="M86:M86"/>
    <mergeCell ref="N86:N86"/>
    <mergeCell ref="O86:O86"/>
    <mergeCell ref="P86:P86"/>
    <mergeCell ref="Q86:Q86"/>
    <mergeCell ref="R86:R86"/>
    <mergeCell ref="S86:S86"/>
    <mergeCell ref="T86:T86"/>
    <mergeCell ref="A87:A87"/>
    <mergeCell ref="B87:B87"/>
    <mergeCell ref="C87:C87"/>
    <mergeCell ref="D87:D87"/>
    <mergeCell ref="E87:E87"/>
    <mergeCell ref="F87:F87"/>
    <mergeCell ref="G87:G87"/>
    <mergeCell ref="H87:H87"/>
    <mergeCell ref="I87:I87"/>
    <mergeCell ref="J87:J87"/>
    <mergeCell ref="K87:K87"/>
    <mergeCell ref="L87:L87"/>
    <mergeCell ref="M87:M87"/>
    <mergeCell ref="N87:N87"/>
    <mergeCell ref="O87:O87"/>
    <mergeCell ref="P87:P87"/>
    <mergeCell ref="Q87:Q87"/>
    <mergeCell ref="R87:R87"/>
    <mergeCell ref="S87:S87"/>
    <mergeCell ref="T87:T87"/>
    <mergeCell ref="A88:A88"/>
    <mergeCell ref="B88:B88"/>
    <mergeCell ref="C88:C88"/>
    <mergeCell ref="D88:D88"/>
    <mergeCell ref="E88:E88"/>
    <mergeCell ref="F88:F88"/>
    <mergeCell ref="G88:G88"/>
    <mergeCell ref="H88:H88"/>
    <mergeCell ref="I88:I88"/>
    <mergeCell ref="J88:J88"/>
    <mergeCell ref="K88:K88"/>
    <mergeCell ref="L88:L88"/>
    <mergeCell ref="M88:M88"/>
    <mergeCell ref="N88:N88"/>
    <mergeCell ref="O88:O88"/>
    <mergeCell ref="P88:P88"/>
    <mergeCell ref="Q88:Q88"/>
    <mergeCell ref="R88:R88"/>
    <mergeCell ref="S88:S88"/>
    <mergeCell ref="T88:T88"/>
    <mergeCell ref="A89:A89"/>
    <mergeCell ref="B89:B89"/>
    <mergeCell ref="C89:C89"/>
    <mergeCell ref="D89:D89"/>
    <mergeCell ref="E89:E89"/>
    <mergeCell ref="F89:F89"/>
    <mergeCell ref="G89:G89"/>
    <mergeCell ref="H89:H89"/>
    <mergeCell ref="I89:I89"/>
    <mergeCell ref="J89:J89"/>
    <mergeCell ref="K89:K89"/>
    <mergeCell ref="L89:L89"/>
    <mergeCell ref="M89:M89"/>
    <mergeCell ref="N89:N89"/>
    <mergeCell ref="O89:O89"/>
    <mergeCell ref="P89:P89"/>
    <mergeCell ref="Q89:Q89"/>
    <mergeCell ref="R89:R89"/>
    <mergeCell ref="S89:S89"/>
    <mergeCell ref="T89:T89"/>
    <mergeCell ref="A90:A90"/>
    <mergeCell ref="B90:B90"/>
    <mergeCell ref="C90:C90"/>
    <mergeCell ref="D90:D90"/>
    <mergeCell ref="E90:E90"/>
    <mergeCell ref="F90:F90"/>
    <mergeCell ref="G90:G90"/>
    <mergeCell ref="H90:H90"/>
    <mergeCell ref="I90:I90"/>
    <mergeCell ref="J90:J90"/>
    <mergeCell ref="K90:K90"/>
    <mergeCell ref="L90:L90"/>
    <mergeCell ref="M90:M90"/>
    <mergeCell ref="N90:N90"/>
    <mergeCell ref="O90:O90"/>
    <mergeCell ref="P90:P90"/>
    <mergeCell ref="Q90:Q90"/>
    <mergeCell ref="R90:R90"/>
    <mergeCell ref="S90:S90"/>
    <mergeCell ref="T90:T90"/>
    <mergeCell ref="A91:A91"/>
    <mergeCell ref="B91:B91"/>
    <mergeCell ref="C91:C91"/>
    <mergeCell ref="D91:D91"/>
    <mergeCell ref="E91:E91"/>
    <mergeCell ref="F91:F91"/>
    <mergeCell ref="G91:G91"/>
    <mergeCell ref="H91:H91"/>
    <mergeCell ref="I91:I91"/>
    <mergeCell ref="J91:J91"/>
    <mergeCell ref="K91:K91"/>
    <mergeCell ref="L91:L91"/>
    <mergeCell ref="M91:M91"/>
    <mergeCell ref="N91:N91"/>
    <mergeCell ref="O91:O91"/>
    <mergeCell ref="P91:P91"/>
    <mergeCell ref="Q91:Q91"/>
    <mergeCell ref="R91:R91"/>
    <mergeCell ref="S91:S91"/>
    <mergeCell ref="T91:T91"/>
    <mergeCell ref="A92:A92"/>
    <mergeCell ref="B92:B92"/>
    <mergeCell ref="C92:C92"/>
    <mergeCell ref="D92:D92"/>
    <mergeCell ref="E92:E92"/>
    <mergeCell ref="F92:F92"/>
    <mergeCell ref="G92:G92"/>
    <mergeCell ref="H92:H92"/>
    <mergeCell ref="I92:I92"/>
    <mergeCell ref="J92:J92"/>
    <mergeCell ref="K92:K92"/>
    <mergeCell ref="L92:L92"/>
    <mergeCell ref="M92:M92"/>
    <mergeCell ref="N92:N92"/>
    <mergeCell ref="O92:O92"/>
    <mergeCell ref="P92:P92"/>
    <mergeCell ref="Q92:Q92"/>
    <mergeCell ref="R92:R92"/>
    <mergeCell ref="S92:S92"/>
    <mergeCell ref="T92:T92"/>
    <mergeCell ref="A93:A93"/>
    <mergeCell ref="B93:B93"/>
    <mergeCell ref="C93:C93"/>
    <mergeCell ref="D93:D93"/>
    <mergeCell ref="E93:E93"/>
    <mergeCell ref="F93:F93"/>
    <mergeCell ref="G93:G93"/>
    <mergeCell ref="H93:H93"/>
    <mergeCell ref="I93:I93"/>
    <mergeCell ref="J93:J93"/>
    <mergeCell ref="K93:K93"/>
    <mergeCell ref="L93:L93"/>
    <mergeCell ref="M93:M93"/>
    <mergeCell ref="N93:N93"/>
    <mergeCell ref="O93:O93"/>
    <mergeCell ref="P93:P93"/>
    <mergeCell ref="Q93:Q93"/>
    <mergeCell ref="R93:R93"/>
    <mergeCell ref="S93:S93"/>
    <mergeCell ref="T93:T93"/>
    <mergeCell ref="A94:A94"/>
    <mergeCell ref="B94:B94"/>
    <mergeCell ref="C94:C94"/>
    <mergeCell ref="D94:D94"/>
    <mergeCell ref="E94:E94"/>
    <mergeCell ref="F94:F94"/>
    <mergeCell ref="G94:G94"/>
    <mergeCell ref="H94:H94"/>
    <mergeCell ref="I94:I94"/>
    <mergeCell ref="J94:J94"/>
    <mergeCell ref="K94:K94"/>
    <mergeCell ref="L94:L94"/>
    <mergeCell ref="M94:M94"/>
    <mergeCell ref="N94:N94"/>
    <mergeCell ref="O94:O94"/>
    <mergeCell ref="P94:P94"/>
    <mergeCell ref="Q94:Q94"/>
    <mergeCell ref="R94:R94"/>
    <mergeCell ref="S94:S94"/>
    <mergeCell ref="T94:T94"/>
    <mergeCell ref="A95:A95"/>
    <mergeCell ref="B95:B95"/>
    <mergeCell ref="C95:C95"/>
    <mergeCell ref="D95:D95"/>
    <mergeCell ref="E95:E95"/>
    <mergeCell ref="F95:F95"/>
    <mergeCell ref="G95:G95"/>
    <mergeCell ref="H95:H95"/>
    <mergeCell ref="I95:I95"/>
    <mergeCell ref="J95:J95"/>
    <mergeCell ref="K95:K95"/>
    <mergeCell ref="L95:L95"/>
    <mergeCell ref="M95:M95"/>
    <mergeCell ref="N95:N95"/>
    <mergeCell ref="O95:O95"/>
    <mergeCell ref="P95:P95"/>
    <mergeCell ref="Q95:Q95"/>
    <mergeCell ref="R95:R95"/>
    <mergeCell ref="S95:S95"/>
    <mergeCell ref="T95:T95"/>
    <mergeCell ref="A96:A96"/>
    <mergeCell ref="B96:B96"/>
    <mergeCell ref="C96:C96"/>
    <mergeCell ref="D96:D96"/>
    <mergeCell ref="E96:E96"/>
    <mergeCell ref="F96:F96"/>
    <mergeCell ref="G96:G96"/>
    <mergeCell ref="H96:H96"/>
    <mergeCell ref="I96:I96"/>
    <mergeCell ref="J96:J96"/>
    <mergeCell ref="K96:K96"/>
    <mergeCell ref="L96:L96"/>
    <mergeCell ref="M96:M96"/>
    <mergeCell ref="N96:N96"/>
    <mergeCell ref="O96:O96"/>
    <mergeCell ref="P96:P96"/>
    <mergeCell ref="Q96:Q96"/>
    <mergeCell ref="R96:R96"/>
    <mergeCell ref="S96:S96"/>
    <mergeCell ref="T96:T96"/>
    <mergeCell ref="A97:A97"/>
    <mergeCell ref="B97:B97"/>
    <mergeCell ref="C97:C97"/>
    <mergeCell ref="D97:D97"/>
    <mergeCell ref="E97:E97"/>
    <mergeCell ref="F97:F97"/>
    <mergeCell ref="G97:G97"/>
    <mergeCell ref="H97:H97"/>
    <mergeCell ref="I97:I97"/>
    <mergeCell ref="J97:J97"/>
    <mergeCell ref="K97:K97"/>
    <mergeCell ref="L97:L97"/>
    <mergeCell ref="M97:M97"/>
    <mergeCell ref="N97:N97"/>
    <mergeCell ref="O97:O97"/>
    <mergeCell ref="P97:P97"/>
    <mergeCell ref="Q97:Q97"/>
    <mergeCell ref="R97:R97"/>
    <mergeCell ref="S97:S97"/>
    <mergeCell ref="T97:T97"/>
    <mergeCell ref="A98:A98"/>
    <mergeCell ref="B98:B98"/>
    <mergeCell ref="C98:C98"/>
    <mergeCell ref="D98:D98"/>
    <mergeCell ref="E98:E98"/>
    <mergeCell ref="F98:F98"/>
    <mergeCell ref="G98:G98"/>
    <mergeCell ref="H98:H98"/>
    <mergeCell ref="I98:I98"/>
    <mergeCell ref="J98:J98"/>
    <mergeCell ref="K98:K98"/>
    <mergeCell ref="L98:L98"/>
    <mergeCell ref="M98:M98"/>
    <mergeCell ref="N98:N98"/>
    <mergeCell ref="O98:O98"/>
    <mergeCell ref="P98:P98"/>
    <mergeCell ref="Q98:Q98"/>
    <mergeCell ref="R98:R98"/>
    <mergeCell ref="S98:S98"/>
    <mergeCell ref="T98:T98"/>
    <mergeCell ref="A99:A99"/>
    <mergeCell ref="B99:B99"/>
    <mergeCell ref="C99:C99"/>
    <mergeCell ref="D99:D99"/>
    <mergeCell ref="E99:E99"/>
    <mergeCell ref="F99:F99"/>
    <mergeCell ref="G99:G99"/>
    <mergeCell ref="H99:H99"/>
    <mergeCell ref="I99:I99"/>
    <mergeCell ref="J99:J99"/>
    <mergeCell ref="K99:K99"/>
    <mergeCell ref="L99:L99"/>
    <mergeCell ref="M99:M99"/>
    <mergeCell ref="N99:N99"/>
    <mergeCell ref="O99:O99"/>
    <mergeCell ref="P99:P99"/>
    <mergeCell ref="Q99:Q99"/>
    <mergeCell ref="R99:R99"/>
    <mergeCell ref="S99:S99"/>
    <mergeCell ref="T99:T99"/>
    <mergeCell ref="A100:A100"/>
    <mergeCell ref="B100:B100"/>
    <mergeCell ref="C100:C100"/>
    <mergeCell ref="D100:D100"/>
    <mergeCell ref="E100:E100"/>
    <mergeCell ref="F100:F100"/>
    <mergeCell ref="G100:G100"/>
    <mergeCell ref="H100:H100"/>
    <mergeCell ref="I100:I100"/>
    <mergeCell ref="J100:J100"/>
    <mergeCell ref="K100:K100"/>
    <mergeCell ref="L100:L100"/>
    <mergeCell ref="M100:M100"/>
    <mergeCell ref="N100:N100"/>
    <mergeCell ref="O100:O100"/>
    <mergeCell ref="P100:P100"/>
    <mergeCell ref="Q100:Q100"/>
    <mergeCell ref="R100:R100"/>
    <mergeCell ref="S100:S100"/>
    <mergeCell ref="T100:T100"/>
    <mergeCell ref="A101:A101"/>
    <mergeCell ref="B101:B101"/>
    <mergeCell ref="C101:C101"/>
    <mergeCell ref="D101:D101"/>
    <mergeCell ref="E101:E101"/>
    <mergeCell ref="F101:F101"/>
    <mergeCell ref="G101:G101"/>
    <mergeCell ref="H101:H101"/>
    <mergeCell ref="I101:I101"/>
    <mergeCell ref="J101:J101"/>
    <mergeCell ref="K101:K101"/>
    <mergeCell ref="L101:L101"/>
    <mergeCell ref="M101:M101"/>
    <mergeCell ref="N101:N101"/>
    <mergeCell ref="O101:O101"/>
    <mergeCell ref="P101:P101"/>
    <mergeCell ref="Q101:Q101"/>
    <mergeCell ref="R101:R101"/>
    <mergeCell ref="S101:S101"/>
    <mergeCell ref="T101:T101"/>
    <mergeCell ref="A102:A102"/>
    <mergeCell ref="B102:B102"/>
    <mergeCell ref="C102:C102"/>
    <mergeCell ref="D102:D102"/>
    <mergeCell ref="E102:E102"/>
    <mergeCell ref="F102:F102"/>
    <mergeCell ref="G102:G102"/>
    <mergeCell ref="H102:H102"/>
    <mergeCell ref="I102:I102"/>
    <mergeCell ref="J102:J102"/>
    <mergeCell ref="K102:K102"/>
    <mergeCell ref="L102:L102"/>
    <mergeCell ref="M102:M102"/>
    <mergeCell ref="N102:N102"/>
    <mergeCell ref="O102:O102"/>
    <mergeCell ref="P102:P102"/>
    <mergeCell ref="Q102:Q102"/>
    <mergeCell ref="R102:R102"/>
    <mergeCell ref="S102:S102"/>
    <mergeCell ref="T102:T102"/>
    <mergeCell ref="A103:A103"/>
    <mergeCell ref="B103:B103"/>
    <mergeCell ref="C103:C103"/>
    <mergeCell ref="D103:D103"/>
    <mergeCell ref="E103:E103"/>
    <mergeCell ref="F103:F103"/>
    <mergeCell ref="G103:G103"/>
    <mergeCell ref="H103:H103"/>
    <mergeCell ref="I103:I103"/>
    <mergeCell ref="J103:J103"/>
    <mergeCell ref="K103:K103"/>
    <mergeCell ref="L103:L103"/>
    <mergeCell ref="M103:M103"/>
    <mergeCell ref="N103:N103"/>
    <mergeCell ref="O103:O103"/>
    <mergeCell ref="P103:P103"/>
    <mergeCell ref="Q103:Q103"/>
    <mergeCell ref="R103:R103"/>
    <mergeCell ref="S103:S103"/>
    <mergeCell ref="T103:T103"/>
    <mergeCell ref="A104:A104"/>
    <mergeCell ref="B104:B104"/>
    <mergeCell ref="C104:C104"/>
    <mergeCell ref="D104:D104"/>
    <mergeCell ref="E104:E104"/>
    <mergeCell ref="F104:F104"/>
    <mergeCell ref="G104:G104"/>
    <mergeCell ref="H104:H104"/>
    <mergeCell ref="I104:I104"/>
    <mergeCell ref="J104:J104"/>
    <mergeCell ref="K104:K104"/>
    <mergeCell ref="L104:L104"/>
    <mergeCell ref="M104:M104"/>
    <mergeCell ref="N104:N104"/>
    <mergeCell ref="O104:O104"/>
    <mergeCell ref="P104:P104"/>
    <mergeCell ref="Q104:Q104"/>
    <mergeCell ref="R104:R104"/>
    <mergeCell ref="S104:S104"/>
    <mergeCell ref="T104:T104"/>
    <mergeCell ref="A105:A105"/>
    <mergeCell ref="B105:B105"/>
    <mergeCell ref="C105:C105"/>
    <mergeCell ref="D105:D105"/>
    <mergeCell ref="E105:E105"/>
    <mergeCell ref="F105:F105"/>
    <mergeCell ref="G105:G105"/>
    <mergeCell ref="H105:H105"/>
    <mergeCell ref="I105:I105"/>
    <mergeCell ref="J105:J105"/>
    <mergeCell ref="K105:K105"/>
    <mergeCell ref="L105:L105"/>
    <mergeCell ref="M105:M105"/>
    <mergeCell ref="N105:N105"/>
    <mergeCell ref="O105:O105"/>
    <mergeCell ref="P105:P105"/>
    <mergeCell ref="Q105:Q105"/>
    <mergeCell ref="R105:R105"/>
    <mergeCell ref="S105:S105"/>
    <mergeCell ref="T105:T105"/>
    <mergeCell ref="A106:A106"/>
    <mergeCell ref="B106:B106"/>
    <mergeCell ref="C106:C106"/>
    <mergeCell ref="D106:D106"/>
    <mergeCell ref="E106:E106"/>
    <mergeCell ref="F106:F106"/>
    <mergeCell ref="G106:G106"/>
    <mergeCell ref="H106:H106"/>
    <mergeCell ref="I106:I106"/>
    <mergeCell ref="J106:J106"/>
    <mergeCell ref="K106:K106"/>
    <mergeCell ref="L106:L106"/>
    <mergeCell ref="M106:M106"/>
    <mergeCell ref="N106:N106"/>
    <mergeCell ref="O106:O106"/>
    <mergeCell ref="P106:P106"/>
    <mergeCell ref="Q106:Q106"/>
    <mergeCell ref="R106:R106"/>
    <mergeCell ref="S106:S106"/>
    <mergeCell ref="T106:T106"/>
    <mergeCell ref="A107:A107"/>
    <mergeCell ref="B107:B107"/>
    <mergeCell ref="C107:C107"/>
    <mergeCell ref="D107:D107"/>
    <mergeCell ref="E107:E107"/>
    <mergeCell ref="F107:F107"/>
    <mergeCell ref="G107:G107"/>
    <mergeCell ref="H107:H107"/>
    <mergeCell ref="I107:I107"/>
    <mergeCell ref="J107:J107"/>
    <mergeCell ref="K107:K107"/>
    <mergeCell ref="L107:L107"/>
    <mergeCell ref="M107:M107"/>
    <mergeCell ref="N107:N107"/>
    <mergeCell ref="O107:O107"/>
    <mergeCell ref="P107:P107"/>
    <mergeCell ref="Q107:Q107"/>
    <mergeCell ref="R107:R107"/>
    <mergeCell ref="S107:S107"/>
    <mergeCell ref="T107:T107"/>
    <mergeCell ref="A108:A108"/>
    <mergeCell ref="B108:B108"/>
    <mergeCell ref="C108:C108"/>
    <mergeCell ref="D108:D108"/>
    <mergeCell ref="E108:E108"/>
    <mergeCell ref="F108:F108"/>
    <mergeCell ref="G108:G108"/>
    <mergeCell ref="H108:H108"/>
    <mergeCell ref="I108:I108"/>
    <mergeCell ref="J108:J108"/>
    <mergeCell ref="K108:K108"/>
    <mergeCell ref="L108:L108"/>
    <mergeCell ref="M108:M108"/>
    <mergeCell ref="N108:N108"/>
    <mergeCell ref="O108:O108"/>
    <mergeCell ref="P108:P108"/>
    <mergeCell ref="Q108:Q108"/>
    <mergeCell ref="R108:R108"/>
    <mergeCell ref="S108:S108"/>
    <mergeCell ref="T108:T108"/>
    <mergeCell ref="A109:A109"/>
    <mergeCell ref="B109:B109"/>
    <mergeCell ref="C109:C109"/>
    <mergeCell ref="D109:D109"/>
    <mergeCell ref="E109:E109"/>
    <mergeCell ref="F109:F109"/>
    <mergeCell ref="G109:G109"/>
    <mergeCell ref="H109:H109"/>
    <mergeCell ref="I109:I109"/>
    <mergeCell ref="J109:J109"/>
    <mergeCell ref="K109:K109"/>
    <mergeCell ref="L109:L109"/>
    <mergeCell ref="M109:M109"/>
    <mergeCell ref="N109:N109"/>
    <mergeCell ref="O109:O109"/>
    <mergeCell ref="P109:P109"/>
    <mergeCell ref="Q109:Q109"/>
    <mergeCell ref="R109:R109"/>
    <mergeCell ref="S109:S109"/>
    <mergeCell ref="T109:T109"/>
    <mergeCell ref="A110:A110"/>
    <mergeCell ref="B110:B110"/>
    <mergeCell ref="C110:C110"/>
    <mergeCell ref="D110:D110"/>
    <mergeCell ref="E110:E110"/>
    <mergeCell ref="F110:F110"/>
    <mergeCell ref="G110:G110"/>
    <mergeCell ref="H110:H110"/>
    <mergeCell ref="I110:I110"/>
    <mergeCell ref="J110:J110"/>
    <mergeCell ref="K110:K110"/>
    <mergeCell ref="L110:L110"/>
    <mergeCell ref="M110:M110"/>
    <mergeCell ref="N110:N110"/>
    <mergeCell ref="O110:O110"/>
    <mergeCell ref="P110:P110"/>
    <mergeCell ref="Q110:Q110"/>
    <mergeCell ref="R110:R110"/>
    <mergeCell ref="S110:S110"/>
    <mergeCell ref="T110:T110"/>
    <mergeCell ref="A111:A111"/>
    <mergeCell ref="B111:B111"/>
    <mergeCell ref="C111:C111"/>
    <mergeCell ref="D111:D111"/>
    <mergeCell ref="E111:E111"/>
    <mergeCell ref="F111:F111"/>
    <mergeCell ref="G111:G111"/>
    <mergeCell ref="H111:H111"/>
    <mergeCell ref="I111:I111"/>
    <mergeCell ref="J111:J111"/>
    <mergeCell ref="K111:K111"/>
    <mergeCell ref="L111:L111"/>
    <mergeCell ref="M111:M111"/>
    <mergeCell ref="N111:N111"/>
    <mergeCell ref="O111:O111"/>
    <mergeCell ref="P111:P111"/>
    <mergeCell ref="Q111:Q111"/>
    <mergeCell ref="R111:R111"/>
    <mergeCell ref="S111:S111"/>
    <mergeCell ref="T111:T111"/>
    <mergeCell ref="A112:A112"/>
    <mergeCell ref="B112:B112"/>
    <mergeCell ref="C112:C112"/>
    <mergeCell ref="D112:D112"/>
    <mergeCell ref="E112:E112"/>
    <mergeCell ref="F112:F112"/>
    <mergeCell ref="G112:G112"/>
    <mergeCell ref="H112:H112"/>
    <mergeCell ref="I112:I112"/>
    <mergeCell ref="J112:J112"/>
    <mergeCell ref="K112:K112"/>
    <mergeCell ref="L112:L112"/>
    <mergeCell ref="M112:M112"/>
    <mergeCell ref="N112:N112"/>
    <mergeCell ref="O112:O112"/>
    <mergeCell ref="P112:P112"/>
    <mergeCell ref="Q112:Q112"/>
    <mergeCell ref="R112:R112"/>
    <mergeCell ref="S112:S112"/>
    <mergeCell ref="T112:T112"/>
    <mergeCell ref="A113:A113"/>
    <mergeCell ref="B113:B113"/>
    <mergeCell ref="C113:C113"/>
    <mergeCell ref="D113:D113"/>
    <mergeCell ref="E113:E113"/>
    <mergeCell ref="F113:F113"/>
    <mergeCell ref="G113:G113"/>
    <mergeCell ref="H113:H113"/>
    <mergeCell ref="I113:I113"/>
    <mergeCell ref="J113:J113"/>
    <mergeCell ref="K113:K113"/>
    <mergeCell ref="L113:L113"/>
    <mergeCell ref="M113:M113"/>
    <mergeCell ref="N113:N113"/>
    <mergeCell ref="O113:O113"/>
    <mergeCell ref="P113:P113"/>
    <mergeCell ref="Q113:Q113"/>
    <mergeCell ref="R113:R113"/>
    <mergeCell ref="S113:S113"/>
    <mergeCell ref="T113:T113"/>
    <mergeCell ref="A114:A114"/>
    <mergeCell ref="B114:B114"/>
    <mergeCell ref="C114:C114"/>
    <mergeCell ref="D114:D114"/>
    <mergeCell ref="E114:E114"/>
    <mergeCell ref="F114:F114"/>
    <mergeCell ref="G114:G114"/>
    <mergeCell ref="H114:H114"/>
    <mergeCell ref="I114:I114"/>
    <mergeCell ref="J114:J114"/>
    <mergeCell ref="K114:K114"/>
    <mergeCell ref="L114:L114"/>
    <mergeCell ref="M114:M114"/>
    <mergeCell ref="N114:N114"/>
    <mergeCell ref="O114:O114"/>
    <mergeCell ref="P114:P114"/>
    <mergeCell ref="Q114:Q114"/>
    <mergeCell ref="R114:R114"/>
    <mergeCell ref="S114:S114"/>
    <mergeCell ref="T114:T114"/>
    <mergeCell ref="A115:A115"/>
    <mergeCell ref="B115:B115"/>
    <mergeCell ref="C115:C115"/>
    <mergeCell ref="D115:D115"/>
    <mergeCell ref="E115:E115"/>
    <mergeCell ref="F115:F115"/>
    <mergeCell ref="G115:G115"/>
    <mergeCell ref="H115:H115"/>
    <mergeCell ref="I115:I115"/>
    <mergeCell ref="J115:J115"/>
    <mergeCell ref="K115:K115"/>
    <mergeCell ref="L115:L115"/>
    <mergeCell ref="M115:M115"/>
    <mergeCell ref="N115:N115"/>
    <mergeCell ref="O115:O115"/>
    <mergeCell ref="P115:P115"/>
    <mergeCell ref="Q115:Q115"/>
    <mergeCell ref="R115:R115"/>
    <mergeCell ref="S115:S115"/>
    <mergeCell ref="T115:T115"/>
    <mergeCell ref="A116:A116"/>
    <mergeCell ref="B116:B116"/>
    <mergeCell ref="C116:C116"/>
    <mergeCell ref="D116:D116"/>
    <mergeCell ref="E116:E116"/>
    <mergeCell ref="F116:F116"/>
    <mergeCell ref="G116:G116"/>
    <mergeCell ref="H116:H116"/>
    <mergeCell ref="I116:I116"/>
    <mergeCell ref="J116:J116"/>
    <mergeCell ref="K116:K116"/>
    <mergeCell ref="L116:L116"/>
    <mergeCell ref="M116:M116"/>
    <mergeCell ref="N116:N116"/>
    <mergeCell ref="O116:O116"/>
    <mergeCell ref="P116:P116"/>
    <mergeCell ref="Q116:Q116"/>
    <mergeCell ref="R116:R116"/>
    <mergeCell ref="S116:S116"/>
    <mergeCell ref="T116:T116"/>
    <mergeCell ref="A117:A117"/>
    <mergeCell ref="B117:B117"/>
    <mergeCell ref="C117:C117"/>
    <mergeCell ref="D117:D117"/>
    <mergeCell ref="E117:E117"/>
    <mergeCell ref="F117:F117"/>
    <mergeCell ref="G117:G117"/>
    <mergeCell ref="H117:H117"/>
    <mergeCell ref="I117:I117"/>
    <mergeCell ref="J117:J117"/>
    <mergeCell ref="K117:K117"/>
    <mergeCell ref="L117:L117"/>
    <mergeCell ref="M117:M117"/>
    <mergeCell ref="N117:N117"/>
    <mergeCell ref="O117:O117"/>
    <mergeCell ref="P117:P117"/>
    <mergeCell ref="Q117:Q117"/>
    <mergeCell ref="R117:R117"/>
    <mergeCell ref="S117:S117"/>
    <mergeCell ref="T117:T117"/>
    <mergeCell ref="A118:A118"/>
    <mergeCell ref="B118:B118"/>
    <mergeCell ref="C118:C118"/>
    <mergeCell ref="D118:D118"/>
    <mergeCell ref="E118:E118"/>
    <mergeCell ref="F118:F118"/>
    <mergeCell ref="G118:G118"/>
    <mergeCell ref="H118:H118"/>
    <mergeCell ref="I118:I118"/>
    <mergeCell ref="J118:J118"/>
    <mergeCell ref="K118:K118"/>
    <mergeCell ref="L118:L118"/>
    <mergeCell ref="M118:M118"/>
    <mergeCell ref="N118:N118"/>
    <mergeCell ref="O118:O118"/>
    <mergeCell ref="P118:P118"/>
    <mergeCell ref="Q118:Q118"/>
    <mergeCell ref="R118:R118"/>
    <mergeCell ref="S118:S118"/>
    <mergeCell ref="T118:T118"/>
    <mergeCell ref="A119:A119"/>
    <mergeCell ref="B119:B119"/>
    <mergeCell ref="C119:C119"/>
    <mergeCell ref="D119:D119"/>
    <mergeCell ref="E119:E119"/>
    <mergeCell ref="F119:F119"/>
    <mergeCell ref="G119:G119"/>
    <mergeCell ref="H119:H119"/>
    <mergeCell ref="I119:I119"/>
    <mergeCell ref="J119:J119"/>
    <mergeCell ref="K119:K119"/>
    <mergeCell ref="L119:L119"/>
    <mergeCell ref="M119:M119"/>
    <mergeCell ref="N119:N119"/>
    <mergeCell ref="O119:O119"/>
    <mergeCell ref="P119:P119"/>
    <mergeCell ref="Q119:Q119"/>
    <mergeCell ref="R119:R119"/>
    <mergeCell ref="S119:S119"/>
    <mergeCell ref="T119:T119"/>
    <mergeCell ref="A120:A120"/>
    <mergeCell ref="B120:B120"/>
    <mergeCell ref="C120:C120"/>
    <mergeCell ref="D120:D120"/>
    <mergeCell ref="E120:E120"/>
    <mergeCell ref="F120:F120"/>
    <mergeCell ref="G120:G120"/>
    <mergeCell ref="H120:H120"/>
    <mergeCell ref="I120:I120"/>
    <mergeCell ref="J120:J120"/>
    <mergeCell ref="K120:K120"/>
    <mergeCell ref="L120:L120"/>
    <mergeCell ref="M120:M120"/>
    <mergeCell ref="N120:N120"/>
    <mergeCell ref="O120:O120"/>
    <mergeCell ref="P120:P120"/>
    <mergeCell ref="Q120:Q120"/>
    <mergeCell ref="R120:R120"/>
    <mergeCell ref="S120:S120"/>
    <mergeCell ref="T120:T120"/>
    <mergeCell ref="A121:A121"/>
    <mergeCell ref="B121:B121"/>
    <mergeCell ref="C121:C121"/>
    <mergeCell ref="D121:D121"/>
    <mergeCell ref="E121:E121"/>
    <mergeCell ref="F121:F121"/>
    <mergeCell ref="G121:G121"/>
    <mergeCell ref="H121:H121"/>
    <mergeCell ref="I121:I121"/>
    <mergeCell ref="J121:J121"/>
    <mergeCell ref="K121:K121"/>
    <mergeCell ref="L121:L121"/>
    <mergeCell ref="M121:M121"/>
    <mergeCell ref="N121:N121"/>
    <mergeCell ref="O121:O121"/>
    <mergeCell ref="P121:P121"/>
    <mergeCell ref="Q121:Q121"/>
    <mergeCell ref="R121:R121"/>
    <mergeCell ref="S121:S121"/>
    <mergeCell ref="T121:T121"/>
    <mergeCell ref="A122:A122"/>
    <mergeCell ref="B122:B122"/>
    <mergeCell ref="C122:C122"/>
    <mergeCell ref="D122:D122"/>
    <mergeCell ref="E122:E122"/>
    <mergeCell ref="F122:F122"/>
    <mergeCell ref="G122:G122"/>
    <mergeCell ref="H122:H122"/>
    <mergeCell ref="I122:I122"/>
    <mergeCell ref="J122:J122"/>
    <mergeCell ref="K122:K122"/>
    <mergeCell ref="L122:L122"/>
    <mergeCell ref="M122:M122"/>
    <mergeCell ref="N122:N122"/>
    <mergeCell ref="O122:O122"/>
    <mergeCell ref="P122:P122"/>
    <mergeCell ref="Q122:Q122"/>
    <mergeCell ref="R122:R122"/>
    <mergeCell ref="S122:S122"/>
    <mergeCell ref="T122:T122"/>
    <mergeCell ref="A123:A123"/>
    <mergeCell ref="B123:B123"/>
    <mergeCell ref="C123:C123"/>
    <mergeCell ref="D123:D123"/>
    <mergeCell ref="E123:E123"/>
    <mergeCell ref="F123:F123"/>
    <mergeCell ref="G123:G123"/>
    <mergeCell ref="H123:H123"/>
    <mergeCell ref="I123:I123"/>
    <mergeCell ref="J123:J123"/>
    <mergeCell ref="K123:K123"/>
    <mergeCell ref="L123:L123"/>
    <mergeCell ref="M123:M123"/>
    <mergeCell ref="N123:N123"/>
    <mergeCell ref="O123:O123"/>
    <mergeCell ref="P123:P123"/>
    <mergeCell ref="Q123:Q123"/>
    <mergeCell ref="R123:R123"/>
    <mergeCell ref="S123:S123"/>
    <mergeCell ref="T123:T123"/>
    <mergeCell ref="A124:A124"/>
    <mergeCell ref="B124:B124"/>
    <mergeCell ref="C124:C124"/>
    <mergeCell ref="D124:D124"/>
    <mergeCell ref="E124:E124"/>
    <mergeCell ref="F124:F124"/>
    <mergeCell ref="G124:G124"/>
    <mergeCell ref="H124:H124"/>
    <mergeCell ref="I124:I124"/>
    <mergeCell ref="J124:J124"/>
    <mergeCell ref="K124:K124"/>
    <mergeCell ref="L124:L124"/>
    <mergeCell ref="M124:M124"/>
    <mergeCell ref="N124:N124"/>
    <mergeCell ref="O124:O124"/>
    <mergeCell ref="P124:P124"/>
    <mergeCell ref="Q124:Q124"/>
    <mergeCell ref="R124:R124"/>
    <mergeCell ref="S124:S124"/>
    <mergeCell ref="T124:T124"/>
    <mergeCell ref="A125:A125"/>
    <mergeCell ref="B125:B125"/>
    <mergeCell ref="C125:C125"/>
    <mergeCell ref="D125:D125"/>
    <mergeCell ref="E125:E125"/>
    <mergeCell ref="F125:F125"/>
    <mergeCell ref="G125:G125"/>
    <mergeCell ref="H125:H125"/>
    <mergeCell ref="I125:I125"/>
    <mergeCell ref="J125:J125"/>
    <mergeCell ref="K125:K125"/>
    <mergeCell ref="L125:L125"/>
    <mergeCell ref="M125:M125"/>
    <mergeCell ref="N125:N125"/>
    <mergeCell ref="O125:O125"/>
    <mergeCell ref="P125:P125"/>
    <mergeCell ref="Q125:Q125"/>
    <mergeCell ref="R125:R125"/>
    <mergeCell ref="S125:S125"/>
    <mergeCell ref="T125:T125"/>
    <mergeCell ref="A126:A126"/>
    <mergeCell ref="B126:B126"/>
    <mergeCell ref="C126:C126"/>
    <mergeCell ref="D126:D126"/>
    <mergeCell ref="E126:E126"/>
    <mergeCell ref="F126:F126"/>
    <mergeCell ref="G126:G126"/>
    <mergeCell ref="H126:H126"/>
    <mergeCell ref="I126:I126"/>
    <mergeCell ref="J126:J126"/>
    <mergeCell ref="K126:K126"/>
    <mergeCell ref="L126:L126"/>
    <mergeCell ref="M126:M126"/>
    <mergeCell ref="N126:N126"/>
    <mergeCell ref="O126:O126"/>
    <mergeCell ref="P126:P126"/>
    <mergeCell ref="Q126:Q126"/>
    <mergeCell ref="R126:R126"/>
    <mergeCell ref="S126:S126"/>
    <mergeCell ref="T126:T126"/>
    <mergeCell ref="A127:A127"/>
    <mergeCell ref="B127:B127"/>
    <mergeCell ref="C127:C127"/>
    <mergeCell ref="D127:D127"/>
    <mergeCell ref="E127:E127"/>
    <mergeCell ref="F127:F127"/>
    <mergeCell ref="G127:G127"/>
    <mergeCell ref="H127:H127"/>
    <mergeCell ref="I127:I127"/>
    <mergeCell ref="J127:J127"/>
    <mergeCell ref="K127:K127"/>
    <mergeCell ref="L127:L127"/>
    <mergeCell ref="M127:M127"/>
    <mergeCell ref="N127:N127"/>
    <mergeCell ref="O127:O127"/>
    <mergeCell ref="P127:P127"/>
    <mergeCell ref="Q127:Q127"/>
    <mergeCell ref="R127:R127"/>
    <mergeCell ref="S127:S127"/>
    <mergeCell ref="T127:T127"/>
    <mergeCell ref="A128:A128"/>
    <mergeCell ref="B128:B128"/>
    <mergeCell ref="C128:C128"/>
    <mergeCell ref="D128:D128"/>
    <mergeCell ref="E128:E128"/>
    <mergeCell ref="F128:F128"/>
    <mergeCell ref="G128:G128"/>
    <mergeCell ref="H128:H128"/>
    <mergeCell ref="I128:I128"/>
    <mergeCell ref="J128:J128"/>
    <mergeCell ref="K128:K128"/>
    <mergeCell ref="L128:L128"/>
    <mergeCell ref="M128:M128"/>
    <mergeCell ref="N128:N128"/>
    <mergeCell ref="O128:O128"/>
    <mergeCell ref="P128:P128"/>
    <mergeCell ref="Q128:Q128"/>
    <mergeCell ref="R128:R128"/>
    <mergeCell ref="S128:S128"/>
    <mergeCell ref="T128:T128"/>
    <mergeCell ref="A129:A129"/>
    <mergeCell ref="B129:B129"/>
    <mergeCell ref="C129:C129"/>
    <mergeCell ref="D129:D129"/>
    <mergeCell ref="E129:E129"/>
    <mergeCell ref="F129:F129"/>
    <mergeCell ref="G129:G129"/>
    <mergeCell ref="H129:H129"/>
    <mergeCell ref="I129:I129"/>
    <mergeCell ref="J129:J129"/>
    <mergeCell ref="K129:K129"/>
    <mergeCell ref="L129:L129"/>
    <mergeCell ref="M129:M129"/>
    <mergeCell ref="N129:N129"/>
    <mergeCell ref="O129:O129"/>
    <mergeCell ref="P129:P129"/>
    <mergeCell ref="Q129:Q129"/>
    <mergeCell ref="R129:R129"/>
    <mergeCell ref="S129:S129"/>
    <mergeCell ref="T129:T129"/>
    <mergeCell ref="A130:A130"/>
    <mergeCell ref="B130:B130"/>
    <mergeCell ref="C130:C130"/>
    <mergeCell ref="D130:D130"/>
    <mergeCell ref="E130:E130"/>
    <mergeCell ref="F130:F130"/>
    <mergeCell ref="G130:G130"/>
    <mergeCell ref="H130:H130"/>
    <mergeCell ref="I130:I130"/>
    <mergeCell ref="J130:J130"/>
    <mergeCell ref="K130:K130"/>
    <mergeCell ref="L130:L130"/>
    <mergeCell ref="M130:M130"/>
    <mergeCell ref="N130:N130"/>
    <mergeCell ref="O130:O130"/>
    <mergeCell ref="P130:P130"/>
    <mergeCell ref="Q130:Q130"/>
    <mergeCell ref="R130:R130"/>
    <mergeCell ref="S130:S130"/>
    <mergeCell ref="T130:T130"/>
    <mergeCell ref="A131:A131"/>
    <mergeCell ref="B131:B131"/>
    <mergeCell ref="C131:C131"/>
    <mergeCell ref="D131:D131"/>
    <mergeCell ref="E131:E131"/>
    <mergeCell ref="F131:F131"/>
    <mergeCell ref="G131:G131"/>
    <mergeCell ref="H131:H131"/>
    <mergeCell ref="I131:I131"/>
    <mergeCell ref="J131:J131"/>
    <mergeCell ref="K131:K131"/>
    <mergeCell ref="L131:L131"/>
    <mergeCell ref="M131:M131"/>
    <mergeCell ref="N131:N131"/>
    <mergeCell ref="O131:O131"/>
    <mergeCell ref="P131:P131"/>
    <mergeCell ref="Q131:Q131"/>
    <mergeCell ref="R131:R131"/>
    <mergeCell ref="S131:S131"/>
    <mergeCell ref="T131:T131"/>
    <mergeCell ref="A132:A132"/>
    <mergeCell ref="B132:B132"/>
    <mergeCell ref="C132:C132"/>
    <mergeCell ref="D132:D132"/>
    <mergeCell ref="E132:E132"/>
    <mergeCell ref="F132:F132"/>
    <mergeCell ref="G132:G132"/>
    <mergeCell ref="H132:H132"/>
    <mergeCell ref="I132:I132"/>
    <mergeCell ref="J132:J132"/>
    <mergeCell ref="K132:K132"/>
    <mergeCell ref="L132:L132"/>
    <mergeCell ref="M132:M132"/>
    <mergeCell ref="N132:N132"/>
    <mergeCell ref="O132:O132"/>
    <mergeCell ref="P132:P132"/>
    <mergeCell ref="Q132:Q132"/>
    <mergeCell ref="R132:R132"/>
    <mergeCell ref="S132:S132"/>
    <mergeCell ref="T132:T132"/>
    <mergeCell ref="A133:A133"/>
    <mergeCell ref="B133:B133"/>
    <mergeCell ref="C133:C133"/>
    <mergeCell ref="D133:D133"/>
    <mergeCell ref="E133:E133"/>
    <mergeCell ref="F133:F133"/>
    <mergeCell ref="G133:G133"/>
    <mergeCell ref="H133:H133"/>
    <mergeCell ref="I133:I133"/>
    <mergeCell ref="J133:J133"/>
    <mergeCell ref="K133:K133"/>
    <mergeCell ref="L133:L133"/>
    <mergeCell ref="M133:M133"/>
    <mergeCell ref="N133:N133"/>
    <mergeCell ref="O133:O133"/>
    <mergeCell ref="P133:P133"/>
    <mergeCell ref="Q133:Q133"/>
    <mergeCell ref="R133:R133"/>
    <mergeCell ref="S133:S133"/>
    <mergeCell ref="T133:T133"/>
    <mergeCell ref="A134:A134"/>
    <mergeCell ref="B134:B134"/>
    <mergeCell ref="C134:C134"/>
    <mergeCell ref="D134:D134"/>
    <mergeCell ref="E134:E134"/>
    <mergeCell ref="F134:F134"/>
    <mergeCell ref="G134:G134"/>
    <mergeCell ref="H134:H134"/>
    <mergeCell ref="I134:I134"/>
    <mergeCell ref="J134:J134"/>
    <mergeCell ref="K134:K134"/>
    <mergeCell ref="L134:L134"/>
    <mergeCell ref="M134:M134"/>
    <mergeCell ref="N134:N134"/>
    <mergeCell ref="O134:O134"/>
    <mergeCell ref="P134:P134"/>
    <mergeCell ref="Q134:Q134"/>
    <mergeCell ref="R134:R134"/>
    <mergeCell ref="S134:S134"/>
    <mergeCell ref="T134:T134"/>
    <mergeCell ref="A135:A135"/>
    <mergeCell ref="B135:B135"/>
    <mergeCell ref="C135:C135"/>
    <mergeCell ref="D135:D135"/>
    <mergeCell ref="E135:E135"/>
    <mergeCell ref="F135:F135"/>
    <mergeCell ref="G135:G135"/>
    <mergeCell ref="H135:H135"/>
    <mergeCell ref="I135:I135"/>
    <mergeCell ref="J135:J135"/>
    <mergeCell ref="K135:K135"/>
    <mergeCell ref="L135:L135"/>
    <mergeCell ref="M135:M135"/>
    <mergeCell ref="N135:N135"/>
    <mergeCell ref="O135:O135"/>
    <mergeCell ref="P135:P135"/>
    <mergeCell ref="Q135:Q135"/>
    <mergeCell ref="R135:R135"/>
    <mergeCell ref="S135:S135"/>
    <mergeCell ref="T135:T135"/>
    <mergeCell ref="A136:A136"/>
    <mergeCell ref="B136:B136"/>
    <mergeCell ref="C136:C136"/>
    <mergeCell ref="D136:D136"/>
    <mergeCell ref="E136:E136"/>
    <mergeCell ref="F136:F136"/>
    <mergeCell ref="G136:G136"/>
    <mergeCell ref="H136:H136"/>
    <mergeCell ref="I136:I136"/>
    <mergeCell ref="J136:J136"/>
    <mergeCell ref="K136:K136"/>
    <mergeCell ref="L136:L136"/>
    <mergeCell ref="M136:M136"/>
    <mergeCell ref="N136:N136"/>
    <mergeCell ref="O136:O136"/>
    <mergeCell ref="P136:P136"/>
    <mergeCell ref="Q136:Q136"/>
    <mergeCell ref="R136:R136"/>
    <mergeCell ref="S136:S136"/>
    <mergeCell ref="T136:T136"/>
    <mergeCell ref="A137:A137"/>
    <mergeCell ref="B137:B137"/>
    <mergeCell ref="C137:C137"/>
    <mergeCell ref="D137:D137"/>
    <mergeCell ref="E137:E137"/>
    <mergeCell ref="F137:F137"/>
    <mergeCell ref="G137:G137"/>
    <mergeCell ref="H137:H137"/>
    <mergeCell ref="I137:I137"/>
    <mergeCell ref="J137:J137"/>
    <mergeCell ref="K137:K137"/>
    <mergeCell ref="L137:L137"/>
    <mergeCell ref="M137:M137"/>
    <mergeCell ref="N137:N137"/>
    <mergeCell ref="O137:O137"/>
    <mergeCell ref="P137:P137"/>
    <mergeCell ref="Q137:Q137"/>
    <mergeCell ref="R137:R137"/>
    <mergeCell ref="S137:S137"/>
    <mergeCell ref="T137:T137"/>
    <mergeCell ref="A138:A138"/>
    <mergeCell ref="B138:B138"/>
    <mergeCell ref="C138:C138"/>
    <mergeCell ref="D138:D138"/>
    <mergeCell ref="E138:E138"/>
    <mergeCell ref="F138:F138"/>
    <mergeCell ref="G138:G138"/>
    <mergeCell ref="H138:H138"/>
    <mergeCell ref="I138:I138"/>
    <mergeCell ref="J138:J138"/>
    <mergeCell ref="K138:K138"/>
    <mergeCell ref="L138:L138"/>
    <mergeCell ref="M138:M138"/>
    <mergeCell ref="N138:N138"/>
    <mergeCell ref="O138:O138"/>
    <mergeCell ref="P138:P138"/>
    <mergeCell ref="Q138:Q138"/>
    <mergeCell ref="R138:R138"/>
    <mergeCell ref="S138:S138"/>
    <mergeCell ref="T138:T138"/>
    <mergeCell ref="A139:A139"/>
    <mergeCell ref="B139:B139"/>
    <mergeCell ref="C139:C139"/>
    <mergeCell ref="D139:D139"/>
    <mergeCell ref="E139:E139"/>
    <mergeCell ref="F139:F139"/>
    <mergeCell ref="G139:G139"/>
    <mergeCell ref="H139:H139"/>
    <mergeCell ref="I139:I139"/>
    <mergeCell ref="J139:J139"/>
    <mergeCell ref="K139:K139"/>
    <mergeCell ref="L139:L139"/>
    <mergeCell ref="M139:M139"/>
    <mergeCell ref="N139:N139"/>
    <mergeCell ref="O139:O139"/>
    <mergeCell ref="P139:P139"/>
    <mergeCell ref="Q139:Q139"/>
    <mergeCell ref="R139:R139"/>
    <mergeCell ref="S139:S139"/>
    <mergeCell ref="T139:T139"/>
    <mergeCell ref="A140:A140"/>
    <mergeCell ref="B140:B140"/>
    <mergeCell ref="C140:C140"/>
    <mergeCell ref="D140:D140"/>
    <mergeCell ref="E140:E140"/>
    <mergeCell ref="F140:F140"/>
    <mergeCell ref="G140:G140"/>
    <mergeCell ref="H140:H140"/>
    <mergeCell ref="I140:I140"/>
    <mergeCell ref="J140:J140"/>
    <mergeCell ref="K140:K140"/>
    <mergeCell ref="L140:L140"/>
    <mergeCell ref="M140:M140"/>
    <mergeCell ref="N140:N140"/>
    <mergeCell ref="O140:O140"/>
    <mergeCell ref="P140:P140"/>
    <mergeCell ref="Q140:Q140"/>
    <mergeCell ref="R140:R140"/>
    <mergeCell ref="S140:S140"/>
    <mergeCell ref="T140:T140"/>
    <mergeCell ref="A141:A141"/>
    <mergeCell ref="B141:B141"/>
    <mergeCell ref="C141:C141"/>
    <mergeCell ref="D141:D141"/>
    <mergeCell ref="E141:E141"/>
    <mergeCell ref="F141:F141"/>
    <mergeCell ref="G141:G141"/>
    <mergeCell ref="H141:H141"/>
    <mergeCell ref="I141:I141"/>
    <mergeCell ref="J141:J141"/>
    <mergeCell ref="K141:K141"/>
    <mergeCell ref="L141:L141"/>
    <mergeCell ref="M141:M141"/>
    <mergeCell ref="N141:N141"/>
    <mergeCell ref="O141:O141"/>
    <mergeCell ref="P141:P141"/>
    <mergeCell ref="Q141:Q141"/>
    <mergeCell ref="R141:R141"/>
    <mergeCell ref="S141:S141"/>
    <mergeCell ref="T141:T141"/>
    <mergeCell ref="A142:A142"/>
    <mergeCell ref="B142:B142"/>
    <mergeCell ref="C142:C142"/>
    <mergeCell ref="D142:D142"/>
    <mergeCell ref="E142:E142"/>
    <mergeCell ref="F142:F142"/>
    <mergeCell ref="G142:G142"/>
    <mergeCell ref="H142:H142"/>
    <mergeCell ref="I142:I142"/>
    <mergeCell ref="J142:J142"/>
    <mergeCell ref="K142:K142"/>
    <mergeCell ref="L142:L142"/>
    <mergeCell ref="M142:M142"/>
    <mergeCell ref="N142:N142"/>
    <mergeCell ref="O142:O142"/>
    <mergeCell ref="P142:P142"/>
    <mergeCell ref="Q142:Q142"/>
    <mergeCell ref="R142:R142"/>
    <mergeCell ref="S142:S142"/>
    <mergeCell ref="T142:T142"/>
    <mergeCell ref="A143:A143"/>
    <mergeCell ref="B143:B143"/>
    <mergeCell ref="C143:C143"/>
    <mergeCell ref="D143:D143"/>
    <mergeCell ref="E143:E143"/>
    <mergeCell ref="F143:F143"/>
    <mergeCell ref="G143:G143"/>
    <mergeCell ref="H143:H143"/>
    <mergeCell ref="I143:I143"/>
    <mergeCell ref="J143:J143"/>
    <mergeCell ref="K143:K143"/>
    <mergeCell ref="L143:L143"/>
    <mergeCell ref="M143:M143"/>
    <mergeCell ref="N143:N143"/>
    <mergeCell ref="O143:O143"/>
    <mergeCell ref="P143:P143"/>
    <mergeCell ref="Q143:Q143"/>
    <mergeCell ref="R143:R143"/>
    <mergeCell ref="S143:S143"/>
    <mergeCell ref="T143:T143"/>
    <mergeCell ref="A144:A144"/>
    <mergeCell ref="B144:B144"/>
    <mergeCell ref="C144:C144"/>
    <mergeCell ref="D144:D144"/>
    <mergeCell ref="E144:E144"/>
    <mergeCell ref="F144:F144"/>
    <mergeCell ref="G144:G144"/>
    <mergeCell ref="H144:H144"/>
    <mergeCell ref="I144:I144"/>
    <mergeCell ref="J144:J144"/>
    <mergeCell ref="K144:K144"/>
    <mergeCell ref="L144:L144"/>
    <mergeCell ref="M144:M144"/>
    <mergeCell ref="N144:N144"/>
    <mergeCell ref="O144:O144"/>
    <mergeCell ref="P144:P144"/>
    <mergeCell ref="Q144:Q144"/>
    <mergeCell ref="R144:R144"/>
    <mergeCell ref="S144:S144"/>
    <mergeCell ref="T144:T144"/>
    <mergeCell ref="A145:A145"/>
    <mergeCell ref="B145:B145"/>
    <mergeCell ref="C145:C145"/>
    <mergeCell ref="D145:D145"/>
    <mergeCell ref="E145:E145"/>
    <mergeCell ref="F145:F145"/>
    <mergeCell ref="G145:G145"/>
    <mergeCell ref="H145:H145"/>
    <mergeCell ref="I145:I145"/>
    <mergeCell ref="J145:J145"/>
    <mergeCell ref="K145:K145"/>
    <mergeCell ref="L145:L145"/>
    <mergeCell ref="M145:M145"/>
    <mergeCell ref="N145:N145"/>
    <mergeCell ref="O145:O145"/>
    <mergeCell ref="P145:P145"/>
    <mergeCell ref="Q145:Q145"/>
    <mergeCell ref="R145:R145"/>
    <mergeCell ref="S145:S145"/>
    <mergeCell ref="T145:T145"/>
    <mergeCell ref="A146:A146"/>
    <mergeCell ref="B146:B146"/>
    <mergeCell ref="C146:C146"/>
    <mergeCell ref="D146:D146"/>
    <mergeCell ref="E146:E146"/>
    <mergeCell ref="F146:F146"/>
    <mergeCell ref="G146:G146"/>
    <mergeCell ref="H146:H146"/>
    <mergeCell ref="I146:I146"/>
    <mergeCell ref="J146:J146"/>
    <mergeCell ref="K146:K146"/>
    <mergeCell ref="L146:L146"/>
    <mergeCell ref="M146:M146"/>
    <mergeCell ref="N146:N146"/>
    <mergeCell ref="O146:O146"/>
    <mergeCell ref="P146:P146"/>
    <mergeCell ref="Q146:Q146"/>
    <mergeCell ref="R146:R146"/>
    <mergeCell ref="S146:S146"/>
    <mergeCell ref="T146:T146"/>
    <mergeCell ref="A147:A147"/>
    <mergeCell ref="B147:B147"/>
    <mergeCell ref="C147:C147"/>
    <mergeCell ref="D147:D147"/>
    <mergeCell ref="E147:E147"/>
    <mergeCell ref="F147:F147"/>
    <mergeCell ref="G147:G147"/>
    <mergeCell ref="H147:H147"/>
    <mergeCell ref="I147:I147"/>
    <mergeCell ref="J147:J147"/>
    <mergeCell ref="K147:K147"/>
    <mergeCell ref="L147:L147"/>
    <mergeCell ref="M147:M147"/>
    <mergeCell ref="N147:N147"/>
    <mergeCell ref="O147:O147"/>
    <mergeCell ref="P147:P147"/>
    <mergeCell ref="Q147:Q147"/>
    <mergeCell ref="R147:R147"/>
    <mergeCell ref="S147:S147"/>
    <mergeCell ref="T147:T147"/>
    <mergeCell ref="A148:A148"/>
    <mergeCell ref="B148:B148"/>
    <mergeCell ref="C148:C148"/>
    <mergeCell ref="D148:D148"/>
    <mergeCell ref="E148:E148"/>
    <mergeCell ref="F148:F148"/>
    <mergeCell ref="G148:G148"/>
    <mergeCell ref="H148:H148"/>
    <mergeCell ref="I148:I148"/>
    <mergeCell ref="J148:J148"/>
    <mergeCell ref="K148:K148"/>
    <mergeCell ref="L148:L148"/>
    <mergeCell ref="M148:M148"/>
    <mergeCell ref="N148:N148"/>
    <mergeCell ref="O148:O148"/>
    <mergeCell ref="P148:P148"/>
    <mergeCell ref="Q148:Q148"/>
    <mergeCell ref="R148:R148"/>
    <mergeCell ref="S148:S148"/>
    <mergeCell ref="T148:T148"/>
    <mergeCell ref="A149:A149"/>
    <mergeCell ref="B149:B149"/>
    <mergeCell ref="C149:C149"/>
    <mergeCell ref="D149:D149"/>
    <mergeCell ref="E149:E149"/>
    <mergeCell ref="F149:F149"/>
    <mergeCell ref="G149:G149"/>
    <mergeCell ref="H149:H149"/>
    <mergeCell ref="I149:I149"/>
    <mergeCell ref="J149:J149"/>
    <mergeCell ref="K149:K149"/>
    <mergeCell ref="L149:L149"/>
    <mergeCell ref="M149:M149"/>
    <mergeCell ref="N149:N149"/>
    <mergeCell ref="O149:O149"/>
    <mergeCell ref="P149:P149"/>
    <mergeCell ref="Q149:Q149"/>
    <mergeCell ref="R149:R149"/>
    <mergeCell ref="S149:S149"/>
    <mergeCell ref="T149:T149"/>
    <mergeCell ref="A150:A150"/>
    <mergeCell ref="B150:B150"/>
    <mergeCell ref="C150:C150"/>
    <mergeCell ref="D150:D150"/>
    <mergeCell ref="E150:E150"/>
    <mergeCell ref="F150:F150"/>
    <mergeCell ref="G150:G150"/>
    <mergeCell ref="H150:H150"/>
    <mergeCell ref="I150:I150"/>
    <mergeCell ref="J150:J150"/>
    <mergeCell ref="K150:K150"/>
    <mergeCell ref="L150:L150"/>
    <mergeCell ref="M150:M150"/>
    <mergeCell ref="N150:N150"/>
    <mergeCell ref="O150:O150"/>
    <mergeCell ref="P150:P150"/>
    <mergeCell ref="Q150:Q150"/>
    <mergeCell ref="R150:R150"/>
    <mergeCell ref="S150:S150"/>
    <mergeCell ref="T150:T150"/>
    <mergeCell ref="A151:A151"/>
    <mergeCell ref="B151:B151"/>
    <mergeCell ref="C151:C151"/>
    <mergeCell ref="D151:D151"/>
    <mergeCell ref="E151:E151"/>
    <mergeCell ref="F151:F151"/>
    <mergeCell ref="G151:G151"/>
    <mergeCell ref="H151:H151"/>
    <mergeCell ref="I151:I151"/>
    <mergeCell ref="J151:J151"/>
    <mergeCell ref="K151:K151"/>
    <mergeCell ref="L151:L151"/>
    <mergeCell ref="M151:M151"/>
    <mergeCell ref="N151:N151"/>
    <mergeCell ref="O151:O151"/>
    <mergeCell ref="P151:P151"/>
    <mergeCell ref="Q151:Q151"/>
    <mergeCell ref="R151:R151"/>
    <mergeCell ref="S151:S151"/>
    <mergeCell ref="T151:T151"/>
    <mergeCell ref="A152:A152"/>
    <mergeCell ref="B152:B152"/>
    <mergeCell ref="C152:C152"/>
    <mergeCell ref="D152:D152"/>
    <mergeCell ref="E152:E152"/>
    <mergeCell ref="F152:F152"/>
    <mergeCell ref="G152:G152"/>
    <mergeCell ref="H152:H152"/>
    <mergeCell ref="I152:I152"/>
    <mergeCell ref="J152:J152"/>
    <mergeCell ref="K152:K152"/>
    <mergeCell ref="L152:L152"/>
    <mergeCell ref="M152:M152"/>
    <mergeCell ref="N152:N152"/>
    <mergeCell ref="O152:O152"/>
    <mergeCell ref="P152:P152"/>
    <mergeCell ref="Q152:Q152"/>
    <mergeCell ref="R152:R152"/>
    <mergeCell ref="S152:S152"/>
    <mergeCell ref="T152:T152"/>
    <mergeCell ref="A153:A153"/>
    <mergeCell ref="B153:B153"/>
    <mergeCell ref="C153:C153"/>
    <mergeCell ref="D153:D153"/>
    <mergeCell ref="E153:E153"/>
    <mergeCell ref="F153:F153"/>
    <mergeCell ref="G153:G153"/>
    <mergeCell ref="H153:H153"/>
    <mergeCell ref="I153:I153"/>
    <mergeCell ref="J153:J153"/>
    <mergeCell ref="K153:K153"/>
    <mergeCell ref="L153:L153"/>
    <mergeCell ref="M153:M153"/>
    <mergeCell ref="N153:N153"/>
    <mergeCell ref="O153:O153"/>
    <mergeCell ref="P153:P153"/>
    <mergeCell ref="Q153:Q153"/>
    <mergeCell ref="R153:R153"/>
    <mergeCell ref="S153:S153"/>
    <mergeCell ref="T153:T153"/>
    <mergeCell ref="A154:A154"/>
    <mergeCell ref="B154:B154"/>
    <mergeCell ref="C154:C154"/>
    <mergeCell ref="D154:D154"/>
    <mergeCell ref="E154:E154"/>
    <mergeCell ref="F154:F154"/>
    <mergeCell ref="G154:G154"/>
    <mergeCell ref="H154:H154"/>
    <mergeCell ref="I154:I154"/>
    <mergeCell ref="J154:J154"/>
    <mergeCell ref="K154:K154"/>
    <mergeCell ref="L154:L154"/>
    <mergeCell ref="M154:M154"/>
    <mergeCell ref="N154:N154"/>
    <mergeCell ref="O154:O154"/>
    <mergeCell ref="P154:P154"/>
    <mergeCell ref="Q154:Q154"/>
    <mergeCell ref="R154:R154"/>
    <mergeCell ref="S154:S154"/>
    <mergeCell ref="T154:T154"/>
    <mergeCell ref="A155:A155"/>
    <mergeCell ref="B155:B155"/>
    <mergeCell ref="C155:C155"/>
    <mergeCell ref="D155:D155"/>
    <mergeCell ref="E155:E155"/>
    <mergeCell ref="F155:F155"/>
    <mergeCell ref="G155:G155"/>
    <mergeCell ref="H155:H155"/>
    <mergeCell ref="I155:I155"/>
    <mergeCell ref="J155:J155"/>
    <mergeCell ref="K155:K155"/>
    <mergeCell ref="L155:L155"/>
    <mergeCell ref="M155:M155"/>
    <mergeCell ref="N155:N155"/>
    <mergeCell ref="O155:O155"/>
    <mergeCell ref="P155:P155"/>
    <mergeCell ref="Q155:Q155"/>
    <mergeCell ref="R155:R155"/>
    <mergeCell ref="S155:S155"/>
    <mergeCell ref="T155:T155"/>
    <mergeCell ref="A156:A156"/>
    <mergeCell ref="B156:B156"/>
    <mergeCell ref="C156:C156"/>
    <mergeCell ref="D156:D156"/>
    <mergeCell ref="E156:E156"/>
    <mergeCell ref="F156:F156"/>
    <mergeCell ref="G156:G156"/>
    <mergeCell ref="H156:H156"/>
    <mergeCell ref="I156:I156"/>
    <mergeCell ref="J156:J156"/>
    <mergeCell ref="K156:K156"/>
    <mergeCell ref="L156:L156"/>
    <mergeCell ref="M156:M156"/>
    <mergeCell ref="N156:N156"/>
    <mergeCell ref="O156:O156"/>
    <mergeCell ref="P156:P156"/>
    <mergeCell ref="Q156:Q156"/>
    <mergeCell ref="R156:R156"/>
    <mergeCell ref="S156:S156"/>
    <mergeCell ref="T156:T156"/>
    <mergeCell ref="A157:A157"/>
    <mergeCell ref="B157:B157"/>
    <mergeCell ref="C157:C157"/>
    <mergeCell ref="D157:D157"/>
    <mergeCell ref="E157:E157"/>
    <mergeCell ref="F157:F157"/>
    <mergeCell ref="G157:G157"/>
    <mergeCell ref="H157:H157"/>
    <mergeCell ref="I157:I157"/>
    <mergeCell ref="J157:J157"/>
    <mergeCell ref="K157:K157"/>
    <mergeCell ref="L157:L157"/>
    <mergeCell ref="M157:M157"/>
    <mergeCell ref="N157:N157"/>
    <mergeCell ref="O157:O157"/>
    <mergeCell ref="P157:P157"/>
    <mergeCell ref="Q157:Q157"/>
    <mergeCell ref="R157:R157"/>
    <mergeCell ref="S157:S157"/>
    <mergeCell ref="T157:T157"/>
    <mergeCell ref="A158:A158"/>
    <mergeCell ref="B158:B158"/>
    <mergeCell ref="C158:C158"/>
    <mergeCell ref="D158:D158"/>
    <mergeCell ref="E158:E158"/>
    <mergeCell ref="F158:F158"/>
    <mergeCell ref="G158:G158"/>
    <mergeCell ref="H158:H158"/>
    <mergeCell ref="I158:I158"/>
    <mergeCell ref="J158:J158"/>
    <mergeCell ref="K158:K158"/>
    <mergeCell ref="L158:L158"/>
    <mergeCell ref="M158:M158"/>
    <mergeCell ref="N158:N158"/>
    <mergeCell ref="O158:O158"/>
    <mergeCell ref="P158:P158"/>
    <mergeCell ref="Q158:Q158"/>
    <mergeCell ref="R158:R158"/>
    <mergeCell ref="S158:S158"/>
    <mergeCell ref="T158:T158"/>
    <mergeCell ref="A159:A159"/>
    <mergeCell ref="B159:B159"/>
    <mergeCell ref="C159:C159"/>
    <mergeCell ref="D159:D159"/>
    <mergeCell ref="E159:E159"/>
    <mergeCell ref="F159:F159"/>
    <mergeCell ref="G159:G159"/>
    <mergeCell ref="H159:H159"/>
    <mergeCell ref="I159:I159"/>
    <mergeCell ref="J159:J159"/>
    <mergeCell ref="K159:K159"/>
    <mergeCell ref="L159:L159"/>
    <mergeCell ref="M159:M159"/>
    <mergeCell ref="N159:N159"/>
    <mergeCell ref="O159:O159"/>
    <mergeCell ref="P159:P159"/>
    <mergeCell ref="Q159:Q159"/>
    <mergeCell ref="R159:R159"/>
    <mergeCell ref="S159:S159"/>
    <mergeCell ref="T159:T159"/>
    <mergeCell ref="A160:A160"/>
    <mergeCell ref="B160:B160"/>
    <mergeCell ref="C160:C160"/>
    <mergeCell ref="D160:D160"/>
    <mergeCell ref="E160:E160"/>
    <mergeCell ref="F160:F160"/>
    <mergeCell ref="G160:G160"/>
    <mergeCell ref="H160:H160"/>
    <mergeCell ref="I160:I160"/>
    <mergeCell ref="J160:J160"/>
    <mergeCell ref="K160:K160"/>
    <mergeCell ref="L160:L160"/>
    <mergeCell ref="M160:M160"/>
    <mergeCell ref="N160:N160"/>
    <mergeCell ref="O160:O160"/>
    <mergeCell ref="P160:P160"/>
    <mergeCell ref="Q160:Q160"/>
    <mergeCell ref="R160:R160"/>
    <mergeCell ref="S160:S160"/>
    <mergeCell ref="T160:T160"/>
    <mergeCell ref="A161:A161"/>
    <mergeCell ref="B161:B161"/>
    <mergeCell ref="C161:C161"/>
    <mergeCell ref="D161:D161"/>
    <mergeCell ref="E161:E161"/>
    <mergeCell ref="F161:F161"/>
    <mergeCell ref="G161:G161"/>
    <mergeCell ref="H161:H161"/>
    <mergeCell ref="I161:I161"/>
    <mergeCell ref="J161:J161"/>
    <mergeCell ref="K161:K161"/>
    <mergeCell ref="L161:L161"/>
    <mergeCell ref="M161:M161"/>
    <mergeCell ref="N161:N161"/>
    <mergeCell ref="O161:O161"/>
    <mergeCell ref="P161:P161"/>
    <mergeCell ref="Q161:Q161"/>
    <mergeCell ref="R161:R161"/>
    <mergeCell ref="S161:S161"/>
    <mergeCell ref="T161:T161"/>
    <mergeCell ref="A162:A162"/>
    <mergeCell ref="B162:B162"/>
    <mergeCell ref="C162:C162"/>
    <mergeCell ref="D162:D162"/>
    <mergeCell ref="E162:E162"/>
    <mergeCell ref="F162:F162"/>
    <mergeCell ref="G162:G162"/>
    <mergeCell ref="H162:H162"/>
    <mergeCell ref="I162:I162"/>
    <mergeCell ref="J162:J162"/>
    <mergeCell ref="K162:K162"/>
    <mergeCell ref="L162:L162"/>
    <mergeCell ref="M162:M162"/>
    <mergeCell ref="N162:N162"/>
    <mergeCell ref="O162:O162"/>
    <mergeCell ref="P162:P162"/>
    <mergeCell ref="Q162:Q162"/>
    <mergeCell ref="R162:R162"/>
    <mergeCell ref="S162:S162"/>
    <mergeCell ref="T162:T162"/>
    <mergeCell ref="A163:A163"/>
    <mergeCell ref="B163:B163"/>
    <mergeCell ref="C163:C163"/>
    <mergeCell ref="D163:D163"/>
    <mergeCell ref="E163:E163"/>
    <mergeCell ref="F163:F163"/>
    <mergeCell ref="G163:G163"/>
    <mergeCell ref="H163:H163"/>
    <mergeCell ref="I163:I163"/>
    <mergeCell ref="J163:J163"/>
    <mergeCell ref="K163:K163"/>
    <mergeCell ref="L163:L163"/>
    <mergeCell ref="M163:M163"/>
    <mergeCell ref="N163:N163"/>
    <mergeCell ref="O163:O163"/>
    <mergeCell ref="P163:P163"/>
    <mergeCell ref="Q163:Q163"/>
    <mergeCell ref="R163:R163"/>
    <mergeCell ref="S163:S163"/>
    <mergeCell ref="T163:T163"/>
    <mergeCell ref="A164:A164"/>
    <mergeCell ref="B164:B164"/>
    <mergeCell ref="C164:C164"/>
    <mergeCell ref="D164:D164"/>
    <mergeCell ref="E164:E164"/>
    <mergeCell ref="F164:F164"/>
    <mergeCell ref="G164:G164"/>
    <mergeCell ref="H164:H164"/>
    <mergeCell ref="I164:I164"/>
    <mergeCell ref="J164:J164"/>
    <mergeCell ref="K164:K164"/>
    <mergeCell ref="L164:L164"/>
    <mergeCell ref="M164:M164"/>
    <mergeCell ref="N164:N164"/>
    <mergeCell ref="O164:O164"/>
    <mergeCell ref="P164:P164"/>
    <mergeCell ref="Q164:Q164"/>
    <mergeCell ref="R164:R164"/>
    <mergeCell ref="S164:S164"/>
    <mergeCell ref="T164:T164"/>
    <mergeCell ref="A165:A165"/>
    <mergeCell ref="B165:B165"/>
    <mergeCell ref="C165:C165"/>
    <mergeCell ref="D165:D165"/>
    <mergeCell ref="E165:E165"/>
    <mergeCell ref="F165:F165"/>
    <mergeCell ref="G165:G165"/>
    <mergeCell ref="H165:H165"/>
    <mergeCell ref="I165:I165"/>
    <mergeCell ref="J165:J165"/>
    <mergeCell ref="K165:K165"/>
    <mergeCell ref="L165:L165"/>
    <mergeCell ref="M165:M165"/>
    <mergeCell ref="N165:N165"/>
    <mergeCell ref="O165:O165"/>
    <mergeCell ref="P165:P165"/>
    <mergeCell ref="Q165:Q165"/>
    <mergeCell ref="R165:R165"/>
    <mergeCell ref="S165:S165"/>
    <mergeCell ref="T165:T165"/>
    <mergeCell ref="A166:A166"/>
    <mergeCell ref="B166:B166"/>
    <mergeCell ref="C166:C166"/>
    <mergeCell ref="D166:D166"/>
    <mergeCell ref="E166:E166"/>
    <mergeCell ref="F166:F166"/>
    <mergeCell ref="G166:G166"/>
    <mergeCell ref="H166:H166"/>
    <mergeCell ref="I166:I166"/>
    <mergeCell ref="J166:J166"/>
    <mergeCell ref="K166:K166"/>
    <mergeCell ref="L166:L166"/>
    <mergeCell ref="M166:M166"/>
    <mergeCell ref="N166:N166"/>
    <mergeCell ref="O166:O166"/>
    <mergeCell ref="P166:P166"/>
    <mergeCell ref="Q166:Q166"/>
    <mergeCell ref="R166:R166"/>
    <mergeCell ref="S166:S166"/>
    <mergeCell ref="T166:T166"/>
    <mergeCell ref="A167:A167"/>
    <mergeCell ref="B167:B167"/>
    <mergeCell ref="C167:C167"/>
    <mergeCell ref="D167:D167"/>
    <mergeCell ref="E167:E167"/>
    <mergeCell ref="F167:F167"/>
    <mergeCell ref="G167:G167"/>
    <mergeCell ref="H167:H167"/>
    <mergeCell ref="I167:I167"/>
    <mergeCell ref="J167:J167"/>
    <mergeCell ref="K167:K167"/>
    <mergeCell ref="L167:L167"/>
    <mergeCell ref="M167:M167"/>
    <mergeCell ref="N167:N167"/>
    <mergeCell ref="O167:O167"/>
    <mergeCell ref="P167:P167"/>
    <mergeCell ref="Q167:Q167"/>
    <mergeCell ref="R167:R167"/>
    <mergeCell ref="S167:S167"/>
    <mergeCell ref="T167:T167"/>
    <mergeCell ref="A168:A168"/>
    <mergeCell ref="B168:B168"/>
    <mergeCell ref="C168:C168"/>
    <mergeCell ref="D168:D168"/>
    <mergeCell ref="E168:E168"/>
    <mergeCell ref="F168:F168"/>
    <mergeCell ref="G168:G168"/>
    <mergeCell ref="H168:H168"/>
    <mergeCell ref="I168:I168"/>
    <mergeCell ref="J168:J168"/>
    <mergeCell ref="K168:K168"/>
    <mergeCell ref="L168:L168"/>
    <mergeCell ref="M168:M168"/>
    <mergeCell ref="N168:N168"/>
    <mergeCell ref="O168:O168"/>
    <mergeCell ref="P168:P168"/>
    <mergeCell ref="Q168:Q168"/>
    <mergeCell ref="R168:R168"/>
    <mergeCell ref="S168:S168"/>
    <mergeCell ref="T168:T168"/>
    <mergeCell ref="A169:A169"/>
    <mergeCell ref="B169:B169"/>
    <mergeCell ref="C169:C169"/>
    <mergeCell ref="D169:D169"/>
    <mergeCell ref="E169:E169"/>
    <mergeCell ref="F169:F169"/>
    <mergeCell ref="G169:G169"/>
    <mergeCell ref="H169:H169"/>
    <mergeCell ref="I169:I169"/>
    <mergeCell ref="J169:J169"/>
    <mergeCell ref="K169:K169"/>
    <mergeCell ref="L169:L169"/>
    <mergeCell ref="M169:M169"/>
    <mergeCell ref="N169:N169"/>
    <mergeCell ref="O169:O169"/>
    <mergeCell ref="P169:P169"/>
    <mergeCell ref="Q169:Q169"/>
    <mergeCell ref="R169:R169"/>
    <mergeCell ref="S169:S169"/>
    <mergeCell ref="T169:T169"/>
    <mergeCell ref="A170:A170"/>
    <mergeCell ref="B170:B170"/>
    <mergeCell ref="C170:C170"/>
    <mergeCell ref="D170:D170"/>
    <mergeCell ref="E170:E170"/>
    <mergeCell ref="F170:F170"/>
    <mergeCell ref="G170:G170"/>
    <mergeCell ref="H170:H170"/>
    <mergeCell ref="I170:I170"/>
    <mergeCell ref="J170:J170"/>
    <mergeCell ref="K170:K170"/>
    <mergeCell ref="L170:L170"/>
    <mergeCell ref="M170:M170"/>
    <mergeCell ref="N170:N170"/>
    <mergeCell ref="O170:O170"/>
    <mergeCell ref="P170:P170"/>
    <mergeCell ref="Q170:Q170"/>
    <mergeCell ref="R170:R170"/>
    <mergeCell ref="S170:S170"/>
    <mergeCell ref="T170:T170"/>
    <mergeCell ref="A171:A171"/>
    <mergeCell ref="B171:B171"/>
    <mergeCell ref="C171:C171"/>
    <mergeCell ref="D171:D171"/>
    <mergeCell ref="E171:E171"/>
    <mergeCell ref="F171:F171"/>
    <mergeCell ref="G171:G171"/>
    <mergeCell ref="H171:H171"/>
    <mergeCell ref="I171:I171"/>
    <mergeCell ref="J171:J171"/>
    <mergeCell ref="K171:K171"/>
    <mergeCell ref="L171:L171"/>
    <mergeCell ref="M171:M171"/>
    <mergeCell ref="N171:N171"/>
    <mergeCell ref="O171:O171"/>
    <mergeCell ref="P171:P171"/>
    <mergeCell ref="Q171:Q171"/>
    <mergeCell ref="R171:R171"/>
    <mergeCell ref="S171:S171"/>
    <mergeCell ref="T171:T171"/>
    <mergeCell ref="A172:A172"/>
    <mergeCell ref="B172:B172"/>
    <mergeCell ref="C172:C172"/>
    <mergeCell ref="D172:D172"/>
    <mergeCell ref="E172:E172"/>
    <mergeCell ref="F172:F172"/>
    <mergeCell ref="G172:G172"/>
    <mergeCell ref="H172:H172"/>
    <mergeCell ref="I172:I172"/>
    <mergeCell ref="J172:J172"/>
    <mergeCell ref="K172:K172"/>
    <mergeCell ref="L172:L172"/>
    <mergeCell ref="M172:M172"/>
    <mergeCell ref="N172:N172"/>
    <mergeCell ref="O172:O172"/>
    <mergeCell ref="P172:P172"/>
    <mergeCell ref="Q172:Q172"/>
    <mergeCell ref="R172:R172"/>
    <mergeCell ref="S172:S172"/>
    <mergeCell ref="T172:T172"/>
    <mergeCell ref="A173:A173"/>
    <mergeCell ref="B173:B173"/>
    <mergeCell ref="C173:C173"/>
    <mergeCell ref="D173:D173"/>
    <mergeCell ref="E173:E173"/>
    <mergeCell ref="F173:F173"/>
    <mergeCell ref="G173:G173"/>
    <mergeCell ref="H173:H173"/>
    <mergeCell ref="I173:I173"/>
    <mergeCell ref="J173:J173"/>
    <mergeCell ref="K173:K173"/>
    <mergeCell ref="L173:L173"/>
    <mergeCell ref="M173:M173"/>
    <mergeCell ref="N173:N173"/>
    <mergeCell ref="O173:O173"/>
    <mergeCell ref="P173:P173"/>
    <mergeCell ref="Q173:Q173"/>
    <mergeCell ref="R173:R173"/>
    <mergeCell ref="S173:S173"/>
    <mergeCell ref="T173:T173"/>
    <mergeCell ref="A174:A174"/>
    <mergeCell ref="B174:B174"/>
    <mergeCell ref="C174:C174"/>
    <mergeCell ref="D174:D174"/>
    <mergeCell ref="E174:E174"/>
    <mergeCell ref="F174:F174"/>
    <mergeCell ref="G174:G174"/>
    <mergeCell ref="H174:H174"/>
    <mergeCell ref="I174:I174"/>
    <mergeCell ref="J174:J174"/>
    <mergeCell ref="K174:K174"/>
    <mergeCell ref="L174:L174"/>
    <mergeCell ref="M174:M174"/>
    <mergeCell ref="N174:N174"/>
    <mergeCell ref="O174:O174"/>
    <mergeCell ref="P174:P174"/>
    <mergeCell ref="Q174:Q174"/>
    <mergeCell ref="R174:R174"/>
    <mergeCell ref="S174:S174"/>
    <mergeCell ref="T174:T174"/>
    <mergeCell ref="A175:A175"/>
    <mergeCell ref="B175:B175"/>
    <mergeCell ref="C175:C175"/>
    <mergeCell ref="D175:D175"/>
    <mergeCell ref="E175:E175"/>
    <mergeCell ref="F175:F175"/>
    <mergeCell ref="G175:G175"/>
    <mergeCell ref="H175:H175"/>
    <mergeCell ref="I175:I175"/>
    <mergeCell ref="J175:J175"/>
    <mergeCell ref="K175:K175"/>
    <mergeCell ref="L175:L175"/>
    <mergeCell ref="M175:M175"/>
    <mergeCell ref="N175:N175"/>
    <mergeCell ref="O175:O175"/>
    <mergeCell ref="P175:P175"/>
    <mergeCell ref="Q175:Q175"/>
    <mergeCell ref="R175:R175"/>
    <mergeCell ref="S175:S175"/>
    <mergeCell ref="T175:T175"/>
    <mergeCell ref="A176:A176"/>
    <mergeCell ref="B176:B176"/>
    <mergeCell ref="C176:C176"/>
    <mergeCell ref="D176:D176"/>
    <mergeCell ref="E176:E176"/>
    <mergeCell ref="F176:F176"/>
    <mergeCell ref="G176:G176"/>
    <mergeCell ref="H176:H176"/>
    <mergeCell ref="I176:I176"/>
    <mergeCell ref="J176:J176"/>
    <mergeCell ref="K176:K176"/>
    <mergeCell ref="L176:L176"/>
    <mergeCell ref="M176:M176"/>
    <mergeCell ref="N176:N176"/>
    <mergeCell ref="O176:O176"/>
    <mergeCell ref="P176:P176"/>
    <mergeCell ref="Q176:Q176"/>
    <mergeCell ref="R176:R176"/>
    <mergeCell ref="S176:S176"/>
    <mergeCell ref="T176:T176"/>
    <mergeCell ref="A177:A177"/>
    <mergeCell ref="B177:B177"/>
    <mergeCell ref="C177:C177"/>
    <mergeCell ref="D177:D177"/>
    <mergeCell ref="E177:E177"/>
    <mergeCell ref="F177:F177"/>
    <mergeCell ref="G177:G177"/>
    <mergeCell ref="H177:H177"/>
    <mergeCell ref="I177:I177"/>
    <mergeCell ref="J177:J177"/>
    <mergeCell ref="K177:K177"/>
    <mergeCell ref="L177:L177"/>
    <mergeCell ref="M177:M177"/>
    <mergeCell ref="N177:N177"/>
    <mergeCell ref="O177:O177"/>
    <mergeCell ref="P177:P177"/>
    <mergeCell ref="Q177:Q177"/>
    <mergeCell ref="R177:R177"/>
    <mergeCell ref="S177:S177"/>
    <mergeCell ref="T177:T177"/>
    <mergeCell ref="A178:A178"/>
    <mergeCell ref="B178:B178"/>
    <mergeCell ref="C178:C178"/>
    <mergeCell ref="D178:D178"/>
    <mergeCell ref="E178:E178"/>
    <mergeCell ref="F178:F178"/>
    <mergeCell ref="G178:G178"/>
    <mergeCell ref="H178:H178"/>
    <mergeCell ref="I178:I178"/>
    <mergeCell ref="J178:J178"/>
    <mergeCell ref="K178:K178"/>
    <mergeCell ref="L178:L178"/>
    <mergeCell ref="M178:M178"/>
    <mergeCell ref="N178:N178"/>
    <mergeCell ref="O178:O178"/>
    <mergeCell ref="P178:P178"/>
    <mergeCell ref="Q178:Q178"/>
    <mergeCell ref="R178:R178"/>
    <mergeCell ref="S178:S178"/>
    <mergeCell ref="T178:T178"/>
    <mergeCell ref="A179:A179"/>
    <mergeCell ref="B179:B179"/>
    <mergeCell ref="C179:C179"/>
    <mergeCell ref="D179:D179"/>
    <mergeCell ref="E179:E179"/>
    <mergeCell ref="F179:F179"/>
    <mergeCell ref="G179:G179"/>
    <mergeCell ref="H179:H179"/>
    <mergeCell ref="I179:I179"/>
    <mergeCell ref="J179:J179"/>
    <mergeCell ref="K179:K179"/>
    <mergeCell ref="L179:L179"/>
    <mergeCell ref="M179:M179"/>
    <mergeCell ref="N179:N179"/>
    <mergeCell ref="O179:O179"/>
    <mergeCell ref="P179:P179"/>
    <mergeCell ref="Q179:Q179"/>
    <mergeCell ref="R179:R179"/>
    <mergeCell ref="S179:S179"/>
    <mergeCell ref="T179:T179"/>
    <mergeCell ref="A180:A180"/>
    <mergeCell ref="B180:B180"/>
    <mergeCell ref="C180:C180"/>
    <mergeCell ref="D180:D180"/>
    <mergeCell ref="E180:E180"/>
    <mergeCell ref="F180:F180"/>
    <mergeCell ref="G180:G180"/>
    <mergeCell ref="H180:H180"/>
    <mergeCell ref="I180:I180"/>
    <mergeCell ref="J180:J180"/>
    <mergeCell ref="K180:K180"/>
    <mergeCell ref="L180:L180"/>
    <mergeCell ref="M180:M180"/>
    <mergeCell ref="N180:N180"/>
    <mergeCell ref="O180:O180"/>
    <mergeCell ref="P180:P180"/>
    <mergeCell ref="Q180:Q180"/>
    <mergeCell ref="R180:R180"/>
    <mergeCell ref="S180:S180"/>
    <mergeCell ref="T180:T180"/>
    <mergeCell ref="A181:A181"/>
    <mergeCell ref="B181:B181"/>
    <mergeCell ref="C181:C181"/>
    <mergeCell ref="D181:D181"/>
    <mergeCell ref="E181:E181"/>
    <mergeCell ref="F181:F181"/>
    <mergeCell ref="G181:G181"/>
    <mergeCell ref="H181:H181"/>
    <mergeCell ref="I181:I181"/>
    <mergeCell ref="J181:J181"/>
    <mergeCell ref="K181:K181"/>
    <mergeCell ref="L181:L181"/>
    <mergeCell ref="M181:M181"/>
    <mergeCell ref="N181:N181"/>
    <mergeCell ref="O181:O181"/>
    <mergeCell ref="P181:P181"/>
    <mergeCell ref="Q181:Q181"/>
    <mergeCell ref="R181:R181"/>
    <mergeCell ref="S181:S181"/>
    <mergeCell ref="T181:T181"/>
    <mergeCell ref="A182:A182"/>
    <mergeCell ref="B182:B182"/>
    <mergeCell ref="C182:C182"/>
    <mergeCell ref="D182:D182"/>
    <mergeCell ref="E182:E182"/>
    <mergeCell ref="F182:F182"/>
    <mergeCell ref="G182:G182"/>
    <mergeCell ref="H182:H182"/>
    <mergeCell ref="I182:I182"/>
    <mergeCell ref="J182:J182"/>
    <mergeCell ref="K182:K182"/>
    <mergeCell ref="L182:L182"/>
    <mergeCell ref="M182:M182"/>
    <mergeCell ref="N182:N182"/>
    <mergeCell ref="O182:O182"/>
    <mergeCell ref="P182:P182"/>
    <mergeCell ref="Q182:Q182"/>
    <mergeCell ref="R182:R182"/>
    <mergeCell ref="S182:S182"/>
    <mergeCell ref="T182:T182"/>
    <mergeCell ref="A183:A183"/>
    <mergeCell ref="B183:B183"/>
    <mergeCell ref="C183:C183"/>
    <mergeCell ref="D183:D183"/>
    <mergeCell ref="E183:E183"/>
    <mergeCell ref="F183:F183"/>
    <mergeCell ref="G183:G183"/>
    <mergeCell ref="H183:H183"/>
    <mergeCell ref="I183:I183"/>
    <mergeCell ref="J183:J183"/>
    <mergeCell ref="K183:K183"/>
    <mergeCell ref="L183:L183"/>
    <mergeCell ref="M183:M183"/>
    <mergeCell ref="N183:N183"/>
    <mergeCell ref="O183:O183"/>
    <mergeCell ref="P183:P183"/>
    <mergeCell ref="Q183:Q183"/>
    <mergeCell ref="R183:R183"/>
    <mergeCell ref="S183:S183"/>
    <mergeCell ref="T183:T183"/>
    <mergeCell ref="A184:A184"/>
    <mergeCell ref="B184:B184"/>
    <mergeCell ref="C184:C184"/>
    <mergeCell ref="D184:D184"/>
    <mergeCell ref="E184:E184"/>
    <mergeCell ref="F184:F184"/>
    <mergeCell ref="G184:G184"/>
    <mergeCell ref="H184:H184"/>
    <mergeCell ref="I184:I184"/>
    <mergeCell ref="J184:J184"/>
    <mergeCell ref="K184:K184"/>
    <mergeCell ref="L184:L184"/>
    <mergeCell ref="M184:M184"/>
    <mergeCell ref="N184:N184"/>
    <mergeCell ref="O184:O184"/>
    <mergeCell ref="P184:P184"/>
    <mergeCell ref="Q184:Q184"/>
    <mergeCell ref="R184:R184"/>
    <mergeCell ref="S184:S184"/>
    <mergeCell ref="T184:T184"/>
    <mergeCell ref="A185:A185"/>
    <mergeCell ref="B185:B185"/>
    <mergeCell ref="C185:C185"/>
    <mergeCell ref="D185:D185"/>
    <mergeCell ref="E185:E185"/>
    <mergeCell ref="F185:F185"/>
    <mergeCell ref="G185:G185"/>
    <mergeCell ref="H185:H185"/>
    <mergeCell ref="I185:I185"/>
    <mergeCell ref="J185:J185"/>
    <mergeCell ref="K185:K185"/>
    <mergeCell ref="L185:L185"/>
    <mergeCell ref="M185:M185"/>
    <mergeCell ref="N185:N185"/>
    <mergeCell ref="O185:O185"/>
    <mergeCell ref="P185:P185"/>
    <mergeCell ref="Q185:Q185"/>
    <mergeCell ref="R185:R185"/>
    <mergeCell ref="S185:S185"/>
    <mergeCell ref="T185:T185"/>
    <mergeCell ref="A186:A186"/>
    <mergeCell ref="B186:B186"/>
    <mergeCell ref="C186:C186"/>
    <mergeCell ref="D186:D186"/>
    <mergeCell ref="E186:E186"/>
    <mergeCell ref="F186:F186"/>
    <mergeCell ref="G186:G186"/>
    <mergeCell ref="H186:H186"/>
    <mergeCell ref="I186:I186"/>
    <mergeCell ref="J186:J186"/>
    <mergeCell ref="K186:K186"/>
    <mergeCell ref="L186:L186"/>
    <mergeCell ref="M186:M186"/>
    <mergeCell ref="N186:N186"/>
    <mergeCell ref="O186:O186"/>
    <mergeCell ref="P186:P186"/>
    <mergeCell ref="Q186:Q186"/>
    <mergeCell ref="R186:R186"/>
    <mergeCell ref="S186:S186"/>
    <mergeCell ref="T186:T186"/>
    <mergeCell ref="A187:A187"/>
    <mergeCell ref="B187:B187"/>
    <mergeCell ref="C187:C187"/>
    <mergeCell ref="D187:D187"/>
    <mergeCell ref="E187:E187"/>
    <mergeCell ref="F187:F187"/>
    <mergeCell ref="G187:G187"/>
    <mergeCell ref="H187:H187"/>
    <mergeCell ref="I187:I187"/>
    <mergeCell ref="J187:J187"/>
    <mergeCell ref="K187:K187"/>
    <mergeCell ref="L187:L187"/>
    <mergeCell ref="M187:M187"/>
    <mergeCell ref="N187:N187"/>
    <mergeCell ref="O187:O187"/>
    <mergeCell ref="P187:P187"/>
    <mergeCell ref="Q187:Q187"/>
    <mergeCell ref="R187:R187"/>
    <mergeCell ref="S187:S187"/>
    <mergeCell ref="T187:T187"/>
    <mergeCell ref="A188:A188"/>
    <mergeCell ref="B188:B188"/>
    <mergeCell ref="C188:C188"/>
    <mergeCell ref="D188:D188"/>
    <mergeCell ref="E188:E188"/>
    <mergeCell ref="F188:F188"/>
    <mergeCell ref="G188:G188"/>
    <mergeCell ref="H188:H188"/>
    <mergeCell ref="I188:I188"/>
    <mergeCell ref="J188:J188"/>
    <mergeCell ref="K188:K188"/>
    <mergeCell ref="L188:L188"/>
    <mergeCell ref="M188:M188"/>
    <mergeCell ref="N188:N188"/>
    <mergeCell ref="O188:O188"/>
    <mergeCell ref="P188:P188"/>
    <mergeCell ref="Q188:Q188"/>
    <mergeCell ref="R188:R188"/>
    <mergeCell ref="S188:S188"/>
    <mergeCell ref="T188:T188"/>
    <mergeCell ref="A189:A189"/>
    <mergeCell ref="B189:B189"/>
    <mergeCell ref="C189:C189"/>
    <mergeCell ref="D189:D189"/>
    <mergeCell ref="E189:E189"/>
    <mergeCell ref="F189:F189"/>
    <mergeCell ref="G189:G189"/>
    <mergeCell ref="H189:H189"/>
    <mergeCell ref="I189:I189"/>
    <mergeCell ref="J189:J189"/>
    <mergeCell ref="K189:K189"/>
    <mergeCell ref="L189:L189"/>
    <mergeCell ref="M189:M189"/>
    <mergeCell ref="N189:N189"/>
    <mergeCell ref="O189:O189"/>
    <mergeCell ref="P189:P189"/>
    <mergeCell ref="Q189:Q189"/>
    <mergeCell ref="R189:R189"/>
    <mergeCell ref="S189:S189"/>
    <mergeCell ref="T189:T189"/>
    <mergeCell ref="A190:A190"/>
    <mergeCell ref="B190:B190"/>
    <mergeCell ref="C190:C190"/>
    <mergeCell ref="D190:D190"/>
    <mergeCell ref="E190:E190"/>
    <mergeCell ref="F190:F190"/>
    <mergeCell ref="G190:G190"/>
    <mergeCell ref="H190:H190"/>
    <mergeCell ref="I190:I190"/>
    <mergeCell ref="J190:J190"/>
    <mergeCell ref="K190:K190"/>
    <mergeCell ref="L190:L190"/>
    <mergeCell ref="M190:M190"/>
    <mergeCell ref="N190:N190"/>
    <mergeCell ref="O190:O190"/>
    <mergeCell ref="P190:P190"/>
    <mergeCell ref="Q190:Q190"/>
    <mergeCell ref="R190:R190"/>
    <mergeCell ref="S190:S190"/>
    <mergeCell ref="T190:T190"/>
    <mergeCell ref="A191:A191"/>
    <mergeCell ref="B191:B191"/>
    <mergeCell ref="C191:C191"/>
    <mergeCell ref="D191:D191"/>
    <mergeCell ref="E191:E191"/>
    <mergeCell ref="F191:F191"/>
    <mergeCell ref="G191:G191"/>
    <mergeCell ref="H191:H191"/>
    <mergeCell ref="I191:I191"/>
    <mergeCell ref="J191:J191"/>
    <mergeCell ref="K191:K191"/>
    <mergeCell ref="L191:L191"/>
    <mergeCell ref="M191:M191"/>
    <mergeCell ref="N191:N191"/>
    <mergeCell ref="O191:O191"/>
    <mergeCell ref="P191:P191"/>
    <mergeCell ref="Q191:Q191"/>
    <mergeCell ref="R191:R191"/>
    <mergeCell ref="S191:S191"/>
    <mergeCell ref="T191:T191"/>
    <mergeCell ref="A192:A192"/>
    <mergeCell ref="B192:B192"/>
    <mergeCell ref="C192:C192"/>
    <mergeCell ref="D192:D192"/>
    <mergeCell ref="E192:E192"/>
    <mergeCell ref="F192:F192"/>
    <mergeCell ref="G192:G192"/>
    <mergeCell ref="H192:H192"/>
    <mergeCell ref="I192:I192"/>
    <mergeCell ref="J192:J192"/>
    <mergeCell ref="K192:K192"/>
    <mergeCell ref="L192:L192"/>
    <mergeCell ref="M192:M192"/>
    <mergeCell ref="N192:N192"/>
    <mergeCell ref="O192:O192"/>
    <mergeCell ref="P192:P192"/>
    <mergeCell ref="Q192:Q192"/>
    <mergeCell ref="R192:R192"/>
    <mergeCell ref="S192:S192"/>
    <mergeCell ref="T192:T192"/>
    <mergeCell ref="A193:A193"/>
    <mergeCell ref="B193:B193"/>
    <mergeCell ref="C193:C193"/>
    <mergeCell ref="D193:D193"/>
    <mergeCell ref="E193:E193"/>
    <mergeCell ref="F193:F193"/>
    <mergeCell ref="G193:G193"/>
    <mergeCell ref="H193:H193"/>
    <mergeCell ref="I193:I193"/>
    <mergeCell ref="J193:J193"/>
    <mergeCell ref="K193:K193"/>
    <mergeCell ref="L193:L193"/>
    <mergeCell ref="M193:M193"/>
    <mergeCell ref="N193:N193"/>
    <mergeCell ref="O193:O193"/>
    <mergeCell ref="P193:P193"/>
    <mergeCell ref="Q193:Q193"/>
    <mergeCell ref="R193:R193"/>
    <mergeCell ref="S193:S193"/>
    <mergeCell ref="T193:T193"/>
    <mergeCell ref="A194:A194"/>
    <mergeCell ref="B194:B194"/>
    <mergeCell ref="C194:C194"/>
    <mergeCell ref="D194:D194"/>
    <mergeCell ref="E194:E194"/>
    <mergeCell ref="F194:F194"/>
    <mergeCell ref="G194:G194"/>
    <mergeCell ref="H194:H194"/>
    <mergeCell ref="I194:I194"/>
    <mergeCell ref="J194:J194"/>
    <mergeCell ref="K194:K194"/>
    <mergeCell ref="L194:L194"/>
    <mergeCell ref="M194:M194"/>
    <mergeCell ref="N194:N194"/>
    <mergeCell ref="O194:O194"/>
    <mergeCell ref="P194:P194"/>
    <mergeCell ref="Q194:Q194"/>
    <mergeCell ref="R194:R194"/>
    <mergeCell ref="S194:S194"/>
    <mergeCell ref="T194:T194"/>
    <mergeCell ref="A195:A195"/>
    <mergeCell ref="B195:B195"/>
    <mergeCell ref="C195:C195"/>
    <mergeCell ref="D195:D195"/>
    <mergeCell ref="E195:E195"/>
    <mergeCell ref="F195:F195"/>
    <mergeCell ref="G195:G195"/>
    <mergeCell ref="H195:H195"/>
    <mergeCell ref="I195:I195"/>
    <mergeCell ref="J195:J195"/>
    <mergeCell ref="K195:K195"/>
    <mergeCell ref="L195:L195"/>
    <mergeCell ref="M195:M195"/>
    <mergeCell ref="N195:N195"/>
    <mergeCell ref="O195:O195"/>
    <mergeCell ref="P195:P195"/>
    <mergeCell ref="Q195:Q195"/>
    <mergeCell ref="R195:R195"/>
    <mergeCell ref="S195:S195"/>
    <mergeCell ref="T195:T195"/>
    <mergeCell ref="A196:A196"/>
    <mergeCell ref="B196:B196"/>
    <mergeCell ref="C196:C196"/>
    <mergeCell ref="D196:D196"/>
    <mergeCell ref="E196:E196"/>
    <mergeCell ref="F196:F196"/>
    <mergeCell ref="G196:G196"/>
    <mergeCell ref="H196:H196"/>
    <mergeCell ref="I196:I196"/>
    <mergeCell ref="J196:J196"/>
    <mergeCell ref="K196:K196"/>
    <mergeCell ref="L196:L196"/>
    <mergeCell ref="M196:M196"/>
    <mergeCell ref="N196:N196"/>
    <mergeCell ref="O196:O196"/>
    <mergeCell ref="P196:P196"/>
    <mergeCell ref="Q196:Q196"/>
    <mergeCell ref="R196:R196"/>
    <mergeCell ref="S196:S196"/>
    <mergeCell ref="T196:T196"/>
    <mergeCell ref="A197:A197"/>
    <mergeCell ref="B197:B197"/>
    <mergeCell ref="C197:C197"/>
    <mergeCell ref="D197:D197"/>
    <mergeCell ref="E197:E197"/>
    <mergeCell ref="F197:F197"/>
    <mergeCell ref="G197:G197"/>
    <mergeCell ref="H197:H197"/>
    <mergeCell ref="I197:I197"/>
    <mergeCell ref="J197:J197"/>
    <mergeCell ref="K197:K197"/>
    <mergeCell ref="L197:L197"/>
    <mergeCell ref="M197:M197"/>
    <mergeCell ref="N197:N197"/>
    <mergeCell ref="O197:O197"/>
    <mergeCell ref="P197:P197"/>
    <mergeCell ref="Q197:Q197"/>
    <mergeCell ref="R197:R197"/>
    <mergeCell ref="S197:S197"/>
    <mergeCell ref="T197:T197"/>
    <mergeCell ref="A198:A198"/>
    <mergeCell ref="B198:B198"/>
    <mergeCell ref="C198:C198"/>
    <mergeCell ref="D198:D198"/>
    <mergeCell ref="E198:E198"/>
    <mergeCell ref="F198:F198"/>
    <mergeCell ref="G198:G198"/>
    <mergeCell ref="H198:H198"/>
    <mergeCell ref="I198:I198"/>
    <mergeCell ref="J198:J198"/>
    <mergeCell ref="K198:K198"/>
    <mergeCell ref="L198:L198"/>
    <mergeCell ref="M198:M198"/>
    <mergeCell ref="N198:N198"/>
    <mergeCell ref="O198:O198"/>
    <mergeCell ref="P198:P198"/>
    <mergeCell ref="Q198:Q198"/>
    <mergeCell ref="R198:R198"/>
    <mergeCell ref="S198:S198"/>
    <mergeCell ref="T198:T198"/>
    <mergeCell ref="A199:A199"/>
    <mergeCell ref="B199:B199"/>
    <mergeCell ref="C199:C199"/>
    <mergeCell ref="D199:D199"/>
    <mergeCell ref="E199:E199"/>
    <mergeCell ref="F199:F199"/>
    <mergeCell ref="G199:G199"/>
    <mergeCell ref="H199:H199"/>
    <mergeCell ref="I199:I199"/>
    <mergeCell ref="J199:J199"/>
    <mergeCell ref="K199:K199"/>
    <mergeCell ref="L199:L199"/>
    <mergeCell ref="M199:M199"/>
    <mergeCell ref="N199:N199"/>
    <mergeCell ref="O199:O199"/>
    <mergeCell ref="P199:P199"/>
    <mergeCell ref="Q199:Q199"/>
    <mergeCell ref="R199:R199"/>
    <mergeCell ref="S199:S199"/>
    <mergeCell ref="T199:T199"/>
    <mergeCell ref="A200:A200"/>
    <mergeCell ref="B200:B200"/>
    <mergeCell ref="C200:C200"/>
    <mergeCell ref="D200:D200"/>
    <mergeCell ref="E200:E200"/>
    <mergeCell ref="F200:F200"/>
    <mergeCell ref="G200:G200"/>
    <mergeCell ref="H200:H200"/>
    <mergeCell ref="I200:I200"/>
    <mergeCell ref="J200:J200"/>
    <mergeCell ref="K200:K200"/>
    <mergeCell ref="L200:L200"/>
    <mergeCell ref="M200:M200"/>
    <mergeCell ref="N200:N200"/>
    <mergeCell ref="O200:O200"/>
    <mergeCell ref="P200:P200"/>
    <mergeCell ref="Q200:Q200"/>
    <mergeCell ref="R200:R200"/>
    <mergeCell ref="S200:S200"/>
    <mergeCell ref="T200:T200"/>
    <mergeCell ref="A201:A201"/>
    <mergeCell ref="B201:B201"/>
    <mergeCell ref="C201:C201"/>
    <mergeCell ref="D201:D201"/>
    <mergeCell ref="E201:E201"/>
    <mergeCell ref="F201:F201"/>
    <mergeCell ref="G201:G201"/>
    <mergeCell ref="H201:H201"/>
    <mergeCell ref="I201:I201"/>
    <mergeCell ref="J201:J201"/>
    <mergeCell ref="K201:K201"/>
    <mergeCell ref="L201:L201"/>
    <mergeCell ref="M201:M201"/>
    <mergeCell ref="N201:N201"/>
    <mergeCell ref="O201:O201"/>
    <mergeCell ref="P201:P201"/>
    <mergeCell ref="Q201:Q201"/>
    <mergeCell ref="R201:R201"/>
    <mergeCell ref="S201:S201"/>
    <mergeCell ref="T201:T201"/>
    <mergeCell ref="A202:A202"/>
    <mergeCell ref="B202:B202"/>
    <mergeCell ref="C202:C202"/>
    <mergeCell ref="D202:D202"/>
    <mergeCell ref="E202:E202"/>
    <mergeCell ref="F202:F202"/>
    <mergeCell ref="G202:G202"/>
    <mergeCell ref="H202:H202"/>
    <mergeCell ref="I202:I202"/>
    <mergeCell ref="J202:J202"/>
    <mergeCell ref="K202:K202"/>
    <mergeCell ref="L202:L202"/>
    <mergeCell ref="M202:M202"/>
    <mergeCell ref="N202:N202"/>
    <mergeCell ref="O202:O202"/>
    <mergeCell ref="P202:P202"/>
    <mergeCell ref="Q202:Q202"/>
    <mergeCell ref="R202:R202"/>
    <mergeCell ref="S202:S202"/>
    <mergeCell ref="T202:T202"/>
    <mergeCell ref="A203:A203"/>
    <mergeCell ref="B203:B203"/>
    <mergeCell ref="C203:C203"/>
    <mergeCell ref="D203:D203"/>
    <mergeCell ref="E203:E203"/>
    <mergeCell ref="F203:F203"/>
    <mergeCell ref="G203:G203"/>
    <mergeCell ref="H203:H203"/>
    <mergeCell ref="I203:I203"/>
    <mergeCell ref="J203:J203"/>
    <mergeCell ref="K203:K203"/>
    <mergeCell ref="L203:L203"/>
    <mergeCell ref="M203:M203"/>
    <mergeCell ref="N203:N203"/>
    <mergeCell ref="O203:O203"/>
    <mergeCell ref="P203:P203"/>
    <mergeCell ref="Q203:Q203"/>
    <mergeCell ref="R203:R203"/>
    <mergeCell ref="S203:S203"/>
    <mergeCell ref="T203:T203"/>
    <mergeCell ref="A204:A204"/>
    <mergeCell ref="B204:B204"/>
    <mergeCell ref="C204:C204"/>
    <mergeCell ref="D204:D204"/>
    <mergeCell ref="E204:E204"/>
    <mergeCell ref="F204:F204"/>
    <mergeCell ref="G204:G204"/>
    <mergeCell ref="H204:H204"/>
    <mergeCell ref="I204:I204"/>
    <mergeCell ref="J204:J204"/>
    <mergeCell ref="K204:K204"/>
    <mergeCell ref="L204:L204"/>
    <mergeCell ref="M204:M204"/>
    <mergeCell ref="N204:N204"/>
    <mergeCell ref="O204:O204"/>
    <mergeCell ref="P204:P204"/>
    <mergeCell ref="Q204:Q204"/>
    <mergeCell ref="R204:R204"/>
    <mergeCell ref="S204:S204"/>
    <mergeCell ref="T204:T204"/>
    <mergeCell ref="A205:A205"/>
    <mergeCell ref="B205:B205"/>
    <mergeCell ref="C205:C205"/>
    <mergeCell ref="D205:D205"/>
    <mergeCell ref="E205:E205"/>
    <mergeCell ref="F205:F205"/>
    <mergeCell ref="G205:G205"/>
    <mergeCell ref="H205:H205"/>
    <mergeCell ref="I205:I205"/>
    <mergeCell ref="J205:J205"/>
    <mergeCell ref="K205:K205"/>
    <mergeCell ref="L205:L205"/>
    <mergeCell ref="M205:M205"/>
    <mergeCell ref="N205:N205"/>
    <mergeCell ref="O205:O205"/>
    <mergeCell ref="P205:P205"/>
    <mergeCell ref="Q205:Q205"/>
    <mergeCell ref="R205:R205"/>
    <mergeCell ref="S205:S205"/>
    <mergeCell ref="T205:T205"/>
    <mergeCell ref="A206:A206"/>
    <mergeCell ref="B206:B206"/>
    <mergeCell ref="C206:C206"/>
    <mergeCell ref="D206:D206"/>
    <mergeCell ref="E206:E206"/>
    <mergeCell ref="F206:F206"/>
    <mergeCell ref="G206:G206"/>
    <mergeCell ref="H206:H206"/>
    <mergeCell ref="I206:I206"/>
    <mergeCell ref="J206:J206"/>
    <mergeCell ref="K206:K206"/>
    <mergeCell ref="L206:L206"/>
    <mergeCell ref="M206:M206"/>
    <mergeCell ref="N206:N206"/>
    <mergeCell ref="O206:O206"/>
    <mergeCell ref="P206:P206"/>
    <mergeCell ref="Q206:Q206"/>
    <mergeCell ref="R206:R206"/>
    <mergeCell ref="S206:S206"/>
    <mergeCell ref="T206:T206"/>
    <mergeCell ref="A207:A207"/>
    <mergeCell ref="B207:B207"/>
    <mergeCell ref="C207:C207"/>
    <mergeCell ref="D207:D207"/>
    <mergeCell ref="E207:E207"/>
    <mergeCell ref="F207:F207"/>
    <mergeCell ref="G207:G207"/>
    <mergeCell ref="H207:H207"/>
    <mergeCell ref="I207:I207"/>
    <mergeCell ref="J207:J207"/>
    <mergeCell ref="K207:K207"/>
    <mergeCell ref="L207:L207"/>
    <mergeCell ref="M207:M207"/>
    <mergeCell ref="N207:N207"/>
    <mergeCell ref="O207:O207"/>
    <mergeCell ref="P207:P207"/>
    <mergeCell ref="Q207:Q207"/>
    <mergeCell ref="R207:R207"/>
    <mergeCell ref="S207:S207"/>
    <mergeCell ref="T207:T207"/>
    <mergeCell ref="A208:A208"/>
    <mergeCell ref="B208:B208"/>
    <mergeCell ref="C208:C208"/>
    <mergeCell ref="D208:D208"/>
    <mergeCell ref="E208:E208"/>
    <mergeCell ref="F208:F208"/>
    <mergeCell ref="G208:G208"/>
    <mergeCell ref="H208:H208"/>
    <mergeCell ref="I208:I208"/>
    <mergeCell ref="J208:J208"/>
    <mergeCell ref="K208:K208"/>
    <mergeCell ref="L208:L208"/>
    <mergeCell ref="M208:M208"/>
    <mergeCell ref="N208:N208"/>
    <mergeCell ref="O208:O208"/>
    <mergeCell ref="P208:P208"/>
    <mergeCell ref="Q208:Q208"/>
    <mergeCell ref="R208:R208"/>
    <mergeCell ref="S208:S208"/>
    <mergeCell ref="T208:T208"/>
    <mergeCell ref="A209:A209"/>
    <mergeCell ref="B209:B209"/>
    <mergeCell ref="C209:C209"/>
    <mergeCell ref="D209:D209"/>
    <mergeCell ref="E209:E209"/>
    <mergeCell ref="F209:F209"/>
    <mergeCell ref="G209:G209"/>
    <mergeCell ref="H209:H209"/>
    <mergeCell ref="I209:I209"/>
    <mergeCell ref="J209:J209"/>
    <mergeCell ref="K209:K209"/>
    <mergeCell ref="L209:L209"/>
    <mergeCell ref="M209:M209"/>
    <mergeCell ref="N209:N209"/>
    <mergeCell ref="O209:O209"/>
    <mergeCell ref="P209:P209"/>
    <mergeCell ref="Q209:Q209"/>
    <mergeCell ref="R209:R209"/>
    <mergeCell ref="S209:S209"/>
    <mergeCell ref="T209:T209"/>
    <mergeCell ref="A210:A210"/>
    <mergeCell ref="B210:B210"/>
    <mergeCell ref="C210:C210"/>
    <mergeCell ref="D210:D210"/>
    <mergeCell ref="E210:E210"/>
    <mergeCell ref="F210:F210"/>
    <mergeCell ref="G210:G210"/>
    <mergeCell ref="H210:H210"/>
    <mergeCell ref="I210:I210"/>
    <mergeCell ref="J210:J210"/>
    <mergeCell ref="K210:K210"/>
    <mergeCell ref="L210:L210"/>
    <mergeCell ref="M210:M210"/>
    <mergeCell ref="N210:N210"/>
    <mergeCell ref="O210:O210"/>
    <mergeCell ref="P210:P210"/>
    <mergeCell ref="Q210:Q210"/>
    <mergeCell ref="R210:R210"/>
    <mergeCell ref="S210:S210"/>
    <mergeCell ref="T210:T210"/>
    <mergeCell ref="A211:A211"/>
    <mergeCell ref="B211:B211"/>
    <mergeCell ref="C211:C211"/>
    <mergeCell ref="D211:D211"/>
    <mergeCell ref="E211:E211"/>
    <mergeCell ref="F211:F211"/>
    <mergeCell ref="G211:G211"/>
    <mergeCell ref="H211:H211"/>
    <mergeCell ref="I211:I211"/>
    <mergeCell ref="J211:J211"/>
    <mergeCell ref="K211:K211"/>
    <mergeCell ref="L211:L211"/>
    <mergeCell ref="M211:M211"/>
    <mergeCell ref="N211:N211"/>
    <mergeCell ref="O211:O211"/>
    <mergeCell ref="P211:P211"/>
    <mergeCell ref="Q211:Q211"/>
    <mergeCell ref="R211:R211"/>
    <mergeCell ref="S211:S211"/>
    <mergeCell ref="T211:T211"/>
    <mergeCell ref="A212:A212"/>
    <mergeCell ref="B212:B212"/>
    <mergeCell ref="C212:C212"/>
    <mergeCell ref="D212:D212"/>
    <mergeCell ref="E212:E212"/>
    <mergeCell ref="F212:F212"/>
    <mergeCell ref="G212:G212"/>
    <mergeCell ref="H212:H212"/>
    <mergeCell ref="I212:I212"/>
    <mergeCell ref="J212:J212"/>
    <mergeCell ref="K212:K212"/>
    <mergeCell ref="L212:L212"/>
    <mergeCell ref="M212:M212"/>
    <mergeCell ref="N212:N212"/>
    <mergeCell ref="O212:O212"/>
    <mergeCell ref="P212:P212"/>
    <mergeCell ref="Q212:Q212"/>
    <mergeCell ref="R212:R212"/>
    <mergeCell ref="S212:S212"/>
    <mergeCell ref="T212:T212"/>
    <mergeCell ref="A213:A213"/>
    <mergeCell ref="B213:B213"/>
    <mergeCell ref="C213:C213"/>
    <mergeCell ref="D213:D213"/>
    <mergeCell ref="E213:E213"/>
    <mergeCell ref="F213:F213"/>
    <mergeCell ref="G213:G213"/>
    <mergeCell ref="H213:H213"/>
    <mergeCell ref="I213:I213"/>
    <mergeCell ref="J213:J213"/>
    <mergeCell ref="K213:K213"/>
    <mergeCell ref="L213:L213"/>
    <mergeCell ref="M213:M213"/>
    <mergeCell ref="N213:N213"/>
    <mergeCell ref="O213:O213"/>
    <mergeCell ref="P213:P213"/>
    <mergeCell ref="Q213:Q213"/>
    <mergeCell ref="R213:R213"/>
    <mergeCell ref="S213:S213"/>
    <mergeCell ref="T213:T213"/>
    <mergeCell ref="A214:A214"/>
    <mergeCell ref="B214:B214"/>
    <mergeCell ref="C214:C214"/>
    <mergeCell ref="D214:D214"/>
    <mergeCell ref="E214:E214"/>
    <mergeCell ref="F214:F214"/>
    <mergeCell ref="G214:G214"/>
    <mergeCell ref="H214:H214"/>
    <mergeCell ref="I214:I214"/>
    <mergeCell ref="J214:J214"/>
    <mergeCell ref="K214:K214"/>
    <mergeCell ref="L214:L214"/>
    <mergeCell ref="M214:M214"/>
    <mergeCell ref="N214:N214"/>
    <mergeCell ref="O214:O214"/>
    <mergeCell ref="P214:P214"/>
    <mergeCell ref="Q214:Q214"/>
    <mergeCell ref="R214:R214"/>
    <mergeCell ref="S214:S214"/>
    <mergeCell ref="T214:T214"/>
    <mergeCell ref="A215:A215"/>
    <mergeCell ref="B215:B215"/>
    <mergeCell ref="C215:C215"/>
    <mergeCell ref="D215:D215"/>
    <mergeCell ref="E215:E215"/>
    <mergeCell ref="F215:F215"/>
    <mergeCell ref="G215:G215"/>
    <mergeCell ref="H215:H215"/>
    <mergeCell ref="I215:I215"/>
    <mergeCell ref="J215:J215"/>
    <mergeCell ref="K215:K215"/>
    <mergeCell ref="L215:L215"/>
    <mergeCell ref="M215:M215"/>
    <mergeCell ref="N215:N215"/>
    <mergeCell ref="O215:O215"/>
    <mergeCell ref="P215:P215"/>
    <mergeCell ref="Q215:Q215"/>
    <mergeCell ref="R215:R215"/>
    <mergeCell ref="S215:S215"/>
    <mergeCell ref="T215:T215"/>
    <mergeCell ref="A216:A216"/>
    <mergeCell ref="B216:B216"/>
    <mergeCell ref="C216:C216"/>
    <mergeCell ref="D216:D216"/>
    <mergeCell ref="E216:E216"/>
    <mergeCell ref="F216:F216"/>
    <mergeCell ref="G216:G216"/>
    <mergeCell ref="H216:H216"/>
    <mergeCell ref="I216:I216"/>
    <mergeCell ref="J216:J216"/>
    <mergeCell ref="K216:K216"/>
    <mergeCell ref="L216:L216"/>
    <mergeCell ref="M216:M216"/>
    <mergeCell ref="N216:N216"/>
    <mergeCell ref="O216:O216"/>
    <mergeCell ref="P216:P216"/>
    <mergeCell ref="Q216:Q216"/>
    <mergeCell ref="R216:R216"/>
    <mergeCell ref="S216:S216"/>
    <mergeCell ref="T216:T216"/>
    <mergeCell ref="A217:A217"/>
    <mergeCell ref="B217:B217"/>
    <mergeCell ref="C217:C217"/>
    <mergeCell ref="D217:D217"/>
    <mergeCell ref="E217:E217"/>
    <mergeCell ref="F217:F217"/>
    <mergeCell ref="G217:G217"/>
    <mergeCell ref="H217:H217"/>
    <mergeCell ref="I217:I217"/>
    <mergeCell ref="J217:J217"/>
    <mergeCell ref="K217:K217"/>
    <mergeCell ref="L217:L217"/>
    <mergeCell ref="M217:M217"/>
    <mergeCell ref="N217:N217"/>
    <mergeCell ref="O217:O217"/>
    <mergeCell ref="P217:P217"/>
    <mergeCell ref="Q217:Q217"/>
    <mergeCell ref="R217:R217"/>
    <mergeCell ref="S217:S217"/>
    <mergeCell ref="T217:T217"/>
    <mergeCell ref="A218:A218"/>
    <mergeCell ref="B218:B218"/>
    <mergeCell ref="C218:C218"/>
    <mergeCell ref="D218:D218"/>
    <mergeCell ref="E218:E218"/>
    <mergeCell ref="F218:F218"/>
    <mergeCell ref="G218:G218"/>
    <mergeCell ref="H218:H218"/>
    <mergeCell ref="I218:I218"/>
    <mergeCell ref="J218:J218"/>
    <mergeCell ref="K218:K218"/>
    <mergeCell ref="L218:L218"/>
    <mergeCell ref="M218:M218"/>
    <mergeCell ref="N218:N218"/>
    <mergeCell ref="O218:O218"/>
    <mergeCell ref="P218:P218"/>
    <mergeCell ref="Q218:Q218"/>
    <mergeCell ref="R218:R218"/>
    <mergeCell ref="S218:S218"/>
    <mergeCell ref="T218:T218"/>
    <mergeCell ref="A219:A219"/>
    <mergeCell ref="B219:B219"/>
    <mergeCell ref="C219:C219"/>
    <mergeCell ref="D219:D219"/>
    <mergeCell ref="E219:E219"/>
    <mergeCell ref="F219:F219"/>
    <mergeCell ref="G219:G219"/>
    <mergeCell ref="H219:H219"/>
    <mergeCell ref="I219:I219"/>
    <mergeCell ref="J219:J219"/>
    <mergeCell ref="K219:K219"/>
    <mergeCell ref="L219:L219"/>
    <mergeCell ref="M219:M219"/>
    <mergeCell ref="N219:N219"/>
    <mergeCell ref="O219:O219"/>
    <mergeCell ref="P219:P219"/>
    <mergeCell ref="Q219:Q219"/>
    <mergeCell ref="R219:R219"/>
    <mergeCell ref="S219:S219"/>
    <mergeCell ref="T219:T219"/>
    <mergeCell ref="A220:A220"/>
    <mergeCell ref="B220:B220"/>
    <mergeCell ref="C220:C220"/>
    <mergeCell ref="D220:D220"/>
    <mergeCell ref="E220:E220"/>
    <mergeCell ref="F220:F220"/>
    <mergeCell ref="G220:G220"/>
    <mergeCell ref="H220:H220"/>
    <mergeCell ref="I220:I220"/>
    <mergeCell ref="J220:J220"/>
    <mergeCell ref="K220:K220"/>
    <mergeCell ref="L220:L220"/>
    <mergeCell ref="M220:M220"/>
    <mergeCell ref="N220:N220"/>
    <mergeCell ref="O220:O220"/>
    <mergeCell ref="P220:P220"/>
    <mergeCell ref="Q220:Q220"/>
    <mergeCell ref="R220:R220"/>
    <mergeCell ref="S220:S220"/>
    <mergeCell ref="T220:T220"/>
    <mergeCell ref="A221:A221"/>
    <mergeCell ref="B221:B221"/>
    <mergeCell ref="C221:C221"/>
    <mergeCell ref="D221:D221"/>
    <mergeCell ref="E221:E221"/>
    <mergeCell ref="F221:F221"/>
    <mergeCell ref="G221:G221"/>
    <mergeCell ref="H221:H221"/>
    <mergeCell ref="I221:I221"/>
    <mergeCell ref="J221:J221"/>
    <mergeCell ref="K221:K221"/>
    <mergeCell ref="L221:L221"/>
    <mergeCell ref="M221:M221"/>
    <mergeCell ref="N221:N221"/>
    <mergeCell ref="O221:O221"/>
    <mergeCell ref="P221:P221"/>
    <mergeCell ref="Q221:Q221"/>
    <mergeCell ref="R221:R221"/>
    <mergeCell ref="S221:S221"/>
    <mergeCell ref="T221:T221"/>
    <mergeCell ref="A222:A222"/>
    <mergeCell ref="B222:B222"/>
    <mergeCell ref="C222:C222"/>
    <mergeCell ref="D222:D222"/>
    <mergeCell ref="E222:E222"/>
    <mergeCell ref="F222:F222"/>
    <mergeCell ref="G222:G222"/>
    <mergeCell ref="H222:H222"/>
    <mergeCell ref="I222:I222"/>
    <mergeCell ref="J222:J222"/>
    <mergeCell ref="K222:K222"/>
    <mergeCell ref="L222:L222"/>
    <mergeCell ref="M222:M222"/>
    <mergeCell ref="N222:N222"/>
    <mergeCell ref="O222:O222"/>
    <mergeCell ref="P222:P222"/>
    <mergeCell ref="Q222:Q222"/>
    <mergeCell ref="R222:R222"/>
    <mergeCell ref="S222:S222"/>
    <mergeCell ref="T222:T222"/>
    <mergeCell ref="A223:A223"/>
    <mergeCell ref="B223:B223"/>
    <mergeCell ref="C223:C223"/>
    <mergeCell ref="D223:D223"/>
    <mergeCell ref="E223:E223"/>
    <mergeCell ref="F223:F223"/>
    <mergeCell ref="G223:G223"/>
    <mergeCell ref="H223:H223"/>
    <mergeCell ref="I223:I223"/>
    <mergeCell ref="J223:J223"/>
    <mergeCell ref="K223:K223"/>
    <mergeCell ref="L223:L223"/>
    <mergeCell ref="M223:M223"/>
    <mergeCell ref="N223:N223"/>
    <mergeCell ref="O223:O223"/>
    <mergeCell ref="P223:P223"/>
    <mergeCell ref="Q223:Q223"/>
    <mergeCell ref="R223:R223"/>
    <mergeCell ref="S223:S223"/>
    <mergeCell ref="T223:T223"/>
    <mergeCell ref="A224:A224"/>
    <mergeCell ref="B224:B224"/>
    <mergeCell ref="C224:C224"/>
    <mergeCell ref="D224:D224"/>
    <mergeCell ref="E224:E224"/>
    <mergeCell ref="F224:F224"/>
    <mergeCell ref="G224:G224"/>
    <mergeCell ref="H224:H224"/>
    <mergeCell ref="I224:I224"/>
    <mergeCell ref="J224:J224"/>
    <mergeCell ref="K224:K224"/>
    <mergeCell ref="L224:L224"/>
    <mergeCell ref="M224:M224"/>
    <mergeCell ref="N224:N224"/>
    <mergeCell ref="O224:O224"/>
    <mergeCell ref="P224:P224"/>
    <mergeCell ref="Q224:Q224"/>
    <mergeCell ref="R224:R224"/>
    <mergeCell ref="S224:S224"/>
    <mergeCell ref="T224:T224"/>
    <mergeCell ref="A225:A225"/>
    <mergeCell ref="B225:B225"/>
    <mergeCell ref="C225:C225"/>
    <mergeCell ref="D225:D225"/>
    <mergeCell ref="E225:E225"/>
    <mergeCell ref="F225:F225"/>
    <mergeCell ref="G225:G225"/>
    <mergeCell ref="H225:H225"/>
    <mergeCell ref="I225:I225"/>
    <mergeCell ref="J225:J225"/>
    <mergeCell ref="K225:K225"/>
    <mergeCell ref="L225:L225"/>
    <mergeCell ref="M225:M225"/>
    <mergeCell ref="N225:N225"/>
    <mergeCell ref="O225:O225"/>
    <mergeCell ref="P225:P225"/>
    <mergeCell ref="Q225:Q225"/>
    <mergeCell ref="R225:R225"/>
    <mergeCell ref="S225:S225"/>
    <mergeCell ref="T225:T225"/>
    <mergeCell ref="A226:A226"/>
    <mergeCell ref="B226:B226"/>
    <mergeCell ref="C226:C226"/>
    <mergeCell ref="D226:D226"/>
    <mergeCell ref="E226:E226"/>
    <mergeCell ref="F226:F226"/>
    <mergeCell ref="G226:G226"/>
    <mergeCell ref="H226:H226"/>
    <mergeCell ref="I226:I226"/>
    <mergeCell ref="J226:J226"/>
    <mergeCell ref="K226:K226"/>
    <mergeCell ref="L226:L226"/>
    <mergeCell ref="M226:M226"/>
    <mergeCell ref="N226:N226"/>
    <mergeCell ref="O226:O226"/>
    <mergeCell ref="P226:P226"/>
    <mergeCell ref="Q226:Q226"/>
    <mergeCell ref="R226:R226"/>
    <mergeCell ref="S226:S226"/>
    <mergeCell ref="T226:T226"/>
    <mergeCell ref="A227:A227"/>
    <mergeCell ref="B227:B227"/>
    <mergeCell ref="C227:C227"/>
    <mergeCell ref="D227:D227"/>
    <mergeCell ref="E227:E227"/>
    <mergeCell ref="F227:F227"/>
    <mergeCell ref="G227:G227"/>
    <mergeCell ref="H227:H227"/>
    <mergeCell ref="I227:I227"/>
    <mergeCell ref="J227:J227"/>
    <mergeCell ref="K227:K227"/>
    <mergeCell ref="L227:L227"/>
    <mergeCell ref="M227:M227"/>
    <mergeCell ref="N227:N227"/>
    <mergeCell ref="O227:O227"/>
    <mergeCell ref="P227:P227"/>
    <mergeCell ref="Q227:Q227"/>
    <mergeCell ref="R227:R227"/>
    <mergeCell ref="S227:S227"/>
    <mergeCell ref="T227:T227"/>
    <mergeCell ref="A228:A228"/>
    <mergeCell ref="B228:B228"/>
    <mergeCell ref="C228:C228"/>
    <mergeCell ref="D228:D228"/>
    <mergeCell ref="E228:E228"/>
    <mergeCell ref="F228:F228"/>
    <mergeCell ref="G228:G228"/>
    <mergeCell ref="H228:H228"/>
    <mergeCell ref="I228:I228"/>
    <mergeCell ref="J228:J228"/>
    <mergeCell ref="K228:K228"/>
    <mergeCell ref="L228:L228"/>
    <mergeCell ref="M228:M228"/>
    <mergeCell ref="N228:N228"/>
    <mergeCell ref="O228:O228"/>
    <mergeCell ref="P228:P228"/>
    <mergeCell ref="Q228:Q228"/>
    <mergeCell ref="R228:R228"/>
    <mergeCell ref="S228:S228"/>
    <mergeCell ref="T228:T228"/>
    <mergeCell ref="A229:A229"/>
    <mergeCell ref="B229:B229"/>
    <mergeCell ref="C229:C229"/>
    <mergeCell ref="D229:D229"/>
    <mergeCell ref="E229:E229"/>
    <mergeCell ref="F229:F229"/>
    <mergeCell ref="G229:G229"/>
    <mergeCell ref="H229:H229"/>
    <mergeCell ref="I229:I229"/>
    <mergeCell ref="J229:J229"/>
    <mergeCell ref="K229:K229"/>
    <mergeCell ref="L229:L229"/>
    <mergeCell ref="M229:M229"/>
    <mergeCell ref="N229:N229"/>
    <mergeCell ref="O229:O229"/>
    <mergeCell ref="P229:P229"/>
    <mergeCell ref="Q229:Q229"/>
    <mergeCell ref="R229:R229"/>
    <mergeCell ref="S229:S229"/>
    <mergeCell ref="T229:T229"/>
    <mergeCell ref="A230:A230"/>
    <mergeCell ref="B230:B230"/>
    <mergeCell ref="C230:C230"/>
    <mergeCell ref="D230:D230"/>
    <mergeCell ref="E230:E230"/>
    <mergeCell ref="F230:F230"/>
    <mergeCell ref="G230:G230"/>
    <mergeCell ref="H230:H230"/>
    <mergeCell ref="I230:I230"/>
    <mergeCell ref="J230:J230"/>
    <mergeCell ref="K230:K230"/>
    <mergeCell ref="L230:L230"/>
    <mergeCell ref="M230:M230"/>
    <mergeCell ref="N230:N230"/>
    <mergeCell ref="O230:O230"/>
    <mergeCell ref="P230:P230"/>
    <mergeCell ref="Q230:Q230"/>
    <mergeCell ref="R230:R230"/>
    <mergeCell ref="S230:S230"/>
    <mergeCell ref="T230:T230"/>
    <mergeCell ref="A231:A231"/>
    <mergeCell ref="B231:B231"/>
    <mergeCell ref="C231:C231"/>
    <mergeCell ref="D231:D231"/>
    <mergeCell ref="E231:E231"/>
    <mergeCell ref="F231:F231"/>
    <mergeCell ref="G231:G231"/>
    <mergeCell ref="H231:H231"/>
    <mergeCell ref="I231:I231"/>
    <mergeCell ref="J231:J231"/>
    <mergeCell ref="K231:K231"/>
    <mergeCell ref="L231:L231"/>
    <mergeCell ref="M231:M231"/>
    <mergeCell ref="N231:N231"/>
    <mergeCell ref="O231:O231"/>
    <mergeCell ref="P231:P231"/>
    <mergeCell ref="Q231:Q231"/>
    <mergeCell ref="R231:R231"/>
    <mergeCell ref="S231:S231"/>
    <mergeCell ref="T231:T231"/>
    <mergeCell ref="A232:A232"/>
    <mergeCell ref="B232:B232"/>
    <mergeCell ref="C232:C232"/>
    <mergeCell ref="D232:D232"/>
    <mergeCell ref="E232:E232"/>
    <mergeCell ref="F232:F232"/>
    <mergeCell ref="G232:G232"/>
    <mergeCell ref="H232:H232"/>
    <mergeCell ref="I232:I232"/>
    <mergeCell ref="J232:J232"/>
    <mergeCell ref="K232:K232"/>
    <mergeCell ref="L232:L232"/>
    <mergeCell ref="M232:M232"/>
    <mergeCell ref="N232:N232"/>
    <mergeCell ref="O232:O232"/>
    <mergeCell ref="P232:P232"/>
    <mergeCell ref="Q232:Q232"/>
    <mergeCell ref="R232:R232"/>
    <mergeCell ref="S232:S232"/>
    <mergeCell ref="T232:T232"/>
    <mergeCell ref="A233:A233"/>
    <mergeCell ref="B233:B233"/>
    <mergeCell ref="C233:C233"/>
    <mergeCell ref="D233:D233"/>
    <mergeCell ref="E233:E233"/>
    <mergeCell ref="F233:F233"/>
    <mergeCell ref="G233:G233"/>
    <mergeCell ref="H233:H233"/>
    <mergeCell ref="I233:I233"/>
    <mergeCell ref="J233:J233"/>
    <mergeCell ref="K233:K233"/>
    <mergeCell ref="L233:L233"/>
    <mergeCell ref="M233:M233"/>
    <mergeCell ref="N233:N233"/>
    <mergeCell ref="O233:O233"/>
    <mergeCell ref="P233:P233"/>
    <mergeCell ref="Q233:Q233"/>
    <mergeCell ref="R233:R233"/>
    <mergeCell ref="S233:S233"/>
    <mergeCell ref="T233:T233"/>
    <mergeCell ref="A234:A234"/>
    <mergeCell ref="B234:B234"/>
    <mergeCell ref="C234:C234"/>
    <mergeCell ref="D234:D234"/>
    <mergeCell ref="E234:E234"/>
    <mergeCell ref="F234:F234"/>
    <mergeCell ref="G234:G234"/>
    <mergeCell ref="H234:H234"/>
    <mergeCell ref="I234:I234"/>
    <mergeCell ref="J234:J234"/>
    <mergeCell ref="K234:K234"/>
    <mergeCell ref="L234:L234"/>
    <mergeCell ref="M234:M234"/>
    <mergeCell ref="N234:N234"/>
    <mergeCell ref="O234:O234"/>
    <mergeCell ref="P234:P234"/>
    <mergeCell ref="Q234:Q234"/>
    <mergeCell ref="R234:R234"/>
    <mergeCell ref="S234:S234"/>
    <mergeCell ref="T234:T234"/>
    <mergeCell ref="A235:A235"/>
    <mergeCell ref="B235:B235"/>
    <mergeCell ref="C235:C235"/>
    <mergeCell ref="D235:D235"/>
    <mergeCell ref="E235:E235"/>
    <mergeCell ref="F235:F235"/>
    <mergeCell ref="G235:G235"/>
    <mergeCell ref="H235:H235"/>
    <mergeCell ref="I235:I235"/>
    <mergeCell ref="J235:J235"/>
    <mergeCell ref="K235:K235"/>
    <mergeCell ref="L235:L235"/>
    <mergeCell ref="M235:M235"/>
    <mergeCell ref="N235:N235"/>
    <mergeCell ref="O235:O235"/>
    <mergeCell ref="P235:P235"/>
    <mergeCell ref="Q235:Q235"/>
    <mergeCell ref="R235:R235"/>
    <mergeCell ref="S235:S235"/>
    <mergeCell ref="T235:T235"/>
    <mergeCell ref="A236:A236"/>
    <mergeCell ref="B236:B236"/>
    <mergeCell ref="C236:C236"/>
    <mergeCell ref="D236:D236"/>
    <mergeCell ref="E236:E236"/>
    <mergeCell ref="F236:F236"/>
    <mergeCell ref="G236:G236"/>
    <mergeCell ref="H236:H236"/>
    <mergeCell ref="I236:I236"/>
    <mergeCell ref="J236:J236"/>
    <mergeCell ref="K236:K236"/>
    <mergeCell ref="L236:L236"/>
    <mergeCell ref="M236:M236"/>
    <mergeCell ref="N236:N236"/>
    <mergeCell ref="O236:O236"/>
    <mergeCell ref="P236:P236"/>
    <mergeCell ref="Q236:Q236"/>
    <mergeCell ref="R236:R236"/>
    <mergeCell ref="S236:S236"/>
    <mergeCell ref="T236:T236"/>
    <mergeCell ref="A237:A237"/>
    <mergeCell ref="B237:B237"/>
    <mergeCell ref="C237:C237"/>
    <mergeCell ref="D237:D237"/>
    <mergeCell ref="E237:E237"/>
    <mergeCell ref="F237:F237"/>
    <mergeCell ref="G237:G237"/>
    <mergeCell ref="H237:H237"/>
    <mergeCell ref="I237:I237"/>
    <mergeCell ref="J237:J237"/>
    <mergeCell ref="K237:K237"/>
    <mergeCell ref="L237:L237"/>
    <mergeCell ref="M237:M237"/>
    <mergeCell ref="N237:N237"/>
    <mergeCell ref="O237:O237"/>
    <mergeCell ref="P237:P237"/>
    <mergeCell ref="Q237:Q237"/>
    <mergeCell ref="R237:R237"/>
    <mergeCell ref="S237:S237"/>
    <mergeCell ref="T237:T237"/>
    <mergeCell ref="A238:A238"/>
    <mergeCell ref="B238:B238"/>
    <mergeCell ref="C238:C238"/>
    <mergeCell ref="D238:D238"/>
    <mergeCell ref="E238:E238"/>
    <mergeCell ref="F238:F238"/>
    <mergeCell ref="G238:G238"/>
    <mergeCell ref="H238:H238"/>
    <mergeCell ref="I238:I238"/>
    <mergeCell ref="J238:J238"/>
    <mergeCell ref="K238:K238"/>
    <mergeCell ref="L238:L238"/>
    <mergeCell ref="M238:M238"/>
    <mergeCell ref="N238:N238"/>
    <mergeCell ref="O238:O238"/>
    <mergeCell ref="P238:P238"/>
    <mergeCell ref="Q238:Q238"/>
    <mergeCell ref="R238:R238"/>
    <mergeCell ref="S238:S238"/>
    <mergeCell ref="T238:T238"/>
    <mergeCell ref="A239:A239"/>
    <mergeCell ref="B239:B239"/>
    <mergeCell ref="C239:C239"/>
    <mergeCell ref="D239:D239"/>
    <mergeCell ref="E239:E239"/>
    <mergeCell ref="F239:F239"/>
    <mergeCell ref="G239:G239"/>
    <mergeCell ref="H239:H239"/>
    <mergeCell ref="I239:I239"/>
    <mergeCell ref="J239:J239"/>
    <mergeCell ref="K239:K239"/>
    <mergeCell ref="L239:L239"/>
    <mergeCell ref="M239:M239"/>
    <mergeCell ref="N239:N239"/>
    <mergeCell ref="O239:O239"/>
    <mergeCell ref="P239:P239"/>
    <mergeCell ref="Q239:Q239"/>
    <mergeCell ref="R239:R239"/>
    <mergeCell ref="S239:S239"/>
    <mergeCell ref="T239:T239"/>
    <mergeCell ref="A240:A240"/>
    <mergeCell ref="B240:B240"/>
    <mergeCell ref="C240:C240"/>
    <mergeCell ref="D240:D240"/>
    <mergeCell ref="E240:E240"/>
    <mergeCell ref="F240:F240"/>
    <mergeCell ref="G240:G240"/>
    <mergeCell ref="H240:H240"/>
    <mergeCell ref="I240:I240"/>
    <mergeCell ref="J240:J240"/>
    <mergeCell ref="K240:K240"/>
    <mergeCell ref="L240:L240"/>
    <mergeCell ref="M240:M240"/>
    <mergeCell ref="N240:N240"/>
    <mergeCell ref="O240:O240"/>
    <mergeCell ref="P240:P240"/>
    <mergeCell ref="Q240:Q240"/>
    <mergeCell ref="R240:R240"/>
    <mergeCell ref="S240:S240"/>
    <mergeCell ref="T240:T240"/>
    <mergeCell ref="A241:A241"/>
    <mergeCell ref="B241:B241"/>
    <mergeCell ref="C241:C241"/>
    <mergeCell ref="D241:D241"/>
    <mergeCell ref="E241:E241"/>
    <mergeCell ref="F241:F241"/>
    <mergeCell ref="G241:G241"/>
    <mergeCell ref="H241:H241"/>
    <mergeCell ref="I241:I241"/>
    <mergeCell ref="J241:J241"/>
    <mergeCell ref="K241:K241"/>
    <mergeCell ref="L241:L241"/>
    <mergeCell ref="M241:M241"/>
    <mergeCell ref="N241:N241"/>
    <mergeCell ref="O241:O241"/>
    <mergeCell ref="P241:P241"/>
    <mergeCell ref="Q241:Q241"/>
    <mergeCell ref="R241:R241"/>
    <mergeCell ref="S241:S241"/>
    <mergeCell ref="T241:T241"/>
    <mergeCell ref="A242:A242"/>
    <mergeCell ref="B242:B242"/>
    <mergeCell ref="C242:C242"/>
    <mergeCell ref="D242:D242"/>
    <mergeCell ref="E242:E242"/>
    <mergeCell ref="F242:F242"/>
    <mergeCell ref="G242:G242"/>
    <mergeCell ref="H242:H242"/>
    <mergeCell ref="I242:I242"/>
    <mergeCell ref="J242:J242"/>
    <mergeCell ref="K242:K242"/>
    <mergeCell ref="L242:L242"/>
    <mergeCell ref="M242:M242"/>
    <mergeCell ref="N242:N242"/>
    <mergeCell ref="O242:O242"/>
    <mergeCell ref="P242:P242"/>
    <mergeCell ref="Q242:Q242"/>
    <mergeCell ref="R242:R242"/>
    <mergeCell ref="S242:S242"/>
    <mergeCell ref="T242:T242"/>
    <mergeCell ref="A243:A243"/>
    <mergeCell ref="B243:B243"/>
    <mergeCell ref="C243:C243"/>
    <mergeCell ref="D243:D243"/>
    <mergeCell ref="E243:E243"/>
    <mergeCell ref="F243:F243"/>
    <mergeCell ref="G243:G243"/>
    <mergeCell ref="H243:H243"/>
    <mergeCell ref="I243:I243"/>
    <mergeCell ref="J243:J243"/>
    <mergeCell ref="K243:K243"/>
    <mergeCell ref="L243:L243"/>
    <mergeCell ref="M243:M243"/>
    <mergeCell ref="N243:N243"/>
    <mergeCell ref="O243:O243"/>
    <mergeCell ref="P243:P243"/>
    <mergeCell ref="Q243:Q243"/>
    <mergeCell ref="R243:R243"/>
    <mergeCell ref="S243:S243"/>
    <mergeCell ref="T243:T243"/>
    <mergeCell ref="A244:A244"/>
    <mergeCell ref="B244:B244"/>
    <mergeCell ref="C244:C244"/>
    <mergeCell ref="D244:D244"/>
    <mergeCell ref="E244:E244"/>
    <mergeCell ref="F244:F244"/>
    <mergeCell ref="G244:G244"/>
    <mergeCell ref="H244:H244"/>
    <mergeCell ref="I244:I244"/>
    <mergeCell ref="J244:J244"/>
    <mergeCell ref="K244:K244"/>
    <mergeCell ref="L244:L244"/>
    <mergeCell ref="M244:M244"/>
    <mergeCell ref="N244:N244"/>
    <mergeCell ref="O244:O244"/>
    <mergeCell ref="P244:P244"/>
    <mergeCell ref="Q244:Q244"/>
    <mergeCell ref="R244:R244"/>
    <mergeCell ref="S244:S244"/>
    <mergeCell ref="T244:T244"/>
    <mergeCell ref="A245:A245"/>
    <mergeCell ref="B245:B245"/>
    <mergeCell ref="C245:C245"/>
    <mergeCell ref="D245:D245"/>
    <mergeCell ref="E245:E245"/>
    <mergeCell ref="F245:F245"/>
    <mergeCell ref="G245:G245"/>
    <mergeCell ref="H245:H245"/>
    <mergeCell ref="I245:I245"/>
    <mergeCell ref="J245:J245"/>
    <mergeCell ref="K245:K245"/>
    <mergeCell ref="L245:L245"/>
    <mergeCell ref="M245:M245"/>
    <mergeCell ref="N245:N245"/>
    <mergeCell ref="O245:O245"/>
    <mergeCell ref="P245:P245"/>
    <mergeCell ref="Q245:Q245"/>
    <mergeCell ref="R245:R245"/>
    <mergeCell ref="S245:S245"/>
    <mergeCell ref="T245:T245"/>
    <mergeCell ref="A246:A246"/>
    <mergeCell ref="B246:B246"/>
    <mergeCell ref="C246:C246"/>
    <mergeCell ref="D246:D246"/>
    <mergeCell ref="E246:E246"/>
    <mergeCell ref="F246:F246"/>
    <mergeCell ref="G246:G246"/>
    <mergeCell ref="H246:H246"/>
    <mergeCell ref="I246:I246"/>
    <mergeCell ref="J246:J246"/>
    <mergeCell ref="K246:K246"/>
    <mergeCell ref="L246:L246"/>
    <mergeCell ref="M246:M246"/>
    <mergeCell ref="N246:N246"/>
    <mergeCell ref="O246:O246"/>
    <mergeCell ref="P246:P246"/>
    <mergeCell ref="Q246:Q246"/>
    <mergeCell ref="R246:R246"/>
    <mergeCell ref="S246:S246"/>
    <mergeCell ref="T246:T246"/>
    <mergeCell ref="A247:A247"/>
    <mergeCell ref="B247:B247"/>
    <mergeCell ref="C247:C247"/>
    <mergeCell ref="D247:D247"/>
    <mergeCell ref="E247:E247"/>
    <mergeCell ref="F247:F247"/>
    <mergeCell ref="G247:G247"/>
    <mergeCell ref="H247:H247"/>
    <mergeCell ref="I247:I247"/>
    <mergeCell ref="J247:J247"/>
    <mergeCell ref="K247:K247"/>
    <mergeCell ref="L247:L247"/>
    <mergeCell ref="M247:M247"/>
    <mergeCell ref="N247:N247"/>
    <mergeCell ref="O247:O247"/>
    <mergeCell ref="P247:P247"/>
    <mergeCell ref="Q247:Q247"/>
    <mergeCell ref="R247:R247"/>
    <mergeCell ref="S247:S247"/>
    <mergeCell ref="T247:T247"/>
    <mergeCell ref="A248:A248"/>
    <mergeCell ref="B248:B248"/>
    <mergeCell ref="C248:C248"/>
    <mergeCell ref="D248:D248"/>
    <mergeCell ref="E248:E248"/>
    <mergeCell ref="F248:F248"/>
    <mergeCell ref="G248:G248"/>
    <mergeCell ref="H248:H248"/>
    <mergeCell ref="I248:I248"/>
    <mergeCell ref="J248:J248"/>
    <mergeCell ref="K248:K248"/>
    <mergeCell ref="L248:L248"/>
    <mergeCell ref="M248:M248"/>
    <mergeCell ref="N248:N248"/>
    <mergeCell ref="O248:O248"/>
    <mergeCell ref="P248:P248"/>
    <mergeCell ref="Q248:Q248"/>
    <mergeCell ref="R248:R248"/>
    <mergeCell ref="S248:S248"/>
    <mergeCell ref="T248:T248"/>
    <mergeCell ref="A249:A249"/>
    <mergeCell ref="B249:B249"/>
    <mergeCell ref="C249:C249"/>
    <mergeCell ref="D249:D249"/>
    <mergeCell ref="E249:E249"/>
    <mergeCell ref="F249:F249"/>
    <mergeCell ref="G249:G249"/>
    <mergeCell ref="H249:H249"/>
    <mergeCell ref="I249:I249"/>
    <mergeCell ref="J249:J249"/>
    <mergeCell ref="K249:K249"/>
    <mergeCell ref="L249:L249"/>
    <mergeCell ref="M249:M249"/>
    <mergeCell ref="N249:N249"/>
    <mergeCell ref="O249:O249"/>
    <mergeCell ref="P249:P249"/>
    <mergeCell ref="Q249:Q249"/>
    <mergeCell ref="R249:R249"/>
    <mergeCell ref="S249:S249"/>
    <mergeCell ref="T249:T249"/>
    <mergeCell ref="A250:A250"/>
    <mergeCell ref="B250:B250"/>
    <mergeCell ref="C250:C250"/>
    <mergeCell ref="D250:D250"/>
    <mergeCell ref="E250:E250"/>
    <mergeCell ref="F250:F250"/>
    <mergeCell ref="G250:G250"/>
    <mergeCell ref="H250:H250"/>
    <mergeCell ref="I250:I250"/>
    <mergeCell ref="J250:J250"/>
    <mergeCell ref="K250:K250"/>
    <mergeCell ref="L250:L250"/>
    <mergeCell ref="M250:M250"/>
    <mergeCell ref="N250:N250"/>
    <mergeCell ref="O250:O250"/>
    <mergeCell ref="P250:P250"/>
    <mergeCell ref="Q250:Q250"/>
    <mergeCell ref="R250:R250"/>
    <mergeCell ref="S250:S250"/>
    <mergeCell ref="T250:T250"/>
    <mergeCell ref="A251:A251"/>
    <mergeCell ref="B251:B251"/>
    <mergeCell ref="C251:C251"/>
    <mergeCell ref="D251:D251"/>
    <mergeCell ref="E251:E251"/>
    <mergeCell ref="F251:F251"/>
    <mergeCell ref="G251:G251"/>
    <mergeCell ref="H251:H251"/>
    <mergeCell ref="I251:I251"/>
    <mergeCell ref="J251:J251"/>
    <mergeCell ref="K251:K251"/>
    <mergeCell ref="L251:L251"/>
    <mergeCell ref="M251:M251"/>
    <mergeCell ref="N251:N251"/>
    <mergeCell ref="O251:O251"/>
    <mergeCell ref="P251:P251"/>
    <mergeCell ref="Q251:Q251"/>
    <mergeCell ref="R251:R251"/>
    <mergeCell ref="S251:S251"/>
    <mergeCell ref="T251:T251"/>
    <mergeCell ref="A252:A252"/>
    <mergeCell ref="B252:B252"/>
    <mergeCell ref="C252:C252"/>
    <mergeCell ref="D252:D252"/>
    <mergeCell ref="E252:E252"/>
    <mergeCell ref="F252:F252"/>
    <mergeCell ref="G252:G252"/>
    <mergeCell ref="H252:H252"/>
    <mergeCell ref="I252:I252"/>
    <mergeCell ref="J252:J252"/>
    <mergeCell ref="K252:K252"/>
    <mergeCell ref="L252:L252"/>
    <mergeCell ref="M252:M252"/>
    <mergeCell ref="N252:N252"/>
    <mergeCell ref="O252:O252"/>
    <mergeCell ref="P252:P252"/>
    <mergeCell ref="Q252:Q252"/>
    <mergeCell ref="R252:R252"/>
    <mergeCell ref="S252:S252"/>
    <mergeCell ref="T252:T252"/>
    <mergeCell ref="A253:A253"/>
    <mergeCell ref="B253:B253"/>
    <mergeCell ref="C253:C253"/>
    <mergeCell ref="D253:D253"/>
    <mergeCell ref="E253:E253"/>
    <mergeCell ref="F253:F253"/>
    <mergeCell ref="G253:G253"/>
    <mergeCell ref="H253:H253"/>
    <mergeCell ref="I253:I253"/>
    <mergeCell ref="J253:J253"/>
    <mergeCell ref="K253:K253"/>
    <mergeCell ref="L253:L253"/>
    <mergeCell ref="M253:M253"/>
    <mergeCell ref="N253:N253"/>
    <mergeCell ref="O253:O253"/>
    <mergeCell ref="P253:P253"/>
    <mergeCell ref="Q253:Q253"/>
    <mergeCell ref="R253:R253"/>
    <mergeCell ref="S253:S253"/>
    <mergeCell ref="T253:T253"/>
    <mergeCell ref="A254:A254"/>
    <mergeCell ref="B254:B254"/>
    <mergeCell ref="C254:C254"/>
    <mergeCell ref="D254:D254"/>
    <mergeCell ref="E254:E254"/>
    <mergeCell ref="F254:F254"/>
    <mergeCell ref="G254:G254"/>
    <mergeCell ref="H254:H254"/>
    <mergeCell ref="I254:I254"/>
    <mergeCell ref="J254:J254"/>
    <mergeCell ref="K254:K254"/>
    <mergeCell ref="L254:L254"/>
    <mergeCell ref="M254:M254"/>
    <mergeCell ref="N254:N254"/>
    <mergeCell ref="O254:O254"/>
    <mergeCell ref="P254:P254"/>
    <mergeCell ref="Q254:Q254"/>
    <mergeCell ref="R254:R254"/>
    <mergeCell ref="S254:S254"/>
    <mergeCell ref="T254:T254"/>
    <mergeCell ref="A255:A255"/>
    <mergeCell ref="B255:B255"/>
    <mergeCell ref="C255:C255"/>
    <mergeCell ref="D255:D255"/>
    <mergeCell ref="E255:E255"/>
    <mergeCell ref="F255:F255"/>
    <mergeCell ref="G255:G255"/>
    <mergeCell ref="H255:H255"/>
    <mergeCell ref="I255:I255"/>
    <mergeCell ref="J255:J255"/>
    <mergeCell ref="K255:K255"/>
    <mergeCell ref="L255:L255"/>
    <mergeCell ref="M255:M255"/>
    <mergeCell ref="N255:N255"/>
    <mergeCell ref="O255:O255"/>
    <mergeCell ref="P255:P255"/>
    <mergeCell ref="Q255:Q255"/>
    <mergeCell ref="R255:R255"/>
    <mergeCell ref="S255:S255"/>
    <mergeCell ref="T255:T255"/>
    <mergeCell ref="A256:A256"/>
    <mergeCell ref="B256:B256"/>
    <mergeCell ref="C256:C256"/>
    <mergeCell ref="D256:D256"/>
    <mergeCell ref="E256:E256"/>
    <mergeCell ref="F256:F256"/>
    <mergeCell ref="G256:G256"/>
    <mergeCell ref="H256:H256"/>
    <mergeCell ref="I256:I256"/>
    <mergeCell ref="J256:J256"/>
    <mergeCell ref="K256:K256"/>
    <mergeCell ref="L256:L256"/>
    <mergeCell ref="M256:M256"/>
    <mergeCell ref="N256:N256"/>
    <mergeCell ref="O256:O256"/>
    <mergeCell ref="P256:P256"/>
    <mergeCell ref="Q256:Q256"/>
    <mergeCell ref="R256:R256"/>
    <mergeCell ref="S256:S256"/>
    <mergeCell ref="T256:T256"/>
    <mergeCell ref="A257:A257"/>
    <mergeCell ref="B257:B257"/>
    <mergeCell ref="C257:C257"/>
    <mergeCell ref="D257:D257"/>
    <mergeCell ref="E257:E257"/>
    <mergeCell ref="F257:F257"/>
    <mergeCell ref="G257:G257"/>
    <mergeCell ref="H257:H257"/>
    <mergeCell ref="I257:I257"/>
    <mergeCell ref="J257:J257"/>
    <mergeCell ref="K257:K257"/>
    <mergeCell ref="L257:L257"/>
    <mergeCell ref="M257:M257"/>
    <mergeCell ref="N257:N257"/>
    <mergeCell ref="O257:O257"/>
    <mergeCell ref="P257:P257"/>
    <mergeCell ref="Q257:Q257"/>
    <mergeCell ref="R257:R257"/>
    <mergeCell ref="S257:S257"/>
    <mergeCell ref="T257:T257"/>
    <mergeCell ref="A258:A258"/>
    <mergeCell ref="B258:B258"/>
    <mergeCell ref="C258:C258"/>
    <mergeCell ref="D258:D258"/>
    <mergeCell ref="E258:E258"/>
    <mergeCell ref="F258:F258"/>
    <mergeCell ref="G258:G258"/>
    <mergeCell ref="H258:H258"/>
    <mergeCell ref="I258:I258"/>
    <mergeCell ref="J258:J258"/>
    <mergeCell ref="K258:K258"/>
    <mergeCell ref="L258:L258"/>
    <mergeCell ref="M258:M258"/>
    <mergeCell ref="N258:N258"/>
    <mergeCell ref="O258:O258"/>
    <mergeCell ref="P258:P258"/>
    <mergeCell ref="Q258:Q258"/>
    <mergeCell ref="R258:R258"/>
    <mergeCell ref="S258:S258"/>
    <mergeCell ref="T258:T258"/>
    <mergeCell ref="A259:A259"/>
    <mergeCell ref="B259:B259"/>
    <mergeCell ref="C259:C259"/>
    <mergeCell ref="D259:D259"/>
    <mergeCell ref="E259:E259"/>
    <mergeCell ref="F259:F259"/>
    <mergeCell ref="G259:G259"/>
    <mergeCell ref="H259:H259"/>
    <mergeCell ref="I259:I259"/>
    <mergeCell ref="J259:J259"/>
    <mergeCell ref="K259:K259"/>
    <mergeCell ref="L259:L259"/>
    <mergeCell ref="M259:M259"/>
    <mergeCell ref="N259:N259"/>
    <mergeCell ref="O259:O259"/>
    <mergeCell ref="P259:P259"/>
    <mergeCell ref="Q259:Q259"/>
    <mergeCell ref="R259:R259"/>
    <mergeCell ref="S259:S259"/>
    <mergeCell ref="T259:T259"/>
    <mergeCell ref="A260:A260"/>
    <mergeCell ref="B260:B260"/>
    <mergeCell ref="C260:C260"/>
    <mergeCell ref="D260:D260"/>
    <mergeCell ref="E260:E260"/>
    <mergeCell ref="F260:F260"/>
    <mergeCell ref="G260:G260"/>
    <mergeCell ref="H260:H260"/>
    <mergeCell ref="I260:I260"/>
    <mergeCell ref="J260:J260"/>
    <mergeCell ref="K260:K260"/>
    <mergeCell ref="L260:L260"/>
    <mergeCell ref="M260:M260"/>
    <mergeCell ref="N260:N260"/>
    <mergeCell ref="O260:O260"/>
    <mergeCell ref="P260:P260"/>
    <mergeCell ref="Q260:Q260"/>
    <mergeCell ref="R260:R260"/>
    <mergeCell ref="S260:S260"/>
    <mergeCell ref="T260:T260"/>
    <mergeCell ref="A261:A261"/>
    <mergeCell ref="B261:B261"/>
    <mergeCell ref="C261:C261"/>
    <mergeCell ref="D261:D261"/>
    <mergeCell ref="E261:E261"/>
    <mergeCell ref="F261:F261"/>
    <mergeCell ref="G261:G261"/>
    <mergeCell ref="H261:H261"/>
    <mergeCell ref="I261:I261"/>
    <mergeCell ref="J261:J261"/>
    <mergeCell ref="K261:K261"/>
    <mergeCell ref="L261:L261"/>
    <mergeCell ref="M261:M261"/>
    <mergeCell ref="N261:N261"/>
    <mergeCell ref="O261:O261"/>
    <mergeCell ref="P261:P261"/>
    <mergeCell ref="Q261:Q261"/>
    <mergeCell ref="R261:R261"/>
    <mergeCell ref="S261:S261"/>
    <mergeCell ref="T261:T261"/>
    <mergeCell ref="A262:A262"/>
    <mergeCell ref="B262:B262"/>
    <mergeCell ref="C262:C262"/>
    <mergeCell ref="D262:D262"/>
    <mergeCell ref="E262:E262"/>
    <mergeCell ref="F262:F262"/>
    <mergeCell ref="G262:G262"/>
    <mergeCell ref="H262:H262"/>
    <mergeCell ref="I262:I262"/>
    <mergeCell ref="J262:J262"/>
    <mergeCell ref="K262:K262"/>
    <mergeCell ref="L262:L262"/>
    <mergeCell ref="M262:M262"/>
    <mergeCell ref="N262:N262"/>
    <mergeCell ref="O262:O262"/>
    <mergeCell ref="P262:P262"/>
    <mergeCell ref="Q262:Q262"/>
    <mergeCell ref="R262:R262"/>
    <mergeCell ref="S262:S262"/>
    <mergeCell ref="T262:T262"/>
    <mergeCell ref="A263:A263"/>
    <mergeCell ref="B263:B263"/>
    <mergeCell ref="C263:C263"/>
    <mergeCell ref="D263:D263"/>
    <mergeCell ref="E263:E263"/>
    <mergeCell ref="F263:F263"/>
    <mergeCell ref="G263:G263"/>
    <mergeCell ref="H263:H263"/>
    <mergeCell ref="I263:I263"/>
    <mergeCell ref="J263:J263"/>
    <mergeCell ref="K263:K263"/>
    <mergeCell ref="L263:L263"/>
    <mergeCell ref="M263:M263"/>
    <mergeCell ref="N263:N263"/>
    <mergeCell ref="O263:O263"/>
    <mergeCell ref="P263:P263"/>
    <mergeCell ref="Q263:Q263"/>
    <mergeCell ref="R263:R263"/>
    <mergeCell ref="S263:S263"/>
    <mergeCell ref="T263:T263"/>
    <mergeCell ref="A264:A264"/>
    <mergeCell ref="B264:B264"/>
    <mergeCell ref="C264:C264"/>
    <mergeCell ref="D264:D264"/>
    <mergeCell ref="E264:E264"/>
    <mergeCell ref="F264:F264"/>
    <mergeCell ref="G264:G264"/>
    <mergeCell ref="H264:H264"/>
    <mergeCell ref="I264:I264"/>
    <mergeCell ref="J264:J264"/>
    <mergeCell ref="K264:K264"/>
    <mergeCell ref="L264:L264"/>
    <mergeCell ref="M264:M264"/>
    <mergeCell ref="N264:N264"/>
    <mergeCell ref="O264:O264"/>
    <mergeCell ref="P264:P264"/>
    <mergeCell ref="Q264:Q264"/>
    <mergeCell ref="R264:R264"/>
    <mergeCell ref="S264:S264"/>
    <mergeCell ref="T264:T264"/>
    <mergeCell ref="A265:A265"/>
    <mergeCell ref="B265:B265"/>
    <mergeCell ref="C265:C265"/>
    <mergeCell ref="D265:D265"/>
    <mergeCell ref="E265:E265"/>
    <mergeCell ref="F265:F265"/>
    <mergeCell ref="G265:G265"/>
    <mergeCell ref="H265:H265"/>
    <mergeCell ref="I265:I265"/>
    <mergeCell ref="J265:J265"/>
    <mergeCell ref="K265:K265"/>
    <mergeCell ref="L265:L265"/>
    <mergeCell ref="M265:M265"/>
    <mergeCell ref="N265:N265"/>
    <mergeCell ref="O265:O265"/>
    <mergeCell ref="P265:P265"/>
    <mergeCell ref="Q265:Q265"/>
    <mergeCell ref="R265:R265"/>
    <mergeCell ref="S265:S265"/>
    <mergeCell ref="T265:T265"/>
    <mergeCell ref="A266:A266"/>
    <mergeCell ref="B266:B266"/>
    <mergeCell ref="C266:C266"/>
    <mergeCell ref="D266:D266"/>
    <mergeCell ref="E266:E266"/>
    <mergeCell ref="F266:F266"/>
    <mergeCell ref="G266:G266"/>
    <mergeCell ref="H266:H266"/>
    <mergeCell ref="I266:I266"/>
    <mergeCell ref="J266:J266"/>
    <mergeCell ref="K266:K266"/>
    <mergeCell ref="L266:L266"/>
    <mergeCell ref="M266:M266"/>
    <mergeCell ref="N266:N266"/>
    <mergeCell ref="O266:O266"/>
    <mergeCell ref="P266:P266"/>
    <mergeCell ref="Q266:Q266"/>
    <mergeCell ref="R266:R266"/>
    <mergeCell ref="S266:S266"/>
    <mergeCell ref="T266:T266"/>
    <mergeCell ref="A267:A267"/>
    <mergeCell ref="B267:B267"/>
    <mergeCell ref="C267:C267"/>
    <mergeCell ref="D267:D267"/>
    <mergeCell ref="E267:E267"/>
    <mergeCell ref="F267:F267"/>
    <mergeCell ref="G267:G267"/>
    <mergeCell ref="H267:H267"/>
    <mergeCell ref="I267:I267"/>
    <mergeCell ref="J267:J267"/>
    <mergeCell ref="K267:K267"/>
    <mergeCell ref="L267:L267"/>
    <mergeCell ref="M267:M267"/>
    <mergeCell ref="N267:N267"/>
    <mergeCell ref="O267:O267"/>
    <mergeCell ref="P267:P267"/>
    <mergeCell ref="Q267:Q267"/>
    <mergeCell ref="R267:R267"/>
    <mergeCell ref="S267:S267"/>
    <mergeCell ref="T267:T267"/>
    <mergeCell ref="A268:A268"/>
    <mergeCell ref="B268:B268"/>
    <mergeCell ref="C268:C268"/>
    <mergeCell ref="D268:D268"/>
    <mergeCell ref="E268:E268"/>
    <mergeCell ref="F268:F268"/>
    <mergeCell ref="G268:G268"/>
    <mergeCell ref="H268:H268"/>
    <mergeCell ref="I268:I268"/>
    <mergeCell ref="J268:J268"/>
    <mergeCell ref="K268:K268"/>
    <mergeCell ref="L268:L268"/>
    <mergeCell ref="M268:M268"/>
    <mergeCell ref="N268:N268"/>
    <mergeCell ref="O268:O268"/>
    <mergeCell ref="P268:P268"/>
    <mergeCell ref="Q268:Q268"/>
    <mergeCell ref="R268:R268"/>
    <mergeCell ref="S268:S268"/>
    <mergeCell ref="T268:T268"/>
    <mergeCell ref="A269:A269"/>
    <mergeCell ref="B269:B269"/>
    <mergeCell ref="C269:C269"/>
    <mergeCell ref="D269:D269"/>
    <mergeCell ref="E269:E269"/>
    <mergeCell ref="F269:F269"/>
    <mergeCell ref="G269:G269"/>
    <mergeCell ref="H269:H269"/>
    <mergeCell ref="I269:I269"/>
    <mergeCell ref="J269:J269"/>
    <mergeCell ref="K269:K269"/>
    <mergeCell ref="L269:L269"/>
    <mergeCell ref="M269:M269"/>
    <mergeCell ref="N269:N269"/>
    <mergeCell ref="O269:O269"/>
    <mergeCell ref="P269:P269"/>
    <mergeCell ref="Q269:Q269"/>
    <mergeCell ref="R269:R269"/>
    <mergeCell ref="S269:S269"/>
    <mergeCell ref="T269:T269"/>
    <mergeCell ref="A270:A270"/>
    <mergeCell ref="B270:B270"/>
    <mergeCell ref="C270:C270"/>
    <mergeCell ref="D270:D270"/>
    <mergeCell ref="E270:E270"/>
    <mergeCell ref="F270:F270"/>
    <mergeCell ref="G270:G270"/>
    <mergeCell ref="H270:H270"/>
    <mergeCell ref="I270:I270"/>
    <mergeCell ref="J270:J270"/>
    <mergeCell ref="K270:K270"/>
    <mergeCell ref="L270:L270"/>
    <mergeCell ref="M270:M270"/>
    <mergeCell ref="N270:N270"/>
    <mergeCell ref="O270:O270"/>
    <mergeCell ref="P270:P270"/>
    <mergeCell ref="Q270:Q270"/>
    <mergeCell ref="R270:R270"/>
    <mergeCell ref="S270:S270"/>
    <mergeCell ref="T270:T270"/>
    <mergeCell ref="A271:A271"/>
    <mergeCell ref="B271:B271"/>
    <mergeCell ref="C271:C271"/>
    <mergeCell ref="D271:D271"/>
    <mergeCell ref="E271:E271"/>
    <mergeCell ref="F271:F271"/>
    <mergeCell ref="G271:G271"/>
    <mergeCell ref="H271:H271"/>
    <mergeCell ref="I271:I271"/>
    <mergeCell ref="J271:J271"/>
    <mergeCell ref="K271:K271"/>
    <mergeCell ref="L271:L271"/>
    <mergeCell ref="M271:M271"/>
    <mergeCell ref="N271:N271"/>
    <mergeCell ref="O271:O271"/>
    <mergeCell ref="P271:P271"/>
    <mergeCell ref="Q271:Q271"/>
    <mergeCell ref="R271:R271"/>
    <mergeCell ref="S271:S271"/>
    <mergeCell ref="T271:T271"/>
    <mergeCell ref="A272:A272"/>
    <mergeCell ref="B272:B272"/>
    <mergeCell ref="C272:C272"/>
    <mergeCell ref="D272:D272"/>
    <mergeCell ref="E272:E272"/>
    <mergeCell ref="F272:F272"/>
    <mergeCell ref="G272:G272"/>
    <mergeCell ref="H272:H272"/>
    <mergeCell ref="I272:I272"/>
    <mergeCell ref="J272:J272"/>
    <mergeCell ref="K272:K272"/>
    <mergeCell ref="L272:L272"/>
    <mergeCell ref="M272:M272"/>
    <mergeCell ref="N272:N272"/>
    <mergeCell ref="O272:O272"/>
    <mergeCell ref="P272:P272"/>
    <mergeCell ref="Q272:Q272"/>
    <mergeCell ref="R272:R272"/>
    <mergeCell ref="S272:S272"/>
    <mergeCell ref="T272:T272"/>
    <mergeCell ref="A273:A273"/>
    <mergeCell ref="B273:B273"/>
    <mergeCell ref="C273:C273"/>
    <mergeCell ref="D273:D273"/>
    <mergeCell ref="E273:E273"/>
    <mergeCell ref="F273:F273"/>
    <mergeCell ref="G273:G273"/>
    <mergeCell ref="H273:H273"/>
    <mergeCell ref="I273:I273"/>
    <mergeCell ref="J273:J273"/>
    <mergeCell ref="K273:K273"/>
    <mergeCell ref="L273:L273"/>
    <mergeCell ref="M273:M273"/>
    <mergeCell ref="N273:N273"/>
    <mergeCell ref="O273:O273"/>
    <mergeCell ref="P273:P273"/>
    <mergeCell ref="Q273:Q273"/>
    <mergeCell ref="R273:R273"/>
    <mergeCell ref="S273:S273"/>
    <mergeCell ref="T273:T273"/>
    <mergeCell ref="A274:A274"/>
    <mergeCell ref="B274:B274"/>
    <mergeCell ref="C274:C274"/>
    <mergeCell ref="D274:D274"/>
    <mergeCell ref="E274:E274"/>
    <mergeCell ref="F274:F274"/>
    <mergeCell ref="G274:G274"/>
    <mergeCell ref="H274:H274"/>
    <mergeCell ref="I274:I274"/>
    <mergeCell ref="J274:J274"/>
    <mergeCell ref="K274:K274"/>
    <mergeCell ref="L274:L274"/>
    <mergeCell ref="M274:M274"/>
    <mergeCell ref="N274:N274"/>
    <mergeCell ref="O274:O274"/>
    <mergeCell ref="P274:P274"/>
    <mergeCell ref="Q274:Q274"/>
    <mergeCell ref="R274:R274"/>
    <mergeCell ref="S274:S274"/>
    <mergeCell ref="T274:T274"/>
    <mergeCell ref="A275:A275"/>
    <mergeCell ref="B275:B275"/>
    <mergeCell ref="C275:C275"/>
    <mergeCell ref="D275:D275"/>
    <mergeCell ref="E275:E275"/>
    <mergeCell ref="F275:F275"/>
    <mergeCell ref="G275:G275"/>
    <mergeCell ref="H275:H275"/>
    <mergeCell ref="I275:I275"/>
    <mergeCell ref="J275:J275"/>
    <mergeCell ref="K275:K275"/>
    <mergeCell ref="L275:L275"/>
    <mergeCell ref="M275:M275"/>
    <mergeCell ref="N275:N275"/>
    <mergeCell ref="O275:O275"/>
    <mergeCell ref="P275:P275"/>
    <mergeCell ref="Q275:Q275"/>
    <mergeCell ref="R275:R275"/>
    <mergeCell ref="S275:S275"/>
    <mergeCell ref="T275:T275"/>
    <mergeCell ref="A276:A276"/>
    <mergeCell ref="B276:B276"/>
    <mergeCell ref="C276:C276"/>
    <mergeCell ref="D276:D276"/>
    <mergeCell ref="E276:E276"/>
    <mergeCell ref="F276:F276"/>
    <mergeCell ref="G276:G276"/>
    <mergeCell ref="H276:H276"/>
    <mergeCell ref="I276:I276"/>
    <mergeCell ref="J276:J276"/>
    <mergeCell ref="K276:K276"/>
    <mergeCell ref="L276:L276"/>
    <mergeCell ref="M276:M276"/>
    <mergeCell ref="N276:N276"/>
    <mergeCell ref="O276:O276"/>
    <mergeCell ref="P276:P276"/>
    <mergeCell ref="Q276:Q276"/>
    <mergeCell ref="R276:R276"/>
    <mergeCell ref="S276:S276"/>
    <mergeCell ref="T276:T276"/>
    <mergeCell ref="A277:A277"/>
    <mergeCell ref="B277:B277"/>
    <mergeCell ref="C277:C277"/>
    <mergeCell ref="D277:D277"/>
    <mergeCell ref="E277:E277"/>
    <mergeCell ref="F277:F277"/>
    <mergeCell ref="G277:G277"/>
    <mergeCell ref="H277:H277"/>
    <mergeCell ref="I277:I277"/>
    <mergeCell ref="J277:J277"/>
    <mergeCell ref="K277:K277"/>
    <mergeCell ref="L277:L277"/>
    <mergeCell ref="M277:M277"/>
    <mergeCell ref="N277:N277"/>
    <mergeCell ref="O277:O277"/>
    <mergeCell ref="P277:P277"/>
    <mergeCell ref="Q277:Q277"/>
    <mergeCell ref="R277:R277"/>
    <mergeCell ref="S277:S277"/>
    <mergeCell ref="T277:T277"/>
    <mergeCell ref="A278:A278"/>
    <mergeCell ref="B278:B278"/>
    <mergeCell ref="C278:C278"/>
    <mergeCell ref="D278:D278"/>
    <mergeCell ref="E278:E278"/>
    <mergeCell ref="F278:F278"/>
    <mergeCell ref="G278:G278"/>
    <mergeCell ref="H278:H278"/>
    <mergeCell ref="I278:I278"/>
    <mergeCell ref="J278:J278"/>
    <mergeCell ref="K278:K278"/>
    <mergeCell ref="L278:L278"/>
    <mergeCell ref="M278:M278"/>
    <mergeCell ref="N278:N278"/>
    <mergeCell ref="O278:O278"/>
    <mergeCell ref="P278:P278"/>
    <mergeCell ref="Q278:Q278"/>
    <mergeCell ref="R278:R278"/>
    <mergeCell ref="S278:S278"/>
    <mergeCell ref="T278:T278"/>
    <mergeCell ref="A279:A279"/>
    <mergeCell ref="B279:B279"/>
    <mergeCell ref="C279:C279"/>
    <mergeCell ref="D279:D279"/>
    <mergeCell ref="E279:E279"/>
    <mergeCell ref="F279:F279"/>
    <mergeCell ref="G279:G279"/>
    <mergeCell ref="H279:H279"/>
    <mergeCell ref="I279:I279"/>
    <mergeCell ref="J279:J279"/>
    <mergeCell ref="K279:K279"/>
    <mergeCell ref="L279:L279"/>
    <mergeCell ref="M279:M279"/>
    <mergeCell ref="N279:N279"/>
    <mergeCell ref="O279:O279"/>
    <mergeCell ref="P279:P279"/>
    <mergeCell ref="Q279:Q279"/>
    <mergeCell ref="R279:R279"/>
    <mergeCell ref="S279:S279"/>
    <mergeCell ref="T279:T279"/>
    <mergeCell ref="A280:A280"/>
    <mergeCell ref="B280:B280"/>
    <mergeCell ref="C280:C280"/>
    <mergeCell ref="D280:D280"/>
    <mergeCell ref="E280:E280"/>
    <mergeCell ref="F280:F280"/>
    <mergeCell ref="G280:G280"/>
    <mergeCell ref="H280:H280"/>
    <mergeCell ref="I280:I280"/>
    <mergeCell ref="J280:J280"/>
    <mergeCell ref="K280:K280"/>
    <mergeCell ref="L280:L280"/>
    <mergeCell ref="M280:M280"/>
    <mergeCell ref="N280:N280"/>
    <mergeCell ref="O280:O280"/>
    <mergeCell ref="P280:P280"/>
    <mergeCell ref="Q280:Q280"/>
    <mergeCell ref="R280:R280"/>
    <mergeCell ref="S280:S280"/>
    <mergeCell ref="T280:T280"/>
    <mergeCell ref="A281:A281"/>
    <mergeCell ref="B281:B281"/>
    <mergeCell ref="C281:C281"/>
    <mergeCell ref="D281:D281"/>
    <mergeCell ref="E281:E281"/>
    <mergeCell ref="F281:F281"/>
    <mergeCell ref="G281:G281"/>
    <mergeCell ref="H281:H281"/>
    <mergeCell ref="I281:I281"/>
    <mergeCell ref="J281:J281"/>
    <mergeCell ref="K281:K281"/>
    <mergeCell ref="L281:L281"/>
    <mergeCell ref="M281:M281"/>
    <mergeCell ref="N281:N281"/>
    <mergeCell ref="O281:O281"/>
    <mergeCell ref="P281:P281"/>
    <mergeCell ref="Q281:Q281"/>
    <mergeCell ref="R281:R281"/>
    <mergeCell ref="S281:S281"/>
    <mergeCell ref="T281:T281"/>
    <mergeCell ref="A282:A282"/>
    <mergeCell ref="B282:B282"/>
    <mergeCell ref="C282:C282"/>
    <mergeCell ref="D282:D282"/>
    <mergeCell ref="E282:E282"/>
    <mergeCell ref="F282:F282"/>
    <mergeCell ref="G282:G282"/>
    <mergeCell ref="H282:H282"/>
    <mergeCell ref="I282:I282"/>
    <mergeCell ref="J282:J282"/>
    <mergeCell ref="K282:K282"/>
    <mergeCell ref="L282:L282"/>
    <mergeCell ref="M282:M282"/>
    <mergeCell ref="N282:N282"/>
    <mergeCell ref="O282:O282"/>
    <mergeCell ref="P282:P282"/>
    <mergeCell ref="Q282:Q282"/>
    <mergeCell ref="R282:R282"/>
    <mergeCell ref="S282:S282"/>
    <mergeCell ref="T282:T282"/>
    <mergeCell ref="A283:A283"/>
    <mergeCell ref="B283:B283"/>
    <mergeCell ref="C283:C283"/>
    <mergeCell ref="D283:D283"/>
    <mergeCell ref="E283:E283"/>
    <mergeCell ref="F283:F283"/>
    <mergeCell ref="G283:G283"/>
    <mergeCell ref="H283:H283"/>
    <mergeCell ref="I283:I283"/>
    <mergeCell ref="J283:J283"/>
    <mergeCell ref="K283:K283"/>
    <mergeCell ref="L283:L283"/>
    <mergeCell ref="M283:M283"/>
    <mergeCell ref="N283:N283"/>
    <mergeCell ref="O283:O283"/>
    <mergeCell ref="P283:P283"/>
    <mergeCell ref="Q283:Q283"/>
    <mergeCell ref="R283:R283"/>
    <mergeCell ref="S283:S283"/>
    <mergeCell ref="T283:T283"/>
    <mergeCell ref="A284:A284"/>
    <mergeCell ref="B284:B284"/>
    <mergeCell ref="C284:C284"/>
    <mergeCell ref="D284:D284"/>
    <mergeCell ref="E284:E284"/>
    <mergeCell ref="F284:F284"/>
    <mergeCell ref="G284:G284"/>
    <mergeCell ref="H284:H284"/>
    <mergeCell ref="I284:I284"/>
    <mergeCell ref="J284:J284"/>
    <mergeCell ref="K284:K284"/>
    <mergeCell ref="L284:L284"/>
    <mergeCell ref="M284:M284"/>
    <mergeCell ref="N284:N284"/>
    <mergeCell ref="O284:O284"/>
    <mergeCell ref="P284:P284"/>
    <mergeCell ref="Q284:Q284"/>
    <mergeCell ref="R284:R284"/>
    <mergeCell ref="S284:S284"/>
    <mergeCell ref="T284:T284"/>
    <mergeCell ref="A285:A285"/>
    <mergeCell ref="B285:B285"/>
    <mergeCell ref="C285:C285"/>
    <mergeCell ref="D285:D285"/>
    <mergeCell ref="E285:E285"/>
    <mergeCell ref="F285:F285"/>
    <mergeCell ref="G285:G285"/>
    <mergeCell ref="H285:H285"/>
    <mergeCell ref="I285:I285"/>
    <mergeCell ref="J285:J285"/>
    <mergeCell ref="K285:K285"/>
    <mergeCell ref="L285:L285"/>
    <mergeCell ref="M285:M285"/>
    <mergeCell ref="N285:N285"/>
    <mergeCell ref="O285:O285"/>
    <mergeCell ref="P285:P285"/>
    <mergeCell ref="Q285:Q285"/>
    <mergeCell ref="R285:R285"/>
    <mergeCell ref="S285:S285"/>
    <mergeCell ref="T285:T285"/>
    <mergeCell ref="A286:A286"/>
    <mergeCell ref="B286:B286"/>
    <mergeCell ref="C286:C286"/>
    <mergeCell ref="D286:D286"/>
    <mergeCell ref="E286:E286"/>
    <mergeCell ref="F286:F286"/>
    <mergeCell ref="G286:G286"/>
    <mergeCell ref="H286:H286"/>
    <mergeCell ref="I286:I286"/>
    <mergeCell ref="J286:J286"/>
    <mergeCell ref="K286:K286"/>
    <mergeCell ref="L286:L286"/>
    <mergeCell ref="M286:M286"/>
    <mergeCell ref="N286:N286"/>
    <mergeCell ref="O286:O286"/>
    <mergeCell ref="P286:P286"/>
    <mergeCell ref="Q286:Q286"/>
    <mergeCell ref="R286:R286"/>
    <mergeCell ref="S286:S286"/>
    <mergeCell ref="T286:T286"/>
    <mergeCell ref="A287:A287"/>
    <mergeCell ref="B287:B287"/>
    <mergeCell ref="C287:C287"/>
    <mergeCell ref="D287:D287"/>
    <mergeCell ref="E287:E287"/>
    <mergeCell ref="F287:F287"/>
    <mergeCell ref="G287:G287"/>
    <mergeCell ref="H287:H287"/>
    <mergeCell ref="I287:I287"/>
    <mergeCell ref="J287:J287"/>
    <mergeCell ref="K287:K287"/>
    <mergeCell ref="L287:L287"/>
    <mergeCell ref="M287:M287"/>
    <mergeCell ref="N287:N287"/>
    <mergeCell ref="O287:O287"/>
    <mergeCell ref="P287:P287"/>
    <mergeCell ref="Q287:Q287"/>
    <mergeCell ref="R287:R287"/>
    <mergeCell ref="S287:S287"/>
    <mergeCell ref="T287:T287"/>
    <mergeCell ref="A288:A288"/>
    <mergeCell ref="B288:B288"/>
    <mergeCell ref="C288:C288"/>
    <mergeCell ref="D288:D288"/>
    <mergeCell ref="E288:E288"/>
    <mergeCell ref="F288:F288"/>
    <mergeCell ref="G288:G288"/>
    <mergeCell ref="H288:H288"/>
    <mergeCell ref="I288:I288"/>
    <mergeCell ref="J288:J288"/>
    <mergeCell ref="K288:K288"/>
    <mergeCell ref="L288:L288"/>
    <mergeCell ref="M288:M288"/>
    <mergeCell ref="N288:N288"/>
    <mergeCell ref="O288:O288"/>
    <mergeCell ref="P288:P288"/>
    <mergeCell ref="Q288:Q288"/>
    <mergeCell ref="R288:R288"/>
    <mergeCell ref="S288:S288"/>
    <mergeCell ref="T288:T288"/>
    <mergeCell ref="A289:A289"/>
    <mergeCell ref="B289:B289"/>
    <mergeCell ref="C289:C289"/>
    <mergeCell ref="D289:D289"/>
    <mergeCell ref="E289:E289"/>
    <mergeCell ref="F289:F289"/>
    <mergeCell ref="G289:G289"/>
    <mergeCell ref="H289:H289"/>
    <mergeCell ref="I289:I289"/>
    <mergeCell ref="J289:J289"/>
    <mergeCell ref="K289:K289"/>
    <mergeCell ref="L289:L289"/>
    <mergeCell ref="M289:M289"/>
    <mergeCell ref="N289:N289"/>
    <mergeCell ref="O289:O289"/>
    <mergeCell ref="P289:P289"/>
    <mergeCell ref="Q289:Q289"/>
    <mergeCell ref="R289:R289"/>
    <mergeCell ref="S289:S289"/>
    <mergeCell ref="T289:T289"/>
    <mergeCell ref="A290:A290"/>
    <mergeCell ref="B290:B290"/>
    <mergeCell ref="C290:C290"/>
    <mergeCell ref="D290:D290"/>
    <mergeCell ref="E290:E290"/>
    <mergeCell ref="F290:F290"/>
    <mergeCell ref="G290:G290"/>
    <mergeCell ref="H290:H290"/>
    <mergeCell ref="I290:I290"/>
    <mergeCell ref="J290:J290"/>
    <mergeCell ref="K290:K290"/>
    <mergeCell ref="L290:L290"/>
    <mergeCell ref="M290:M290"/>
    <mergeCell ref="N290:N290"/>
    <mergeCell ref="O290:O290"/>
    <mergeCell ref="P290:P290"/>
    <mergeCell ref="Q290:Q290"/>
    <mergeCell ref="R290:R290"/>
    <mergeCell ref="S290:S290"/>
    <mergeCell ref="T290:T290"/>
    <mergeCell ref="A291:A291"/>
    <mergeCell ref="B291:B291"/>
    <mergeCell ref="C291:C291"/>
    <mergeCell ref="D291:D291"/>
    <mergeCell ref="E291:E291"/>
    <mergeCell ref="F291:F291"/>
    <mergeCell ref="G291:G291"/>
    <mergeCell ref="H291:H291"/>
    <mergeCell ref="I291:I291"/>
    <mergeCell ref="J291:J291"/>
    <mergeCell ref="K291:K291"/>
    <mergeCell ref="L291:L291"/>
    <mergeCell ref="M291:M291"/>
    <mergeCell ref="N291:N291"/>
    <mergeCell ref="O291:O291"/>
    <mergeCell ref="P291:P291"/>
    <mergeCell ref="Q291:Q291"/>
    <mergeCell ref="R291:R291"/>
    <mergeCell ref="S291:S291"/>
    <mergeCell ref="T291:T291"/>
    <mergeCell ref="A292:A292"/>
    <mergeCell ref="B292:B292"/>
    <mergeCell ref="C292:C292"/>
    <mergeCell ref="D292:D292"/>
    <mergeCell ref="E292:E292"/>
    <mergeCell ref="F292:F292"/>
    <mergeCell ref="G292:G292"/>
    <mergeCell ref="H292:H292"/>
    <mergeCell ref="I292:I292"/>
    <mergeCell ref="J292:J292"/>
    <mergeCell ref="K292:K292"/>
    <mergeCell ref="L292:L292"/>
    <mergeCell ref="M292:M292"/>
    <mergeCell ref="N292:N292"/>
    <mergeCell ref="O292:O292"/>
    <mergeCell ref="P292:P292"/>
    <mergeCell ref="Q292:Q292"/>
    <mergeCell ref="R292:R292"/>
    <mergeCell ref="S292:S292"/>
    <mergeCell ref="T292:T292"/>
    <mergeCell ref="A293:A293"/>
    <mergeCell ref="B293:B293"/>
    <mergeCell ref="C293:C293"/>
    <mergeCell ref="D293:D293"/>
    <mergeCell ref="E293:E293"/>
    <mergeCell ref="F293:F293"/>
    <mergeCell ref="G293:G293"/>
    <mergeCell ref="H293:H293"/>
    <mergeCell ref="I293:I293"/>
    <mergeCell ref="J293:J293"/>
    <mergeCell ref="K293:K293"/>
    <mergeCell ref="L293:L293"/>
    <mergeCell ref="M293:M293"/>
    <mergeCell ref="N293:N293"/>
    <mergeCell ref="O293:O293"/>
    <mergeCell ref="P293:P293"/>
    <mergeCell ref="Q293:Q293"/>
    <mergeCell ref="R293:R293"/>
    <mergeCell ref="S293:S293"/>
    <mergeCell ref="T293:T29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I2205"/>
  <sheetViews>
    <sheetView tabSelected="0" workbookViewId="0" showGridLines="true" showRowColHeaders="1">
      <selection activeCell="AW47" sqref="AW47"/>
    </sheetView>
  </sheetViews>
  <sheetFormatPr defaultRowHeight="14.4" outlineLevelRow="0" outlineLevelCol="0"/>
  <cols>
    <col min="1" max="1" width="19.995117" bestFit="true" customWidth="true" style="0"/>
    <col min="14" max="14" width="25" customWidth="true" style="0"/>
    <col min="13" max="13" width="34.134521" bestFit="true" customWidth="true" style="0"/>
    <col min="15" max="15" width="32.991943" bestFit="true" customWidth="true" style="0"/>
    <col min="16" max="16" width="10" customWidth="true" style="0"/>
    <col min="17" max="17" width="10" customWidth="true" style="0"/>
    <col min="18" max="18" width="15" customWidth="true" style="0"/>
    <col min="19" max="19" width="10" customWidth="true" style="0"/>
    <col min="26" max="26" width="25" customWidth="true" style="0"/>
    <col min="25" max="25" width="34.134521" bestFit="true" customWidth="true" style="0"/>
    <col min="27" max="27" width="32.991943" bestFit="true" customWidth="true" style="0"/>
    <col min="28" max="28" width="10" customWidth="true" style="0"/>
    <col min="29" max="29" width="10" customWidth="true" style="0"/>
    <col min="30" max="30" width="15" customWidth="true" style="0"/>
    <col min="31" max="31" width="10" customWidth="true" style="0"/>
    <col min="38" max="38" width="25" customWidth="true" style="0"/>
    <col min="37" max="37" width="34.134521" bestFit="true" customWidth="true" style="0"/>
    <col min="39" max="39" width="32.991943" bestFit="true" customWidth="true" style="0"/>
    <col min="40" max="40" width="10" customWidth="true" style="0"/>
    <col min="41" max="41" width="10" customWidth="true" style="0"/>
    <col min="42" max="42" width="15" customWidth="true" style="0"/>
    <col min="43" max="43" width="10" customWidth="true" style="0"/>
    <col min="50" max="50" width="25" customWidth="true" style="0"/>
    <col min="49" max="49" width="34.134521" bestFit="true" customWidth="true" style="0"/>
    <col min="51" max="51" width="27.70752" bestFit="true" customWidth="true" style="0"/>
    <col min="52" max="52" width="10" customWidth="true" style="0"/>
    <col min="53" max="53" width="10" customWidth="true" style="0"/>
    <col min="54" max="54" width="15" customWidth="true" style="0"/>
    <col min="55" max="55" width="10" customWidth="true" style="0"/>
  </cols>
  <sheetData>
    <row r="1" spans="1:61">
      <c r="A1" s="6" t="s">
        <v>0</v>
      </c>
      <c r="B1" s="6"/>
      <c r="C1" s="6"/>
      <c r="D1" s="6"/>
      <c r="E1" s="6"/>
      <c r="F1" s="6"/>
      <c r="G1" s="6"/>
      <c r="H1" s="6"/>
      <c r="I1" s="6"/>
    </row>
    <row r="2" spans="1:61">
      <c r="A2" s="7" t="s">
        <v>330</v>
      </c>
      <c r="B2" s="9" t="s">
        <v>1</v>
      </c>
      <c r="C2" s="9"/>
      <c r="D2" s="9" t="s">
        <v>2</v>
      </c>
      <c r="E2" s="9"/>
      <c r="F2" s="9" t="s">
        <v>3</v>
      </c>
      <c r="G2" s="9"/>
      <c r="H2" s="9" t="s">
        <v>331</v>
      </c>
      <c r="I2" s="9"/>
    </row>
    <row r="3" spans="1:61">
      <c r="A3" s="7"/>
      <c r="B3" s="8" t="s">
        <v>332</v>
      </c>
      <c r="C3" s="8" t="s">
        <v>5</v>
      </c>
      <c r="D3" s="8" t="s">
        <v>332</v>
      </c>
      <c r="E3" s="8" t="s">
        <v>5</v>
      </c>
      <c r="F3" s="8" t="s">
        <v>332</v>
      </c>
      <c r="G3" s="8" t="s">
        <v>5</v>
      </c>
      <c r="H3" s="8" t="s">
        <v>332</v>
      </c>
      <c r="I3" s="8" t="s">
        <v>5</v>
      </c>
      <c r="K3" s="11"/>
      <c r="L3" s="11"/>
      <c r="M3" s="11"/>
      <c r="N3" s="11"/>
      <c r="O3" s="11"/>
      <c r="P3" s="11"/>
      <c r="Q3" s="11"/>
      <c r="R3" s="11"/>
      <c r="S3" s="11"/>
      <c r="T3" s="11"/>
      <c r="U3" s="11"/>
      <c r="W3" s="11"/>
      <c r="X3" s="11"/>
      <c r="Y3" s="11"/>
      <c r="Z3" s="11"/>
      <c r="AA3" s="11"/>
      <c r="AB3" s="11"/>
      <c r="AC3" s="11"/>
      <c r="AD3" s="11"/>
      <c r="AE3" s="11"/>
      <c r="AF3" s="11"/>
      <c r="AG3" s="11"/>
      <c r="AI3" s="11"/>
      <c r="AJ3" s="11"/>
      <c r="AK3" s="11"/>
      <c r="AL3" s="11"/>
      <c r="AM3" s="11"/>
      <c r="AN3" s="11"/>
      <c r="AO3" s="11"/>
      <c r="AP3" s="11"/>
      <c r="AQ3" s="11"/>
      <c r="AR3" s="11"/>
      <c r="AS3" s="11"/>
      <c r="AU3" s="28"/>
      <c r="AV3" s="28"/>
      <c r="AW3" s="28"/>
      <c r="AX3" s="28"/>
      <c r="AY3" s="28"/>
      <c r="AZ3" s="28"/>
      <c r="BA3" s="28"/>
      <c r="BB3" s="28"/>
      <c r="BC3" s="28"/>
      <c r="BD3" s="28"/>
      <c r="BE3" s="28"/>
    </row>
    <row r="4" spans="1:61">
      <c r="A4" t="s">
        <v>24</v>
      </c>
      <c r="B4" t="str">
        <f>SUM('Gestión de abastecimiento'!B5:G5)</f>
        <v>0</v>
      </c>
      <c r="C4" s="10" t="str">
        <f>IF(B4&lt;=$Q$19,"Bajo",IF(B4&lt;=$Q$20,"Medio ",IF(B4&lt;=$Q$21,"Alto",0)))</f>
        <v>0</v>
      </c>
      <c r="D4" t="str">
        <f>SUM('Gestión de abastecimiento'!H5:M5)</f>
        <v>0</v>
      </c>
      <c r="E4" s="10" t="str">
        <f>IF(D4&lt;=$AC$19,"Bajo",IF(D4&lt;=$AC$20,"Medio ",IF(D4&lt;=$AC$21,"Alto",0)))</f>
        <v>0</v>
      </c>
      <c r="F4" t="str">
        <f>SUM('Gestión de abastecimiento'!N5:S5)</f>
        <v>0</v>
      </c>
      <c r="G4" s="10" t="str">
        <f>IF(F4&lt;=$AO$19,"Bajo",IF(F4&lt;=$AO$20,"Medio ",IF(F4&lt;=$AO$21,"Alto",0)))</f>
        <v>0</v>
      </c>
      <c r="H4" t="str">
        <f>SUM(B4:F4)</f>
        <v>0</v>
      </c>
      <c r="I4" s="10" t="str">
        <f>IF(H4&lt;=$BA$19,"Bajo",IF(H4&lt;=$BA$20,"Medio ",IF(H4&lt;=$BA$21,"Alto",0)))</f>
        <v>0</v>
      </c>
      <c r="K4" s="11"/>
      <c r="M4" s="10" t="s">
        <v>333</v>
      </c>
      <c r="N4" s="10" t="s">
        <v>331</v>
      </c>
      <c r="U4" s="11"/>
      <c r="W4" s="11"/>
      <c r="Y4" s="10" t="s">
        <v>333</v>
      </c>
      <c r="Z4" s="10" t="s">
        <v>331</v>
      </c>
      <c r="AG4" s="11"/>
      <c r="AI4" s="11"/>
      <c r="AK4" s="10" t="s">
        <v>333</v>
      </c>
      <c r="AL4" s="10" t="s">
        <v>331</v>
      </c>
      <c r="AS4" s="11"/>
      <c r="AU4" s="28"/>
      <c r="AW4" s="10" t="s">
        <v>333</v>
      </c>
      <c r="AX4" s="10" t="s">
        <v>331</v>
      </c>
      <c r="BE4" s="28"/>
    </row>
    <row r="5" spans="1:61">
      <c r="A5" t="s">
        <v>25</v>
      </c>
      <c r="B5" t="str">
        <f>SUM('Gestión de abastecimiento'!B6:G6)</f>
        <v>0</v>
      </c>
      <c r="C5" s="10" t="str">
        <f>IF(B5&lt;=$Q$19,"Bajo",IF(B5&lt;=$Q$20,"Medio ",IF(B5&lt;=$Q$21,"Alto",0)))</f>
        <v>0</v>
      </c>
      <c r="D5" t="str">
        <f>SUM('Gestión de abastecimiento'!H6:M6)</f>
        <v>0</v>
      </c>
      <c r="E5" s="10" t="str">
        <f>IF(D5&lt;=$AC$19,"Bajo",IF(D5&lt;=$AC$20,"Medio ",IF(D5&lt;=$AC$21,"Alto",0)))</f>
        <v>0</v>
      </c>
      <c r="F5" t="str">
        <f>SUM('Gestión de abastecimiento'!N6:S6)</f>
        <v>0</v>
      </c>
      <c r="G5" s="10" t="str">
        <f>IF(F5&lt;=$AO$19,"Bajo",IF(F5&lt;=$AO$20,"Medio ",IF(F5&lt;=$AO$21,"Alto",0)))</f>
        <v>0</v>
      </c>
      <c r="H5" t="str">
        <f>SUM(B5:F5)</f>
        <v>0</v>
      </c>
      <c r="I5" s="10" t="str">
        <f>IF(H5&lt;=$BA$19,"Bajo",IF(H5&lt;=$BA$20,"Medio ",IF(H5&lt;=$BA$21,"Alto",0)))</f>
        <v>0</v>
      </c>
      <c r="K5" s="11"/>
      <c r="M5" s="10" t="s">
        <v>334</v>
      </c>
      <c r="N5" s="10" t="str">
        <f>B2</f>
        <v>0</v>
      </c>
      <c r="U5" s="11"/>
      <c r="W5" s="11"/>
      <c r="Y5" s="10" t="s">
        <v>334</v>
      </c>
      <c r="Z5" s="10" t="str">
        <f>D2</f>
        <v>0</v>
      </c>
      <c r="AG5" s="11"/>
      <c r="AI5" s="11"/>
      <c r="AK5" s="10" t="s">
        <v>334</v>
      </c>
      <c r="AL5" s="10" t="str">
        <f>F2</f>
        <v>0</v>
      </c>
      <c r="AS5" s="11"/>
      <c r="AU5" s="28"/>
      <c r="BE5" s="28"/>
    </row>
    <row r="6" spans="1:61">
      <c r="A6" t="s">
        <v>26</v>
      </c>
      <c r="B6" t="str">
        <f>SUM('Gestión de abastecimiento'!B7:G7)</f>
        <v>0</v>
      </c>
      <c r="C6" s="10" t="str">
        <f>IF(B6&lt;=$Q$19,"Bajo",IF(B6&lt;=$Q$20,"Medio ",IF(B6&lt;=$Q$21,"Alto",0)))</f>
        <v>0</v>
      </c>
      <c r="D6" t="str">
        <f>SUM('Gestión de abastecimiento'!H7:M7)</f>
        <v>0</v>
      </c>
      <c r="E6" s="10" t="str">
        <f>IF(D6&lt;=$AC$19,"Bajo",IF(D6&lt;=$AC$20,"Medio ",IF(D6&lt;=$AC$21,"Alto",0)))</f>
        <v>0</v>
      </c>
      <c r="F6" t="str">
        <f>SUM('Gestión de abastecimiento'!N7:S7)</f>
        <v>0</v>
      </c>
      <c r="G6" s="10" t="str">
        <f>IF(F6&lt;=$AO$19,"Bajo",IF(F6&lt;=$AO$20,"Medio ",IF(F6&lt;=$AO$21,"Alto",0)))</f>
        <v>0</v>
      </c>
      <c r="H6" t="str">
        <f>SUM(B6:F6)</f>
        <v>0</v>
      </c>
      <c r="I6" s="10" t="str">
        <f>IF(H6&lt;=$BA$19,"Bajo",IF(H6&lt;=$BA$20,"Medio ",IF(H6&lt;=$BA$21,"Alto",0)))</f>
        <v>0</v>
      </c>
      <c r="K6" s="11"/>
      <c r="M6" s="10" t="s">
        <v>335</v>
      </c>
      <c r="N6" s="10">
        <v>3</v>
      </c>
      <c r="U6" s="11"/>
      <c r="W6" s="11"/>
      <c r="Y6" s="10" t="s">
        <v>335</v>
      </c>
      <c r="Z6" s="10">
        <v>3</v>
      </c>
      <c r="AG6" s="11"/>
      <c r="AI6" s="11"/>
      <c r="AK6" s="10" t="s">
        <v>335</v>
      </c>
      <c r="AL6" s="10">
        <v>3</v>
      </c>
      <c r="AS6" s="11"/>
      <c r="AU6" s="28"/>
      <c r="AW6" s="10" t="s">
        <v>335</v>
      </c>
      <c r="AX6" s="10">
        <v>3</v>
      </c>
      <c r="BE6" s="28"/>
    </row>
    <row r="7" spans="1:61">
      <c r="A7" t="s">
        <v>27</v>
      </c>
      <c r="B7" t="str">
        <f>SUM('Gestión de abastecimiento'!B8:G8)</f>
        <v>0</v>
      </c>
      <c r="C7" s="10" t="str">
        <f>IF(B7&lt;=$Q$19,"Bajo",IF(B7&lt;=$Q$20,"Medio ",IF(B7&lt;=$Q$21,"Alto",0)))</f>
        <v>0</v>
      </c>
      <c r="D7" t="str">
        <f>SUM('Gestión de abastecimiento'!H8:M8)</f>
        <v>0</v>
      </c>
      <c r="E7" s="10" t="str">
        <f>IF(D7&lt;=$AC$19,"Bajo",IF(D7&lt;=$AC$20,"Medio ",IF(D7&lt;=$AC$21,"Alto",0)))</f>
        <v>0</v>
      </c>
      <c r="F7" t="str">
        <f>SUM('Gestión de abastecimiento'!N8:S8)</f>
        <v>0</v>
      </c>
      <c r="G7" s="10" t="str">
        <f>IF(F7&lt;=$AO$19,"Bajo",IF(F7&lt;=$AO$20,"Medio ",IF(F7&lt;=$AO$21,"Alto",0)))</f>
        <v>0</v>
      </c>
      <c r="H7" t="str">
        <f>SUM(B7:F7)</f>
        <v>0</v>
      </c>
      <c r="I7" s="10" t="str">
        <f>IF(H7&lt;=$BA$19,"Bajo",IF(H7&lt;=$BA$20,"Medio ",IF(H7&lt;=$BA$21,"Alto",0)))</f>
        <v>0</v>
      </c>
      <c r="K7" s="11"/>
      <c r="M7" s="10" t="s">
        <v>336</v>
      </c>
      <c r="N7" s="10">
        <v>6</v>
      </c>
      <c r="U7" s="11"/>
      <c r="W7" s="11"/>
      <c r="Y7" s="10" t="s">
        <v>336</v>
      </c>
      <c r="Z7" s="10">
        <v>6</v>
      </c>
      <c r="AG7" s="11"/>
      <c r="AI7" s="11"/>
      <c r="AK7" s="10" t="s">
        <v>336</v>
      </c>
      <c r="AL7" s="10">
        <v>6</v>
      </c>
      <c r="AS7" s="11"/>
      <c r="AU7" s="28"/>
      <c r="AW7" s="10" t="s">
        <v>336</v>
      </c>
      <c r="AX7" s="10">
        <v>18</v>
      </c>
      <c r="BE7" s="28"/>
    </row>
    <row r="8" spans="1:61">
      <c r="A8" t="s">
        <v>28</v>
      </c>
      <c r="B8" t="str">
        <f>SUM('Gestión de abastecimiento'!B9:G9)</f>
        <v>0</v>
      </c>
      <c r="C8" s="10" t="str">
        <f>IF(B8&lt;=$Q$19,"Bajo",IF(B8&lt;=$Q$20,"Medio ",IF(B8&lt;=$Q$21,"Alto",0)))</f>
        <v>0</v>
      </c>
      <c r="D8" t="str">
        <f>SUM('Gestión de abastecimiento'!H9:M9)</f>
        <v>0</v>
      </c>
      <c r="E8" s="10" t="str">
        <f>IF(D8&lt;=$AC$19,"Bajo",IF(D8&lt;=$AC$20,"Medio ",IF(D8&lt;=$AC$21,"Alto",0)))</f>
        <v>0</v>
      </c>
      <c r="F8" t="str">
        <f>SUM('Gestión de abastecimiento'!N9:S9)</f>
        <v>0</v>
      </c>
      <c r="G8" s="10" t="str">
        <f>IF(F8&lt;=$AO$19,"Bajo",IF(F8&lt;=$AO$20,"Medio ",IF(F8&lt;=$AO$21,"Alto",0)))</f>
        <v>0</v>
      </c>
      <c r="H8" t="str">
        <f>SUM(B8:F8)</f>
        <v>0</v>
      </c>
      <c r="I8" s="10" t="str">
        <f>IF(H8&lt;=$BA$19,"Bajo",IF(H8&lt;=$BA$20,"Medio ",IF(H8&lt;=$BA$21,"Alto",0)))</f>
        <v>0</v>
      </c>
      <c r="K8" s="11"/>
      <c r="M8" s="10" t="s">
        <v>337</v>
      </c>
      <c r="N8" s="10">
        <v>1</v>
      </c>
      <c r="U8" s="11"/>
      <c r="W8" s="11"/>
      <c r="Y8" s="10" t="s">
        <v>337</v>
      </c>
      <c r="Z8" s="10">
        <v>1</v>
      </c>
      <c r="AG8" s="11"/>
      <c r="AI8" s="11"/>
      <c r="AK8" s="10" t="s">
        <v>337</v>
      </c>
      <c r="AL8" s="10">
        <v>1</v>
      </c>
      <c r="AS8" s="11"/>
      <c r="AU8" s="28"/>
      <c r="AW8" s="10" t="s">
        <v>337</v>
      </c>
      <c r="AX8" s="10">
        <v>1</v>
      </c>
      <c r="BE8" s="28"/>
    </row>
    <row r="9" spans="1:61">
      <c r="A9" t="s">
        <v>29</v>
      </c>
      <c r="B9" t="str">
        <f>SUM('Gestión de abastecimiento'!B10:G10)</f>
        <v>0</v>
      </c>
      <c r="C9" s="10" t="str">
        <f>IF(B9&lt;=$Q$19,"Bajo",IF(B9&lt;=$Q$20,"Medio ",IF(B9&lt;=$Q$21,"Alto",0)))</f>
        <v>0</v>
      </c>
      <c r="D9" t="str">
        <f>SUM('Gestión de abastecimiento'!H10:M10)</f>
        <v>0</v>
      </c>
      <c r="E9" s="10" t="str">
        <f>IF(D9&lt;=$AC$19,"Bajo",IF(D9&lt;=$AC$20,"Medio ",IF(D9&lt;=$AC$21,"Alto",0)))</f>
        <v>0</v>
      </c>
      <c r="F9" t="str">
        <f>SUM('Gestión de abastecimiento'!N10:S10)</f>
        <v>0</v>
      </c>
      <c r="G9" s="10" t="str">
        <f>IF(F9&lt;=$AO$19,"Bajo",IF(F9&lt;=$AO$20,"Medio ",IF(F9&lt;=$AO$21,"Alto",0)))</f>
        <v>0</v>
      </c>
      <c r="H9" t="str">
        <f>SUM(B9:F9)</f>
        <v>0</v>
      </c>
      <c r="I9" s="10" t="str">
        <f>IF(H9&lt;=$BA$19,"Bajo",IF(H9&lt;=$BA$20,"Medio ",IF(H9&lt;=$BA$21,"Alto",0)))</f>
        <v>0</v>
      </c>
      <c r="K9" s="11"/>
      <c r="M9" s="10" t="s">
        <v>338</v>
      </c>
      <c r="N9" s="10">
        <v>5</v>
      </c>
      <c r="U9" s="11"/>
      <c r="W9" s="11"/>
      <c r="Y9" s="10" t="s">
        <v>338</v>
      </c>
      <c r="Z9" s="10">
        <v>5</v>
      </c>
      <c r="AG9" s="11"/>
      <c r="AI9" s="11"/>
      <c r="AK9" s="10" t="s">
        <v>338</v>
      </c>
      <c r="AL9" s="10">
        <v>5</v>
      </c>
      <c r="AS9" s="11"/>
      <c r="AU9" s="28"/>
      <c r="AW9" s="10" t="s">
        <v>338</v>
      </c>
      <c r="AX9" s="10">
        <v>5</v>
      </c>
      <c r="BE9" s="28"/>
    </row>
    <row r="10" spans="1:61">
      <c r="A10" t="s">
        <v>30</v>
      </c>
      <c r="B10" t="str">
        <f>SUM('Gestión de abastecimiento'!B11:G11)</f>
        <v>0</v>
      </c>
      <c r="C10" s="10" t="str">
        <f>IF(B10&lt;=$Q$19,"Bajo",IF(B10&lt;=$Q$20,"Medio ",IF(B10&lt;=$Q$21,"Alto",0)))</f>
        <v>0</v>
      </c>
      <c r="D10" t="str">
        <f>SUM('Gestión de abastecimiento'!H11:M11)</f>
        <v>0</v>
      </c>
      <c r="E10" s="10" t="str">
        <f>IF(D10&lt;=$AC$19,"Bajo",IF(D10&lt;=$AC$20,"Medio ",IF(D10&lt;=$AC$21,"Alto",0)))</f>
        <v>0</v>
      </c>
      <c r="F10" t="str">
        <f>SUM('Gestión de abastecimiento'!N11:S11)</f>
        <v>0</v>
      </c>
      <c r="G10" s="10" t="str">
        <f>IF(F10&lt;=$AO$19,"Bajo",IF(F10&lt;=$AO$20,"Medio ",IF(F10&lt;=$AO$21,"Alto",0)))</f>
        <v>0</v>
      </c>
      <c r="H10" t="str">
        <f>SUM(B10:F10)</f>
        <v>0</v>
      </c>
      <c r="I10" s="10" t="str">
        <f>IF(H10&lt;=$BA$19,"Bajo",IF(H10&lt;=$BA$20,"Medio ",IF(H10&lt;=$BA$21,"Alto",0)))</f>
        <v>0</v>
      </c>
      <c r="K10" s="11"/>
      <c r="M10" s="10" t="s">
        <v>339</v>
      </c>
      <c r="N10" s="10" t="str">
        <f>N7*N9</f>
        <v>0</v>
      </c>
      <c r="U10" s="11"/>
      <c r="W10" s="11"/>
      <c r="Y10" s="10" t="s">
        <v>339</v>
      </c>
      <c r="Z10" s="10" t="str">
        <f>Z7*Z9</f>
        <v>0</v>
      </c>
      <c r="AG10" s="11"/>
      <c r="AI10" s="11"/>
      <c r="AK10" s="10" t="s">
        <v>339</v>
      </c>
      <c r="AL10" s="10" t="str">
        <f>AL7*AL9</f>
        <v>0</v>
      </c>
      <c r="AS10" s="11"/>
      <c r="AU10" s="28"/>
      <c r="AW10" s="10" t="s">
        <v>339</v>
      </c>
      <c r="AX10" s="10" t="str">
        <f>AX7*AX9</f>
        <v>0</v>
      </c>
      <c r="BE10" s="28"/>
    </row>
    <row r="11" spans="1:61">
      <c r="A11" t="s">
        <v>31</v>
      </c>
      <c r="B11" t="str">
        <f>SUM('Gestión de abastecimiento'!B12:G12)</f>
        <v>0</v>
      </c>
      <c r="C11" s="10" t="str">
        <f>IF(B11&lt;=$Q$19,"Bajo",IF(B11&lt;=$Q$20,"Medio ",IF(B11&lt;=$Q$21,"Alto",0)))</f>
        <v>0</v>
      </c>
      <c r="D11" t="str">
        <f>SUM('Gestión de abastecimiento'!H12:M12)</f>
        <v>0</v>
      </c>
      <c r="E11" s="10" t="str">
        <f>IF(D11&lt;=$AC$19,"Bajo",IF(D11&lt;=$AC$20,"Medio ",IF(D11&lt;=$AC$21,"Alto",0)))</f>
        <v>0</v>
      </c>
      <c r="F11" t="str">
        <f>SUM('Gestión de abastecimiento'!N12:S12)</f>
        <v>0</v>
      </c>
      <c r="G11" s="10" t="str">
        <f>IF(F11&lt;=$AO$19,"Bajo",IF(F11&lt;=$AO$20,"Medio ",IF(F11&lt;=$AO$21,"Alto",0)))</f>
        <v>0</v>
      </c>
      <c r="H11" t="str">
        <f>SUM(B11:F11)</f>
        <v>0</v>
      </c>
      <c r="I11" s="10" t="str">
        <f>IF(H11&lt;=$BA$19,"Bajo",IF(H11&lt;=$BA$20,"Medio ",IF(H11&lt;=$BA$21,"Alto",0)))</f>
        <v>0</v>
      </c>
      <c r="K11" s="11"/>
      <c r="M11" s="10" t="s">
        <v>340</v>
      </c>
      <c r="N11" s="10" t="str">
        <f>N8*N7</f>
        <v>0</v>
      </c>
      <c r="U11" s="11"/>
      <c r="W11" s="11"/>
      <c r="Y11" s="10" t="s">
        <v>340</v>
      </c>
      <c r="Z11" s="10" t="str">
        <f>Z8*Z7</f>
        <v>0</v>
      </c>
      <c r="AG11" s="11"/>
      <c r="AI11" s="11"/>
      <c r="AK11" s="10" t="s">
        <v>340</v>
      </c>
      <c r="AL11" s="10" t="str">
        <f>AL8*AL7</f>
        <v>0</v>
      </c>
      <c r="AS11" s="11"/>
      <c r="AU11" s="28"/>
      <c r="AW11" s="10" t="s">
        <v>340</v>
      </c>
      <c r="AX11" s="10" t="str">
        <f>AX8*AX7</f>
        <v>0</v>
      </c>
      <c r="BE11" s="28"/>
    </row>
    <row r="12" spans="1:61">
      <c r="A12" t="s">
        <v>32</v>
      </c>
      <c r="B12" t="str">
        <f>SUM('Gestión de abastecimiento'!B13:G13)</f>
        <v>0</v>
      </c>
      <c r="C12" s="10" t="str">
        <f>IF(B12&lt;=$Q$19,"Bajo",IF(B12&lt;=$Q$20,"Medio ",IF(B12&lt;=$Q$21,"Alto",0)))</f>
        <v>0</v>
      </c>
      <c r="D12" t="str">
        <f>SUM('Gestión de abastecimiento'!H13:M13)</f>
        <v>0</v>
      </c>
      <c r="E12" s="10" t="str">
        <f>IF(D12&lt;=$AC$19,"Bajo",IF(D12&lt;=$AC$20,"Medio ",IF(D12&lt;=$AC$21,"Alto",0)))</f>
        <v>0</v>
      </c>
      <c r="F12" t="str">
        <f>SUM('Gestión de abastecimiento'!N13:S13)</f>
        <v>0</v>
      </c>
      <c r="G12" s="10" t="str">
        <f>IF(F12&lt;=$AO$19,"Bajo",IF(F12&lt;=$AO$20,"Medio ",IF(F12&lt;=$AO$21,"Alto",0)))</f>
        <v>0</v>
      </c>
      <c r="H12" t="str">
        <f>SUM(B12:F12)</f>
        <v>0</v>
      </c>
      <c r="I12" s="10" t="str">
        <f>IF(H12&lt;=$BA$19,"Bajo",IF(H12&lt;=$BA$20,"Medio ",IF(H12&lt;=$BA$21,"Alto",0)))</f>
        <v>0</v>
      </c>
      <c r="K12" s="11"/>
      <c r="M12" s="10" t="s">
        <v>341</v>
      </c>
      <c r="N12" s="10" t="str">
        <f>N10-N11</f>
        <v>0</v>
      </c>
      <c r="U12" s="11"/>
      <c r="W12" s="11"/>
      <c r="Y12" s="10" t="s">
        <v>341</v>
      </c>
      <c r="Z12" s="10" t="str">
        <f>Z10-Z11</f>
        <v>0</v>
      </c>
      <c r="AG12" s="11"/>
      <c r="AI12" s="11"/>
      <c r="AK12" s="10" t="s">
        <v>341</v>
      </c>
      <c r="AL12" s="10" t="str">
        <f>AL10-AL11</f>
        <v>0</v>
      </c>
      <c r="AS12" s="11"/>
      <c r="AU12" s="28"/>
      <c r="AW12" s="10" t="s">
        <v>341</v>
      </c>
      <c r="AX12" s="10" t="str">
        <f>AX10-AX11</f>
        <v>0</v>
      </c>
      <c r="BE12" s="28"/>
    </row>
    <row r="13" spans="1:61">
      <c r="A13" t="s">
        <v>33</v>
      </c>
      <c r="B13" t="str">
        <f>SUM('Gestión de abastecimiento'!B14:G14)</f>
        <v>0</v>
      </c>
      <c r="C13" s="10" t="str">
        <f>IF(B13&lt;=$Q$19,"Bajo",IF(B13&lt;=$Q$20,"Medio ",IF(B13&lt;=$Q$21,"Alto",0)))</f>
        <v>0</v>
      </c>
      <c r="D13" t="str">
        <f>SUM('Gestión de abastecimiento'!H14:M14)</f>
        <v>0</v>
      </c>
      <c r="E13" s="10" t="str">
        <f>IF(D13&lt;=$AC$19,"Bajo",IF(D13&lt;=$AC$20,"Medio ",IF(D13&lt;=$AC$21,"Alto",0)))</f>
        <v>0</v>
      </c>
      <c r="F13" t="str">
        <f>SUM('Gestión de abastecimiento'!N14:S14)</f>
        <v>0</v>
      </c>
      <c r="G13" s="10" t="str">
        <f>IF(F13&lt;=$AO$19,"Bajo",IF(F13&lt;=$AO$20,"Medio ",IF(F13&lt;=$AO$21,"Alto",0)))</f>
        <v>0</v>
      </c>
      <c r="H13" t="str">
        <f>SUM(B13:F13)</f>
        <v>0</v>
      </c>
      <c r="I13" s="10" t="str">
        <f>IF(H13&lt;=$BA$19,"Bajo",IF(H13&lt;=$BA$20,"Medio ",IF(H13&lt;=$BA$21,"Alto",0)))</f>
        <v>0</v>
      </c>
      <c r="K13" s="11"/>
      <c r="M13" s="10" t="s">
        <v>342</v>
      </c>
      <c r="N13" s="10" t="str">
        <f>ROUND(N12/N6,0)</f>
        <v>0</v>
      </c>
      <c r="U13" s="11"/>
      <c r="W13" s="11"/>
      <c r="Y13" s="10" t="s">
        <v>342</v>
      </c>
      <c r="Z13" s="10" t="str">
        <f>ROUND(Z12/Z6,0)</f>
        <v>0</v>
      </c>
      <c r="AG13" s="11"/>
      <c r="AI13" s="11"/>
      <c r="AK13" s="10" t="s">
        <v>342</v>
      </c>
      <c r="AL13" s="10" t="str">
        <f>ROUND(AL12/AL6,0)</f>
        <v>0</v>
      </c>
      <c r="AS13" s="11"/>
      <c r="AU13" s="28"/>
      <c r="AW13" s="10" t="s">
        <v>342</v>
      </c>
      <c r="AX13" s="10" t="str">
        <f>ROUND(AX12/AX6,0)</f>
        <v>0</v>
      </c>
      <c r="BE13" s="28"/>
    </row>
    <row r="14" spans="1:61">
      <c r="A14" t="s">
        <v>34</v>
      </c>
      <c r="B14" t="str">
        <f>SUM('Gestión de abastecimiento'!B15:G15)</f>
        <v>0</v>
      </c>
      <c r="C14" s="10" t="str">
        <f>IF(B14&lt;=$Q$19,"Bajo",IF(B14&lt;=$Q$20,"Medio ",IF(B14&lt;=$Q$21,"Alto",0)))</f>
        <v>0</v>
      </c>
      <c r="D14" t="str">
        <f>SUM('Gestión de abastecimiento'!H15:M15)</f>
        <v>0</v>
      </c>
      <c r="E14" s="10" t="str">
        <f>IF(D14&lt;=$AC$19,"Bajo",IF(D14&lt;=$AC$20,"Medio ",IF(D14&lt;=$AC$21,"Alto",0)))</f>
        <v>0</v>
      </c>
      <c r="F14" t="str">
        <f>SUM('Gestión de abastecimiento'!N15:S15)</f>
        <v>0</v>
      </c>
      <c r="G14" s="10" t="str">
        <f>IF(F14&lt;=$AO$19,"Bajo",IF(F14&lt;=$AO$20,"Medio ",IF(F14&lt;=$AO$21,"Alto",0)))</f>
        <v>0</v>
      </c>
      <c r="H14" t="str">
        <f>SUM(B14:F14)</f>
        <v>0</v>
      </c>
      <c r="I14" s="10" t="str">
        <f>IF(H14&lt;=$BA$19,"Bajo",IF(H14&lt;=$BA$20,"Medio ",IF(H14&lt;=$BA$21,"Alto",0)))</f>
        <v>0</v>
      </c>
      <c r="K14" s="11"/>
      <c r="O14" s="15"/>
      <c r="P14" s="15"/>
      <c r="Q14" s="15"/>
      <c r="R14" s="15"/>
      <c r="S14" s="15"/>
      <c r="U14" s="11"/>
      <c r="W14" s="11"/>
      <c r="AA14" s="15"/>
      <c r="AB14" s="15"/>
      <c r="AC14" s="15"/>
      <c r="AD14" s="15"/>
      <c r="AE14" s="15"/>
      <c r="AG14" s="11"/>
      <c r="AI14" s="11"/>
      <c r="AM14" s="15"/>
      <c r="AN14" s="15"/>
      <c r="AO14" s="15"/>
      <c r="AP14" s="15"/>
      <c r="AQ14" s="15"/>
      <c r="AS14" s="11"/>
      <c r="AU14" s="28"/>
      <c r="AY14" s="15"/>
      <c r="AZ14" s="15"/>
      <c r="BA14" s="15"/>
      <c r="BB14" s="15"/>
      <c r="BC14" s="15"/>
      <c r="BE14" s="28"/>
    </row>
    <row r="15" spans="1:61">
      <c r="A15" t="s">
        <v>35</v>
      </c>
      <c r="B15" t="str">
        <f>SUM('Gestión de abastecimiento'!B16:G16)</f>
        <v>0</v>
      </c>
      <c r="C15" s="10" t="str">
        <f>IF(B15&lt;=$Q$19,"Bajo",IF(B15&lt;=$Q$20,"Medio ",IF(B15&lt;=$Q$21,"Alto",0)))</f>
        <v>0</v>
      </c>
      <c r="D15" t="str">
        <f>SUM('Gestión de abastecimiento'!H16:M16)</f>
        <v>0</v>
      </c>
      <c r="E15" s="10" t="str">
        <f>IF(D15&lt;=$AC$19,"Bajo",IF(D15&lt;=$AC$20,"Medio ",IF(D15&lt;=$AC$21,"Alto",0)))</f>
        <v>0</v>
      </c>
      <c r="F15" t="str">
        <f>SUM('Gestión de abastecimiento'!N16:S16)</f>
        <v>0</v>
      </c>
      <c r="G15" s="10" t="str">
        <f>IF(F15&lt;=$AO$19,"Bajo",IF(F15&lt;=$AO$20,"Medio ",IF(F15&lt;=$AO$21,"Alto",0)))</f>
        <v>0</v>
      </c>
      <c r="H15" t="str">
        <f>SUM(B15:F15)</f>
        <v>0</v>
      </c>
      <c r="I15" s="10" t="str">
        <f>IF(H15&lt;=$BA$19,"Bajo",IF(H15&lt;=$BA$20,"Medio ",IF(H15&lt;=$BA$21,"Alto",0)))</f>
        <v>0</v>
      </c>
      <c r="K15" s="11"/>
      <c r="O15" s="24" t="s">
        <v>343</v>
      </c>
      <c r="P15" s="15"/>
      <c r="Q15" s="15"/>
      <c r="R15" s="15"/>
      <c r="S15" s="15"/>
      <c r="U15" s="11"/>
      <c r="W15" s="11"/>
      <c r="AA15" s="24" t="s">
        <v>344</v>
      </c>
      <c r="AB15" s="15"/>
      <c r="AC15" s="15"/>
      <c r="AD15" s="15"/>
      <c r="AE15" s="15"/>
      <c r="AG15" s="11"/>
      <c r="AI15" s="11"/>
      <c r="AM15" s="24" t="s">
        <v>345</v>
      </c>
      <c r="AN15" s="15"/>
      <c r="AO15" s="15"/>
      <c r="AP15" s="15"/>
      <c r="AQ15" s="15"/>
      <c r="AS15" s="11"/>
      <c r="AU15" s="28"/>
      <c r="AY15" s="24" t="s">
        <v>346</v>
      </c>
      <c r="AZ15" s="15"/>
      <c r="BA15" s="15"/>
      <c r="BB15" s="15"/>
      <c r="BC15" s="15"/>
      <c r="BE15" s="28"/>
    </row>
    <row r="16" spans="1:61">
      <c r="A16" t="s">
        <v>36</v>
      </c>
      <c r="B16" t="str">
        <f>SUM('Gestión de abastecimiento'!B17:G17)</f>
        <v>0</v>
      </c>
      <c r="C16" s="10" t="str">
        <f>IF(B16&lt;=$Q$19,"Bajo",IF(B16&lt;=$Q$20,"Medio ",IF(B16&lt;=$Q$21,"Alto",0)))</f>
        <v>0</v>
      </c>
      <c r="D16" t="str">
        <f>SUM('Gestión de abastecimiento'!H17:M17)</f>
        <v>0</v>
      </c>
      <c r="E16" s="10" t="str">
        <f>IF(D16&lt;=$AC$19,"Bajo",IF(D16&lt;=$AC$20,"Medio ",IF(D16&lt;=$AC$21,"Alto",0)))</f>
        <v>0</v>
      </c>
      <c r="F16" t="str">
        <f>SUM('Gestión de abastecimiento'!N17:S17)</f>
        <v>0</v>
      </c>
      <c r="G16" s="10" t="str">
        <f>IF(F16&lt;=$AO$19,"Bajo",IF(F16&lt;=$AO$20,"Medio ",IF(F16&lt;=$AO$21,"Alto",0)))</f>
        <v>0</v>
      </c>
      <c r="H16" t="str">
        <f>SUM(B16:F16)</f>
        <v>0</v>
      </c>
      <c r="I16" s="10" t="str">
        <f>IF(H16&lt;=$BA$19,"Bajo",IF(H16&lt;=$BA$20,"Medio ",IF(H16&lt;=$BA$21,"Alto",0)))</f>
        <v>0</v>
      </c>
      <c r="K16" s="11"/>
      <c r="O16" s="25" t="str">
        <f>N5</f>
        <v>0</v>
      </c>
      <c r="P16" s="20"/>
      <c r="Q16" s="20"/>
      <c r="R16" s="20"/>
      <c r="S16" s="20"/>
      <c r="U16" s="11"/>
      <c r="W16" s="11"/>
      <c r="AA16" s="25" t="str">
        <f>Z5</f>
        <v>0</v>
      </c>
      <c r="AB16" s="20"/>
      <c r="AC16" s="20"/>
      <c r="AD16" s="20"/>
      <c r="AE16" s="20"/>
      <c r="AG16" s="11"/>
      <c r="AI16" s="11"/>
      <c r="AM16" s="25" t="str">
        <f>AL5</f>
        <v>0</v>
      </c>
      <c r="AN16" s="20"/>
      <c r="AO16" s="20"/>
      <c r="AP16" s="20"/>
      <c r="AQ16" s="20"/>
      <c r="AS16" s="11"/>
      <c r="AU16" s="28"/>
      <c r="AY16" s="25" t="str">
        <f>AX4</f>
        <v>0</v>
      </c>
      <c r="AZ16" s="20"/>
      <c r="BA16" s="20"/>
      <c r="BB16" s="20"/>
      <c r="BC16" s="20"/>
      <c r="BE16" s="28"/>
    </row>
    <row r="17" spans="1:61">
      <c r="A17" t="s">
        <v>37</v>
      </c>
      <c r="B17" t="str">
        <f>SUM('Gestión de abastecimiento'!B18:G18)</f>
        <v>0</v>
      </c>
      <c r="C17" s="10" t="str">
        <f>IF(B17&lt;=$Q$19,"Bajo",IF(B17&lt;=$Q$20,"Medio ",IF(B17&lt;=$Q$21,"Alto",0)))</f>
        <v>0</v>
      </c>
      <c r="D17" t="str">
        <f>SUM('Gestión de abastecimiento'!H18:M18)</f>
        <v>0</v>
      </c>
      <c r="E17" s="10" t="str">
        <f>IF(D17&lt;=$AC$19,"Bajo",IF(D17&lt;=$AC$20,"Medio ",IF(D17&lt;=$AC$21,"Alto",0)))</f>
        <v>0</v>
      </c>
      <c r="F17" t="str">
        <f>SUM('Gestión de abastecimiento'!N18:S18)</f>
        <v>0</v>
      </c>
      <c r="G17" s="10" t="str">
        <f>IF(F17&lt;=$AO$19,"Bajo",IF(F17&lt;=$AO$20,"Medio ",IF(F17&lt;=$AO$21,"Alto",0)))</f>
        <v>0</v>
      </c>
      <c r="H17" t="str">
        <f>SUM(B17:F17)</f>
        <v>0</v>
      </c>
      <c r="I17" s="10" t="str">
        <f>IF(H17&lt;=$BA$19,"Bajo",IF(H17&lt;=$BA$20,"Medio ",IF(H17&lt;=$BA$21,"Alto",0)))</f>
        <v>0</v>
      </c>
      <c r="K17" s="11"/>
      <c r="O17" s="16" t="s">
        <v>347</v>
      </c>
      <c r="P17" s="18" t="s">
        <v>341</v>
      </c>
      <c r="Q17" s="18"/>
      <c r="R17" s="18" t="s">
        <v>348</v>
      </c>
      <c r="S17" s="18" t="s">
        <v>349</v>
      </c>
      <c r="U17" s="11"/>
      <c r="W17" s="11"/>
      <c r="AA17" s="16" t="s">
        <v>347</v>
      </c>
      <c r="AB17" s="18" t="s">
        <v>341</v>
      </c>
      <c r="AC17" s="18"/>
      <c r="AD17" s="18" t="s">
        <v>348</v>
      </c>
      <c r="AE17" s="18" t="s">
        <v>349</v>
      </c>
      <c r="AG17" s="11"/>
      <c r="AI17" s="11"/>
      <c r="AM17" s="16" t="s">
        <v>347</v>
      </c>
      <c r="AN17" s="18" t="s">
        <v>341</v>
      </c>
      <c r="AO17" s="18"/>
      <c r="AP17" s="18" t="s">
        <v>348</v>
      </c>
      <c r="AQ17" s="18" t="s">
        <v>349</v>
      </c>
      <c r="AS17" s="11"/>
      <c r="AU17" s="28"/>
      <c r="AY17" s="16" t="s">
        <v>347</v>
      </c>
      <c r="AZ17" s="18" t="s">
        <v>341</v>
      </c>
      <c r="BA17" s="18"/>
      <c r="BB17" s="18" t="s">
        <v>348</v>
      </c>
      <c r="BC17" s="18" t="s">
        <v>349</v>
      </c>
      <c r="BE17" s="28"/>
    </row>
    <row r="18" spans="1:61">
      <c r="A18" t="s">
        <v>38</v>
      </c>
      <c r="B18" t="str">
        <f>SUM('Gestión de abastecimiento'!B19:G19)</f>
        <v>0</v>
      </c>
      <c r="C18" s="10" t="str">
        <f>IF(B18&lt;=$Q$19,"Bajo",IF(B18&lt;=$Q$20,"Medio ",IF(B18&lt;=$Q$21,"Alto",0)))</f>
        <v>0</v>
      </c>
      <c r="D18" t="str">
        <f>SUM('Gestión de abastecimiento'!H19:M19)</f>
        <v>0</v>
      </c>
      <c r="E18" s="10" t="str">
        <f>IF(D18&lt;=$AC$19,"Bajo",IF(D18&lt;=$AC$20,"Medio ",IF(D18&lt;=$AC$21,"Alto",0)))</f>
        <v>0</v>
      </c>
      <c r="F18" t="str">
        <f>SUM('Gestión de abastecimiento'!N19:S19)</f>
        <v>0</v>
      </c>
      <c r="G18" s="10" t="str">
        <f>IF(F18&lt;=$AO$19,"Bajo",IF(F18&lt;=$AO$20,"Medio ",IF(F18&lt;=$AO$21,"Alto",0)))</f>
        <v>0</v>
      </c>
      <c r="H18" t="str">
        <f>SUM(B18:F18)</f>
        <v>0</v>
      </c>
      <c r="I18" s="10" t="str">
        <f>IF(H18&lt;=$BA$19,"Bajo",IF(H18&lt;=$BA$20,"Medio ",IF(H18&lt;=$BA$21,"Alto",0)))</f>
        <v>0</v>
      </c>
      <c r="K18" s="11"/>
      <c r="O18" s="17"/>
      <c r="P18" s="20" t="s">
        <v>350</v>
      </c>
      <c r="Q18" s="20" t="s">
        <v>351</v>
      </c>
      <c r="R18" s="20"/>
      <c r="S18" s="20"/>
      <c r="U18" s="11"/>
      <c r="W18" s="11"/>
      <c r="AA18" s="17"/>
      <c r="AB18" s="20" t="s">
        <v>350</v>
      </c>
      <c r="AC18" s="20" t="s">
        <v>351</v>
      </c>
      <c r="AD18" s="20"/>
      <c r="AE18" s="20"/>
      <c r="AG18" s="11"/>
      <c r="AI18" s="11"/>
      <c r="AM18" s="17"/>
      <c r="AN18" s="20" t="s">
        <v>350</v>
      </c>
      <c r="AO18" s="20" t="s">
        <v>351</v>
      </c>
      <c r="AP18" s="20"/>
      <c r="AQ18" s="20"/>
      <c r="AS18" s="11"/>
      <c r="AU18" s="28"/>
      <c r="AY18" s="17"/>
      <c r="AZ18" s="20" t="s">
        <v>350</v>
      </c>
      <c r="BA18" s="20" t="s">
        <v>351</v>
      </c>
      <c r="BB18" s="20"/>
      <c r="BC18" s="20"/>
      <c r="BE18" s="28"/>
    </row>
    <row r="19" spans="1:61">
      <c r="A19" t="s">
        <v>39</v>
      </c>
      <c r="B19" t="str">
        <f>SUM('Gestión de abastecimiento'!B20:G20)</f>
        <v>0</v>
      </c>
      <c r="C19" s="10" t="str">
        <f>IF(B19&lt;=$Q$19,"Bajo",IF(B19&lt;=$Q$20,"Medio ",IF(B19&lt;=$Q$21,"Alto",0)))</f>
        <v>0</v>
      </c>
      <c r="D19" t="str">
        <f>SUM('Gestión de abastecimiento'!H20:M20)</f>
        <v>0</v>
      </c>
      <c r="E19" s="10" t="str">
        <f>IF(D19&lt;=$AC$19,"Bajo",IF(D19&lt;=$AC$20,"Medio ",IF(D19&lt;=$AC$21,"Alto",0)))</f>
        <v>0</v>
      </c>
      <c r="F19" t="str">
        <f>SUM('Gestión de abastecimiento'!N20:S20)</f>
        <v>0</v>
      </c>
      <c r="G19" s="10" t="str">
        <f>IF(F19&lt;=$AO$19,"Bajo",IF(F19&lt;=$AO$20,"Medio ",IF(F19&lt;=$AO$21,"Alto",0)))</f>
        <v>0</v>
      </c>
      <c r="H19" t="str">
        <f>SUM(B19:F19)</f>
        <v>0</v>
      </c>
      <c r="I19" s="10" t="str">
        <f>IF(H19&lt;=$BA$19,"Bajo",IF(H19&lt;=$BA$20,"Medio ",IF(H19&lt;=$BA$21,"Alto",0)))</f>
        <v>0</v>
      </c>
      <c r="K19" s="11"/>
      <c r="O19" s="18" t="s">
        <v>352</v>
      </c>
      <c r="P19" s="18" t="str">
        <f>N11</f>
        <v>0</v>
      </c>
      <c r="Q19" s="18" t="str">
        <f>P19+N13</f>
        <v>0</v>
      </c>
      <c r="R19" s="18" t="str">
        <f>COUNTIF($C$4:$C$292,$O19)</f>
        <v>0</v>
      </c>
      <c r="S19" s="22" t="str">
        <f>R19/R22</f>
        <v>0</v>
      </c>
      <c r="U19" s="11"/>
      <c r="W19" s="11"/>
      <c r="AA19" s="18" t="s">
        <v>352</v>
      </c>
      <c r="AB19" s="18" t="str">
        <f>Z11</f>
        <v>0</v>
      </c>
      <c r="AC19" s="18" t="str">
        <f>AB19+Z13</f>
        <v>0</v>
      </c>
      <c r="AD19" s="18" t="str">
        <f>COUNTIF($E$4:$E$292,$AA19)</f>
        <v>0</v>
      </c>
      <c r="AE19" s="22" t="str">
        <f>AD19/AD22</f>
        <v>0</v>
      </c>
      <c r="AG19" s="11"/>
      <c r="AI19" s="11"/>
      <c r="AM19" s="18" t="s">
        <v>352</v>
      </c>
      <c r="AN19" s="18" t="str">
        <f>AL11</f>
        <v>0</v>
      </c>
      <c r="AO19" s="18" t="str">
        <f>AN19+AL13</f>
        <v>0</v>
      </c>
      <c r="AP19" s="18" t="str">
        <f>COUNTIF($G$4:$G$292,$AM19)</f>
        <v>0</v>
      </c>
      <c r="AQ19" s="22" t="str">
        <f>AP19/AP22</f>
        <v>0</v>
      </c>
      <c r="AS19" s="11"/>
      <c r="AU19" s="28"/>
      <c r="AY19" s="18" t="s">
        <v>352</v>
      </c>
      <c r="AZ19" s="18" t="str">
        <f>AX11</f>
        <v>0</v>
      </c>
      <c r="BA19" s="18" t="str">
        <f>AZ19+AX13 - 1</f>
        <v>0</v>
      </c>
      <c r="BB19" s="18" t="str">
        <f>COUNTIF($I$4:$I$292,$AY19)</f>
        <v>0</v>
      </c>
      <c r="BC19" s="22" t="str">
        <f>BB19/BB22</f>
        <v>0</v>
      </c>
      <c r="BE19" s="28"/>
    </row>
    <row r="20" spans="1:61">
      <c r="A20" t="s">
        <v>40</v>
      </c>
      <c r="B20" t="str">
        <f>SUM('Gestión de abastecimiento'!B21:G21)</f>
        <v>0</v>
      </c>
      <c r="C20" s="10" t="str">
        <f>IF(B20&lt;=$Q$19,"Bajo",IF(B20&lt;=$Q$20,"Medio ",IF(B20&lt;=$Q$21,"Alto",0)))</f>
        <v>0</v>
      </c>
      <c r="D20" t="str">
        <f>SUM('Gestión de abastecimiento'!H21:M21)</f>
        <v>0</v>
      </c>
      <c r="E20" s="10" t="str">
        <f>IF(D20&lt;=$AC$19,"Bajo",IF(D20&lt;=$AC$20,"Medio ",IF(D20&lt;=$AC$21,"Alto",0)))</f>
        <v>0</v>
      </c>
      <c r="F20" t="str">
        <f>SUM('Gestión de abastecimiento'!N21:S21)</f>
        <v>0</v>
      </c>
      <c r="G20" s="10" t="str">
        <f>IF(F20&lt;=$AO$19,"Bajo",IF(F20&lt;=$AO$20,"Medio ",IF(F20&lt;=$AO$21,"Alto",0)))</f>
        <v>0</v>
      </c>
      <c r="H20" t="str">
        <f>SUM(B20:F20)</f>
        <v>0</v>
      </c>
      <c r="I20" s="10" t="str">
        <f>IF(H20&lt;=$BA$19,"Bajo",IF(H20&lt;=$BA$20,"Medio ",IF(H20&lt;=$BA$21,"Alto",0)))</f>
        <v>0</v>
      </c>
      <c r="K20" s="11"/>
      <c r="O20" s="18" t="s">
        <v>353</v>
      </c>
      <c r="P20" s="18" t="str">
        <f>Q19+ 1</f>
        <v>0</v>
      </c>
      <c r="Q20" s="18" t="str">
        <f>P20+N13</f>
        <v>0</v>
      </c>
      <c r="R20" s="18" t="str">
        <f>COUNTIF($C$4:$C$292,$O20)</f>
        <v>0</v>
      </c>
      <c r="S20" s="22" t="str">
        <f>R20/R22</f>
        <v>0</v>
      </c>
      <c r="U20" s="11"/>
      <c r="W20" s="11"/>
      <c r="AA20" s="18" t="s">
        <v>353</v>
      </c>
      <c r="AB20" s="18" t="str">
        <f>AC19+ 1</f>
        <v>0</v>
      </c>
      <c r="AC20" s="18" t="str">
        <f>AB20+Z13</f>
        <v>0</v>
      </c>
      <c r="AD20" s="18" t="str">
        <f>COUNTIF($E$4:$E$292,$AA20)</f>
        <v>0</v>
      </c>
      <c r="AE20" s="22" t="str">
        <f>AD20/AD22</f>
        <v>0</v>
      </c>
      <c r="AG20" s="11"/>
      <c r="AI20" s="11"/>
      <c r="AM20" s="18" t="s">
        <v>353</v>
      </c>
      <c r="AN20" s="18" t="str">
        <f>AO19+ 1</f>
        <v>0</v>
      </c>
      <c r="AO20" s="18" t="str">
        <f>AN20+AL13</f>
        <v>0</v>
      </c>
      <c r="AP20" s="18" t="str">
        <f>COUNTIF($G$4:$G$292,$AM20)</f>
        <v>0</v>
      </c>
      <c r="AQ20" s="22" t="str">
        <f>AP20/AP22</f>
        <v>0</v>
      </c>
      <c r="AS20" s="11"/>
      <c r="AU20" s="28"/>
      <c r="AY20" s="18" t="s">
        <v>353</v>
      </c>
      <c r="AZ20" s="18" t="str">
        <f>BA19+ 1</f>
        <v>0</v>
      </c>
      <c r="BA20" s="18" t="str">
        <f>AZ20+AX13 - 1</f>
        <v>0</v>
      </c>
      <c r="BB20" s="18" t="str">
        <f>COUNTIF($I$4:$I$292,$AY20)</f>
        <v>0</v>
      </c>
      <c r="BC20" s="22" t="str">
        <f>BB20/BB22</f>
        <v>0</v>
      </c>
      <c r="BE20" s="28"/>
    </row>
    <row r="21" spans="1:61">
      <c r="A21" t="s">
        <v>41</v>
      </c>
      <c r="B21" t="str">
        <f>SUM('Gestión de abastecimiento'!B22:G22)</f>
        <v>0</v>
      </c>
      <c r="C21" s="10" t="str">
        <f>IF(B21&lt;=$Q$19,"Bajo",IF(B21&lt;=$Q$20,"Medio ",IF(B21&lt;=$Q$21,"Alto",0)))</f>
        <v>0</v>
      </c>
      <c r="D21" t="str">
        <f>SUM('Gestión de abastecimiento'!H22:M22)</f>
        <v>0</v>
      </c>
      <c r="E21" s="10" t="str">
        <f>IF(D21&lt;=$AC$19,"Bajo",IF(D21&lt;=$AC$20,"Medio ",IF(D21&lt;=$AC$21,"Alto",0)))</f>
        <v>0</v>
      </c>
      <c r="F21" t="str">
        <f>SUM('Gestión de abastecimiento'!N22:S22)</f>
        <v>0</v>
      </c>
      <c r="G21" s="10" t="str">
        <f>IF(F21&lt;=$AO$19,"Bajo",IF(F21&lt;=$AO$20,"Medio ",IF(F21&lt;=$AO$21,"Alto",0)))</f>
        <v>0</v>
      </c>
      <c r="H21" t="str">
        <f>SUM(B21:F21)</f>
        <v>0</v>
      </c>
      <c r="I21" s="10" t="str">
        <f>IF(H21&lt;=$BA$19,"Bajo",IF(H21&lt;=$BA$20,"Medio ",IF(H21&lt;=$BA$21,"Alto",0)))</f>
        <v>0</v>
      </c>
      <c r="K21" s="11"/>
      <c r="O21" s="18" t="s">
        <v>354</v>
      </c>
      <c r="P21" s="18" t="str">
        <f>Q20+ 1</f>
        <v>0</v>
      </c>
      <c r="Q21" s="18" t="str">
        <f>N10</f>
        <v>0</v>
      </c>
      <c r="R21" s="18" t="str">
        <f>COUNTIF($C$4:$C$292,$O21)</f>
        <v>0</v>
      </c>
      <c r="S21" s="22" t="str">
        <f>R21/R22</f>
        <v>0</v>
      </c>
      <c r="U21" s="11"/>
      <c r="W21" s="11"/>
      <c r="AA21" s="18" t="s">
        <v>354</v>
      </c>
      <c r="AB21" s="18" t="str">
        <f>AC20+ 1</f>
        <v>0</v>
      </c>
      <c r="AC21" s="18" t="str">
        <f>Z10</f>
        <v>0</v>
      </c>
      <c r="AD21" s="18" t="str">
        <f>COUNTIF($E$4:$E$292,$AA21)</f>
        <v>0</v>
      </c>
      <c r="AE21" s="22" t="str">
        <f>AD21/AD22</f>
        <v>0</v>
      </c>
      <c r="AG21" s="11"/>
      <c r="AI21" s="11"/>
      <c r="AM21" s="18" t="s">
        <v>354</v>
      </c>
      <c r="AN21" s="18" t="str">
        <f>AO20+ 1</f>
        <v>0</v>
      </c>
      <c r="AO21" s="18" t="str">
        <f>AL10</f>
        <v>0</v>
      </c>
      <c r="AP21" s="18" t="str">
        <f>COUNTIF($G$4:$G$292,$AM21)</f>
        <v>0</v>
      </c>
      <c r="AQ21" s="22" t="str">
        <f>AP21/AP22</f>
        <v>0</v>
      </c>
      <c r="AS21" s="11"/>
      <c r="AU21" s="28"/>
      <c r="AY21" s="18" t="s">
        <v>354</v>
      </c>
      <c r="AZ21" s="18" t="str">
        <f>BA20+ 1</f>
        <v>0</v>
      </c>
      <c r="BA21" s="18" t="str">
        <f>AX10</f>
        <v>0</v>
      </c>
      <c r="BB21" s="18" t="str">
        <f>COUNTIF($I$4:$I$292,$AY21)</f>
        <v>0</v>
      </c>
      <c r="BC21" s="22" t="str">
        <f>BB21/BB22</f>
        <v>0</v>
      </c>
      <c r="BE21" s="28"/>
    </row>
    <row r="22" spans="1:61">
      <c r="A22" t="s">
        <v>42</v>
      </c>
      <c r="B22" t="str">
        <f>SUM('Gestión de abastecimiento'!B23:G23)</f>
        <v>0</v>
      </c>
      <c r="C22" s="10" t="str">
        <f>IF(B22&lt;=$Q$19,"Bajo",IF(B22&lt;=$Q$20,"Medio ",IF(B22&lt;=$Q$21,"Alto",0)))</f>
        <v>0</v>
      </c>
      <c r="D22" t="str">
        <f>SUM('Gestión de abastecimiento'!H23:M23)</f>
        <v>0</v>
      </c>
      <c r="E22" s="10" t="str">
        <f>IF(D22&lt;=$AC$19,"Bajo",IF(D22&lt;=$AC$20,"Medio ",IF(D22&lt;=$AC$21,"Alto",0)))</f>
        <v>0</v>
      </c>
      <c r="F22" t="str">
        <f>SUM('Gestión de abastecimiento'!N23:S23)</f>
        <v>0</v>
      </c>
      <c r="G22" s="10" t="str">
        <f>IF(F22&lt;=$AO$19,"Bajo",IF(F22&lt;=$AO$20,"Medio ",IF(F22&lt;=$AO$21,"Alto",0)))</f>
        <v>0</v>
      </c>
      <c r="H22" t="str">
        <f>SUM(B22:F22)</f>
        <v>0</v>
      </c>
      <c r="I22" s="10" t="str">
        <f>IF(H22&lt;=$BA$19,"Bajo",IF(H22&lt;=$BA$20,"Medio ",IF(H22&lt;=$BA$21,"Alto",0)))</f>
        <v>0</v>
      </c>
      <c r="K22" s="11"/>
      <c r="O22" s="19" t="s">
        <v>4</v>
      </c>
      <c r="P22" s="21"/>
      <c r="Q22" s="21"/>
      <c r="R22" s="19" t="str">
        <f>SUM(R19:R21)</f>
        <v>0</v>
      </c>
      <c r="S22" s="23" t="str">
        <f>SUM(S19:S21)</f>
        <v>0</v>
      </c>
      <c r="U22" s="11"/>
      <c r="W22" s="11"/>
      <c r="AA22" s="19" t="s">
        <v>4</v>
      </c>
      <c r="AB22" s="21"/>
      <c r="AC22" s="21"/>
      <c r="AD22" s="19" t="str">
        <f>SUM(AD19:AD21)</f>
        <v>0</v>
      </c>
      <c r="AE22" s="23" t="str">
        <f>SUM(AE19:AE21)</f>
        <v>0</v>
      </c>
      <c r="AG22" s="11"/>
      <c r="AI22" s="11"/>
      <c r="AM22" s="19" t="s">
        <v>4</v>
      </c>
      <c r="AN22" s="21"/>
      <c r="AO22" s="21"/>
      <c r="AP22" s="19" t="str">
        <f>SUM(AP19:AP21)</f>
        <v>0</v>
      </c>
      <c r="AQ22" s="23" t="str">
        <f>SUM(AQ19:AQ21)</f>
        <v>0</v>
      </c>
      <c r="AS22" s="11"/>
      <c r="AU22" s="28"/>
      <c r="AY22" s="19" t="s">
        <v>4</v>
      </c>
      <c r="AZ22" s="21"/>
      <c r="BA22" s="21"/>
      <c r="BB22" s="19" t="str">
        <f>SUM(BB19:BB21)</f>
        <v>0</v>
      </c>
      <c r="BC22" s="23" t="str">
        <f>SUM(BC19:BC21)</f>
        <v>0</v>
      </c>
      <c r="BE22" s="28"/>
    </row>
    <row r="23" spans="1:61">
      <c r="A23" t="s">
        <v>43</v>
      </c>
      <c r="B23" t="str">
        <f>SUM('Gestión de abastecimiento'!B24:G24)</f>
        <v>0</v>
      </c>
      <c r="C23" s="10" t="str">
        <f>IF(B23&lt;=$Q$19,"Bajo",IF(B23&lt;=$Q$20,"Medio ",IF(B23&lt;=$Q$21,"Alto",0)))</f>
        <v>0</v>
      </c>
      <c r="D23" t="str">
        <f>SUM('Gestión de abastecimiento'!H24:M24)</f>
        <v>0</v>
      </c>
      <c r="E23" s="10" t="str">
        <f>IF(D23&lt;=$AC$19,"Bajo",IF(D23&lt;=$AC$20,"Medio ",IF(D23&lt;=$AC$21,"Alto",0)))</f>
        <v>0</v>
      </c>
      <c r="F23" t="str">
        <f>SUM('Gestión de abastecimiento'!N24:S24)</f>
        <v>0</v>
      </c>
      <c r="G23" s="10" t="str">
        <f>IF(F23&lt;=$AO$19,"Bajo",IF(F23&lt;=$AO$20,"Medio ",IF(F23&lt;=$AO$21,"Alto",0)))</f>
        <v>0</v>
      </c>
      <c r="H23" t="str">
        <f>SUM(B23:F23)</f>
        <v>0</v>
      </c>
      <c r="I23" s="10" t="str">
        <f>IF(H23&lt;=$BA$19,"Bajo",IF(H23&lt;=$BA$20,"Medio ",IF(H23&lt;=$BA$21,"Alto",0)))</f>
        <v>0</v>
      </c>
      <c r="K23" s="11"/>
      <c r="O23" s="10" t="s">
        <v>355</v>
      </c>
      <c r="U23" s="11"/>
      <c r="W23" s="11"/>
      <c r="AA23" s="10" t="s">
        <v>355</v>
      </c>
      <c r="AG23" s="11"/>
      <c r="AI23" s="11"/>
      <c r="AM23" s="10" t="s">
        <v>355</v>
      </c>
      <c r="AS23" s="11"/>
      <c r="AU23" s="28"/>
      <c r="AY23" s="10" t="s">
        <v>355</v>
      </c>
      <c r="BE23" s="28"/>
    </row>
    <row r="24" spans="1:61">
      <c r="A24" t="s">
        <v>44</v>
      </c>
      <c r="B24" t="str">
        <f>SUM('Gestión de abastecimiento'!B25:G25)</f>
        <v>0</v>
      </c>
      <c r="C24" s="10" t="str">
        <f>IF(B24&lt;=$Q$19,"Bajo",IF(B24&lt;=$Q$20,"Medio ",IF(B24&lt;=$Q$21,"Alto",0)))</f>
        <v>0</v>
      </c>
      <c r="D24" t="str">
        <f>SUM('Gestión de abastecimiento'!H25:M25)</f>
        <v>0</v>
      </c>
      <c r="E24" s="10" t="str">
        <f>IF(D24&lt;=$AC$19,"Bajo",IF(D24&lt;=$AC$20,"Medio ",IF(D24&lt;=$AC$21,"Alto",0)))</f>
        <v>0</v>
      </c>
      <c r="F24" t="str">
        <f>SUM('Gestión de abastecimiento'!N25:S25)</f>
        <v>0</v>
      </c>
      <c r="G24" s="10" t="str">
        <f>IF(F24&lt;=$AO$19,"Bajo",IF(F24&lt;=$AO$20,"Medio ",IF(F24&lt;=$AO$21,"Alto",0)))</f>
        <v>0</v>
      </c>
      <c r="H24" t="str">
        <f>SUM(B24:F24)</f>
        <v>0</v>
      </c>
      <c r="I24" s="10" t="str">
        <f>IF(H24&lt;=$BA$19,"Bajo",IF(H24&lt;=$BA$20,"Medio ",IF(H24&lt;=$BA$21,"Alto",0)))</f>
        <v>0</v>
      </c>
      <c r="K24" s="11"/>
      <c r="O24" s="10" t="s">
        <v>356</v>
      </c>
      <c r="U24" s="11"/>
      <c r="W24" s="11"/>
      <c r="AA24" s="10" t="s">
        <v>356</v>
      </c>
      <c r="AG24" s="11"/>
      <c r="AI24" s="11"/>
      <c r="AM24" s="10" t="s">
        <v>356</v>
      </c>
      <c r="AS24" s="11"/>
      <c r="AU24" s="28"/>
      <c r="AY24" s="10" t="s">
        <v>356</v>
      </c>
      <c r="BE24" s="28"/>
    </row>
    <row r="25" spans="1:61">
      <c r="A25" t="s">
        <v>45</v>
      </c>
      <c r="B25" t="str">
        <f>SUM('Gestión de abastecimiento'!B26:G26)</f>
        <v>0</v>
      </c>
      <c r="C25" s="10" t="str">
        <f>IF(B25&lt;=$Q$19,"Bajo",IF(B25&lt;=$Q$20,"Medio ",IF(B25&lt;=$Q$21,"Alto",0)))</f>
        <v>0</v>
      </c>
      <c r="D25" t="str">
        <f>SUM('Gestión de abastecimiento'!H26:M26)</f>
        <v>0</v>
      </c>
      <c r="E25" s="10" t="str">
        <f>IF(D25&lt;=$AC$19,"Bajo",IF(D25&lt;=$AC$20,"Medio ",IF(D25&lt;=$AC$21,"Alto",0)))</f>
        <v>0</v>
      </c>
      <c r="F25" t="str">
        <f>SUM('Gestión de abastecimiento'!N26:S26)</f>
        <v>0</v>
      </c>
      <c r="G25" s="10" t="str">
        <f>IF(F25&lt;=$AO$19,"Bajo",IF(F25&lt;=$AO$20,"Medio ",IF(F25&lt;=$AO$21,"Alto",0)))</f>
        <v>0</v>
      </c>
      <c r="H25" t="str">
        <f>SUM(B25:F25)</f>
        <v>0</v>
      </c>
      <c r="I25" s="10" t="str">
        <f>IF(H25&lt;=$BA$19,"Bajo",IF(H25&lt;=$BA$20,"Medio ",IF(H25&lt;=$BA$21,"Alto",0)))</f>
        <v>0</v>
      </c>
      <c r="K25" s="11"/>
      <c r="U25" s="11"/>
      <c r="W25" s="11"/>
      <c r="AG25" s="11"/>
      <c r="AI25" s="11"/>
      <c r="AS25" s="11"/>
      <c r="AU25" s="28"/>
      <c r="BE25" s="28"/>
    </row>
    <row r="26" spans="1:61">
      <c r="A26" t="s">
        <v>46</v>
      </c>
      <c r="B26" t="str">
        <f>SUM('Gestión de abastecimiento'!B27:G27)</f>
        <v>0</v>
      </c>
      <c r="C26" s="10" t="str">
        <f>IF(B26&lt;=$Q$19,"Bajo",IF(B26&lt;=$Q$20,"Medio ",IF(B26&lt;=$Q$21,"Alto",0)))</f>
        <v>0</v>
      </c>
      <c r="D26" t="str">
        <f>SUM('Gestión de abastecimiento'!H27:M27)</f>
        <v>0</v>
      </c>
      <c r="E26" s="10" t="str">
        <f>IF(D26&lt;=$AC$19,"Bajo",IF(D26&lt;=$AC$20,"Medio ",IF(D26&lt;=$AC$21,"Alto",0)))</f>
        <v>0</v>
      </c>
      <c r="F26" t="str">
        <f>SUM('Gestión de abastecimiento'!N27:S27)</f>
        <v>0</v>
      </c>
      <c r="G26" s="10" t="str">
        <f>IF(F26&lt;=$AO$19,"Bajo",IF(F26&lt;=$AO$20,"Medio ",IF(F26&lt;=$AO$21,"Alto",0)))</f>
        <v>0</v>
      </c>
      <c r="H26" t="str">
        <f>SUM(B26:F26)</f>
        <v>0</v>
      </c>
      <c r="I26" s="10" t="str">
        <f>IF(H26&lt;=$BA$19,"Bajo",IF(H26&lt;=$BA$20,"Medio ",IF(H26&lt;=$BA$21,"Alto",0)))</f>
        <v>0</v>
      </c>
      <c r="K26" s="11"/>
      <c r="U26" s="11"/>
      <c r="W26" s="11"/>
      <c r="AG26" s="11"/>
      <c r="AI26" s="11"/>
      <c r="AS26" s="11"/>
      <c r="AU26" s="28"/>
      <c r="BE26" s="28"/>
    </row>
    <row r="27" spans="1:61">
      <c r="A27" t="s">
        <v>47</v>
      </c>
      <c r="B27" t="str">
        <f>SUM('Gestión de abastecimiento'!B28:G28)</f>
        <v>0</v>
      </c>
      <c r="C27" s="10" t="str">
        <f>IF(B27&lt;=$Q$19,"Bajo",IF(B27&lt;=$Q$20,"Medio ",IF(B27&lt;=$Q$21,"Alto",0)))</f>
        <v>0</v>
      </c>
      <c r="D27" t="str">
        <f>SUM('Gestión de abastecimiento'!H28:M28)</f>
        <v>0</v>
      </c>
      <c r="E27" s="10" t="str">
        <f>IF(D27&lt;=$AC$19,"Bajo",IF(D27&lt;=$AC$20,"Medio ",IF(D27&lt;=$AC$21,"Alto",0)))</f>
        <v>0</v>
      </c>
      <c r="F27" t="str">
        <f>SUM('Gestión de abastecimiento'!N28:S28)</f>
        <v>0</v>
      </c>
      <c r="G27" s="10" t="str">
        <f>IF(F27&lt;=$AO$19,"Bajo",IF(F27&lt;=$AO$20,"Medio ",IF(F27&lt;=$AO$21,"Alto",0)))</f>
        <v>0</v>
      </c>
      <c r="H27" t="str">
        <f>SUM(B27:F27)</f>
        <v>0</v>
      </c>
      <c r="I27" s="10" t="str">
        <f>IF(H27&lt;=$BA$19,"Bajo",IF(H27&lt;=$BA$20,"Medio ",IF(H27&lt;=$BA$21,"Alto",0)))</f>
        <v>0</v>
      </c>
      <c r="K27" s="11"/>
      <c r="U27" s="11"/>
      <c r="W27" s="11"/>
      <c r="AG27" s="11"/>
      <c r="AI27" s="11"/>
      <c r="AS27" s="11"/>
      <c r="AU27" s="28"/>
      <c r="BE27" s="28"/>
    </row>
    <row r="28" spans="1:61">
      <c r="A28" t="s">
        <v>48</v>
      </c>
      <c r="B28" t="str">
        <f>SUM('Gestión de abastecimiento'!B29:G29)</f>
        <v>0</v>
      </c>
      <c r="C28" s="10" t="str">
        <f>IF(B28&lt;=$Q$19,"Bajo",IF(B28&lt;=$Q$20,"Medio ",IF(B28&lt;=$Q$21,"Alto",0)))</f>
        <v>0</v>
      </c>
      <c r="D28" t="str">
        <f>SUM('Gestión de abastecimiento'!H29:M29)</f>
        <v>0</v>
      </c>
      <c r="E28" s="10" t="str">
        <f>IF(D28&lt;=$AC$19,"Bajo",IF(D28&lt;=$AC$20,"Medio ",IF(D28&lt;=$AC$21,"Alto",0)))</f>
        <v>0</v>
      </c>
      <c r="F28" t="str">
        <f>SUM('Gestión de abastecimiento'!N29:S29)</f>
        <v>0</v>
      </c>
      <c r="G28" s="10" t="str">
        <f>IF(F28&lt;=$AO$19,"Bajo",IF(F28&lt;=$AO$20,"Medio ",IF(F28&lt;=$AO$21,"Alto",0)))</f>
        <v>0</v>
      </c>
      <c r="H28" t="str">
        <f>SUM(B28:F28)</f>
        <v>0</v>
      </c>
      <c r="I28" s="10" t="str">
        <f>IF(H28&lt;=$BA$19,"Bajo",IF(H28&lt;=$BA$20,"Medio ",IF(H28&lt;=$BA$21,"Alto",0)))</f>
        <v>0</v>
      </c>
      <c r="K28" s="11"/>
      <c r="U28" s="11"/>
      <c r="W28" s="11"/>
      <c r="AG28" s="11"/>
      <c r="AI28" s="11"/>
      <c r="AS28" s="11"/>
      <c r="AU28" s="28"/>
      <c r="BE28" s="28"/>
    </row>
    <row r="29" spans="1:61">
      <c r="A29" t="s">
        <v>49</v>
      </c>
      <c r="B29" t="str">
        <f>SUM('Gestión de abastecimiento'!B30:G30)</f>
        <v>0</v>
      </c>
      <c r="C29" s="10" t="str">
        <f>IF(B29&lt;=$Q$19,"Bajo",IF(B29&lt;=$Q$20,"Medio ",IF(B29&lt;=$Q$21,"Alto",0)))</f>
        <v>0</v>
      </c>
      <c r="D29" t="str">
        <f>SUM('Gestión de abastecimiento'!H30:M30)</f>
        <v>0</v>
      </c>
      <c r="E29" s="10" t="str">
        <f>IF(D29&lt;=$AC$19,"Bajo",IF(D29&lt;=$AC$20,"Medio ",IF(D29&lt;=$AC$21,"Alto",0)))</f>
        <v>0</v>
      </c>
      <c r="F29" t="str">
        <f>SUM('Gestión de abastecimiento'!N30:S30)</f>
        <v>0</v>
      </c>
      <c r="G29" s="10" t="str">
        <f>IF(F29&lt;=$AO$19,"Bajo",IF(F29&lt;=$AO$20,"Medio ",IF(F29&lt;=$AO$21,"Alto",0)))</f>
        <v>0</v>
      </c>
      <c r="H29" t="str">
        <f>SUM(B29:F29)</f>
        <v>0</v>
      </c>
      <c r="I29" s="10" t="str">
        <f>IF(H29&lt;=$BA$19,"Bajo",IF(H29&lt;=$BA$20,"Medio ",IF(H29&lt;=$BA$21,"Alto",0)))</f>
        <v>0</v>
      </c>
      <c r="K29" s="11"/>
      <c r="U29" s="11"/>
      <c r="W29" s="11"/>
      <c r="AG29" s="11"/>
      <c r="AI29" s="11"/>
      <c r="AS29" s="11"/>
      <c r="AU29" s="28"/>
      <c r="BE29" s="28"/>
    </row>
    <row r="30" spans="1:61">
      <c r="A30" t="s">
        <v>50</v>
      </c>
      <c r="B30" t="str">
        <f>SUM('Gestión de abastecimiento'!B31:G31)</f>
        <v>0</v>
      </c>
      <c r="C30" s="10" t="str">
        <f>IF(B30&lt;=$Q$19,"Bajo",IF(B30&lt;=$Q$20,"Medio ",IF(B30&lt;=$Q$21,"Alto",0)))</f>
        <v>0</v>
      </c>
      <c r="D30" t="str">
        <f>SUM('Gestión de abastecimiento'!H31:M31)</f>
        <v>0</v>
      </c>
      <c r="E30" s="10" t="str">
        <f>IF(D30&lt;=$AC$19,"Bajo",IF(D30&lt;=$AC$20,"Medio ",IF(D30&lt;=$AC$21,"Alto",0)))</f>
        <v>0</v>
      </c>
      <c r="F30" t="str">
        <f>SUM('Gestión de abastecimiento'!N31:S31)</f>
        <v>0</v>
      </c>
      <c r="G30" s="10" t="str">
        <f>IF(F30&lt;=$AO$19,"Bajo",IF(F30&lt;=$AO$20,"Medio ",IF(F30&lt;=$AO$21,"Alto",0)))</f>
        <v>0</v>
      </c>
      <c r="H30" t="str">
        <f>SUM(B30:F30)</f>
        <v>0</v>
      </c>
      <c r="I30" s="10" t="str">
        <f>IF(H30&lt;=$BA$19,"Bajo",IF(H30&lt;=$BA$20,"Medio ",IF(H30&lt;=$BA$21,"Alto",0)))</f>
        <v>0</v>
      </c>
      <c r="K30" s="11"/>
      <c r="U30" s="11"/>
      <c r="W30" s="11"/>
      <c r="AG30" s="11"/>
      <c r="AI30" s="11"/>
      <c r="AS30" s="11"/>
      <c r="AU30" s="28"/>
      <c r="BE30" s="28"/>
    </row>
    <row r="31" spans="1:61">
      <c r="A31" t="s">
        <v>51</v>
      </c>
      <c r="B31" t="str">
        <f>SUM('Gestión de abastecimiento'!B32:G32)</f>
        <v>0</v>
      </c>
      <c r="C31" s="10" t="str">
        <f>IF(B31&lt;=$Q$19,"Bajo",IF(B31&lt;=$Q$20,"Medio ",IF(B31&lt;=$Q$21,"Alto",0)))</f>
        <v>0</v>
      </c>
      <c r="D31" t="str">
        <f>SUM('Gestión de abastecimiento'!H32:M32)</f>
        <v>0</v>
      </c>
      <c r="E31" s="10" t="str">
        <f>IF(D31&lt;=$AC$19,"Bajo",IF(D31&lt;=$AC$20,"Medio ",IF(D31&lt;=$AC$21,"Alto",0)))</f>
        <v>0</v>
      </c>
      <c r="F31" t="str">
        <f>SUM('Gestión de abastecimiento'!N32:S32)</f>
        <v>0</v>
      </c>
      <c r="G31" s="10" t="str">
        <f>IF(F31&lt;=$AO$19,"Bajo",IF(F31&lt;=$AO$20,"Medio ",IF(F31&lt;=$AO$21,"Alto",0)))</f>
        <v>0</v>
      </c>
      <c r="H31" t="str">
        <f>SUM(B31:F31)</f>
        <v>0</v>
      </c>
      <c r="I31" s="10" t="str">
        <f>IF(H31&lt;=$BA$19,"Bajo",IF(H31&lt;=$BA$20,"Medio ",IF(H31&lt;=$BA$21,"Alto",0)))</f>
        <v>0</v>
      </c>
      <c r="K31" s="11"/>
      <c r="U31" s="11"/>
      <c r="W31" s="11"/>
      <c r="AG31" s="11"/>
      <c r="AI31" s="11"/>
      <c r="AS31" s="11"/>
      <c r="AU31" s="28"/>
      <c r="BE31" s="28"/>
    </row>
    <row r="32" spans="1:61">
      <c r="A32" t="s">
        <v>52</v>
      </c>
      <c r="B32" t="str">
        <f>SUM('Gestión de abastecimiento'!B33:G33)</f>
        <v>0</v>
      </c>
      <c r="C32" s="10" t="str">
        <f>IF(B32&lt;=$Q$19,"Bajo",IF(B32&lt;=$Q$20,"Medio ",IF(B32&lt;=$Q$21,"Alto",0)))</f>
        <v>0</v>
      </c>
      <c r="D32" t="str">
        <f>SUM('Gestión de abastecimiento'!H33:M33)</f>
        <v>0</v>
      </c>
      <c r="E32" s="10" t="str">
        <f>IF(D32&lt;=$AC$19,"Bajo",IF(D32&lt;=$AC$20,"Medio ",IF(D32&lt;=$AC$21,"Alto",0)))</f>
        <v>0</v>
      </c>
      <c r="F32" t="str">
        <f>SUM('Gestión de abastecimiento'!N33:S33)</f>
        <v>0</v>
      </c>
      <c r="G32" s="10" t="str">
        <f>IF(F32&lt;=$AO$19,"Bajo",IF(F32&lt;=$AO$20,"Medio ",IF(F32&lt;=$AO$21,"Alto",0)))</f>
        <v>0</v>
      </c>
      <c r="H32" t="str">
        <f>SUM(B32:F32)</f>
        <v>0</v>
      </c>
      <c r="I32" s="10" t="str">
        <f>IF(H32&lt;=$BA$19,"Bajo",IF(H32&lt;=$BA$20,"Medio ",IF(H32&lt;=$BA$21,"Alto",0)))</f>
        <v>0</v>
      </c>
      <c r="K32" s="11"/>
      <c r="U32" s="11"/>
      <c r="W32" s="11"/>
      <c r="AG32" s="11"/>
      <c r="AI32" s="11"/>
      <c r="AS32" s="11"/>
      <c r="AU32" s="28"/>
      <c r="BE32" s="28"/>
    </row>
    <row r="33" spans="1:61">
      <c r="A33" t="s">
        <v>53</v>
      </c>
      <c r="B33" t="str">
        <f>SUM('Gestión de abastecimiento'!B34:G34)</f>
        <v>0</v>
      </c>
      <c r="C33" s="10" t="str">
        <f>IF(B33&lt;=$Q$19,"Bajo",IF(B33&lt;=$Q$20,"Medio ",IF(B33&lt;=$Q$21,"Alto",0)))</f>
        <v>0</v>
      </c>
      <c r="D33" t="str">
        <f>SUM('Gestión de abastecimiento'!H34:M34)</f>
        <v>0</v>
      </c>
      <c r="E33" s="10" t="str">
        <f>IF(D33&lt;=$AC$19,"Bajo",IF(D33&lt;=$AC$20,"Medio ",IF(D33&lt;=$AC$21,"Alto",0)))</f>
        <v>0</v>
      </c>
      <c r="F33" t="str">
        <f>SUM('Gestión de abastecimiento'!N34:S34)</f>
        <v>0</v>
      </c>
      <c r="G33" s="10" t="str">
        <f>IF(F33&lt;=$AO$19,"Bajo",IF(F33&lt;=$AO$20,"Medio ",IF(F33&lt;=$AO$21,"Alto",0)))</f>
        <v>0</v>
      </c>
      <c r="H33" t="str">
        <f>SUM(B33:F33)</f>
        <v>0</v>
      </c>
      <c r="I33" s="10" t="str">
        <f>IF(H33&lt;=$BA$19,"Bajo",IF(H33&lt;=$BA$20,"Medio ",IF(H33&lt;=$BA$21,"Alto",0)))</f>
        <v>0</v>
      </c>
      <c r="K33" s="11"/>
      <c r="U33" s="11"/>
      <c r="W33" s="11"/>
      <c r="AG33" s="11"/>
      <c r="AI33" s="11"/>
      <c r="AS33" s="11"/>
      <c r="AU33" s="28"/>
      <c r="BE33" s="28"/>
    </row>
    <row r="34" spans="1:61">
      <c r="A34" t="s">
        <v>54</v>
      </c>
      <c r="B34" t="str">
        <f>SUM('Gestión de abastecimiento'!B35:G35)</f>
        <v>0</v>
      </c>
      <c r="C34" s="10" t="str">
        <f>IF(B34&lt;=$Q$19,"Bajo",IF(B34&lt;=$Q$20,"Medio ",IF(B34&lt;=$Q$21,"Alto",0)))</f>
        <v>0</v>
      </c>
      <c r="D34" t="str">
        <f>SUM('Gestión de abastecimiento'!H35:M35)</f>
        <v>0</v>
      </c>
      <c r="E34" s="10" t="str">
        <f>IF(D34&lt;=$AC$19,"Bajo",IF(D34&lt;=$AC$20,"Medio ",IF(D34&lt;=$AC$21,"Alto",0)))</f>
        <v>0</v>
      </c>
      <c r="F34" t="str">
        <f>SUM('Gestión de abastecimiento'!N35:S35)</f>
        <v>0</v>
      </c>
      <c r="G34" s="10" t="str">
        <f>IF(F34&lt;=$AO$19,"Bajo",IF(F34&lt;=$AO$20,"Medio ",IF(F34&lt;=$AO$21,"Alto",0)))</f>
        <v>0</v>
      </c>
      <c r="H34" t="str">
        <f>SUM(B34:F34)</f>
        <v>0</v>
      </c>
      <c r="I34" s="10" t="str">
        <f>IF(H34&lt;=$BA$19,"Bajo",IF(H34&lt;=$BA$20,"Medio ",IF(H34&lt;=$BA$21,"Alto",0)))</f>
        <v>0</v>
      </c>
      <c r="K34" s="11"/>
      <c r="U34" s="11"/>
      <c r="W34" s="11"/>
      <c r="AG34" s="11"/>
      <c r="AI34" s="11"/>
      <c r="AS34" s="11"/>
      <c r="AU34" s="28"/>
      <c r="BE34" s="28"/>
    </row>
    <row r="35" spans="1:61">
      <c r="A35" t="s">
        <v>55</v>
      </c>
      <c r="B35" t="str">
        <f>SUM('Gestión de abastecimiento'!B36:G36)</f>
        <v>0</v>
      </c>
      <c r="C35" s="10" t="str">
        <f>IF(B35&lt;=$Q$19,"Bajo",IF(B35&lt;=$Q$20,"Medio ",IF(B35&lt;=$Q$21,"Alto",0)))</f>
        <v>0</v>
      </c>
      <c r="D35" t="str">
        <f>SUM('Gestión de abastecimiento'!H36:M36)</f>
        <v>0</v>
      </c>
      <c r="E35" s="10" t="str">
        <f>IF(D35&lt;=$AC$19,"Bajo",IF(D35&lt;=$AC$20,"Medio ",IF(D35&lt;=$AC$21,"Alto",0)))</f>
        <v>0</v>
      </c>
      <c r="F35" t="str">
        <f>SUM('Gestión de abastecimiento'!N36:S36)</f>
        <v>0</v>
      </c>
      <c r="G35" s="10" t="str">
        <f>IF(F35&lt;=$AO$19,"Bajo",IF(F35&lt;=$AO$20,"Medio ",IF(F35&lt;=$AO$21,"Alto",0)))</f>
        <v>0</v>
      </c>
      <c r="H35" t="str">
        <f>SUM(B35:F35)</f>
        <v>0</v>
      </c>
      <c r="I35" s="10" t="str">
        <f>IF(H35&lt;=$BA$19,"Bajo",IF(H35&lt;=$BA$20,"Medio ",IF(H35&lt;=$BA$21,"Alto",0)))</f>
        <v>0</v>
      </c>
      <c r="K35" s="11"/>
      <c r="U35" s="11"/>
      <c r="W35" s="11"/>
      <c r="AG35" s="11"/>
      <c r="AI35" s="11"/>
      <c r="AS35" s="11"/>
      <c r="AU35" s="28"/>
      <c r="BE35" s="28"/>
    </row>
    <row r="36" spans="1:61">
      <c r="A36" t="s">
        <v>56</v>
      </c>
      <c r="B36" t="str">
        <f>SUM('Gestión de abastecimiento'!B37:G37)</f>
        <v>0</v>
      </c>
      <c r="C36" s="10" t="str">
        <f>IF(B36&lt;=$Q$19,"Bajo",IF(B36&lt;=$Q$20,"Medio ",IF(B36&lt;=$Q$21,"Alto",0)))</f>
        <v>0</v>
      </c>
      <c r="D36" t="str">
        <f>SUM('Gestión de abastecimiento'!H37:M37)</f>
        <v>0</v>
      </c>
      <c r="E36" s="10" t="str">
        <f>IF(D36&lt;=$AC$19,"Bajo",IF(D36&lt;=$AC$20,"Medio ",IF(D36&lt;=$AC$21,"Alto",0)))</f>
        <v>0</v>
      </c>
      <c r="F36" t="str">
        <f>SUM('Gestión de abastecimiento'!N37:S37)</f>
        <v>0</v>
      </c>
      <c r="G36" s="10" t="str">
        <f>IF(F36&lt;=$AO$19,"Bajo",IF(F36&lt;=$AO$20,"Medio ",IF(F36&lt;=$AO$21,"Alto",0)))</f>
        <v>0</v>
      </c>
      <c r="H36" t="str">
        <f>SUM(B36:F36)</f>
        <v>0</v>
      </c>
      <c r="I36" s="10" t="str">
        <f>IF(H36&lt;=$BA$19,"Bajo",IF(H36&lt;=$BA$20,"Medio ",IF(H36&lt;=$BA$21,"Alto",0)))</f>
        <v>0</v>
      </c>
      <c r="K36" s="11"/>
      <c r="U36" s="11"/>
      <c r="W36" s="11"/>
      <c r="AG36" s="11"/>
      <c r="AI36" s="11"/>
      <c r="AS36" s="11"/>
      <c r="AU36" s="28"/>
      <c r="BE36" s="28"/>
    </row>
    <row r="37" spans="1:61">
      <c r="A37" t="s">
        <v>57</v>
      </c>
      <c r="B37" t="str">
        <f>SUM('Gestión de abastecimiento'!B38:G38)</f>
        <v>0</v>
      </c>
      <c r="C37" s="10" t="str">
        <f>IF(B37&lt;=$Q$19,"Bajo",IF(B37&lt;=$Q$20,"Medio ",IF(B37&lt;=$Q$21,"Alto",0)))</f>
        <v>0</v>
      </c>
      <c r="D37" t="str">
        <f>SUM('Gestión de abastecimiento'!H38:M38)</f>
        <v>0</v>
      </c>
      <c r="E37" s="10" t="str">
        <f>IF(D37&lt;=$AC$19,"Bajo",IF(D37&lt;=$AC$20,"Medio ",IF(D37&lt;=$AC$21,"Alto",0)))</f>
        <v>0</v>
      </c>
      <c r="F37" t="str">
        <f>SUM('Gestión de abastecimiento'!N38:S38)</f>
        <v>0</v>
      </c>
      <c r="G37" s="10" t="str">
        <f>IF(F37&lt;=$AO$19,"Bajo",IF(F37&lt;=$AO$20,"Medio ",IF(F37&lt;=$AO$21,"Alto",0)))</f>
        <v>0</v>
      </c>
      <c r="H37" t="str">
        <f>SUM(B37:F37)</f>
        <v>0</v>
      </c>
      <c r="I37" s="10" t="str">
        <f>IF(H37&lt;=$BA$19,"Bajo",IF(H37&lt;=$BA$20,"Medio ",IF(H37&lt;=$BA$21,"Alto",0)))</f>
        <v>0</v>
      </c>
      <c r="K37" s="11"/>
      <c r="U37" s="11"/>
      <c r="W37" s="11"/>
      <c r="AG37" s="11"/>
      <c r="AI37" s="11"/>
      <c r="AS37" s="11"/>
      <c r="AU37" s="28"/>
      <c r="BE37" s="28"/>
    </row>
    <row r="38" spans="1:61">
      <c r="A38" t="s">
        <v>58</v>
      </c>
      <c r="B38" t="str">
        <f>SUM('Gestión de abastecimiento'!B39:G39)</f>
        <v>0</v>
      </c>
      <c r="C38" s="10" t="str">
        <f>IF(B38&lt;=$Q$19,"Bajo",IF(B38&lt;=$Q$20,"Medio ",IF(B38&lt;=$Q$21,"Alto",0)))</f>
        <v>0</v>
      </c>
      <c r="D38" t="str">
        <f>SUM('Gestión de abastecimiento'!H39:M39)</f>
        <v>0</v>
      </c>
      <c r="E38" s="10" t="str">
        <f>IF(D38&lt;=$AC$19,"Bajo",IF(D38&lt;=$AC$20,"Medio ",IF(D38&lt;=$AC$21,"Alto",0)))</f>
        <v>0</v>
      </c>
      <c r="F38" t="str">
        <f>SUM('Gestión de abastecimiento'!N39:S39)</f>
        <v>0</v>
      </c>
      <c r="G38" s="10" t="str">
        <f>IF(F38&lt;=$AO$19,"Bajo",IF(F38&lt;=$AO$20,"Medio ",IF(F38&lt;=$AO$21,"Alto",0)))</f>
        <v>0</v>
      </c>
      <c r="H38" t="str">
        <f>SUM(B38:F38)</f>
        <v>0</v>
      </c>
      <c r="I38" s="10" t="str">
        <f>IF(H38&lt;=$BA$19,"Bajo",IF(H38&lt;=$BA$20,"Medio ",IF(H38&lt;=$BA$21,"Alto",0)))</f>
        <v>0</v>
      </c>
      <c r="K38" s="11"/>
      <c r="U38" s="11"/>
      <c r="W38" s="11"/>
      <c r="AG38" s="11"/>
      <c r="AI38" s="11"/>
      <c r="AS38" s="11"/>
      <c r="AU38" s="28"/>
      <c r="BE38" s="28"/>
    </row>
    <row r="39" spans="1:61">
      <c r="A39" t="s">
        <v>59</v>
      </c>
      <c r="B39" t="str">
        <f>SUM('Gestión de abastecimiento'!B40:G40)</f>
        <v>0</v>
      </c>
      <c r="C39" s="10" t="str">
        <f>IF(B39&lt;=$Q$19,"Bajo",IF(B39&lt;=$Q$20,"Medio ",IF(B39&lt;=$Q$21,"Alto",0)))</f>
        <v>0</v>
      </c>
      <c r="D39" t="str">
        <f>SUM('Gestión de abastecimiento'!H40:M40)</f>
        <v>0</v>
      </c>
      <c r="E39" s="10" t="str">
        <f>IF(D39&lt;=$AC$19,"Bajo",IF(D39&lt;=$AC$20,"Medio ",IF(D39&lt;=$AC$21,"Alto",0)))</f>
        <v>0</v>
      </c>
      <c r="F39" t="str">
        <f>SUM('Gestión de abastecimiento'!N40:S40)</f>
        <v>0</v>
      </c>
      <c r="G39" s="10" t="str">
        <f>IF(F39&lt;=$AO$19,"Bajo",IF(F39&lt;=$AO$20,"Medio ",IF(F39&lt;=$AO$21,"Alto",0)))</f>
        <v>0</v>
      </c>
      <c r="H39" t="str">
        <f>SUM(B39:F39)</f>
        <v>0</v>
      </c>
      <c r="I39" s="10" t="str">
        <f>IF(H39&lt;=$BA$19,"Bajo",IF(H39&lt;=$BA$20,"Medio ",IF(H39&lt;=$BA$21,"Alto",0)))</f>
        <v>0</v>
      </c>
      <c r="K39" s="11"/>
      <c r="U39" s="11"/>
      <c r="W39" s="11"/>
      <c r="AG39" s="11"/>
      <c r="AI39" s="11"/>
      <c r="AS39" s="11"/>
      <c r="AU39" s="28"/>
      <c r="BE39" s="28"/>
    </row>
    <row r="40" spans="1:61">
      <c r="A40" t="s">
        <v>60</v>
      </c>
      <c r="B40" t="str">
        <f>SUM('Gestión de abastecimiento'!B41:G41)</f>
        <v>0</v>
      </c>
      <c r="C40" s="10" t="str">
        <f>IF(B40&lt;=$Q$19,"Bajo",IF(B40&lt;=$Q$20,"Medio ",IF(B40&lt;=$Q$21,"Alto",0)))</f>
        <v>0</v>
      </c>
      <c r="D40" t="str">
        <f>SUM('Gestión de abastecimiento'!H41:M41)</f>
        <v>0</v>
      </c>
      <c r="E40" s="10" t="str">
        <f>IF(D40&lt;=$AC$19,"Bajo",IF(D40&lt;=$AC$20,"Medio ",IF(D40&lt;=$AC$21,"Alto",0)))</f>
        <v>0</v>
      </c>
      <c r="F40" t="str">
        <f>SUM('Gestión de abastecimiento'!N41:S41)</f>
        <v>0</v>
      </c>
      <c r="G40" s="10" t="str">
        <f>IF(F40&lt;=$AO$19,"Bajo",IF(F40&lt;=$AO$20,"Medio ",IF(F40&lt;=$AO$21,"Alto",0)))</f>
        <v>0</v>
      </c>
      <c r="H40" t="str">
        <f>SUM(B40:F40)</f>
        <v>0</v>
      </c>
      <c r="I40" s="10" t="str">
        <f>IF(H40&lt;=$BA$19,"Bajo",IF(H40&lt;=$BA$20,"Medio ",IF(H40&lt;=$BA$21,"Alto",0)))</f>
        <v>0</v>
      </c>
      <c r="K40" s="11"/>
      <c r="U40" s="11"/>
      <c r="W40" s="11"/>
      <c r="AG40" s="11"/>
      <c r="AI40" s="11"/>
      <c r="AS40" s="11"/>
      <c r="AU40" s="28"/>
      <c r="BE40" s="28"/>
    </row>
    <row r="41" spans="1:61">
      <c r="A41" t="s">
        <v>61</v>
      </c>
      <c r="B41" t="str">
        <f>SUM('Gestión de abastecimiento'!B42:G42)</f>
        <v>0</v>
      </c>
      <c r="C41" s="10" t="str">
        <f>IF(B41&lt;=$Q$19,"Bajo",IF(B41&lt;=$Q$20,"Medio ",IF(B41&lt;=$Q$21,"Alto",0)))</f>
        <v>0</v>
      </c>
      <c r="D41" t="str">
        <f>SUM('Gestión de abastecimiento'!H42:M42)</f>
        <v>0</v>
      </c>
      <c r="E41" s="10" t="str">
        <f>IF(D41&lt;=$AC$19,"Bajo",IF(D41&lt;=$AC$20,"Medio ",IF(D41&lt;=$AC$21,"Alto",0)))</f>
        <v>0</v>
      </c>
      <c r="F41" t="str">
        <f>SUM('Gestión de abastecimiento'!N42:S42)</f>
        <v>0</v>
      </c>
      <c r="G41" s="10" t="str">
        <f>IF(F41&lt;=$AO$19,"Bajo",IF(F41&lt;=$AO$20,"Medio ",IF(F41&lt;=$AO$21,"Alto",0)))</f>
        <v>0</v>
      </c>
      <c r="H41" t="str">
        <f>SUM(B41:F41)</f>
        <v>0</v>
      </c>
      <c r="I41" s="10" t="str">
        <f>IF(H41&lt;=$BA$19,"Bajo",IF(H41&lt;=$BA$20,"Medio ",IF(H41&lt;=$BA$21,"Alto",0)))</f>
        <v>0</v>
      </c>
      <c r="K41" s="11"/>
      <c r="U41" s="11"/>
      <c r="W41" s="11"/>
      <c r="AG41" s="11"/>
      <c r="AI41" s="11"/>
      <c r="AS41" s="11"/>
      <c r="AU41" s="28"/>
      <c r="BE41" s="28"/>
    </row>
    <row r="42" spans="1:61">
      <c r="A42" t="s">
        <v>62</v>
      </c>
      <c r="B42" t="str">
        <f>SUM('Gestión de abastecimiento'!B43:G43)</f>
        <v>0</v>
      </c>
      <c r="C42" s="10" t="str">
        <f>IF(B42&lt;=$Q$19,"Bajo",IF(B42&lt;=$Q$20,"Medio ",IF(B42&lt;=$Q$21,"Alto",0)))</f>
        <v>0</v>
      </c>
      <c r="D42" t="str">
        <f>SUM('Gestión de abastecimiento'!H43:M43)</f>
        <v>0</v>
      </c>
      <c r="E42" s="10" t="str">
        <f>IF(D42&lt;=$AC$19,"Bajo",IF(D42&lt;=$AC$20,"Medio ",IF(D42&lt;=$AC$21,"Alto",0)))</f>
        <v>0</v>
      </c>
      <c r="F42" t="str">
        <f>SUM('Gestión de abastecimiento'!N43:S43)</f>
        <v>0</v>
      </c>
      <c r="G42" s="10" t="str">
        <f>IF(F42&lt;=$AO$19,"Bajo",IF(F42&lt;=$AO$20,"Medio ",IF(F42&lt;=$AO$21,"Alto",0)))</f>
        <v>0</v>
      </c>
      <c r="H42" t="str">
        <f>SUM(B42:F42)</f>
        <v>0</v>
      </c>
      <c r="I42" s="10" t="str">
        <f>IF(H42&lt;=$BA$19,"Bajo",IF(H42&lt;=$BA$20,"Medio ",IF(H42&lt;=$BA$21,"Alto",0)))</f>
        <v>0</v>
      </c>
      <c r="K42" s="11"/>
      <c r="U42" s="11"/>
      <c r="W42" s="11"/>
      <c r="AG42" s="11"/>
      <c r="AI42" s="11"/>
      <c r="AS42" s="11"/>
      <c r="AU42" s="28"/>
      <c r="BE42" s="28"/>
    </row>
    <row r="43" spans="1:61">
      <c r="A43" t="s">
        <v>63</v>
      </c>
      <c r="B43" t="str">
        <f>SUM('Gestión de abastecimiento'!B44:G44)</f>
        <v>0</v>
      </c>
      <c r="C43" s="10" t="str">
        <f>IF(B43&lt;=$Q$19,"Bajo",IF(B43&lt;=$Q$20,"Medio ",IF(B43&lt;=$Q$21,"Alto",0)))</f>
        <v>0</v>
      </c>
      <c r="D43" t="str">
        <f>SUM('Gestión de abastecimiento'!H44:M44)</f>
        <v>0</v>
      </c>
      <c r="E43" s="10" t="str">
        <f>IF(D43&lt;=$AC$19,"Bajo",IF(D43&lt;=$AC$20,"Medio ",IF(D43&lt;=$AC$21,"Alto",0)))</f>
        <v>0</v>
      </c>
      <c r="F43" t="str">
        <f>SUM('Gestión de abastecimiento'!N44:S44)</f>
        <v>0</v>
      </c>
      <c r="G43" s="10" t="str">
        <f>IF(F43&lt;=$AO$19,"Bajo",IF(F43&lt;=$AO$20,"Medio ",IF(F43&lt;=$AO$21,"Alto",0)))</f>
        <v>0</v>
      </c>
      <c r="H43" t="str">
        <f>SUM(B43:F43)</f>
        <v>0</v>
      </c>
      <c r="I43" s="10" t="str">
        <f>IF(H43&lt;=$BA$19,"Bajo",IF(H43&lt;=$BA$20,"Medio ",IF(H43&lt;=$BA$21,"Alto",0)))</f>
        <v>0</v>
      </c>
      <c r="K43" s="11"/>
      <c r="O43" t="s">
        <v>357</v>
      </c>
      <c r="U43" s="11"/>
      <c r="W43" s="11"/>
      <c r="AA43" t="s">
        <v>358</v>
      </c>
      <c r="AG43" s="11"/>
      <c r="AI43" s="11"/>
      <c r="AM43" t="s">
        <v>359</v>
      </c>
      <c r="AS43" s="11"/>
      <c r="AU43" s="28"/>
      <c r="AY43" t="s">
        <v>360</v>
      </c>
      <c r="BE43" s="28"/>
    </row>
    <row r="44" spans="1:61">
      <c r="A44" t="s">
        <v>64</v>
      </c>
      <c r="B44" t="str">
        <f>SUM('Gestión de abastecimiento'!B45:G45)</f>
        <v>0</v>
      </c>
      <c r="C44" s="10" t="str">
        <f>IF(B44&lt;=$Q$19,"Bajo",IF(B44&lt;=$Q$20,"Medio ",IF(B44&lt;=$Q$21,"Alto",0)))</f>
        <v>0</v>
      </c>
      <c r="D44" t="str">
        <f>SUM('Gestión de abastecimiento'!H45:M45)</f>
        <v>0</v>
      </c>
      <c r="E44" s="10" t="str">
        <f>IF(D44&lt;=$AC$19,"Bajo",IF(D44&lt;=$AC$20,"Medio ",IF(D44&lt;=$AC$21,"Alto",0)))</f>
        <v>0</v>
      </c>
      <c r="F44" t="str">
        <f>SUM('Gestión de abastecimiento'!N45:S45)</f>
        <v>0</v>
      </c>
      <c r="G44" s="10" t="str">
        <f>IF(F44&lt;=$AO$19,"Bajo",IF(F44&lt;=$AO$20,"Medio ",IF(F44&lt;=$AO$21,"Alto",0)))</f>
        <v>0</v>
      </c>
      <c r="H44" t="str">
        <f>SUM(B44:F44)</f>
        <v>0</v>
      </c>
      <c r="I44" s="10" t="str">
        <f>IF(H44&lt;=$BA$19,"Bajo",IF(H44&lt;=$BA$20,"Medio ",IF(H44&lt;=$BA$21,"Alto",0)))</f>
        <v>0</v>
      </c>
      <c r="K44" s="11"/>
      <c r="O44" s="10" t="s">
        <v>1</v>
      </c>
      <c r="U44" s="11"/>
      <c r="W44" s="11"/>
      <c r="AA44" s="10" t="s">
        <v>2</v>
      </c>
      <c r="AG44" s="11"/>
      <c r="AI44" s="11"/>
      <c r="AM44" s="10" t="s">
        <v>3</v>
      </c>
      <c r="AS44" s="11"/>
      <c r="AU44" s="28"/>
      <c r="AY44" s="10" t="s">
        <v>1</v>
      </c>
      <c r="BE44" s="28"/>
    </row>
    <row r="45" spans="1:61">
      <c r="A45" t="s">
        <v>65</v>
      </c>
      <c r="B45" t="str">
        <f>SUM('Gestión de abastecimiento'!B46:G46)</f>
        <v>0</v>
      </c>
      <c r="C45" s="10" t="str">
        <f>IF(B45&lt;=$Q$19,"Bajo",IF(B45&lt;=$Q$20,"Medio ",IF(B45&lt;=$Q$21,"Alto",0)))</f>
        <v>0</v>
      </c>
      <c r="D45" t="str">
        <f>SUM('Gestión de abastecimiento'!H46:M46)</f>
        <v>0</v>
      </c>
      <c r="E45" s="10" t="str">
        <f>IF(D45&lt;=$AC$19,"Bajo",IF(D45&lt;=$AC$20,"Medio ",IF(D45&lt;=$AC$21,"Alto",0)))</f>
        <v>0</v>
      </c>
      <c r="F45" t="str">
        <f>SUM('Gestión de abastecimiento'!N46:S46)</f>
        <v>0</v>
      </c>
      <c r="G45" s="10" t="str">
        <f>IF(F45&lt;=$AO$19,"Bajo",IF(F45&lt;=$AO$20,"Medio ",IF(F45&lt;=$AO$21,"Alto",0)))</f>
        <v>0</v>
      </c>
      <c r="H45" t="str">
        <f>SUM(B45:F45)</f>
        <v>0</v>
      </c>
      <c r="I45" s="10" t="str">
        <f>IF(H45&lt;=$BA$19,"Bajo",IF(H45&lt;=$BA$20,"Medio ",IF(H45&lt;=$BA$21,"Alto",0)))</f>
        <v>0</v>
      </c>
      <c r="K45" s="11"/>
      <c r="L45" s="11"/>
      <c r="M45" s="11"/>
      <c r="N45" s="11"/>
      <c r="O45" s="11"/>
      <c r="P45" s="11"/>
      <c r="Q45" s="11"/>
      <c r="R45" s="11"/>
      <c r="S45" s="11"/>
      <c r="T45" s="11"/>
      <c r="U45" s="11"/>
      <c r="W45" s="11"/>
      <c r="X45" s="11"/>
      <c r="Y45" s="11"/>
      <c r="Z45" s="11"/>
      <c r="AA45" s="11"/>
      <c r="AB45" s="11"/>
      <c r="AC45" s="11"/>
      <c r="AD45" s="11"/>
      <c r="AE45" s="11"/>
      <c r="AF45" s="11"/>
      <c r="AG45" s="11"/>
      <c r="AI45" s="11"/>
      <c r="AJ45" s="11"/>
      <c r="AK45" s="11"/>
      <c r="AL45" s="11"/>
      <c r="AM45" s="11"/>
      <c r="AN45" s="11"/>
      <c r="AO45" s="11"/>
      <c r="AP45" s="11"/>
      <c r="AQ45" s="11"/>
      <c r="AR45" s="11"/>
      <c r="AS45" s="11"/>
      <c r="AU45" s="28"/>
      <c r="AV45" s="28"/>
      <c r="AW45" s="28"/>
      <c r="AX45" s="28"/>
      <c r="AY45" s="28"/>
      <c r="AZ45" s="28"/>
      <c r="BA45" s="28"/>
      <c r="BB45" s="28"/>
      <c r="BC45" s="28"/>
      <c r="BD45" s="28"/>
      <c r="BE45" s="28"/>
    </row>
    <row r="46" spans="1:61">
      <c r="A46" t="s">
        <v>66</v>
      </c>
      <c r="B46" t="str">
        <f>SUM('Gestión de abastecimiento'!B47:G47)</f>
        <v>0</v>
      </c>
      <c r="C46" s="10" t="str">
        <f>IF(B46&lt;=$Q$19,"Bajo",IF(B46&lt;=$Q$20,"Medio ",IF(B46&lt;=$Q$21,"Alto",0)))</f>
        <v>0</v>
      </c>
      <c r="D46" t="str">
        <f>SUM('Gestión de abastecimiento'!H47:M47)</f>
        <v>0</v>
      </c>
      <c r="E46" s="10" t="str">
        <f>IF(D46&lt;=$AC$19,"Bajo",IF(D46&lt;=$AC$20,"Medio ",IF(D46&lt;=$AC$21,"Alto",0)))</f>
        <v>0</v>
      </c>
      <c r="F46" t="str">
        <f>SUM('Gestión de abastecimiento'!N47:S47)</f>
        <v>0</v>
      </c>
      <c r="G46" s="10" t="str">
        <f>IF(F46&lt;=$AO$19,"Bajo",IF(F46&lt;=$AO$20,"Medio ",IF(F46&lt;=$AO$21,"Alto",0)))</f>
        <v>0</v>
      </c>
      <c r="H46" t="str">
        <f>SUM(B46:F46)</f>
        <v>0</v>
      </c>
      <c r="I46" s="10" t="str">
        <f>IF(H46&lt;=$BA$19,"Bajo",IF(H46&lt;=$BA$20,"Medio ",IF(H46&lt;=$BA$21,"Alto",0)))</f>
        <v>0</v>
      </c>
    </row>
    <row r="47" spans="1:61">
      <c r="A47" t="s">
        <v>67</v>
      </c>
      <c r="B47" t="str">
        <f>SUM('Gestión de abastecimiento'!B48:G48)</f>
        <v>0</v>
      </c>
      <c r="C47" s="10" t="str">
        <f>IF(B47&lt;=$Q$19,"Bajo",IF(B47&lt;=$Q$20,"Medio ",IF(B47&lt;=$Q$21,"Alto",0)))</f>
        <v>0</v>
      </c>
      <c r="D47" t="str">
        <f>SUM('Gestión de abastecimiento'!H48:M48)</f>
        <v>0</v>
      </c>
      <c r="E47" s="10" t="str">
        <f>IF(D47&lt;=$AC$19,"Bajo",IF(D47&lt;=$AC$20,"Medio ",IF(D47&lt;=$AC$21,"Alto",0)))</f>
        <v>0</v>
      </c>
      <c r="F47" t="str">
        <f>SUM('Gestión de abastecimiento'!N48:S48)</f>
        <v>0</v>
      </c>
      <c r="G47" s="10" t="str">
        <f>IF(F47&lt;=$AO$19,"Bajo",IF(F47&lt;=$AO$20,"Medio ",IF(F47&lt;=$AO$21,"Alto",0)))</f>
        <v>0</v>
      </c>
      <c r="H47" t="str">
        <f>SUM(B47:F47)</f>
        <v>0</v>
      </c>
      <c r="I47" s="10" t="str">
        <f>IF(H47&lt;=$BA$19,"Bajo",IF(H47&lt;=$BA$20,"Medio ",IF(H47&lt;=$BA$21,"Alto",0)))</f>
        <v>0</v>
      </c>
      <c r="M47" s="27" t="str">
        <f>CONCATENATE("en la ",O15," y ",O43," se puede observar que la variable ",L901," en base a su dimensión ",L902," tiene una calificación de ",M904," por el ",ROUND(L904*100,0),"% ","de los resultados, ","los cuales fueron extraídos  de las encuestas ejecutadas a los ",N902,", estos resultados son afectados debido a que, ",U1016," ",M1016,",","asi mismo ",U1017," ",M1017,", sin embargo ",U1018," ",M1018,", además ",U1019," ",M1019,", incluso ",U1020," ",M1020, ", ","y ",M1021," ",U1021,", ","por todo ello la dimensión ",L902," es ",M904,".")</f>
        <v>0</v>
      </c>
      <c r="Y47" s="27" t="str">
        <f>CONCATENATE("en la ",AA15," y ",AA43," se puede observar que la variable ",X901," en base a su dimensión ",X902," tiene una calificación de ",Y904," por el ",ROUND(X904*100,0),"% ","de los resultados, ","los cuales fueron extraídos  de las encuestas ejecutadas a los ",Z902,", estos resultados son afectados debido a que, ",AG1016," ",Y1016,",","asi mismo ",AG1017," ",Y1017,", mismo ",AG1018," ",Y1018,", no obstante ",AG1019," ",Y1019,", así ",AG1020," ",Y1020, ", ","y ",Y1021," ",AG1021,", ","por todo ello la dimensión ",X902," es ",Y904,".")</f>
        <v>0</v>
      </c>
      <c r="AK47" s="27" t="str">
        <f>CONCATENATE("en la ",AM15," y ",AM43," se puede observar que la variable ",AJ901," en base a su dimensión ",AJ902," tiene una calificación de ",AK904," por el ",ROUND(AJ904*100,0),"% ","de los resultados, ","los cuales fueron extraídos  de las encuestas ejecutadas a los ",AL902,", estos resultados son afectados debido a que, ",AS1016," ",AK1016,",","asi mismo ",AS1017," ",AK1017,", incluso ",AS1018," ",AK1018,", en cambio ",AS1019," ",AK1019,", así ",AS1020," ",AK1020, ", ","y ",AK1021," ",AS1021,", ","por todo ello la dimensión ",AJ902," es ",AK904,".")</f>
        <v>0</v>
      </c>
      <c r="AW47" s="27" t="str">
        <f>CONCATENATE("En la ",AY15," y ",AY43," se puede evidenciar que la variable ",AV901," es calificado como ",AW904," por el ",ROUND(AV904*100,0),"% de los resultados, mismos que son originados porque; ",BI1016," ",BI1017," ",BI1018,BI1019,BI1020,BI1021,BI1022,BI1023,BI1024,BI1025,BI1026," se concluye que la variable ",AV901,"tiene un valor de ",AW904,".")</f>
        <v>0</v>
      </c>
    </row>
    <row r="48" spans="1:61">
      <c r="A48" t="s">
        <v>68</v>
      </c>
      <c r="B48" t="str">
        <f>SUM('Gestión de abastecimiento'!B49:G49)</f>
        <v>0</v>
      </c>
      <c r="C48" s="10" t="str">
        <f>IF(B48&lt;=$Q$19,"Bajo",IF(B48&lt;=$Q$20,"Medio ",IF(B48&lt;=$Q$21,"Alto",0)))</f>
        <v>0</v>
      </c>
      <c r="D48" t="str">
        <f>SUM('Gestión de abastecimiento'!H49:M49)</f>
        <v>0</v>
      </c>
      <c r="E48" s="10" t="str">
        <f>IF(D48&lt;=$AC$19,"Bajo",IF(D48&lt;=$AC$20,"Medio ",IF(D48&lt;=$AC$21,"Alto",0)))</f>
        <v>0</v>
      </c>
      <c r="F48" t="str">
        <f>SUM('Gestión de abastecimiento'!N49:S49)</f>
        <v>0</v>
      </c>
      <c r="G48" s="10" t="str">
        <f>IF(F48&lt;=$AO$19,"Bajo",IF(F48&lt;=$AO$20,"Medio ",IF(F48&lt;=$AO$21,"Alto",0)))</f>
        <v>0</v>
      </c>
      <c r="H48" t="str">
        <f>SUM(B48:F48)</f>
        <v>0</v>
      </c>
      <c r="I48" s="10" t="str">
        <f>IF(H48&lt;=$BA$19,"Bajo",IF(H48&lt;=$BA$20,"Medio ",IF(H48&lt;=$BA$21,"Alto",0)))</f>
        <v>0</v>
      </c>
    </row>
    <row r="49" spans="1:61">
      <c r="A49" t="s">
        <v>69</v>
      </c>
      <c r="B49" t="str">
        <f>SUM('Gestión de abastecimiento'!B50:G50)</f>
        <v>0</v>
      </c>
      <c r="C49" s="10" t="str">
        <f>IF(B49&lt;=$Q$19,"Bajo",IF(B49&lt;=$Q$20,"Medio ",IF(B49&lt;=$Q$21,"Alto",0)))</f>
        <v>0</v>
      </c>
      <c r="D49" t="str">
        <f>SUM('Gestión de abastecimiento'!H50:M50)</f>
        <v>0</v>
      </c>
      <c r="E49" s="10" t="str">
        <f>IF(D49&lt;=$AC$19,"Bajo",IF(D49&lt;=$AC$20,"Medio ",IF(D49&lt;=$AC$21,"Alto",0)))</f>
        <v>0</v>
      </c>
      <c r="F49" t="str">
        <f>SUM('Gestión de abastecimiento'!N50:S50)</f>
        <v>0</v>
      </c>
      <c r="G49" s="10" t="str">
        <f>IF(F49&lt;=$AO$19,"Bajo",IF(F49&lt;=$AO$20,"Medio ",IF(F49&lt;=$AO$21,"Alto",0)))</f>
        <v>0</v>
      </c>
      <c r="H49" t="str">
        <f>SUM(B49:F49)</f>
        <v>0</v>
      </c>
      <c r="I49" s="10" t="str">
        <f>IF(H49&lt;=$BA$19,"Bajo",IF(H49&lt;=$BA$20,"Medio ",IF(H49&lt;=$BA$21,"Alto",0)))</f>
        <v>0</v>
      </c>
    </row>
    <row r="50" spans="1:61">
      <c r="A50" t="s">
        <v>70</v>
      </c>
      <c r="B50" t="str">
        <f>SUM('Gestión de abastecimiento'!B51:G51)</f>
        <v>0</v>
      </c>
      <c r="C50" s="10" t="str">
        <f>IF(B50&lt;=$Q$19,"Bajo",IF(B50&lt;=$Q$20,"Medio ",IF(B50&lt;=$Q$21,"Alto",0)))</f>
        <v>0</v>
      </c>
      <c r="D50" t="str">
        <f>SUM('Gestión de abastecimiento'!H51:M51)</f>
        <v>0</v>
      </c>
      <c r="E50" s="10" t="str">
        <f>IF(D50&lt;=$AC$19,"Bajo",IF(D50&lt;=$AC$20,"Medio ",IF(D50&lt;=$AC$21,"Alto",0)))</f>
        <v>0</v>
      </c>
      <c r="F50" t="str">
        <f>SUM('Gestión de abastecimiento'!N51:S51)</f>
        <v>0</v>
      </c>
      <c r="G50" s="10" t="str">
        <f>IF(F50&lt;=$AO$19,"Bajo",IF(F50&lt;=$AO$20,"Medio ",IF(F50&lt;=$AO$21,"Alto",0)))</f>
        <v>0</v>
      </c>
      <c r="H50" t="str">
        <f>SUM(B50:F50)</f>
        <v>0</v>
      </c>
      <c r="I50" s="10" t="str">
        <f>IF(H50&lt;=$BA$19,"Bajo",IF(H50&lt;=$BA$20,"Medio ",IF(H50&lt;=$BA$21,"Alto",0)))</f>
        <v>0</v>
      </c>
    </row>
    <row r="51" spans="1:61">
      <c r="A51" t="s">
        <v>71</v>
      </c>
      <c r="B51" t="str">
        <f>SUM('Gestión de abastecimiento'!B52:G52)</f>
        <v>0</v>
      </c>
      <c r="C51" s="10" t="str">
        <f>IF(B51&lt;=$Q$19,"Bajo",IF(B51&lt;=$Q$20,"Medio ",IF(B51&lt;=$Q$21,"Alto",0)))</f>
        <v>0</v>
      </c>
      <c r="D51" t="str">
        <f>SUM('Gestión de abastecimiento'!H52:M52)</f>
        <v>0</v>
      </c>
      <c r="E51" s="10" t="str">
        <f>IF(D51&lt;=$AC$19,"Bajo",IF(D51&lt;=$AC$20,"Medio ",IF(D51&lt;=$AC$21,"Alto",0)))</f>
        <v>0</v>
      </c>
      <c r="F51" t="str">
        <f>SUM('Gestión de abastecimiento'!N52:S52)</f>
        <v>0</v>
      </c>
      <c r="G51" s="10" t="str">
        <f>IF(F51&lt;=$AO$19,"Bajo",IF(F51&lt;=$AO$20,"Medio ",IF(F51&lt;=$AO$21,"Alto",0)))</f>
        <v>0</v>
      </c>
      <c r="H51" t="str">
        <f>SUM(B51:F51)</f>
        <v>0</v>
      </c>
      <c r="I51" s="10" t="str">
        <f>IF(H51&lt;=$BA$19,"Bajo",IF(H51&lt;=$BA$20,"Medio ",IF(H51&lt;=$BA$21,"Alto",0)))</f>
        <v>0</v>
      </c>
    </row>
    <row r="52" spans="1:61">
      <c r="A52" t="s">
        <v>72</v>
      </c>
      <c r="B52" t="str">
        <f>SUM('Gestión de abastecimiento'!B53:G53)</f>
        <v>0</v>
      </c>
      <c r="C52" s="10" t="str">
        <f>IF(B52&lt;=$Q$19,"Bajo",IF(B52&lt;=$Q$20,"Medio ",IF(B52&lt;=$Q$21,"Alto",0)))</f>
        <v>0</v>
      </c>
      <c r="D52" t="str">
        <f>SUM('Gestión de abastecimiento'!H53:M53)</f>
        <v>0</v>
      </c>
      <c r="E52" s="10" t="str">
        <f>IF(D52&lt;=$AC$19,"Bajo",IF(D52&lt;=$AC$20,"Medio ",IF(D52&lt;=$AC$21,"Alto",0)))</f>
        <v>0</v>
      </c>
      <c r="F52" t="str">
        <f>SUM('Gestión de abastecimiento'!N53:S53)</f>
        <v>0</v>
      </c>
      <c r="G52" s="10" t="str">
        <f>IF(F52&lt;=$AO$19,"Bajo",IF(F52&lt;=$AO$20,"Medio ",IF(F52&lt;=$AO$21,"Alto",0)))</f>
        <v>0</v>
      </c>
      <c r="H52" t="str">
        <f>SUM(B52:F52)</f>
        <v>0</v>
      </c>
      <c r="I52" s="10" t="str">
        <f>IF(H52&lt;=$BA$19,"Bajo",IF(H52&lt;=$BA$20,"Medio ",IF(H52&lt;=$BA$21,"Alto",0)))</f>
        <v>0</v>
      </c>
    </row>
    <row r="53" spans="1:61">
      <c r="A53" t="s">
        <v>73</v>
      </c>
      <c r="B53" t="str">
        <f>SUM('Gestión de abastecimiento'!B54:G54)</f>
        <v>0</v>
      </c>
      <c r="C53" s="10" t="str">
        <f>IF(B53&lt;=$Q$19,"Bajo",IF(B53&lt;=$Q$20,"Medio ",IF(B53&lt;=$Q$21,"Alto",0)))</f>
        <v>0</v>
      </c>
      <c r="D53" t="str">
        <f>SUM('Gestión de abastecimiento'!H54:M54)</f>
        <v>0</v>
      </c>
      <c r="E53" s="10" t="str">
        <f>IF(D53&lt;=$AC$19,"Bajo",IF(D53&lt;=$AC$20,"Medio ",IF(D53&lt;=$AC$21,"Alto",0)))</f>
        <v>0</v>
      </c>
      <c r="F53" t="str">
        <f>SUM('Gestión de abastecimiento'!N54:S54)</f>
        <v>0</v>
      </c>
      <c r="G53" s="10" t="str">
        <f>IF(F53&lt;=$AO$19,"Bajo",IF(F53&lt;=$AO$20,"Medio ",IF(F53&lt;=$AO$21,"Alto",0)))</f>
        <v>0</v>
      </c>
      <c r="H53" t="str">
        <f>SUM(B53:F53)</f>
        <v>0</v>
      </c>
      <c r="I53" s="10" t="str">
        <f>IF(H53&lt;=$BA$19,"Bajo",IF(H53&lt;=$BA$20,"Medio ",IF(H53&lt;=$BA$21,"Alto",0)))</f>
        <v>0</v>
      </c>
    </row>
    <row r="54" spans="1:61">
      <c r="A54" t="s">
        <v>74</v>
      </c>
      <c r="B54" t="str">
        <f>SUM('Gestión de abastecimiento'!B55:G55)</f>
        <v>0</v>
      </c>
      <c r="C54" s="10" t="str">
        <f>IF(B54&lt;=$Q$19,"Bajo",IF(B54&lt;=$Q$20,"Medio ",IF(B54&lt;=$Q$21,"Alto",0)))</f>
        <v>0</v>
      </c>
      <c r="D54" t="str">
        <f>SUM('Gestión de abastecimiento'!H55:M55)</f>
        <v>0</v>
      </c>
      <c r="E54" s="10" t="str">
        <f>IF(D54&lt;=$AC$19,"Bajo",IF(D54&lt;=$AC$20,"Medio ",IF(D54&lt;=$AC$21,"Alto",0)))</f>
        <v>0</v>
      </c>
      <c r="F54" t="str">
        <f>SUM('Gestión de abastecimiento'!N55:S55)</f>
        <v>0</v>
      </c>
      <c r="G54" s="10" t="str">
        <f>IF(F54&lt;=$AO$19,"Bajo",IF(F54&lt;=$AO$20,"Medio ",IF(F54&lt;=$AO$21,"Alto",0)))</f>
        <v>0</v>
      </c>
      <c r="H54" t="str">
        <f>SUM(B54:F54)</f>
        <v>0</v>
      </c>
      <c r="I54" s="10" t="str">
        <f>IF(H54&lt;=$BA$19,"Bajo",IF(H54&lt;=$BA$20,"Medio ",IF(H54&lt;=$BA$21,"Alto",0)))</f>
        <v>0</v>
      </c>
    </row>
    <row r="55" spans="1:61">
      <c r="A55" t="s">
        <v>75</v>
      </c>
      <c r="B55" t="str">
        <f>SUM('Gestión de abastecimiento'!B56:G56)</f>
        <v>0</v>
      </c>
      <c r="C55" s="10" t="str">
        <f>IF(B55&lt;=$Q$19,"Bajo",IF(B55&lt;=$Q$20,"Medio ",IF(B55&lt;=$Q$21,"Alto",0)))</f>
        <v>0</v>
      </c>
      <c r="D55" t="str">
        <f>SUM('Gestión de abastecimiento'!H56:M56)</f>
        <v>0</v>
      </c>
      <c r="E55" s="10" t="str">
        <f>IF(D55&lt;=$AC$19,"Bajo",IF(D55&lt;=$AC$20,"Medio ",IF(D55&lt;=$AC$21,"Alto",0)))</f>
        <v>0</v>
      </c>
      <c r="F55" t="str">
        <f>SUM('Gestión de abastecimiento'!N56:S56)</f>
        <v>0</v>
      </c>
      <c r="G55" s="10" t="str">
        <f>IF(F55&lt;=$AO$19,"Bajo",IF(F55&lt;=$AO$20,"Medio ",IF(F55&lt;=$AO$21,"Alto",0)))</f>
        <v>0</v>
      </c>
      <c r="H55" t="str">
        <f>SUM(B55:F55)</f>
        <v>0</v>
      </c>
      <c r="I55" s="10" t="str">
        <f>IF(H55&lt;=$BA$19,"Bajo",IF(H55&lt;=$BA$20,"Medio ",IF(H55&lt;=$BA$21,"Alto",0)))</f>
        <v>0</v>
      </c>
    </row>
    <row r="56" spans="1:61">
      <c r="A56" t="s">
        <v>76</v>
      </c>
      <c r="B56" t="str">
        <f>SUM('Gestión de abastecimiento'!B57:G57)</f>
        <v>0</v>
      </c>
      <c r="C56" s="10" t="str">
        <f>IF(B56&lt;=$Q$19,"Bajo",IF(B56&lt;=$Q$20,"Medio ",IF(B56&lt;=$Q$21,"Alto",0)))</f>
        <v>0</v>
      </c>
      <c r="D56" t="str">
        <f>SUM('Gestión de abastecimiento'!H57:M57)</f>
        <v>0</v>
      </c>
      <c r="E56" s="10" t="str">
        <f>IF(D56&lt;=$AC$19,"Bajo",IF(D56&lt;=$AC$20,"Medio ",IF(D56&lt;=$AC$21,"Alto",0)))</f>
        <v>0</v>
      </c>
      <c r="F56" t="str">
        <f>SUM('Gestión de abastecimiento'!N57:S57)</f>
        <v>0</v>
      </c>
      <c r="G56" s="10" t="str">
        <f>IF(F56&lt;=$AO$19,"Bajo",IF(F56&lt;=$AO$20,"Medio ",IF(F56&lt;=$AO$21,"Alto",0)))</f>
        <v>0</v>
      </c>
      <c r="H56" t="str">
        <f>SUM(B56:F56)</f>
        <v>0</v>
      </c>
      <c r="I56" s="10" t="str">
        <f>IF(H56&lt;=$BA$19,"Bajo",IF(H56&lt;=$BA$20,"Medio ",IF(H56&lt;=$BA$21,"Alto",0)))</f>
        <v>0</v>
      </c>
    </row>
    <row r="57" spans="1:61">
      <c r="A57" t="s">
        <v>77</v>
      </c>
      <c r="B57" t="str">
        <f>SUM('Gestión de abastecimiento'!B58:G58)</f>
        <v>0</v>
      </c>
      <c r="C57" s="10" t="str">
        <f>IF(B57&lt;=$Q$19,"Bajo",IF(B57&lt;=$Q$20,"Medio ",IF(B57&lt;=$Q$21,"Alto",0)))</f>
        <v>0</v>
      </c>
      <c r="D57" t="str">
        <f>SUM('Gestión de abastecimiento'!H58:M58)</f>
        <v>0</v>
      </c>
      <c r="E57" s="10" t="str">
        <f>IF(D57&lt;=$AC$19,"Bajo",IF(D57&lt;=$AC$20,"Medio ",IF(D57&lt;=$AC$21,"Alto",0)))</f>
        <v>0</v>
      </c>
      <c r="F57" t="str">
        <f>SUM('Gestión de abastecimiento'!N58:S58)</f>
        <v>0</v>
      </c>
      <c r="G57" s="10" t="str">
        <f>IF(F57&lt;=$AO$19,"Bajo",IF(F57&lt;=$AO$20,"Medio ",IF(F57&lt;=$AO$21,"Alto",0)))</f>
        <v>0</v>
      </c>
      <c r="H57" t="str">
        <f>SUM(B57:F57)</f>
        <v>0</v>
      </c>
      <c r="I57" s="10" t="str">
        <f>IF(H57&lt;=$BA$19,"Bajo",IF(H57&lt;=$BA$20,"Medio ",IF(H57&lt;=$BA$21,"Alto",0)))</f>
        <v>0</v>
      </c>
    </row>
    <row r="58" spans="1:61">
      <c r="A58" t="s">
        <v>78</v>
      </c>
      <c r="B58" t="str">
        <f>SUM('Gestión de abastecimiento'!B59:G59)</f>
        <v>0</v>
      </c>
      <c r="C58" s="10" t="str">
        <f>IF(B58&lt;=$Q$19,"Bajo",IF(B58&lt;=$Q$20,"Medio ",IF(B58&lt;=$Q$21,"Alto",0)))</f>
        <v>0</v>
      </c>
      <c r="D58" t="str">
        <f>SUM('Gestión de abastecimiento'!H59:M59)</f>
        <v>0</v>
      </c>
      <c r="E58" s="10" t="str">
        <f>IF(D58&lt;=$AC$19,"Bajo",IF(D58&lt;=$AC$20,"Medio ",IF(D58&lt;=$AC$21,"Alto",0)))</f>
        <v>0</v>
      </c>
      <c r="F58" t="str">
        <f>SUM('Gestión de abastecimiento'!N59:S59)</f>
        <v>0</v>
      </c>
      <c r="G58" s="10" t="str">
        <f>IF(F58&lt;=$AO$19,"Bajo",IF(F58&lt;=$AO$20,"Medio ",IF(F58&lt;=$AO$21,"Alto",0)))</f>
        <v>0</v>
      </c>
      <c r="H58" t="str">
        <f>SUM(B58:F58)</f>
        <v>0</v>
      </c>
      <c r="I58" s="10" t="str">
        <f>IF(H58&lt;=$BA$19,"Bajo",IF(H58&lt;=$BA$20,"Medio ",IF(H58&lt;=$BA$21,"Alto",0)))</f>
        <v>0</v>
      </c>
    </row>
    <row r="59" spans="1:61">
      <c r="A59" t="s">
        <v>79</v>
      </c>
      <c r="B59" t="str">
        <f>SUM('Gestión de abastecimiento'!B60:G60)</f>
        <v>0</v>
      </c>
      <c r="C59" s="10" t="str">
        <f>IF(B59&lt;=$Q$19,"Bajo",IF(B59&lt;=$Q$20,"Medio ",IF(B59&lt;=$Q$21,"Alto",0)))</f>
        <v>0</v>
      </c>
      <c r="D59" t="str">
        <f>SUM('Gestión de abastecimiento'!H60:M60)</f>
        <v>0</v>
      </c>
      <c r="E59" s="10" t="str">
        <f>IF(D59&lt;=$AC$19,"Bajo",IF(D59&lt;=$AC$20,"Medio ",IF(D59&lt;=$AC$21,"Alto",0)))</f>
        <v>0</v>
      </c>
      <c r="F59" t="str">
        <f>SUM('Gestión de abastecimiento'!N60:S60)</f>
        <v>0</v>
      </c>
      <c r="G59" s="10" t="str">
        <f>IF(F59&lt;=$AO$19,"Bajo",IF(F59&lt;=$AO$20,"Medio ",IF(F59&lt;=$AO$21,"Alto",0)))</f>
        <v>0</v>
      </c>
      <c r="H59" t="str">
        <f>SUM(B59:F59)</f>
        <v>0</v>
      </c>
      <c r="I59" s="10" t="str">
        <f>IF(H59&lt;=$BA$19,"Bajo",IF(H59&lt;=$BA$20,"Medio ",IF(H59&lt;=$BA$21,"Alto",0)))</f>
        <v>0</v>
      </c>
    </row>
    <row r="60" spans="1:61">
      <c r="A60" t="s">
        <v>80</v>
      </c>
      <c r="B60" t="str">
        <f>SUM('Gestión de abastecimiento'!B61:G61)</f>
        <v>0</v>
      </c>
      <c r="C60" s="10" t="str">
        <f>IF(B60&lt;=$Q$19,"Bajo",IF(B60&lt;=$Q$20,"Medio ",IF(B60&lt;=$Q$21,"Alto",0)))</f>
        <v>0</v>
      </c>
      <c r="D60" t="str">
        <f>SUM('Gestión de abastecimiento'!H61:M61)</f>
        <v>0</v>
      </c>
      <c r="E60" s="10" t="str">
        <f>IF(D60&lt;=$AC$19,"Bajo",IF(D60&lt;=$AC$20,"Medio ",IF(D60&lt;=$AC$21,"Alto",0)))</f>
        <v>0</v>
      </c>
      <c r="F60" t="str">
        <f>SUM('Gestión de abastecimiento'!N61:S61)</f>
        <v>0</v>
      </c>
      <c r="G60" s="10" t="str">
        <f>IF(F60&lt;=$AO$19,"Bajo",IF(F60&lt;=$AO$20,"Medio ",IF(F60&lt;=$AO$21,"Alto",0)))</f>
        <v>0</v>
      </c>
      <c r="H60" t="str">
        <f>SUM(B60:F60)</f>
        <v>0</v>
      </c>
      <c r="I60" s="10" t="str">
        <f>IF(H60&lt;=$BA$19,"Bajo",IF(H60&lt;=$BA$20,"Medio ",IF(H60&lt;=$BA$21,"Alto",0)))</f>
        <v>0</v>
      </c>
    </row>
    <row r="61" spans="1:61">
      <c r="A61" t="s">
        <v>81</v>
      </c>
      <c r="B61" t="str">
        <f>SUM('Gestión de abastecimiento'!B62:G62)</f>
        <v>0</v>
      </c>
      <c r="C61" s="10" t="str">
        <f>IF(B61&lt;=$Q$19,"Bajo",IF(B61&lt;=$Q$20,"Medio ",IF(B61&lt;=$Q$21,"Alto",0)))</f>
        <v>0</v>
      </c>
      <c r="D61" t="str">
        <f>SUM('Gestión de abastecimiento'!H62:M62)</f>
        <v>0</v>
      </c>
      <c r="E61" s="10" t="str">
        <f>IF(D61&lt;=$AC$19,"Bajo",IF(D61&lt;=$AC$20,"Medio ",IF(D61&lt;=$AC$21,"Alto",0)))</f>
        <v>0</v>
      </c>
      <c r="F61" t="str">
        <f>SUM('Gestión de abastecimiento'!N62:S62)</f>
        <v>0</v>
      </c>
      <c r="G61" s="10" t="str">
        <f>IF(F61&lt;=$AO$19,"Bajo",IF(F61&lt;=$AO$20,"Medio ",IF(F61&lt;=$AO$21,"Alto",0)))</f>
        <v>0</v>
      </c>
      <c r="H61" t="str">
        <f>SUM(B61:F61)</f>
        <v>0</v>
      </c>
      <c r="I61" s="10" t="str">
        <f>IF(H61&lt;=$BA$19,"Bajo",IF(H61&lt;=$BA$20,"Medio ",IF(H61&lt;=$BA$21,"Alto",0)))</f>
        <v>0</v>
      </c>
    </row>
    <row r="62" spans="1:61">
      <c r="A62" t="s">
        <v>82</v>
      </c>
      <c r="B62" t="str">
        <f>SUM('Gestión de abastecimiento'!B63:G63)</f>
        <v>0</v>
      </c>
      <c r="C62" s="10" t="str">
        <f>IF(B62&lt;=$Q$19,"Bajo",IF(B62&lt;=$Q$20,"Medio ",IF(B62&lt;=$Q$21,"Alto",0)))</f>
        <v>0</v>
      </c>
      <c r="D62" t="str">
        <f>SUM('Gestión de abastecimiento'!H63:M63)</f>
        <v>0</v>
      </c>
      <c r="E62" s="10" t="str">
        <f>IF(D62&lt;=$AC$19,"Bajo",IF(D62&lt;=$AC$20,"Medio ",IF(D62&lt;=$AC$21,"Alto",0)))</f>
        <v>0</v>
      </c>
      <c r="F62" t="str">
        <f>SUM('Gestión de abastecimiento'!N63:S63)</f>
        <v>0</v>
      </c>
      <c r="G62" s="10" t="str">
        <f>IF(F62&lt;=$AO$19,"Bajo",IF(F62&lt;=$AO$20,"Medio ",IF(F62&lt;=$AO$21,"Alto",0)))</f>
        <v>0</v>
      </c>
      <c r="H62" t="str">
        <f>SUM(B62:F62)</f>
        <v>0</v>
      </c>
      <c r="I62" s="10" t="str">
        <f>IF(H62&lt;=$BA$19,"Bajo",IF(H62&lt;=$BA$20,"Medio ",IF(H62&lt;=$BA$21,"Alto",0)))</f>
        <v>0</v>
      </c>
    </row>
    <row r="63" spans="1:61">
      <c r="A63" t="s">
        <v>83</v>
      </c>
      <c r="B63" t="str">
        <f>SUM('Gestión de abastecimiento'!B64:G64)</f>
        <v>0</v>
      </c>
      <c r="C63" s="10" t="str">
        <f>IF(B63&lt;=$Q$19,"Bajo",IF(B63&lt;=$Q$20,"Medio ",IF(B63&lt;=$Q$21,"Alto",0)))</f>
        <v>0</v>
      </c>
      <c r="D63" t="str">
        <f>SUM('Gestión de abastecimiento'!H64:M64)</f>
        <v>0</v>
      </c>
      <c r="E63" s="10" t="str">
        <f>IF(D63&lt;=$AC$19,"Bajo",IF(D63&lt;=$AC$20,"Medio ",IF(D63&lt;=$AC$21,"Alto",0)))</f>
        <v>0</v>
      </c>
      <c r="F63" t="str">
        <f>SUM('Gestión de abastecimiento'!N64:S64)</f>
        <v>0</v>
      </c>
      <c r="G63" s="10" t="str">
        <f>IF(F63&lt;=$AO$19,"Bajo",IF(F63&lt;=$AO$20,"Medio ",IF(F63&lt;=$AO$21,"Alto",0)))</f>
        <v>0</v>
      </c>
      <c r="H63" t="str">
        <f>SUM(B63:F63)</f>
        <v>0</v>
      </c>
      <c r="I63" s="10" t="str">
        <f>IF(H63&lt;=$BA$19,"Bajo",IF(H63&lt;=$BA$20,"Medio ",IF(H63&lt;=$BA$21,"Alto",0)))</f>
        <v>0</v>
      </c>
    </row>
    <row r="64" spans="1:61">
      <c r="A64" t="s">
        <v>84</v>
      </c>
      <c r="B64" t="str">
        <f>SUM('Gestión de abastecimiento'!B65:G65)</f>
        <v>0</v>
      </c>
      <c r="C64" s="10" t="str">
        <f>IF(B64&lt;=$Q$19,"Bajo",IF(B64&lt;=$Q$20,"Medio ",IF(B64&lt;=$Q$21,"Alto",0)))</f>
        <v>0</v>
      </c>
      <c r="D64" t="str">
        <f>SUM('Gestión de abastecimiento'!H65:M65)</f>
        <v>0</v>
      </c>
      <c r="E64" s="10" t="str">
        <f>IF(D64&lt;=$AC$19,"Bajo",IF(D64&lt;=$AC$20,"Medio ",IF(D64&lt;=$AC$21,"Alto",0)))</f>
        <v>0</v>
      </c>
      <c r="F64" t="str">
        <f>SUM('Gestión de abastecimiento'!N65:S65)</f>
        <v>0</v>
      </c>
      <c r="G64" s="10" t="str">
        <f>IF(F64&lt;=$AO$19,"Bajo",IF(F64&lt;=$AO$20,"Medio ",IF(F64&lt;=$AO$21,"Alto",0)))</f>
        <v>0</v>
      </c>
      <c r="H64" t="str">
        <f>SUM(B64:F64)</f>
        <v>0</v>
      </c>
      <c r="I64" s="10" t="str">
        <f>IF(H64&lt;=$BA$19,"Bajo",IF(H64&lt;=$BA$20,"Medio ",IF(H64&lt;=$BA$21,"Alto",0)))</f>
        <v>0</v>
      </c>
    </row>
    <row r="65" spans="1:61">
      <c r="A65" t="s">
        <v>85</v>
      </c>
      <c r="B65" t="str">
        <f>SUM('Gestión de abastecimiento'!B66:G66)</f>
        <v>0</v>
      </c>
      <c r="C65" s="10" t="str">
        <f>IF(B65&lt;=$Q$19,"Bajo",IF(B65&lt;=$Q$20,"Medio ",IF(B65&lt;=$Q$21,"Alto",0)))</f>
        <v>0</v>
      </c>
      <c r="D65" t="str">
        <f>SUM('Gestión de abastecimiento'!H66:M66)</f>
        <v>0</v>
      </c>
      <c r="E65" s="10" t="str">
        <f>IF(D65&lt;=$AC$19,"Bajo",IF(D65&lt;=$AC$20,"Medio ",IF(D65&lt;=$AC$21,"Alto",0)))</f>
        <v>0</v>
      </c>
      <c r="F65" t="str">
        <f>SUM('Gestión de abastecimiento'!N66:S66)</f>
        <v>0</v>
      </c>
      <c r="G65" s="10" t="str">
        <f>IF(F65&lt;=$AO$19,"Bajo",IF(F65&lt;=$AO$20,"Medio ",IF(F65&lt;=$AO$21,"Alto",0)))</f>
        <v>0</v>
      </c>
      <c r="H65" t="str">
        <f>SUM(B65:F65)</f>
        <v>0</v>
      </c>
      <c r="I65" s="10" t="str">
        <f>IF(H65&lt;=$BA$19,"Bajo",IF(H65&lt;=$BA$20,"Medio ",IF(H65&lt;=$BA$21,"Alto",0)))</f>
        <v>0</v>
      </c>
    </row>
    <row r="66" spans="1:61">
      <c r="A66" t="s">
        <v>86</v>
      </c>
      <c r="B66" t="str">
        <f>SUM('Gestión de abastecimiento'!B67:G67)</f>
        <v>0</v>
      </c>
      <c r="C66" s="10" t="str">
        <f>IF(B66&lt;=$Q$19,"Bajo",IF(B66&lt;=$Q$20,"Medio ",IF(B66&lt;=$Q$21,"Alto",0)))</f>
        <v>0</v>
      </c>
      <c r="D66" t="str">
        <f>SUM('Gestión de abastecimiento'!H67:M67)</f>
        <v>0</v>
      </c>
      <c r="E66" s="10" t="str">
        <f>IF(D66&lt;=$AC$19,"Bajo",IF(D66&lt;=$AC$20,"Medio ",IF(D66&lt;=$AC$21,"Alto",0)))</f>
        <v>0</v>
      </c>
      <c r="F66" t="str">
        <f>SUM('Gestión de abastecimiento'!N67:S67)</f>
        <v>0</v>
      </c>
      <c r="G66" s="10" t="str">
        <f>IF(F66&lt;=$AO$19,"Bajo",IF(F66&lt;=$AO$20,"Medio ",IF(F66&lt;=$AO$21,"Alto",0)))</f>
        <v>0</v>
      </c>
      <c r="H66" t="str">
        <f>SUM(B66:F66)</f>
        <v>0</v>
      </c>
      <c r="I66" s="10" t="str">
        <f>IF(H66&lt;=$BA$19,"Bajo",IF(H66&lt;=$BA$20,"Medio ",IF(H66&lt;=$BA$21,"Alto",0)))</f>
        <v>0</v>
      </c>
    </row>
    <row r="67" spans="1:61">
      <c r="A67" t="s">
        <v>87</v>
      </c>
      <c r="B67" t="str">
        <f>SUM('Gestión de abastecimiento'!B68:G68)</f>
        <v>0</v>
      </c>
      <c r="C67" s="10" t="str">
        <f>IF(B67&lt;=$Q$19,"Bajo",IF(B67&lt;=$Q$20,"Medio ",IF(B67&lt;=$Q$21,"Alto",0)))</f>
        <v>0</v>
      </c>
      <c r="D67" t="str">
        <f>SUM('Gestión de abastecimiento'!H68:M68)</f>
        <v>0</v>
      </c>
      <c r="E67" s="10" t="str">
        <f>IF(D67&lt;=$AC$19,"Bajo",IF(D67&lt;=$AC$20,"Medio ",IF(D67&lt;=$AC$21,"Alto",0)))</f>
        <v>0</v>
      </c>
      <c r="F67" t="str">
        <f>SUM('Gestión de abastecimiento'!N68:S68)</f>
        <v>0</v>
      </c>
      <c r="G67" s="10" t="str">
        <f>IF(F67&lt;=$AO$19,"Bajo",IF(F67&lt;=$AO$20,"Medio ",IF(F67&lt;=$AO$21,"Alto",0)))</f>
        <v>0</v>
      </c>
      <c r="H67" t="str">
        <f>SUM(B67:F67)</f>
        <v>0</v>
      </c>
      <c r="I67" s="10" t="str">
        <f>IF(H67&lt;=$BA$19,"Bajo",IF(H67&lt;=$BA$20,"Medio ",IF(H67&lt;=$BA$21,"Alto",0)))</f>
        <v>0</v>
      </c>
    </row>
    <row r="68" spans="1:61">
      <c r="A68" t="s">
        <v>88</v>
      </c>
      <c r="B68" t="str">
        <f>SUM('Gestión de abastecimiento'!B69:G69)</f>
        <v>0</v>
      </c>
      <c r="C68" s="10" t="str">
        <f>IF(B68&lt;=$Q$19,"Bajo",IF(B68&lt;=$Q$20,"Medio ",IF(B68&lt;=$Q$21,"Alto",0)))</f>
        <v>0</v>
      </c>
      <c r="D68" t="str">
        <f>SUM('Gestión de abastecimiento'!H69:M69)</f>
        <v>0</v>
      </c>
      <c r="E68" s="10" t="str">
        <f>IF(D68&lt;=$AC$19,"Bajo",IF(D68&lt;=$AC$20,"Medio ",IF(D68&lt;=$AC$21,"Alto",0)))</f>
        <v>0</v>
      </c>
      <c r="F68" t="str">
        <f>SUM('Gestión de abastecimiento'!N69:S69)</f>
        <v>0</v>
      </c>
      <c r="G68" s="10" t="str">
        <f>IF(F68&lt;=$AO$19,"Bajo",IF(F68&lt;=$AO$20,"Medio ",IF(F68&lt;=$AO$21,"Alto",0)))</f>
        <v>0</v>
      </c>
      <c r="H68" t="str">
        <f>SUM(B68:F68)</f>
        <v>0</v>
      </c>
      <c r="I68" s="10" t="str">
        <f>IF(H68&lt;=$BA$19,"Bajo",IF(H68&lt;=$BA$20,"Medio ",IF(H68&lt;=$BA$21,"Alto",0)))</f>
        <v>0</v>
      </c>
    </row>
    <row r="69" spans="1:61">
      <c r="A69" t="s">
        <v>89</v>
      </c>
      <c r="B69" t="str">
        <f>SUM('Gestión de abastecimiento'!B70:G70)</f>
        <v>0</v>
      </c>
      <c r="C69" s="10" t="str">
        <f>IF(B69&lt;=$Q$19,"Bajo",IF(B69&lt;=$Q$20,"Medio ",IF(B69&lt;=$Q$21,"Alto",0)))</f>
        <v>0</v>
      </c>
      <c r="D69" t="str">
        <f>SUM('Gestión de abastecimiento'!H70:M70)</f>
        <v>0</v>
      </c>
      <c r="E69" s="10" t="str">
        <f>IF(D69&lt;=$AC$19,"Bajo",IF(D69&lt;=$AC$20,"Medio ",IF(D69&lt;=$AC$21,"Alto",0)))</f>
        <v>0</v>
      </c>
      <c r="F69" t="str">
        <f>SUM('Gestión de abastecimiento'!N70:S70)</f>
        <v>0</v>
      </c>
      <c r="G69" s="10" t="str">
        <f>IF(F69&lt;=$AO$19,"Bajo",IF(F69&lt;=$AO$20,"Medio ",IF(F69&lt;=$AO$21,"Alto",0)))</f>
        <v>0</v>
      </c>
      <c r="H69" t="str">
        <f>SUM(B69:F69)</f>
        <v>0</v>
      </c>
      <c r="I69" s="10" t="str">
        <f>IF(H69&lt;=$BA$19,"Bajo",IF(H69&lt;=$BA$20,"Medio ",IF(H69&lt;=$BA$21,"Alto",0)))</f>
        <v>0</v>
      </c>
    </row>
    <row r="70" spans="1:61">
      <c r="A70" t="s">
        <v>90</v>
      </c>
      <c r="B70" t="str">
        <f>SUM('Gestión de abastecimiento'!B71:G71)</f>
        <v>0</v>
      </c>
      <c r="C70" s="10" t="str">
        <f>IF(B70&lt;=$Q$19,"Bajo",IF(B70&lt;=$Q$20,"Medio ",IF(B70&lt;=$Q$21,"Alto",0)))</f>
        <v>0</v>
      </c>
      <c r="D70" t="str">
        <f>SUM('Gestión de abastecimiento'!H71:M71)</f>
        <v>0</v>
      </c>
      <c r="E70" s="10" t="str">
        <f>IF(D70&lt;=$AC$19,"Bajo",IF(D70&lt;=$AC$20,"Medio ",IF(D70&lt;=$AC$21,"Alto",0)))</f>
        <v>0</v>
      </c>
      <c r="F70" t="str">
        <f>SUM('Gestión de abastecimiento'!N71:S71)</f>
        <v>0</v>
      </c>
      <c r="G70" s="10" t="str">
        <f>IF(F70&lt;=$AO$19,"Bajo",IF(F70&lt;=$AO$20,"Medio ",IF(F70&lt;=$AO$21,"Alto",0)))</f>
        <v>0</v>
      </c>
      <c r="H70" t="str">
        <f>SUM(B70:F70)</f>
        <v>0</v>
      </c>
      <c r="I70" s="10" t="str">
        <f>IF(H70&lt;=$BA$19,"Bajo",IF(H70&lt;=$BA$20,"Medio ",IF(H70&lt;=$BA$21,"Alto",0)))</f>
        <v>0</v>
      </c>
    </row>
    <row r="71" spans="1:61">
      <c r="A71" t="s">
        <v>91</v>
      </c>
      <c r="B71" t="str">
        <f>SUM('Gestión de abastecimiento'!B72:G72)</f>
        <v>0</v>
      </c>
      <c r="C71" s="10" t="str">
        <f>IF(B71&lt;=$Q$19,"Bajo",IF(B71&lt;=$Q$20,"Medio ",IF(B71&lt;=$Q$21,"Alto",0)))</f>
        <v>0</v>
      </c>
      <c r="D71" t="str">
        <f>SUM('Gestión de abastecimiento'!H72:M72)</f>
        <v>0</v>
      </c>
      <c r="E71" s="10" t="str">
        <f>IF(D71&lt;=$AC$19,"Bajo",IF(D71&lt;=$AC$20,"Medio ",IF(D71&lt;=$AC$21,"Alto",0)))</f>
        <v>0</v>
      </c>
      <c r="F71" t="str">
        <f>SUM('Gestión de abastecimiento'!N72:S72)</f>
        <v>0</v>
      </c>
      <c r="G71" s="10" t="str">
        <f>IF(F71&lt;=$AO$19,"Bajo",IF(F71&lt;=$AO$20,"Medio ",IF(F71&lt;=$AO$21,"Alto",0)))</f>
        <v>0</v>
      </c>
      <c r="H71" t="str">
        <f>SUM(B71:F71)</f>
        <v>0</v>
      </c>
      <c r="I71" s="10" t="str">
        <f>IF(H71&lt;=$BA$19,"Bajo",IF(H71&lt;=$BA$20,"Medio ",IF(H71&lt;=$BA$21,"Alto",0)))</f>
        <v>0</v>
      </c>
    </row>
    <row r="72" spans="1:61">
      <c r="A72" t="s">
        <v>92</v>
      </c>
      <c r="B72" t="str">
        <f>SUM('Gestión de abastecimiento'!B73:G73)</f>
        <v>0</v>
      </c>
      <c r="C72" s="10" t="str">
        <f>IF(B72&lt;=$Q$19,"Bajo",IF(B72&lt;=$Q$20,"Medio ",IF(B72&lt;=$Q$21,"Alto",0)))</f>
        <v>0</v>
      </c>
      <c r="D72" t="str">
        <f>SUM('Gestión de abastecimiento'!H73:M73)</f>
        <v>0</v>
      </c>
      <c r="E72" s="10" t="str">
        <f>IF(D72&lt;=$AC$19,"Bajo",IF(D72&lt;=$AC$20,"Medio ",IF(D72&lt;=$AC$21,"Alto",0)))</f>
        <v>0</v>
      </c>
      <c r="F72" t="str">
        <f>SUM('Gestión de abastecimiento'!N73:S73)</f>
        <v>0</v>
      </c>
      <c r="G72" s="10" t="str">
        <f>IF(F72&lt;=$AO$19,"Bajo",IF(F72&lt;=$AO$20,"Medio ",IF(F72&lt;=$AO$21,"Alto",0)))</f>
        <v>0</v>
      </c>
      <c r="H72" t="str">
        <f>SUM(B72:F72)</f>
        <v>0</v>
      </c>
      <c r="I72" s="10" t="str">
        <f>IF(H72&lt;=$BA$19,"Bajo",IF(H72&lt;=$BA$20,"Medio ",IF(H72&lt;=$BA$21,"Alto",0)))</f>
        <v>0</v>
      </c>
    </row>
    <row r="73" spans="1:61">
      <c r="A73" t="s">
        <v>93</v>
      </c>
      <c r="B73" t="str">
        <f>SUM('Gestión de abastecimiento'!B74:G74)</f>
        <v>0</v>
      </c>
      <c r="C73" s="10" t="str">
        <f>IF(B73&lt;=$Q$19,"Bajo",IF(B73&lt;=$Q$20,"Medio ",IF(B73&lt;=$Q$21,"Alto",0)))</f>
        <v>0</v>
      </c>
      <c r="D73" t="str">
        <f>SUM('Gestión de abastecimiento'!H74:M74)</f>
        <v>0</v>
      </c>
      <c r="E73" s="10" t="str">
        <f>IF(D73&lt;=$AC$19,"Bajo",IF(D73&lt;=$AC$20,"Medio ",IF(D73&lt;=$AC$21,"Alto",0)))</f>
        <v>0</v>
      </c>
      <c r="F73" t="str">
        <f>SUM('Gestión de abastecimiento'!N74:S74)</f>
        <v>0</v>
      </c>
      <c r="G73" s="10" t="str">
        <f>IF(F73&lt;=$AO$19,"Bajo",IF(F73&lt;=$AO$20,"Medio ",IF(F73&lt;=$AO$21,"Alto",0)))</f>
        <v>0</v>
      </c>
      <c r="H73" t="str">
        <f>SUM(B73:F73)</f>
        <v>0</v>
      </c>
      <c r="I73" s="10" t="str">
        <f>IF(H73&lt;=$BA$19,"Bajo",IF(H73&lt;=$BA$20,"Medio ",IF(H73&lt;=$BA$21,"Alto",0)))</f>
        <v>0</v>
      </c>
    </row>
    <row r="74" spans="1:61">
      <c r="A74" t="s">
        <v>94</v>
      </c>
      <c r="B74" t="str">
        <f>SUM('Gestión de abastecimiento'!B75:G75)</f>
        <v>0</v>
      </c>
      <c r="C74" s="10" t="str">
        <f>IF(B74&lt;=$Q$19,"Bajo",IF(B74&lt;=$Q$20,"Medio ",IF(B74&lt;=$Q$21,"Alto",0)))</f>
        <v>0</v>
      </c>
      <c r="D74" t="str">
        <f>SUM('Gestión de abastecimiento'!H75:M75)</f>
        <v>0</v>
      </c>
      <c r="E74" s="10" t="str">
        <f>IF(D74&lt;=$AC$19,"Bajo",IF(D74&lt;=$AC$20,"Medio ",IF(D74&lt;=$AC$21,"Alto",0)))</f>
        <v>0</v>
      </c>
      <c r="F74" t="str">
        <f>SUM('Gestión de abastecimiento'!N75:S75)</f>
        <v>0</v>
      </c>
      <c r="G74" s="10" t="str">
        <f>IF(F74&lt;=$AO$19,"Bajo",IF(F74&lt;=$AO$20,"Medio ",IF(F74&lt;=$AO$21,"Alto",0)))</f>
        <v>0</v>
      </c>
      <c r="H74" t="str">
        <f>SUM(B74:F74)</f>
        <v>0</v>
      </c>
      <c r="I74" s="10" t="str">
        <f>IF(H74&lt;=$BA$19,"Bajo",IF(H74&lt;=$BA$20,"Medio ",IF(H74&lt;=$BA$21,"Alto",0)))</f>
        <v>0</v>
      </c>
    </row>
    <row r="75" spans="1:61">
      <c r="A75" t="s">
        <v>95</v>
      </c>
      <c r="B75" t="str">
        <f>SUM('Gestión de abastecimiento'!B76:G76)</f>
        <v>0</v>
      </c>
      <c r="C75" s="10" t="str">
        <f>IF(B75&lt;=$Q$19,"Bajo",IF(B75&lt;=$Q$20,"Medio ",IF(B75&lt;=$Q$21,"Alto",0)))</f>
        <v>0</v>
      </c>
      <c r="D75" t="str">
        <f>SUM('Gestión de abastecimiento'!H76:M76)</f>
        <v>0</v>
      </c>
      <c r="E75" s="10" t="str">
        <f>IF(D75&lt;=$AC$19,"Bajo",IF(D75&lt;=$AC$20,"Medio ",IF(D75&lt;=$AC$21,"Alto",0)))</f>
        <v>0</v>
      </c>
      <c r="F75" t="str">
        <f>SUM('Gestión de abastecimiento'!N76:S76)</f>
        <v>0</v>
      </c>
      <c r="G75" s="10" t="str">
        <f>IF(F75&lt;=$AO$19,"Bajo",IF(F75&lt;=$AO$20,"Medio ",IF(F75&lt;=$AO$21,"Alto",0)))</f>
        <v>0</v>
      </c>
      <c r="H75" t="str">
        <f>SUM(B75:F75)</f>
        <v>0</v>
      </c>
      <c r="I75" s="10" t="str">
        <f>IF(H75&lt;=$BA$19,"Bajo",IF(H75&lt;=$BA$20,"Medio ",IF(H75&lt;=$BA$21,"Alto",0)))</f>
        <v>0</v>
      </c>
    </row>
    <row r="76" spans="1:61">
      <c r="A76" t="s">
        <v>96</v>
      </c>
      <c r="B76" t="str">
        <f>SUM('Gestión de abastecimiento'!B77:G77)</f>
        <v>0</v>
      </c>
      <c r="C76" s="10" t="str">
        <f>IF(B76&lt;=$Q$19,"Bajo",IF(B76&lt;=$Q$20,"Medio ",IF(B76&lt;=$Q$21,"Alto",0)))</f>
        <v>0</v>
      </c>
      <c r="D76" t="str">
        <f>SUM('Gestión de abastecimiento'!H77:M77)</f>
        <v>0</v>
      </c>
      <c r="E76" s="10" t="str">
        <f>IF(D76&lt;=$AC$19,"Bajo",IF(D76&lt;=$AC$20,"Medio ",IF(D76&lt;=$AC$21,"Alto",0)))</f>
        <v>0</v>
      </c>
      <c r="F76" t="str">
        <f>SUM('Gestión de abastecimiento'!N77:S77)</f>
        <v>0</v>
      </c>
      <c r="G76" s="10" t="str">
        <f>IF(F76&lt;=$AO$19,"Bajo",IF(F76&lt;=$AO$20,"Medio ",IF(F76&lt;=$AO$21,"Alto",0)))</f>
        <v>0</v>
      </c>
      <c r="H76" t="str">
        <f>SUM(B76:F76)</f>
        <v>0</v>
      </c>
      <c r="I76" s="10" t="str">
        <f>IF(H76&lt;=$BA$19,"Bajo",IF(H76&lt;=$BA$20,"Medio ",IF(H76&lt;=$BA$21,"Alto",0)))</f>
        <v>0</v>
      </c>
    </row>
    <row r="77" spans="1:61">
      <c r="A77" t="s">
        <v>97</v>
      </c>
      <c r="B77" t="str">
        <f>SUM('Gestión de abastecimiento'!B78:G78)</f>
        <v>0</v>
      </c>
      <c r="C77" s="10" t="str">
        <f>IF(B77&lt;=$Q$19,"Bajo",IF(B77&lt;=$Q$20,"Medio ",IF(B77&lt;=$Q$21,"Alto",0)))</f>
        <v>0</v>
      </c>
      <c r="D77" t="str">
        <f>SUM('Gestión de abastecimiento'!H78:M78)</f>
        <v>0</v>
      </c>
      <c r="E77" s="10" t="str">
        <f>IF(D77&lt;=$AC$19,"Bajo",IF(D77&lt;=$AC$20,"Medio ",IF(D77&lt;=$AC$21,"Alto",0)))</f>
        <v>0</v>
      </c>
      <c r="F77" t="str">
        <f>SUM('Gestión de abastecimiento'!N78:S78)</f>
        <v>0</v>
      </c>
      <c r="G77" s="10" t="str">
        <f>IF(F77&lt;=$AO$19,"Bajo",IF(F77&lt;=$AO$20,"Medio ",IF(F77&lt;=$AO$21,"Alto",0)))</f>
        <v>0</v>
      </c>
      <c r="H77" t="str">
        <f>SUM(B77:F77)</f>
        <v>0</v>
      </c>
      <c r="I77" s="10" t="str">
        <f>IF(H77&lt;=$BA$19,"Bajo",IF(H77&lt;=$BA$20,"Medio ",IF(H77&lt;=$BA$21,"Alto",0)))</f>
        <v>0</v>
      </c>
    </row>
    <row r="78" spans="1:61">
      <c r="A78" t="s">
        <v>98</v>
      </c>
      <c r="B78" t="str">
        <f>SUM('Gestión de abastecimiento'!B79:G79)</f>
        <v>0</v>
      </c>
      <c r="C78" s="10" t="str">
        <f>IF(B78&lt;=$Q$19,"Bajo",IF(B78&lt;=$Q$20,"Medio ",IF(B78&lt;=$Q$21,"Alto",0)))</f>
        <v>0</v>
      </c>
      <c r="D78" t="str">
        <f>SUM('Gestión de abastecimiento'!H79:M79)</f>
        <v>0</v>
      </c>
      <c r="E78" s="10" t="str">
        <f>IF(D78&lt;=$AC$19,"Bajo",IF(D78&lt;=$AC$20,"Medio ",IF(D78&lt;=$AC$21,"Alto",0)))</f>
        <v>0</v>
      </c>
      <c r="F78" t="str">
        <f>SUM('Gestión de abastecimiento'!N79:S79)</f>
        <v>0</v>
      </c>
      <c r="G78" s="10" t="str">
        <f>IF(F78&lt;=$AO$19,"Bajo",IF(F78&lt;=$AO$20,"Medio ",IF(F78&lt;=$AO$21,"Alto",0)))</f>
        <v>0</v>
      </c>
      <c r="H78" t="str">
        <f>SUM(B78:F78)</f>
        <v>0</v>
      </c>
      <c r="I78" s="10" t="str">
        <f>IF(H78&lt;=$BA$19,"Bajo",IF(H78&lt;=$BA$20,"Medio ",IF(H78&lt;=$BA$21,"Alto",0)))</f>
        <v>0</v>
      </c>
    </row>
    <row r="79" spans="1:61">
      <c r="A79" t="s">
        <v>99</v>
      </c>
      <c r="B79" t="str">
        <f>SUM('Gestión de abastecimiento'!B80:G80)</f>
        <v>0</v>
      </c>
      <c r="C79" s="10" t="str">
        <f>IF(B79&lt;=$Q$19,"Bajo",IF(B79&lt;=$Q$20,"Medio ",IF(B79&lt;=$Q$21,"Alto",0)))</f>
        <v>0</v>
      </c>
      <c r="D79" t="str">
        <f>SUM('Gestión de abastecimiento'!H80:M80)</f>
        <v>0</v>
      </c>
      <c r="E79" s="10" t="str">
        <f>IF(D79&lt;=$AC$19,"Bajo",IF(D79&lt;=$AC$20,"Medio ",IF(D79&lt;=$AC$21,"Alto",0)))</f>
        <v>0</v>
      </c>
      <c r="F79" t="str">
        <f>SUM('Gestión de abastecimiento'!N80:S80)</f>
        <v>0</v>
      </c>
      <c r="G79" s="10" t="str">
        <f>IF(F79&lt;=$AO$19,"Bajo",IF(F79&lt;=$AO$20,"Medio ",IF(F79&lt;=$AO$21,"Alto",0)))</f>
        <v>0</v>
      </c>
      <c r="H79" t="str">
        <f>SUM(B79:F79)</f>
        <v>0</v>
      </c>
      <c r="I79" s="10" t="str">
        <f>IF(H79&lt;=$BA$19,"Bajo",IF(H79&lt;=$BA$20,"Medio ",IF(H79&lt;=$BA$21,"Alto",0)))</f>
        <v>0</v>
      </c>
    </row>
    <row r="80" spans="1:61">
      <c r="A80" t="s">
        <v>100</v>
      </c>
      <c r="B80" t="str">
        <f>SUM('Gestión de abastecimiento'!B81:G81)</f>
        <v>0</v>
      </c>
      <c r="C80" s="10" t="str">
        <f>IF(B80&lt;=$Q$19,"Bajo",IF(B80&lt;=$Q$20,"Medio ",IF(B80&lt;=$Q$21,"Alto",0)))</f>
        <v>0</v>
      </c>
      <c r="D80" t="str">
        <f>SUM('Gestión de abastecimiento'!H81:M81)</f>
        <v>0</v>
      </c>
      <c r="E80" s="10" t="str">
        <f>IF(D80&lt;=$AC$19,"Bajo",IF(D80&lt;=$AC$20,"Medio ",IF(D80&lt;=$AC$21,"Alto",0)))</f>
        <v>0</v>
      </c>
      <c r="F80" t="str">
        <f>SUM('Gestión de abastecimiento'!N81:S81)</f>
        <v>0</v>
      </c>
      <c r="G80" s="10" t="str">
        <f>IF(F80&lt;=$AO$19,"Bajo",IF(F80&lt;=$AO$20,"Medio ",IF(F80&lt;=$AO$21,"Alto",0)))</f>
        <v>0</v>
      </c>
      <c r="H80" t="str">
        <f>SUM(B80:F80)</f>
        <v>0</v>
      </c>
      <c r="I80" s="10" t="str">
        <f>IF(H80&lt;=$BA$19,"Bajo",IF(H80&lt;=$BA$20,"Medio ",IF(H80&lt;=$BA$21,"Alto",0)))</f>
        <v>0</v>
      </c>
    </row>
    <row r="81" spans="1:61">
      <c r="A81" t="s">
        <v>101</v>
      </c>
      <c r="B81" t="str">
        <f>SUM('Gestión de abastecimiento'!B82:G82)</f>
        <v>0</v>
      </c>
      <c r="C81" s="10" t="str">
        <f>IF(B81&lt;=$Q$19,"Bajo",IF(B81&lt;=$Q$20,"Medio ",IF(B81&lt;=$Q$21,"Alto",0)))</f>
        <v>0</v>
      </c>
      <c r="D81" t="str">
        <f>SUM('Gestión de abastecimiento'!H82:M82)</f>
        <v>0</v>
      </c>
      <c r="E81" s="10" t="str">
        <f>IF(D81&lt;=$AC$19,"Bajo",IF(D81&lt;=$AC$20,"Medio ",IF(D81&lt;=$AC$21,"Alto",0)))</f>
        <v>0</v>
      </c>
      <c r="F81" t="str">
        <f>SUM('Gestión de abastecimiento'!N82:S82)</f>
        <v>0</v>
      </c>
      <c r="G81" s="10" t="str">
        <f>IF(F81&lt;=$AO$19,"Bajo",IF(F81&lt;=$AO$20,"Medio ",IF(F81&lt;=$AO$21,"Alto",0)))</f>
        <v>0</v>
      </c>
      <c r="H81" t="str">
        <f>SUM(B81:F81)</f>
        <v>0</v>
      </c>
      <c r="I81" s="10" t="str">
        <f>IF(H81&lt;=$BA$19,"Bajo",IF(H81&lt;=$BA$20,"Medio ",IF(H81&lt;=$BA$21,"Alto",0)))</f>
        <v>0</v>
      </c>
    </row>
    <row r="82" spans="1:61">
      <c r="A82" t="s">
        <v>102</v>
      </c>
      <c r="B82" t="str">
        <f>SUM('Gestión de abastecimiento'!B83:G83)</f>
        <v>0</v>
      </c>
      <c r="C82" s="10" t="str">
        <f>IF(B82&lt;=$Q$19,"Bajo",IF(B82&lt;=$Q$20,"Medio ",IF(B82&lt;=$Q$21,"Alto",0)))</f>
        <v>0</v>
      </c>
      <c r="D82" t="str">
        <f>SUM('Gestión de abastecimiento'!H83:M83)</f>
        <v>0</v>
      </c>
      <c r="E82" s="10" t="str">
        <f>IF(D82&lt;=$AC$19,"Bajo",IF(D82&lt;=$AC$20,"Medio ",IF(D82&lt;=$AC$21,"Alto",0)))</f>
        <v>0</v>
      </c>
      <c r="F82" t="str">
        <f>SUM('Gestión de abastecimiento'!N83:S83)</f>
        <v>0</v>
      </c>
      <c r="G82" s="10" t="str">
        <f>IF(F82&lt;=$AO$19,"Bajo",IF(F82&lt;=$AO$20,"Medio ",IF(F82&lt;=$AO$21,"Alto",0)))</f>
        <v>0</v>
      </c>
      <c r="H82" t="str">
        <f>SUM(B82:F82)</f>
        <v>0</v>
      </c>
      <c r="I82" s="10" t="str">
        <f>IF(H82&lt;=$BA$19,"Bajo",IF(H82&lt;=$BA$20,"Medio ",IF(H82&lt;=$BA$21,"Alto",0)))</f>
        <v>0</v>
      </c>
    </row>
    <row r="83" spans="1:61">
      <c r="A83" t="s">
        <v>103</v>
      </c>
      <c r="B83" t="str">
        <f>SUM('Gestión de abastecimiento'!B84:G84)</f>
        <v>0</v>
      </c>
      <c r="C83" s="10" t="str">
        <f>IF(B83&lt;=$Q$19,"Bajo",IF(B83&lt;=$Q$20,"Medio ",IF(B83&lt;=$Q$21,"Alto",0)))</f>
        <v>0</v>
      </c>
      <c r="D83" t="str">
        <f>SUM('Gestión de abastecimiento'!H84:M84)</f>
        <v>0</v>
      </c>
      <c r="E83" s="10" t="str">
        <f>IF(D83&lt;=$AC$19,"Bajo",IF(D83&lt;=$AC$20,"Medio ",IF(D83&lt;=$AC$21,"Alto",0)))</f>
        <v>0</v>
      </c>
      <c r="F83" t="str">
        <f>SUM('Gestión de abastecimiento'!N84:S84)</f>
        <v>0</v>
      </c>
      <c r="G83" s="10" t="str">
        <f>IF(F83&lt;=$AO$19,"Bajo",IF(F83&lt;=$AO$20,"Medio ",IF(F83&lt;=$AO$21,"Alto",0)))</f>
        <v>0</v>
      </c>
      <c r="H83" t="str">
        <f>SUM(B83:F83)</f>
        <v>0</v>
      </c>
      <c r="I83" s="10" t="str">
        <f>IF(H83&lt;=$BA$19,"Bajo",IF(H83&lt;=$BA$20,"Medio ",IF(H83&lt;=$BA$21,"Alto",0)))</f>
        <v>0</v>
      </c>
    </row>
    <row r="84" spans="1:61">
      <c r="A84" t="s">
        <v>104</v>
      </c>
      <c r="B84" t="str">
        <f>SUM('Gestión de abastecimiento'!B85:G85)</f>
        <v>0</v>
      </c>
      <c r="C84" s="10" t="str">
        <f>IF(B84&lt;=$Q$19,"Bajo",IF(B84&lt;=$Q$20,"Medio ",IF(B84&lt;=$Q$21,"Alto",0)))</f>
        <v>0</v>
      </c>
      <c r="D84" t="str">
        <f>SUM('Gestión de abastecimiento'!H85:M85)</f>
        <v>0</v>
      </c>
      <c r="E84" s="10" t="str">
        <f>IF(D84&lt;=$AC$19,"Bajo",IF(D84&lt;=$AC$20,"Medio ",IF(D84&lt;=$AC$21,"Alto",0)))</f>
        <v>0</v>
      </c>
      <c r="F84" t="str">
        <f>SUM('Gestión de abastecimiento'!N85:S85)</f>
        <v>0</v>
      </c>
      <c r="G84" s="10" t="str">
        <f>IF(F84&lt;=$AO$19,"Bajo",IF(F84&lt;=$AO$20,"Medio ",IF(F84&lt;=$AO$21,"Alto",0)))</f>
        <v>0</v>
      </c>
      <c r="H84" t="str">
        <f>SUM(B84:F84)</f>
        <v>0</v>
      </c>
      <c r="I84" s="10" t="str">
        <f>IF(H84&lt;=$BA$19,"Bajo",IF(H84&lt;=$BA$20,"Medio ",IF(H84&lt;=$BA$21,"Alto",0)))</f>
        <v>0</v>
      </c>
    </row>
    <row r="85" spans="1:61">
      <c r="A85" t="s">
        <v>105</v>
      </c>
      <c r="B85" t="str">
        <f>SUM('Gestión de abastecimiento'!B86:G86)</f>
        <v>0</v>
      </c>
      <c r="C85" s="10" t="str">
        <f>IF(B85&lt;=$Q$19,"Bajo",IF(B85&lt;=$Q$20,"Medio ",IF(B85&lt;=$Q$21,"Alto",0)))</f>
        <v>0</v>
      </c>
      <c r="D85" t="str">
        <f>SUM('Gestión de abastecimiento'!H86:M86)</f>
        <v>0</v>
      </c>
      <c r="E85" s="10" t="str">
        <f>IF(D85&lt;=$AC$19,"Bajo",IF(D85&lt;=$AC$20,"Medio ",IF(D85&lt;=$AC$21,"Alto",0)))</f>
        <v>0</v>
      </c>
      <c r="F85" t="str">
        <f>SUM('Gestión de abastecimiento'!N86:S86)</f>
        <v>0</v>
      </c>
      <c r="G85" s="10" t="str">
        <f>IF(F85&lt;=$AO$19,"Bajo",IF(F85&lt;=$AO$20,"Medio ",IF(F85&lt;=$AO$21,"Alto",0)))</f>
        <v>0</v>
      </c>
      <c r="H85" t="str">
        <f>SUM(B85:F85)</f>
        <v>0</v>
      </c>
      <c r="I85" s="10" t="str">
        <f>IF(H85&lt;=$BA$19,"Bajo",IF(H85&lt;=$BA$20,"Medio ",IF(H85&lt;=$BA$21,"Alto",0)))</f>
        <v>0</v>
      </c>
    </row>
    <row r="86" spans="1:61">
      <c r="A86" t="s">
        <v>106</v>
      </c>
      <c r="B86" t="str">
        <f>SUM('Gestión de abastecimiento'!B87:G87)</f>
        <v>0</v>
      </c>
      <c r="C86" s="10" t="str">
        <f>IF(B86&lt;=$Q$19,"Bajo",IF(B86&lt;=$Q$20,"Medio ",IF(B86&lt;=$Q$21,"Alto",0)))</f>
        <v>0</v>
      </c>
      <c r="D86" t="str">
        <f>SUM('Gestión de abastecimiento'!H87:M87)</f>
        <v>0</v>
      </c>
      <c r="E86" s="10" t="str">
        <f>IF(D86&lt;=$AC$19,"Bajo",IF(D86&lt;=$AC$20,"Medio ",IF(D86&lt;=$AC$21,"Alto",0)))</f>
        <v>0</v>
      </c>
      <c r="F86" t="str">
        <f>SUM('Gestión de abastecimiento'!N87:S87)</f>
        <v>0</v>
      </c>
      <c r="G86" s="10" t="str">
        <f>IF(F86&lt;=$AO$19,"Bajo",IF(F86&lt;=$AO$20,"Medio ",IF(F86&lt;=$AO$21,"Alto",0)))</f>
        <v>0</v>
      </c>
      <c r="H86" t="str">
        <f>SUM(B86:F86)</f>
        <v>0</v>
      </c>
      <c r="I86" s="10" t="str">
        <f>IF(H86&lt;=$BA$19,"Bajo",IF(H86&lt;=$BA$20,"Medio ",IF(H86&lt;=$BA$21,"Alto",0)))</f>
        <v>0</v>
      </c>
    </row>
    <row r="87" spans="1:61">
      <c r="A87" t="s">
        <v>107</v>
      </c>
      <c r="B87" t="str">
        <f>SUM('Gestión de abastecimiento'!B88:G88)</f>
        <v>0</v>
      </c>
      <c r="C87" s="10" t="str">
        <f>IF(B87&lt;=$Q$19,"Bajo",IF(B87&lt;=$Q$20,"Medio ",IF(B87&lt;=$Q$21,"Alto",0)))</f>
        <v>0</v>
      </c>
      <c r="D87" t="str">
        <f>SUM('Gestión de abastecimiento'!H88:M88)</f>
        <v>0</v>
      </c>
      <c r="E87" s="10" t="str">
        <f>IF(D87&lt;=$AC$19,"Bajo",IF(D87&lt;=$AC$20,"Medio ",IF(D87&lt;=$AC$21,"Alto",0)))</f>
        <v>0</v>
      </c>
      <c r="F87" t="str">
        <f>SUM('Gestión de abastecimiento'!N88:S88)</f>
        <v>0</v>
      </c>
      <c r="G87" s="10" t="str">
        <f>IF(F87&lt;=$AO$19,"Bajo",IF(F87&lt;=$AO$20,"Medio ",IF(F87&lt;=$AO$21,"Alto",0)))</f>
        <v>0</v>
      </c>
      <c r="H87" t="str">
        <f>SUM(B87:F87)</f>
        <v>0</v>
      </c>
      <c r="I87" s="10" t="str">
        <f>IF(H87&lt;=$BA$19,"Bajo",IF(H87&lt;=$BA$20,"Medio ",IF(H87&lt;=$BA$21,"Alto",0)))</f>
        <v>0</v>
      </c>
    </row>
    <row r="88" spans="1:61">
      <c r="A88" t="s">
        <v>108</v>
      </c>
      <c r="B88" t="str">
        <f>SUM('Gestión de abastecimiento'!B89:G89)</f>
        <v>0</v>
      </c>
      <c r="C88" s="10" t="str">
        <f>IF(B88&lt;=$Q$19,"Bajo",IF(B88&lt;=$Q$20,"Medio ",IF(B88&lt;=$Q$21,"Alto",0)))</f>
        <v>0</v>
      </c>
      <c r="D88" t="str">
        <f>SUM('Gestión de abastecimiento'!H89:M89)</f>
        <v>0</v>
      </c>
      <c r="E88" s="10" t="str">
        <f>IF(D88&lt;=$AC$19,"Bajo",IF(D88&lt;=$AC$20,"Medio ",IF(D88&lt;=$AC$21,"Alto",0)))</f>
        <v>0</v>
      </c>
      <c r="F88" t="str">
        <f>SUM('Gestión de abastecimiento'!N89:S89)</f>
        <v>0</v>
      </c>
      <c r="G88" s="10" t="str">
        <f>IF(F88&lt;=$AO$19,"Bajo",IF(F88&lt;=$AO$20,"Medio ",IF(F88&lt;=$AO$21,"Alto",0)))</f>
        <v>0</v>
      </c>
      <c r="H88" t="str">
        <f>SUM(B88:F88)</f>
        <v>0</v>
      </c>
      <c r="I88" s="10" t="str">
        <f>IF(H88&lt;=$BA$19,"Bajo",IF(H88&lt;=$BA$20,"Medio ",IF(H88&lt;=$BA$21,"Alto",0)))</f>
        <v>0</v>
      </c>
    </row>
    <row r="89" spans="1:61">
      <c r="A89" t="s">
        <v>109</v>
      </c>
      <c r="B89" t="str">
        <f>SUM('Gestión de abastecimiento'!B90:G90)</f>
        <v>0</v>
      </c>
      <c r="C89" s="10" t="str">
        <f>IF(B89&lt;=$Q$19,"Bajo",IF(B89&lt;=$Q$20,"Medio ",IF(B89&lt;=$Q$21,"Alto",0)))</f>
        <v>0</v>
      </c>
      <c r="D89" t="str">
        <f>SUM('Gestión de abastecimiento'!H90:M90)</f>
        <v>0</v>
      </c>
      <c r="E89" s="10" t="str">
        <f>IF(D89&lt;=$AC$19,"Bajo",IF(D89&lt;=$AC$20,"Medio ",IF(D89&lt;=$AC$21,"Alto",0)))</f>
        <v>0</v>
      </c>
      <c r="F89" t="str">
        <f>SUM('Gestión de abastecimiento'!N90:S90)</f>
        <v>0</v>
      </c>
      <c r="G89" s="10" t="str">
        <f>IF(F89&lt;=$AO$19,"Bajo",IF(F89&lt;=$AO$20,"Medio ",IF(F89&lt;=$AO$21,"Alto",0)))</f>
        <v>0</v>
      </c>
      <c r="H89" t="str">
        <f>SUM(B89:F89)</f>
        <v>0</v>
      </c>
      <c r="I89" s="10" t="str">
        <f>IF(H89&lt;=$BA$19,"Bajo",IF(H89&lt;=$BA$20,"Medio ",IF(H89&lt;=$BA$21,"Alto",0)))</f>
        <v>0</v>
      </c>
    </row>
    <row r="90" spans="1:61">
      <c r="A90" t="s">
        <v>110</v>
      </c>
      <c r="B90" t="str">
        <f>SUM('Gestión de abastecimiento'!B91:G91)</f>
        <v>0</v>
      </c>
      <c r="C90" s="10" t="str">
        <f>IF(B90&lt;=$Q$19,"Bajo",IF(B90&lt;=$Q$20,"Medio ",IF(B90&lt;=$Q$21,"Alto",0)))</f>
        <v>0</v>
      </c>
      <c r="D90" t="str">
        <f>SUM('Gestión de abastecimiento'!H91:M91)</f>
        <v>0</v>
      </c>
      <c r="E90" s="10" t="str">
        <f>IF(D90&lt;=$AC$19,"Bajo",IF(D90&lt;=$AC$20,"Medio ",IF(D90&lt;=$AC$21,"Alto",0)))</f>
        <v>0</v>
      </c>
      <c r="F90" t="str">
        <f>SUM('Gestión de abastecimiento'!N91:S91)</f>
        <v>0</v>
      </c>
      <c r="G90" s="10" t="str">
        <f>IF(F90&lt;=$AO$19,"Bajo",IF(F90&lt;=$AO$20,"Medio ",IF(F90&lt;=$AO$21,"Alto",0)))</f>
        <v>0</v>
      </c>
      <c r="H90" t="str">
        <f>SUM(B90:F90)</f>
        <v>0</v>
      </c>
      <c r="I90" s="10" t="str">
        <f>IF(H90&lt;=$BA$19,"Bajo",IF(H90&lt;=$BA$20,"Medio ",IF(H90&lt;=$BA$21,"Alto",0)))</f>
        <v>0</v>
      </c>
    </row>
    <row r="91" spans="1:61">
      <c r="A91" t="s">
        <v>111</v>
      </c>
      <c r="B91" t="str">
        <f>SUM('Gestión de abastecimiento'!B92:G92)</f>
        <v>0</v>
      </c>
      <c r="C91" s="10" t="str">
        <f>IF(B91&lt;=$Q$19,"Bajo",IF(B91&lt;=$Q$20,"Medio ",IF(B91&lt;=$Q$21,"Alto",0)))</f>
        <v>0</v>
      </c>
      <c r="D91" t="str">
        <f>SUM('Gestión de abastecimiento'!H92:M92)</f>
        <v>0</v>
      </c>
      <c r="E91" s="10" t="str">
        <f>IF(D91&lt;=$AC$19,"Bajo",IF(D91&lt;=$AC$20,"Medio ",IF(D91&lt;=$AC$21,"Alto",0)))</f>
        <v>0</v>
      </c>
      <c r="F91" t="str">
        <f>SUM('Gestión de abastecimiento'!N92:S92)</f>
        <v>0</v>
      </c>
      <c r="G91" s="10" t="str">
        <f>IF(F91&lt;=$AO$19,"Bajo",IF(F91&lt;=$AO$20,"Medio ",IF(F91&lt;=$AO$21,"Alto",0)))</f>
        <v>0</v>
      </c>
      <c r="H91" t="str">
        <f>SUM(B91:F91)</f>
        <v>0</v>
      </c>
      <c r="I91" s="10" t="str">
        <f>IF(H91&lt;=$BA$19,"Bajo",IF(H91&lt;=$BA$20,"Medio ",IF(H91&lt;=$BA$21,"Alto",0)))</f>
        <v>0</v>
      </c>
    </row>
    <row r="92" spans="1:61">
      <c r="A92" t="s">
        <v>112</v>
      </c>
      <c r="B92" t="str">
        <f>SUM('Gestión de abastecimiento'!B93:G93)</f>
        <v>0</v>
      </c>
      <c r="C92" s="10" t="str">
        <f>IF(B92&lt;=$Q$19,"Bajo",IF(B92&lt;=$Q$20,"Medio ",IF(B92&lt;=$Q$21,"Alto",0)))</f>
        <v>0</v>
      </c>
      <c r="D92" t="str">
        <f>SUM('Gestión de abastecimiento'!H93:M93)</f>
        <v>0</v>
      </c>
      <c r="E92" s="10" t="str">
        <f>IF(D92&lt;=$AC$19,"Bajo",IF(D92&lt;=$AC$20,"Medio ",IF(D92&lt;=$AC$21,"Alto",0)))</f>
        <v>0</v>
      </c>
      <c r="F92" t="str">
        <f>SUM('Gestión de abastecimiento'!N93:S93)</f>
        <v>0</v>
      </c>
      <c r="G92" s="10" t="str">
        <f>IF(F92&lt;=$AO$19,"Bajo",IF(F92&lt;=$AO$20,"Medio ",IF(F92&lt;=$AO$21,"Alto",0)))</f>
        <v>0</v>
      </c>
      <c r="H92" t="str">
        <f>SUM(B92:F92)</f>
        <v>0</v>
      </c>
      <c r="I92" s="10" t="str">
        <f>IF(H92&lt;=$BA$19,"Bajo",IF(H92&lt;=$BA$20,"Medio ",IF(H92&lt;=$BA$21,"Alto",0)))</f>
        <v>0</v>
      </c>
    </row>
    <row r="93" spans="1:61">
      <c r="A93" t="s">
        <v>113</v>
      </c>
      <c r="B93" t="str">
        <f>SUM('Gestión de abastecimiento'!B94:G94)</f>
        <v>0</v>
      </c>
      <c r="C93" s="10" t="str">
        <f>IF(B93&lt;=$Q$19,"Bajo",IF(B93&lt;=$Q$20,"Medio ",IF(B93&lt;=$Q$21,"Alto",0)))</f>
        <v>0</v>
      </c>
      <c r="D93" t="str">
        <f>SUM('Gestión de abastecimiento'!H94:M94)</f>
        <v>0</v>
      </c>
      <c r="E93" s="10" t="str">
        <f>IF(D93&lt;=$AC$19,"Bajo",IF(D93&lt;=$AC$20,"Medio ",IF(D93&lt;=$AC$21,"Alto",0)))</f>
        <v>0</v>
      </c>
      <c r="F93" t="str">
        <f>SUM('Gestión de abastecimiento'!N94:S94)</f>
        <v>0</v>
      </c>
      <c r="G93" s="10" t="str">
        <f>IF(F93&lt;=$AO$19,"Bajo",IF(F93&lt;=$AO$20,"Medio ",IF(F93&lt;=$AO$21,"Alto",0)))</f>
        <v>0</v>
      </c>
      <c r="H93" t="str">
        <f>SUM(B93:F93)</f>
        <v>0</v>
      </c>
      <c r="I93" s="10" t="str">
        <f>IF(H93&lt;=$BA$19,"Bajo",IF(H93&lt;=$BA$20,"Medio ",IF(H93&lt;=$BA$21,"Alto",0)))</f>
        <v>0</v>
      </c>
    </row>
    <row r="94" spans="1:61">
      <c r="A94" t="s">
        <v>114</v>
      </c>
      <c r="B94" t="str">
        <f>SUM('Gestión de abastecimiento'!B95:G95)</f>
        <v>0</v>
      </c>
      <c r="C94" s="10" t="str">
        <f>IF(B94&lt;=$Q$19,"Bajo",IF(B94&lt;=$Q$20,"Medio ",IF(B94&lt;=$Q$21,"Alto",0)))</f>
        <v>0</v>
      </c>
      <c r="D94" t="str">
        <f>SUM('Gestión de abastecimiento'!H95:M95)</f>
        <v>0</v>
      </c>
      <c r="E94" s="10" t="str">
        <f>IF(D94&lt;=$AC$19,"Bajo",IF(D94&lt;=$AC$20,"Medio ",IF(D94&lt;=$AC$21,"Alto",0)))</f>
        <v>0</v>
      </c>
      <c r="F94" t="str">
        <f>SUM('Gestión de abastecimiento'!N95:S95)</f>
        <v>0</v>
      </c>
      <c r="G94" s="10" t="str">
        <f>IF(F94&lt;=$AO$19,"Bajo",IF(F94&lt;=$AO$20,"Medio ",IF(F94&lt;=$AO$21,"Alto",0)))</f>
        <v>0</v>
      </c>
      <c r="H94" t="str">
        <f>SUM(B94:F94)</f>
        <v>0</v>
      </c>
      <c r="I94" s="10" t="str">
        <f>IF(H94&lt;=$BA$19,"Bajo",IF(H94&lt;=$BA$20,"Medio ",IF(H94&lt;=$BA$21,"Alto",0)))</f>
        <v>0</v>
      </c>
    </row>
    <row r="95" spans="1:61">
      <c r="A95" t="s">
        <v>115</v>
      </c>
      <c r="B95" t="str">
        <f>SUM('Gestión de abastecimiento'!B96:G96)</f>
        <v>0</v>
      </c>
      <c r="C95" s="10" t="str">
        <f>IF(B95&lt;=$Q$19,"Bajo",IF(B95&lt;=$Q$20,"Medio ",IF(B95&lt;=$Q$21,"Alto",0)))</f>
        <v>0</v>
      </c>
      <c r="D95" t="str">
        <f>SUM('Gestión de abastecimiento'!H96:M96)</f>
        <v>0</v>
      </c>
      <c r="E95" s="10" t="str">
        <f>IF(D95&lt;=$AC$19,"Bajo",IF(D95&lt;=$AC$20,"Medio ",IF(D95&lt;=$AC$21,"Alto",0)))</f>
        <v>0</v>
      </c>
      <c r="F95" t="str">
        <f>SUM('Gestión de abastecimiento'!N96:S96)</f>
        <v>0</v>
      </c>
      <c r="G95" s="10" t="str">
        <f>IF(F95&lt;=$AO$19,"Bajo",IF(F95&lt;=$AO$20,"Medio ",IF(F95&lt;=$AO$21,"Alto",0)))</f>
        <v>0</v>
      </c>
      <c r="H95" t="str">
        <f>SUM(B95:F95)</f>
        <v>0</v>
      </c>
      <c r="I95" s="10" t="str">
        <f>IF(H95&lt;=$BA$19,"Bajo",IF(H95&lt;=$BA$20,"Medio ",IF(H95&lt;=$BA$21,"Alto",0)))</f>
        <v>0</v>
      </c>
    </row>
    <row r="96" spans="1:61">
      <c r="A96" t="s">
        <v>116</v>
      </c>
      <c r="B96" t="str">
        <f>SUM('Gestión de abastecimiento'!B97:G97)</f>
        <v>0</v>
      </c>
      <c r="C96" s="10" t="str">
        <f>IF(B96&lt;=$Q$19,"Bajo",IF(B96&lt;=$Q$20,"Medio ",IF(B96&lt;=$Q$21,"Alto",0)))</f>
        <v>0</v>
      </c>
      <c r="D96" t="str">
        <f>SUM('Gestión de abastecimiento'!H97:M97)</f>
        <v>0</v>
      </c>
      <c r="E96" s="10" t="str">
        <f>IF(D96&lt;=$AC$19,"Bajo",IF(D96&lt;=$AC$20,"Medio ",IF(D96&lt;=$AC$21,"Alto",0)))</f>
        <v>0</v>
      </c>
      <c r="F96" t="str">
        <f>SUM('Gestión de abastecimiento'!N97:S97)</f>
        <v>0</v>
      </c>
      <c r="G96" s="10" t="str">
        <f>IF(F96&lt;=$AO$19,"Bajo",IF(F96&lt;=$AO$20,"Medio ",IF(F96&lt;=$AO$21,"Alto",0)))</f>
        <v>0</v>
      </c>
      <c r="H96" t="str">
        <f>SUM(B96:F96)</f>
        <v>0</v>
      </c>
      <c r="I96" s="10" t="str">
        <f>IF(H96&lt;=$BA$19,"Bajo",IF(H96&lt;=$BA$20,"Medio ",IF(H96&lt;=$BA$21,"Alto",0)))</f>
        <v>0</v>
      </c>
    </row>
    <row r="97" spans="1:61">
      <c r="A97" t="s">
        <v>117</v>
      </c>
      <c r="B97" t="str">
        <f>SUM('Gestión de abastecimiento'!B98:G98)</f>
        <v>0</v>
      </c>
      <c r="C97" s="10" t="str">
        <f>IF(B97&lt;=$Q$19,"Bajo",IF(B97&lt;=$Q$20,"Medio ",IF(B97&lt;=$Q$21,"Alto",0)))</f>
        <v>0</v>
      </c>
      <c r="D97" t="str">
        <f>SUM('Gestión de abastecimiento'!H98:M98)</f>
        <v>0</v>
      </c>
      <c r="E97" s="10" t="str">
        <f>IF(D97&lt;=$AC$19,"Bajo",IF(D97&lt;=$AC$20,"Medio ",IF(D97&lt;=$AC$21,"Alto",0)))</f>
        <v>0</v>
      </c>
      <c r="F97" t="str">
        <f>SUM('Gestión de abastecimiento'!N98:S98)</f>
        <v>0</v>
      </c>
      <c r="G97" s="10" t="str">
        <f>IF(F97&lt;=$AO$19,"Bajo",IF(F97&lt;=$AO$20,"Medio ",IF(F97&lt;=$AO$21,"Alto",0)))</f>
        <v>0</v>
      </c>
      <c r="H97" t="str">
        <f>SUM(B97:F97)</f>
        <v>0</v>
      </c>
      <c r="I97" s="10" t="str">
        <f>IF(H97&lt;=$BA$19,"Bajo",IF(H97&lt;=$BA$20,"Medio ",IF(H97&lt;=$BA$21,"Alto",0)))</f>
        <v>0</v>
      </c>
    </row>
    <row r="98" spans="1:61">
      <c r="A98" t="s">
        <v>118</v>
      </c>
      <c r="B98" t="str">
        <f>SUM('Gestión de abastecimiento'!B99:G99)</f>
        <v>0</v>
      </c>
      <c r="C98" s="10" t="str">
        <f>IF(B98&lt;=$Q$19,"Bajo",IF(B98&lt;=$Q$20,"Medio ",IF(B98&lt;=$Q$21,"Alto",0)))</f>
        <v>0</v>
      </c>
      <c r="D98" t="str">
        <f>SUM('Gestión de abastecimiento'!H99:M99)</f>
        <v>0</v>
      </c>
      <c r="E98" s="10" t="str">
        <f>IF(D98&lt;=$AC$19,"Bajo",IF(D98&lt;=$AC$20,"Medio ",IF(D98&lt;=$AC$21,"Alto",0)))</f>
        <v>0</v>
      </c>
      <c r="F98" t="str">
        <f>SUM('Gestión de abastecimiento'!N99:S99)</f>
        <v>0</v>
      </c>
      <c r="G98" s="10" t="str">
        <f>IF(F98&lt;=$AO$19,"Bajo",IF(F98&lt;=$AO$20,"Medio ",IF(F98&lt;=$AO$21,"Alto",0)))</f>
        <v>0</v>
      </c>
      <c r="H98" t="str">
        <f>SUM(B98:F98)</f>
        <v>0</v>
      </c>
      <c r="I98" s="10" t="str">
        <f>IF(H98&lt;=$BA$19,"Bajo",IF(H98&lt;=$BA$20,"Medio ",IF(H98&lt;=$BA$21,"Alto",0)))</f>
        <v>0</v>
      </c>
    </row>
    <row r="99" spans="1:61">
      <c r="A99" t="s">
        <v>119</v>
      </c>
      <c r="B99" t="str">
        <f>SUM('Gestión de abastecimiento'!B100:G100)</f>
        <v>0</v>
      </c>
      <c r="C99" s="10" t="str">
        <f>IF(B99&lt;=$Q$19,"Bajo",IF(B99&lt;=$Q$20,"Medio ",IF(B99&lt;=$Q$21,"Alto",0)))</f>
        <v>0</v>
      </c>
      <c r="D99" t="str">
        <f>SUM('Gestión de abastecimiento'!H100:M100)</f>
        <v>0</v>
      </c>
      <c r="E99" s="10" t="str">
        <f>IF(D99&lt;=$AC$19,"Bajo",IF(D99&lt;=$AC$20,"Medio ",IF(D99&lt;=$AC$21,"Alto",0)))</f>
        <v>0</v>
      </c>
      <c r="F99" t="str">
        <f>SUM('Gestión de abastecimiento'!N100:S100)</f>
        <v>0</v>
      </c>
      <c r="G99" s="10" t="str">
        <f>IF(F99&lt;=$AO$19,"Bajo",IF(F99&lt;=$AO$20,"Medio ",IF(F99&lt;=$AO$21,"Alto",0)))</f>
        <v>0</v>
      </c>
      <c r="H99" t="str">
        <f>SUM(B99:F99)</f>
        <v>0</v>
      </c>
      <c r="I99" s="10" t="str">
        <f>IF(H99&lt;=$BA$19,"Bajo",IF(H99&lt;=$BA$20,"Medio ",IF(H99&lt;=$BA$21,"Alto",0)))</f>
        <v>0</v>
      </c>
    </row>
    <row r="100" spans="1:61">
      <c r="A100" t="s">
        <v>120</v>
      </c>
      <c r="B100" t="str">
        <f>SUM('Gestión de abastecimiento'!B101:G101)</f>
        <v>0</v>
      </c>
      <c r="C100" s="10" t="str">
        <f>IF(B100&lt;=$Q$19,"Bajo",IF(B100&lt;=$Q$20,"Medio ",IF(B100&lt;=$Q$21,"Alto",0)))</f>
        <v>0</v>
      </c>
      <c r="D100" t="str">
        <f>SUM('Gestión de abastecimiento'!H101:M101)</f>
        <v>0</v>
      </c>
      <c r="E100" s="10" t="str">
        <f>IF(D100&lt;=$AC$19,"Bajo",IF(D100&lt;=$AC$20,"Medio ",IF(D100&lt;=$AC$21,"Alto",0)))</f>
        <v>0</v>
      </c>
      <c r="F100" t="str">
        <f>SUM('Gestión de abastecimiento'!N101:S101)</f>
        <v>0</v>
      </c>
      <c r="G100" s="10" t="str">
        <f>IF(F100&lt;=$AO$19,"Bajo",IF(F100&lt;=$AO$20,"Medio ",IF(F100&lt;=$AO$21,"Alto",0)))</f>
        <v>0</v>
      </c>
      <c r="H100" t="str">
        <f>SUM(B100:F100)</f>
        <v>0</v>
      </c>
      <c r="I100" s="10" t="str">
        <f>IF(H100&lt;=$BA$19,"Bajo",IF(H100&lt;=$BA$20,"Medio ",IF(H100&lt;=$BA$21,"Alto",0)))</f>
        <v>0</v>
      </c>
    </row>
    <row r="101" spans="1:61">
      <c r="A101" t="s">
        <v>121</v>
      </c>
      <c r="B101" t="str">
        <f>SUM('Gestión de abastecimiento'!B102:G102)</f>
        <v>0</v>
      </c>
      <c r="C101" s="10" t="str">
        <f>IF(B101&lt;=$Q$19,"Bajo",IF(B101&lt;=$Q$20,"Medio ",IF(B101&lt;=$Q$21,"Alto",0)))</f>
        <v>0</v>
      </c>
      <c r="D101" t="str">
        <f>SUM('Gestión de abastecimiento'!H102:M102)</f>
        <v>0</v>
      </c>
      <c r="E101" s="10" t="str">
        <f>IF(D101&lt;=$AC$19,"Bajo",IF(D101&lt;=$AC$20,"Medio ",IF(D101&lt;=$AC$21,"Alto",0)))</f>
        <v>0</v>
      </c>
      <c r="F101" t="str">
        <f>SUM('Gestión de abastecimiento'!N102:S102)</f>
        <v>0</v>
      </c>
      <c r="G101" s="10" t="str">
        <f>IF(F101&lt;=$AO$19,"Bajo",IF(F101&lt;=$AO$20,"Medio ",IF(F101&lt;=$AO$21,"Alto",0)))</f>
        <v>0</v>
      </c>
      <c r="H101" t="str">
        <f>SUM(B101:F101)</f>
        <v>0</v>
      </c>
      <c r="I101" s="10" t="str">
        <f>IF(H101&lt;=$BA$19,"Bajo",IF(H101&lt;=$BA$20,"Medio ",IF(H101&lt;=$BA$21,"Alto",0)))</f>
        <v>0</v>
      </c>
    </row>
    <row r="102" spans="1:61">
      <c r="A102" t="s">
        <v>122</v>
      </c>
      <c r="B102" t="str">
        <f>SUM('Gestión de abastecimiento'!B103:G103)</f>
        <v>0</v>
      </c>
      <c r="C102" s="10" t="str">
        <f>IF(B102&lt;=$Q$19,"Bajo",IF(B102&lt;=$Q$20,"Medio ",IF(B102&lt;=$Q$21,"Alto",0)))</f>
        <v>0</v>
      </c>
      <c r="D102" t="str">
        <f>SUM('Gestión de abastecimiento'!H103:M103)</f>
        <v>0</v>
      </c>
      <c r="E102" s="10" t="str">
        <f>IF(D102&lt;=$AC$19,"Bajo",IF(D102&lt;=$AC$20,"Medio ",IF(D102&lt;=$AC$21,"Alto",0)))</f>
        <v>0</v>
      </c>
      <c r="F102" t="str">
        <f>SUM('Gestión de abastecimiento'!N103:S103)</f>
        <v>0</v>
      </c>
      <c r="G102" s="10" t="str">
        <f>IF(F102&lt;=$AO$19,"Bajo",IF(F102&lt;=$AO$20,"Medio ",IF(F102&lt;=$AO$21,"Alto",0)))</f>
        <v>0</v>
      </c>
      <c r="H102" t="str">
        <f>SUM(B102:F102)</f>
        <v>0</v>
      </c>
      <c r="I102" s="10" t="str">
        <f>IF(H102&lt;=$BA$19,"Bajo",IF(H102&lt;=$BA$20,"Medio ",IF(H102&lt;=$BA$21,"Alto",0)))</f>
        <v>0</v>
      </c>
    </row>
    <row r="103" spans="1:61">
      <c r="A103" t="s">
        <v>123</v>
      </c>
      <c r="B103" t="str">
        <f>SUM('Gestión de abastecimiento'!B104:G104)</f>
        <v>0</v>
      </c>
      <c r="C103" s="10" t="str">
        <f>IF(B103&lt;=$Q$19,"Bajo",IF(B103&lt;=$Q$20,"Medio ",IF(B103&lt;=$Q$21,"Alto",0)))</f>
        <v>0</v>
      </c>
      <c r="D103" t="str">
        <f>SUM('Gestión de abastecimiento'!H104:M104)</f>
        <v>0</v>
      </c>
      <c r="E103" s="10" t="str">
        <f>IF(D103&lt;=$AC$19,"Bajo",IF(D103&lt;=$AC$20,"Medio ",IF(D103&lt;=$AC$21,"Alto",0)))</f>
        <v>0</v>
      </c>
      <c r="F103" t="str">
        <f>SUM('Gestión de abastecimiento'!N104:S104)</f>
        <v>0</v>
      </c>
      <c r="G103" s="10" t="str">
        <f>IF(F103&lt;=$AO$19,"Bajo",IF(F103&lt;=$AO$20,"Medio ",IF(F103&lt;=$AO$21,"Alto",0)))</f>
        <v>0</v>
      </c>
      <c r="H103" t="str">
        <f>SUM(B103:F103)</f>
        <v>0</v>
      </c>
      <c r="I103" s="10" t="str">
        <f>IF(H103&lt;=$BA$19,"Bajo",IF(H103&lt;=$BA$20,"Medio ",IF(H103&lt;=$BA$21,"Alto",0)))</f>
        <v>0</v>
      </c>
    </row>
    <row r="104" spans="1:61">
      <c r="A104" t="s">
        <v>124</v>
      </c>
      <c r="B104" t="str">
        <f>SUM('Gestión de abastecimiento'!B105:G105)</f>
        <v>0</v>
      </c>
      <c r="C104" s="10" t="str">
        <f>IF(B104&lt;=$Q$19,"Bajo",IF(B104&lt;=$Q$20,"Medio ",IF(B104&lt;=$Q$21,"Alto",0)))</f>
        <v>0</v>
      </c>
      <c r="D104" t="str">
        <f>SUM('Gestión de abastecimiento'!H105:M105)</f>
        <v>0</v>
      </c>
      <c r="E104" s="10" t="str">
        <f>IF(D104&lt;=$AC$19,"Bajo",IF(D104&lt;=$AC$20,"Medio ",IF(D104&lt;=$AC$21,"Alto",0)))</f>
        <v>0</v>
      </c>
      <c r="F104" t="str">
        <f>SUM('Gestión de abastecimiento'!N105:S105)</f>
        <v>0</v>
      </c>
      <c r="G104" s="10" t="str">
        <f>IF(F104&lt;=$AO$19,"Bajo",IF(F104&lt;=$AO$20,"Medio ",IF(F104&lt;=$AO$21,"Alto",0)))</f>
        <v>0</v>
      </c>
      <c r="H104" t="str">
        <f>SUM(B104:F104)</f>
        <v>0</v>
      </c>
      <c r="I104" s="10" t="str">
        <f>IF(H104&lt;=$BA$19,"Bajo",IF(H104&lt;=$BA$20,"Medio ",IF(H104&lt;=$BA$21,"Alto",0)))</f>
        <v>0</v>
      </c>
    </row>
    <row r="105" spans="1:61">
      <c r="A105" t="s">
        <v>125</v>
      </c>
      <c r="B105" t="str">
        <f>SUM('Gestión de abastecimiento'!B106:G106)</f>
        <v>0</v>
      </c>
      <c r="C105" s="10" t="str">
        <f>IF(B105&lt;=$Q$19,"Bajo",IF(B105&lt;=$Q$20,"Medio ",IF(B105&lt;=$Q$21,"Alto",0)))</f>
        <v>0</v>
      </c>
      <c r="D105" t="str">
        <f>SUM('Gestión de abastecimiento'!H106:M106)</f>
        <v>0</v>
      </c>
      <c r="E105" s="10" t="str">
        <f>IF(D105&lt;=$AC$19,"Bajo",IF(D105&lt;=$AC$20,"Medio ",IF(D105&lt;=$AC$21,"Alto",0)))</f>
        <v>0</v>
      </c>
      <c r="F105" t="str">
        <f>SUM('Gestión de abastecimiento'!N106:S106)</f>
        <v>0</v>
      </c>
      <c r="G105" s="10" t="str">
        <f>IF(F105&lt;=$AO$19,"Bajo",IF(F105&lt;=$AO$20,"Medio ",IF(F105&lt;=$AO$21,"Alto",0)))</f>
        <v>0</v>
      </c>
      <c r="H105" t="str">
        <f>SUM(B105:F105)</f>
        <v>0</v>
      </c>
      <c r="I105" s="10" t="str">
        <f>IF(H105&lt;=$BA$19,"Bajo",IF(H105&lt;=$BA$20,"Medio ",IF(H105&lt;=$BA$21,"Alto",0)))</f>
        <v>0</v>
      </c>
    </row>
    <row r="106" spans="1:61">
      <c r="A106" t="s">
        <v>126</v>
      </c>
      <c r="B106" t="str">
        <f>SUM('Gestión de abastecimiento'!B107:G107)</f>
        <v>0</v>
      </c>
      <c r="C106" s="10" t="str">
        <f>IF(B106&lt;=$Q$19,"Bajo",IF(B106&lt;=$Q$20,"Medio ",IF(B106&lt;=$Q$21,"Alto",0)))</f>
        <v>0</v>
      </c>
      <c r="D106" t="str">
        <f>SUM('Gestión de abastecimiento'!H107:M107)</f>
        <v>0</v>
      </c>
      <c r="E106" s="10" t="str">
        <f>IF(D106&lt;=$AC$19,"Bajo",IF(D106&lt;=$AC$20,"Medio ",IF(D106&lt;=$AC$21,"Alto",0)))</f>
        <v>0</v>
      </c>
      <c r="F106" t="str">
        <f>SUM('Gestión de abastecimiento'!N107:S107)</f>
        <v>0</v>
      </c>
      <c r="G106" s="10" t="str">
        <f>IF(F106&lt;=$AO$19,"Bajo",IF(F106&lt;=$AO$20,"Medio ",IF(F106&lt;=$AO$21,"Alto",0)))</f>
        <v>0</v>
      </c>
      <c r="H106" t="str">
        <f>SUM(B106:F106)</f>
        <v>0</v>
      </c>
      <c r="I106" s="10" t="str">
        <f>IF(H106&lt;=$BA$19,"Bajo",IF(H106&lt;=$BA$20,"Medio ",IF(H106&lt;=$BA$21,"Alto",0)))</f>
        <v>0</v>
      </c>
    </row>
    <row r="107" spans="1:61">
      <c r="A107" t="s">
        <v>127</v>
      </c>
      <c r="B107" t="str">
        <f>SUM('Gestión de abastecimiento'!B108:G108)</f>
        <v>0</v>
      </c>
      <c r="C107" s="10" t="str">
        <f>IF(B107&lt;=$Q$19,"Bajo",IF(B107&lt;=$Q$20,"Medio ",IF(B107&lt;=$Q$21,"Alto",0)))</f>
        <v>0</v>
      </c>
      <c r="D107" t="str">
        <f>SUM('Gestión de abastecimiento'!H108:M108)</f>
        <v>0</v>
      </c>
      <c r="E107" s="10" t="str">
        <f>IF(D107&lt;=$AC$19,"Bajo",IF(D107&lt;=$AC$20,"Medio ",IF(D107&lt;=$AC$21,"Alto",0)))</f>
        <v>0</v>
      </c>
      <c r="F107" t="str">
        <f>SUM('Gestión de abastecimiento'!N108:S108)</f>
        <v>0</v>
      </c>
      <c r="G107" s="10" t="str">
        <f>IF(F107&lt;=$AO$19,"Bajo",IF(F107&lt;=$AO$20,"Medio ",IF(F107&lt;=$AO$21,"Alto",0)))</f>
        <v>0</v>
      </c>
      <c r="H107" t="str">
        <f>SUM(B107:F107)</f>
        <v>0</v>
      </c>
      <c r="I107" s="10" t="str">
        <f>IF(H107&lt;=$BA$19,"Bajo",IF(H107&lt;=$BA$20,"Medio ",IF(H107&lt;=$BA$21,"Alto",0)))</f>
        <v>0</v>
      </c>
    </row>
    <row r="108" spans="1:61">
      <c r="A108" t="s">
        <v>128</v>
      </c>
      <c r="B108" t="str">
        <f>SUM('Gestión de abastecimiento'!B109:G109)</f>
        <v>0</v>
      </c>
      <c r="C108" s="10" t="str">
        <f>IF(B108&lt;=$Q$19,"Bajo",IF(B108&lt;=$Q$20,"Medio ",IF(B108&lt;=$Q$21,"Alto",0)))</f>
        <v>0</v>
      </c>
      <c r="D108" t="str">
        <f>SUM('Gestión de abastecimiento'!H109:M109)</f>
        <v>0</v>
      </c>
      <c r="E108" s="10" t="str">
        <f>IF(D108&lt;=$AC$19,"Bajo",IF(D108&lt;=$AC$20,"Medio ",IF(D108&lt;=$AC$21,"Alto",0)))</f>
        <v>0</v>
      </c>
      <c r="F108" t="str">
        <f>SUM('Gestión de abastecimiento'!N109:S109)</f>
        <v>0</v>
      </c>
      <c r="G108" s="10" t="str">
        <f>IF(F108&lt;=$AO$19,"Bajo",IF(F108&lt;=$AO$20,"Medio ",IF(F108&lt;=$AO$21,"Alto",0)))</f>
        <v>0</v>
      </c>
      <c r="H108" t="str">
        <f>SUM(B108:F108)</f>
        <v>0</v>
      </c>
      <c r="I108" s="10" t="str">
        <f>IF(H108&lt;=$BA$19,"Bajo",IF(H108&lt;=$BA$20,"Medio ",IF(H108&lt;=$BA$21,"Alto",0)))</f>
        <v>0</v>
      </c>
    </row>
    <row r="109" spans="1:61">
      <c r="A109" t="s">
        <v>129</v>
      </c>
      <c r="B109" t="str">
        <f>SUM('Gestión de abastecimiento'!B110:G110)</f>
        <v>0</v>
      </c>
      <c r="C109" s="10" t="str">
        <f>IF(B109&lt;=$Q$19,"Bajo",IF(B109&lt;=$Q$20,"Medio ",IF(B109&lt;=$Q$21,"Alto",0)))</f>
        <v>0</v>
      </c>
      <c r="D109" t="str">
        <f>SUM('Gestión de abastecimiento'!H110:M110)</f>
        <v>0</v>
      </c>
      <c r="E109" s="10" t="str">
        <f>IF(D109&lt;=$AC$19,"Bajo",IF(D109&lt;=$AC$20,"Medio ",IF(D109&lt;=$AC$21,"Alto",0)))</f>
        <v>0</v>
      </c>
      <c r="F109" t="str">
        <f>SUM('Gestión de abastecimiento'!N110:S110)</f>
        <v>0</v>
      </c>
      <c r="G109" s="10" t="str">
        <f>IF(F109&lt;=$AO$19,"Bajo",IF(F109&lt;=$AO$20,"Medio ",IF(F109&lt;=$AO$21,"Alto",0)))</f>
        <v>0</v>
      </c>
      <c r="H109" t="str">
        <f>SUM(B109:F109)</f>
        <v>0</v>
      </c>
      <c r="I109" s="10" t="str">
        <f>IF(H109&lt;=$BA$19,"Bajo",IF(H109&lt;=$BA$20,"Medio ",IF(H109&lt;=$BA$21,"Alto",0)))</f>
        <v>0</v>
      </c>
    </row>
    <row r="110" spans="1:61">
      <c r="A110" t="s">
        <v>130</v>
      </c>
      <c r="B110" t="str">
        <f>SUM('Gestión de abastecimiento'!B111:G111)</f>
        <v>0</v>
      </c>
      <c r="C110" s="10" t="str">
        <f>IF(B110&lt;=$Q$19,"Bajo",IF(B110&lt;=$Q$20,"Medio ",IF(B110&lt;=$Q$21,"Alto",0)))</f>
        <v>0</v>
      </c>
      <c r="D110" t="str">
        <f>SUM('Gestión de abastecimiento'!H111:M111)</f>
        <v>0</v>
      </c>
      <c r="E110" s="10" t="str">
        <f>IF(D110&lt;=$AC$19,"Bajo",IF(D110&lt;=$AC$20,"Medio ",IF(D110&lt;=$AC$21,"Alto",0)))</f>
        <v>0</v>
      </c>
      <c r="F110" t="str">
        <f>SUM('Gestión de abastecimiento'!N111:S111)</f>
        <v>0</v>
      </c>
      <c r="G110" s="10" t="str">
        <f>IF(F110&lt;=$AO$19,"Bajo",IF(F110&lt;=$AO$20,"Medio ",IF(F110&lt;=$AO$21,"Alto",0)))</f>
        <v>0</v>
      </c>
      <c r="H110" t="str">
        <f>SUM(B110:F110)</f>
        <v>0</v>
      </c>
      <c r="I110" s="10" t="str">
        <f>IF(H110&lt;=$BA$19,"Bajo",IF(H110&lt;=$BA$20,"Medio ",IF(H110&lt;=$BA$21,"Alto",0)))</f>
        <v>0</v>
      </c>
    </row>
    <row r="111" spans="1:61">
      <c r="A111" t="s">
        <v>131</v>
      </c>
      <c r="B111" t="str">
        <f>SUM('Gestión de abastecimiento'!B112:G112)</f>
        <v>0</v>
      </c>
      <c r="C111" s="10" t="str">
        <f>IF(B111&lt;=$Q$19,"Bajo",IF(B111&lt;=$Q$20,"Medio ",IF(B111&lt;=$Q$21,"Alto",0)))</f>
        <v>0</v>
      </c>
      <c r="D111" t="str">
        <f>SUM('Gestión de abastecimiento'!H112:M112)</f>
        <v>0</v>
      </c>
      <c r="E111" s="10" t="str">
        <f>IF(D111&lt;=$AC$19,"Bajo",IF(D111&lt;=$AC$20,"Medio ",IF(D111&lt;=$AC$21,"Alto",0)))</f>
        <v>0</v>
      </c>
      <c r="F111" t="str">
        <f>SUM('Gestión de abastecimiento'!N112:S112)</f>
        <v>0</v>
      </c>
      <c r="G111" s="10" t="str">
        <f>IF(F111&lt;=$AO$19,"Bajo",IF(F111&lt;=$AO$20,"Medio ",IF(F111&lt;=$AO$21,"Alto",0)))</f>
        <v>0</v>
      </c>
      <c r="H111" t="str">
        <f>SUM(B111:F111)</f>
        <v>0</v>
      </c>
      <c r="I111" s="10" t="str">
        <f>IF(H111&lt;=$BA$19,"Bajo",IF(H111&lt;=$BA$20,"Medio ",IF(H111&lt;=$BA$21,"Alto",0)))</f>
        <v>0</v>
      </c>
    </row>
    <row r="112" spans="1:61">
      <c r="A112" t="s">
        <v>132</v>
      </c>
      <c r="B112" t="str">
        <f>SUM('Gestión de abastecimiento'!B113:G113)</f>
        <v>0</v>
      </c>
      <c r="C112" s="10" t="str">
        <f>IF(B112&lt;=$Q$19,"Bajo",IF(B112&lt;=$Q$20,"Medio ",IF(B112&lt;=$Q$21,"Alto",0)))</f>
        <v>0</v>
      </c>
      <c r="D112" t="str">
        <f>SUM('Gestión de abastecimiento'!H113:M113)</f>
        <v>0</v>
      </c>
      <c r="E112" s="10" t="str">
        <f>IF(D112&lt;=$AC$19,"Bajo",IF(D112&lt;=$AC$20,"Medio ",IF(D112&lt;=$AC$21,"Alto",0)))</f>
        <v>0</v>
      </c>
      <c r="F112" t="str">
        <f>SUM('Gestión de abastecimiento'!N113:S113)</f>
        <v>0</v>
      </c>
      <c r="G112" s="10" t="str">
        <f>IF(F112&lt;=$AO$19,"Bajo",IF(F112&lt;=$AO$20,"Medio ",IF(F112&lt;=$AO$21,"Alto",0)))</f>
        <v>0</v>
      </c>
      <c r="H112" t="str">
        <f>SUM(B112:F112)</f>
        <v>0</v>
      </c>
      <c r="I112" s="10" t="str">
        <f>IF(H112&lt;=$BA$19,"Bajo",IF(H112&lt;=$BA$20,"Medio ",IF(H112&lt;=$BA$21,"Alto",0)))</f>
        <v>0</v>
      </c>
    </row>
    <row r="113" spans="1:61">
      <c r="A113" t="s">
        <v>133</v>
      </c>
      <c r="B113" t="str">
        <f>SUM('Gestión de abastecimiento'!B114:G114)</f>
        <v>0</v>
      </c>
      <c r="C113" s="10" t="str">
        <f>IF(B113&lt;=$Q$19,"Bajo",IF(B113&lt;=$Q$20,"Medio ",IF(B113&lt;=$Q$21,"Alto",0)))</f>
        <v>0</v>
      </c>
      <c r="D113" t="str">
        <f>SUM('Gestión de abastecimiento'!H114:M114)</f>
        <v>0</v>
      </c>
      <c r="E113" s="10" t="str">
        <f>IF(D113&lt;=$AC$19,"Bajo",IF(D113&lt;=$AC$20,"Medio ",IF(D113&lt;=$AC$21,"Alto",0)))</f>
        <v>0</v>
      </c>
      <c r="F113" t="str">
        <f>SUM('Gestión de abastecimiento'!N114:S114)</f>
        <v>0</v>
      </c>
      <c r="G113" s="10" t="str">
        <f>IF(F113&lt;=$AO$19,"Bajo",IF(F113&lt;=$AO$20,"Medio ",IF(F113&lt;=$AO$21,"Alto",0)))</f>
        <v>0</v>
      </c>
      <c r="H113" t="str">
        <f>SUM(B113:F113)</f>
        <v>0</v>
      </c>
      <c r="I113" s="10" t="str">
        <f>IF(H113&lt;=$BA$19,"Bajo",IF(H113&lt;=$BA$20,"Medio ",IF(H113&lt;=$BA$21,"Alto",0)))</f>
        <v>0</v>
      </c>
    </row>
    <row r="114" spans="1:61">
      <c r="A114" t="s">
        <v>134</v>
      </c>
      <c r="B114" t="str">
        <f>SUM('Gestión de abastecimiento'!B115:G115)</f>
        <v>0</v>
      </c>
      <c r="C114" s="10" t="str">
        <f>IF(B114&lt;=$Q$19,"Bajo",IF(B114&lt;=$Q$20,"Medio ",IF(B114&lt;=$Q$21,"Alto",0)))</f>
        <v>0</v>
      </c>
      <c r="D114" t="str">
        <f>SUM('Gestión de abastecimiento'!H115:M115)</f>
        <v>0</v>
      </c>
      <c r="E114" s="10" t="str">
        <f>IF(D114&lt;=$AC$19,"Bajo",IF(D114&lt;=$AC$20,"Medio ",IF(D114&lt;=$AC$21,"Alto",0)))</f>
        <v>0</v>
      </c>
      <c r="F114" t="str">
        <f>SUM('Gestión de abastecimiento'!N115:S115)</f>
        <v>0</v>
      </c>
      <c r="G114" s="10" t="str">
        <f>IF(F114&lt;=$AO$19,"Bajo",IF(F114&lt;=$AO$20,"Medio ",IF(F114&lt;=$AO$21,"Alto",0)))</f>
        <v>0</v>
      </c>
      <c r="H114" t="str">
        <f>SUM(B114:F114)</f>
        <v>0</v>
      </c>
      <c r="I114" s="10" t="str">
        <f>IF(H114&lt;=$BA$19,"Bajo",IF(H114&lt;=$BA$20,"Medio ",IF(H114&lt;=$BA$21,"Alto",0)))</f>
        <v>0</v>
      </c>
    </row>
    <row r="115" spans="1:61">
      <c r="A115" t="s">
        <v>135</v>
      </c>
      <c r="B115" t="str">
        <f>SUM('Gestión de abastecimiento'!B116:G116)</f>
        <v>0</v>
      </c>
      <c r="C115" s="10" t="str">
        <f>IF(B115&lt;=$Q$19,"Bajo",IF(B115&lt;=$Q$20,"Medio ",IF(B115&lt;=$Q$21,"Alto",0)))</f>
        <v>0</v>
      </c>
      <c r="D115" t="str">
        <f>SUM('Gestión de abastecimiento'!H116:M116)</f>
        <v>0</v>
      </c>
      <c r="E115" s="10" t="str">
        <f>IF(D115&lt;=$AC$19,"Bajo",IF(D115&lt;=$AC$20,"Medio ",IF(D115&lt;=$AC$21,"Alto",0)))</f>
        <v>0</v>
      </c>
      <c r="F115" t="str">
        <f>SUM('Gestión de abastecimiento'!N116:S116)</f>
        <v>0</v>
      </c>
      <c r="G115" s="10" t="str">
        <f>IF(F115&lt;=$AO$19,"Bajo",IF(F115&lt;=$AO$20,"Medio ",IF(F115&lt;=$AO$21,"Alto",0)))</f>
        <v>0</v>
      </c>
      <c r="H115" t="str">
        <f>SUM(B115:F115)</f>
        <v>0</v>
      </c>
      <c r="I115" s="10" t="str">
        <f>IF(H115&lt;=$BA$19,"Bajo",IF(H115&lt;=$BA$20,"Medio ",IF(H115&lt;=$BA$21,"Alto",0)))</f>
        <v>0</v>
      </c>
    </row>
    <row r="116" spans="1:61">
      <c r="A116" t="s">
        <v>136</v>
      </c>
      <c r="B116" t="str">
        <f>SUM('Gestión de abastecimiento'!B117:G117)</f>
        <v>0</v>
      </c>
      <c r="C116" s="10" t="str">
        <f>IF(B116&lt;=$Q$19,"Bajo",IF(B116&lt;=$Q$20,"Medio ",IF(B116&lt;=$Q$21,"Alto",0)))</f>
        <v>0</v>
      </c>
      <c r="D116" t="str">
        <f>SUM('Gestión de abastecimiento'!H117:M117)</f>
        <v>0</v>
      </c>
      <c r="E116" s="10" t="str">
        <f>IF(D116&lt;=$AC$19,"Bajo",IF(D116&lt;=$AC$20,"Medio ",IF(D116&lt;=$AC$21,"Alto",0)))</f>
        <v>0</v>
      </c>
      <c r="F116" t="str">
        <f>SUM('Gestión de abastecimiento'!N117:S117)</f>
        <v>0</v>
      </c>
      <c r="G116" s="10" t="str">
        <f>IF(F116&lt;=$AO$19,"Bajo",IF(F116&lt;=$AO$20,"Medio ",IF(F116&lt;=$AO$21,"Alto",0)))</f>
        <v>0</v>
      </c>
      <c r="H116" t="str">
        <f>SUM(B116:F116)</f>
        <v>0</v>
      </c>
      <c r="I116" s="10" t="str">
        <f>IF(H116&lt;=$BA$19,"Bajo",IF(H116&lt;=$BA$20,"Medio ",IF(H116&lt;=$BA$21,"Alto",0)))</f>
        <v>0</v>
      </c>
    </row>
    <row r="117" spans="1:61">
      <c r="A117" t="s">
        <v>137</v>
      </c>
      <c r="B117" t="str">
        <f>SUM('Gestión de abastecimiento'!B118:G118)</f>
        <v>0</v>
      </c>
      <c r="C117" s="10" t="str">
        <f>IF(B117&lt;=$Q$19,"Bajo",IF(B117&lt;=$Q$20,"Medio ",IF(B117&lt;=$Q$21,"Alto",0)))</f>
        <v>0</v>
      </c>
      <c r="D117" t="str">
        <f>SUM('Gestión de abastecimiento'!H118:M118)</f>
        <v>0</v>
      </c>
      <c r="E117" s="10" t="str">
        <f>IF(D117&lt;=$AC$19,"Bajo",IF(D117&lt;=$AC$20,"Medio ",IF(D117&lt;=$AC$21,"Alto",0)))</f>
        <v>0</v>
      </c>
      <c r="F117" t="str">
        <f>SUM('Gestión de abastecimiento'!N118:S118)</f>
        <v>0</v>
      </c>
      <c r="G117" s="10" t="str">
        <f>IF(F117&lt;=$AO$19,"Bajo",IF(F117&lt;=$AO$20,"Medio ",IF(F117&lt;=$AO$21,"Alto",0)))</f>
        <v>0</v>
      </c>
      <c r="H117" t="str">
        <f>SUM(B117:F117)</f>
        <v>0</v>
      </c>
      <c r="I117" s="10" t="str">
        <f>IF(H117&lt;=$BA$19,"Bajo",IF(H117&lt;=$BA$20,"Medio ",IF(H117&lt;=$BA$21,"Alto",0)))</f>
        <v>0</v>
      </c>
    </row>
    <row r="118" spans="1:61">
      <c r="A118" t="s">
        <v>138</v>
      </c>
      <c r="B118" t="str">
        <f>SUM('Gestión de abastecimiento'!B119:G119)</f>
        <v>0</v>
      </c>
      <c r="C118" s="10" t="str">
        <f>IF(B118&lt;=$Q$19,"Bajo",IF(B118&lt;=$Q$20,"Medio ",IF(B118&lt;=$Q$21,"Alto",0)))</f>
        <v>0</v>
      </c>
      <c r="D118" t="str">
        <f>SUM('Gestión de abastecimiento'!H119:M119)</f>
        <v>0</v>
      </c>
      <c r="E118" s="10" t="str">
        <f>IF(D118&lt;=$AC$19,"Bajo",IF(D118&lt;=$AC$20,"Medio ",IF(D118&lt;=$AC$21,"Alto",0)))</f>
        <v>0</v>
      </c>
      <c r="F118" t="str">
        <f>SUM('Gestión de abastecimiento'!N119:S119)</f>
        <v>0</v>
      </c>
      <c r="G118" s="10" t="str">
        <f>IF(F118&lt;=$AO$19,"Bajo",IF(F118&lt;=$AO$20,"Medio ",IF(F118&lt;=$AO$21,"Alto",0)))</f>
        <v>0</v>
      </c>
      <c r="H118" t="str">
        <f>SUM(B118:F118)</f>
        <v>0</v>
      </c>
      <c r="I118" s="10" t="str">
        <f>IF(H118&lt;=$BA$19,"Bajo",IF(H118&lt;=$BA$20,"Medio ",IF(H118&lt;=$BA$21,"Alto",0)))</f>
        <v>0</v>
      </c>
    </row>
    <row r="119" spans="1:61">
      <c r="A119" t="s">
        <v>139</v>
      </c>
      <c r="B119" t="str">
        <f>SUM('Gestión de abastecimiento'!B120:G120)</f>
        <v>0</v>
      </c>
      <c r="C119" s="10" t="str">
        <f>IF(B119&lt;=$Q$19,"Bajo",IF(B119&lt;=$Q$20,"Medio ",IF(B119&lt;=$Q$21,"Alto",0)))</f>
        <v>0</v>
      </c>
      <c r="D119" t="str">
        <f>SUM('Gestión de abastecimiento'!H120:M120)</f>
        <v>0</v>
      </c>
      <c r="E119" s="10" t="str">
        <f>IF(D119&lt;=$AC$19,"Bajo",IF(D119&lt;=$AC$20,"Medio ",IF(D119&lt;=$AC$21,"Alto",0)))</f>
        <v>0</v>
      </c>
      <c r="F119" t="str">
        <f>SUM('Gestión de abastecimiento'!N120:S120)</f>
        <v>0</v>
      </c>
      <c r="G119" s="10" t="str">
        <f>IF(F119&lt;=$AO$19,"Bajo",IF(F119&lt;=$AO$20,"Medio ",IF(F119&lt;=$AO$21,"Alto",0)))</f>
        <v>0</v>
      </c>
      <c r="H119" t="str">
        <f>SUM(B119:F119)</f>
        <v>0</v>
      </c>
      <c r="I119" s="10" t="str">
        <f>IF(H119&lt;=$BA$19,"Bajo",IF(H119&lt;=$BA$20,"Medio ",IF(H119&lt;=$BA$21,"Alto",0)))</f>
        <v>0</v>
      </c>
    </row>
    <row r="120" spans="1:61">
      <c r="A120" t="s">
        <v>140</v>
      </c>
      <c r="B120" t="str">
        <f>SUM('Gestión de abastecimiento'!B121:G121)</f>
        <v>0</v>
      </c>
      <c r="C120" s="10" t="str">
        <f>IF(B120&lt;=$Q$19,"Bajo",IF(B120&lt;=$Q$20,"Medio ",IF(B120&lt;=$Q$21,"Alto",0)))</f>
        <v>0</v>
      </c>
      <c r="D120" t="str">
        <f>SUM('Gestión de abastecimiento'!H121:M121)</f>
        <v>0</v>
      </c>
      <c r="E120" s="10" t="str">
        <f>IF(D120&lt;=$AC$19,"Bajo",IF(D120&lt;=$AC$20,"Medio ",IF(D120&lt;=$AC$21,"Alto",0)))</f>
        <v>0</v>
      </c>
      <c r="F120" t="str">
        <f>SUM('Gestión de abastecimiento'!N121:S121)</f>
        <v>0</v>
      </c>
      <c r="G120" s="10" t="str">
        <f>IF(F120&lt;=$AO$19,"Bajo",IF(F120&lt;=$AO$20,"Medio ",IF(F120&lt;=$AO$21,"Alto",0)))</f>
        <v>0</v>
      </c>
      <c r="H120" t="str">
        <f>SUM(B120:F120)</f>
        <v>0</v>
      </c>
      <c r="I120" s="10" t="str">
        <f>IF(H120&lt;=$BA$19,"Bajo",IF(H120&lt;=$BA$20,"Medio ",IF(H120&lt;=$BA$21,"Alto",0)))</f>
        <v>0</v>
      </c>
    </row>
    <row r="121" spans="1:61">
      <c r="A121" t="s">
        <v>141</v>
      </c>
      <c r="B121" t="str">
        <f>SUM('Gestión de abastecimiento'!B122:G122)</f>
        <v>0</v>
      </c>
      <c r="C121" s="10" t="str">
        <f>IF(B121&lt;=$Q$19,"Bajo",IF(B121&lt;=$Q$20,"Medio ",IF(B121&lt;=$Q$21,"Alto",0)))</f>
        <v>0</v>
      </c>
      <c r="D121" t="str">
        <f>SUM('Gestión de abastecimiento'!H122:M122)</f>
        <v>0</v>
      </c>
      <c r="E121" s="10" t="str">
        <f>IF(D121&lt;=$AC$19,"Bajo",IF(D121&lt;=$AC$20,"Medio ",IF(D121&lt;=$AC$21,"Alto",0)))</f>
        <v>0</v>
      </c>
      <c r="F121" t="str">
        <f>SUM('Gestión de abastecimiento'!N122:S122)</f>
        <v>0</v>
      </c>
      <c r="G121" s="10" t="str">
        <f>IF(F121&lt;=$AO$19,"Bajo",IF(F121&lt;=$AO$20,"Medio ",IF(F121&lt;=$AO$21,"Alto",0)))</f>
        <v>0</v>
      </c>
      <c r="H121" t="str">
        <f>SUM(B121:F121)</f>
        <v>0</v>
      </c>
      <c r="I121" s="10" t="str">
        <f>IF(H121&lt;=$BA$19,"Bajo",IF(H121&lt;=$BA$20,"Medio ",IF(H121&lt;=$BA$21,"Alto",0)))</f>
        <v>0</v>
      </c>
    </row>
    <row r="122" spans="1:61">
      <c r="A122" t="s">
        <v>142</v>
      </c>
      <c r="B122" t="str">
        <f>SUM('Gestión de abastecimiento'!B123:G123)</f>
        <v>0</v>
      </c>
      <c r="C122" s="10" t="str">
        <f>IF(B122&lt;=$Q$19,"Bajo",IF(B122&lt;=$Q$20,"Medio ",IF(B122&lt;=$Q$21,"Alto",0)))</f>
        <v>0</v>
      </c>
      <c r="D122" t="str">
        <f>SUM('Gestión de abastecimiento'!H123:M123)</f>
        <v>0</v>
      </c>
      <c r="E122" s="10" t="str">
        <f>IF(D122&lt;=$AC$19,"Bajo",IF(D122&lt;=$AC$20,"Medio ",IF(D122&lt;=$AC$21,"Alto",0)))</f>
        <v>0</v>
      </c>
      <c r="F122" t="str">
        <f>SUM('Gestión de abastecimiento'!N123:S123)</f>
        <v>0</v>
      </c>
      <c r="G122" s="10" t="str">
        <f>IF(F122&lt;=$AO$19,"Bajo",IF(F122&lt;=$AO$20,"Medio ",IF(F122&lt;=$AO$21,"Alto",0)))</f>
        <v>0</v>
      </c>
      <c r="H122" t="str">
        <f>SUM(B122:F122)</f>
        <v>0</v>
      </c>
      <c r="I122" s="10" t="str">
        <f>IF(H122&lt;=$BA$19,"Bajo",IF(H122&lt;=$BA$20,"Medio ",IF(H122&lt;=$BA$21,"Alto",0)))</f>
        <v>0</v>
      </c>
    </row>
    <row r="123" spans="1:61">
      <c r="A123" t="s">
        <v>143</v>
      </c>
      <c r="B123" t="str">
        <f>SUM('Gestión de abastecimiento'!B124:G124)</f>
        <v>0</v>
      </c>
      <c r="C123" s="10" t="str">
        <f>IF(B123&lt;=$Q$19,"Bajo",IF(B123&lt;=$Q$20,"Medio ",IF(B123&lt;=$Q$21,"Alto",0)))</f>
        <v>0</v>
      </c>
      <c r="D123" t="str">
        <f>SUM('Gestión de abastecimiento'!H124:M124)</f>
        <v>0</v>
      </c>
      <c r="E123" s="10" t="str">
        <f>IF(D123&lt;=$AC$19,"Bajo",IF(D123&lt;=$AC$20,"Medio ",IF(D123&lt;=$AC$21,"Alto",0)))</f>
        <v>0</v>
      </c>
      <c r="F123" t="str">
        <f>SUM('Gestión de abastecimiento'!N124:S124)</f>
        <v>0</v>
      </c>
      <c r="G123" s="10" t="str">
        <f>IF(F123&lt;=$AO$19,"Bajo",IF(F123&lt;=$AO$20,"Medio ",IF(F123&lt;=$AO$21,"Alto",0)))</f>
        <v>0</v>
      </c>
      <c r="H123" t="str">
        <f>SUM(B123:F123)</f>
        <v>0</v>
      </c>
      <c r="I123" s="10" t="str">
        <f>IF(H123&lt;=$BA$19,"Bajo",IF(H123&lt;=$BA$20,"Medio ",IF(H123&lt;=$BA$21,"Alto",0)))</f>
        <v>0</v>
      </c>
    </row>
    <row r="124" spans="1:61">
      <c r="A124" t="s">
        <v>144</v>
      </c>
      <c r="B124" t="str">
        <f>SUM('Gestión de abastecimiento'!B125:G125)</f>
        <v>0</v>
      </c>
      <c r="C124" s="10" t="str">
        <f>IF(B124&lt;=$Q$19,"Bajo",IF(B124&lt;=$Q$20,"Medio ",IF(B124&lt;=$Q$21,"Alto",0)))</f>
        <v>0</v>
      </c>
      <c r="D124" t="str">
        <f>SUM('Gestión de abastecimiento'!H125:M125)</f>
        <v>0</v>
      </c>
      <c r="E124" s="10" t="str">
        <f>IF(D124&lt;=$AC$19,"Bajo",IF(D124&lt;=$AC$20,"Medio ",IF(D124&lt;=$AC$21,"Alto",0)))</f>
        <v>0</v>
      </c>
      <c r="F124" t="str">
        <f>SUM('Gestión de abastecimiento'!N125:S125)</f>
        <v>0</v>
      </c>
      <c r="G124" s="10" t="str">
        <f>IF(F124&lt;=$AO$19,"Bajo",IF(F124&lt;=$AO$20,"Medio ",IF(F124&lt;=$AO$21,"Alto",0)))</f>
        <v>0</v>
      </c>
      <c r="H124" t="str">
        <f>SUM(B124:F124)</f>
        <v>0</v>
      </c>
      <c r="I124" s="10" t="str">
        <f>IF(H124&lt;=$BA$19,"Bajo",IF(H124&lt;=$BA$20,"Medio ",IF(H124&lt;=$BA$21,"Alto",0)))</f>
        <v>0</v>
      </c>
    </row>
    <row r="125" spans="1:61">
      <c r="A125" t="s">
        <v>145</v>
      </c>
      <c r="B125" t="str">
        <f>SUM('Gestión de abastecimiento'!B126:G126)</f>
        <v>0</v>
      </c>
      <c r="C125" s="10" t="str">
        <f>IF(B125&lt;=$Q$19,"Bajo",IF(B125&lt;=$Q$20,"Medio ",IF(B125&lt;=$Q$21,"Alto",0)))</f>
        <v>0</v>
      </c>
      <c r="D125" t="str">
        <f>SUM('Gestión de abastecimiento'!H126:M126)</f>
        <v>0</v>
      </c>
      <c r="E125" s="10" t="str">
        <f>IF(D125&lt;=$AC$19,"Bajo",IF(D125&lt;=$AC$20,"Medio ",IF(D125&lt;=$AC$21,"Alto",0)))</f>
        <v>0</v>
      </c>
      <c r="F125" t="str">
        <f>SUM('Gestión de abastecimiento'!N126:S126)</f>
        <v>0</v>
      </c>
      <c r="G125" s="10" t="str">
        <f>IF(F125&lt;=$AO$19,"Bajo",IF(F125&lt;=$AO$20,"Medio ",IF(F125&lt;=$AO$21,"Alto",0)))</f>
        <v>0</v>
      </c>
      <c r="H125" t="str">
        <f>SUM(B125:F125)</f>
        <v>0</v>
      </c>
      <c r="I125" s="10" t="str">
        <f>IF(H125&lt;=$BA$19,"Bajo",IF(H125&lt;=$BA$20,"Medio ",IF(H125&lt;=$BA$21,"Alto",0)))</f>
        <v>0</v>
      </c>
    </row>
    <row r="126" spans="1:61">
      <c r="A126" t="s">
        <v>146</v>
      </c>
      <c r="B126" t="str">
        <f>SUM('Gestión de abastecimiento'!B127:G127)</f>
        <v>0</v>
      </c>
      <c r="C126" s="10" t="str">
        <f>IF(B126&lt;=$Q$19,"Bajo",IF(B126&lt;=$Q$20,"Medio ",IF(B126&lt;=$Q$21,"Alto",0)))</f>
        <v>0</v>
      </c>
      <c r="D126" t="str">
        <f>SUM('Gestión de abastecimiento'!H127:M127)</f>
        <v>0</v>
      </c>
      <c r="E126" s="10" t="str">
        <f>IF(D126&lt;=$AC$19,"Bajo",IF(D126&lt;=$AC$20,"Medio ",IF(D126&lt;=$AC$21,"Alto",0)))</f>
        <v>0</v>
      </c>
      <c r="F126" t="str">
        <f>SUM('Gestión de abastecimiento'!N127:S127)</f>
        <v>0</v>
      </c>
      <c r="G126" s="10" t="str">
        <f>IF(F126&lt;=$AO$19,"Bajo",IF(F126&lt;=$AO$20,"Medio ",IF(F126&lt;=$AO$21,"Alto",0)))</f>
        <v>0</v>
      </c>
      <c r="H126" t="str">
        <f>SUM(B126:F126)</f>
        <v>0</v>
      </c>
      <c r="I126" s="10" t="str">
        <f>IF(H126&lt;=$BA$19,"Bajo",IF(H126&lt;=$BA$20,"Medio ",IF(H126&lt;=$BA$21,"Alto",0)))</f>
        <v>0</v>
      </c>
    </row>
    <row r="127" spans="1:61">
      <c r="A127" t="s">
        <v>147</v>
      </c>
      <c r="B127" t="str">
        <f>SUM('Gestión de abastecimiento'!B128:G128)</f>
        <v>0</v>
      </c>
      <c r="C127" s="10" t="str">
        <f>IF(B127&lt;=$Q$19,"Bajo",IF(B127&lt;=$Q$20,"Medio ",IF(B127&lt;=$Q$21,"Alto",0)))</f>
        <v>0</v>
      </c>
      <c r="D127" t="str">
        <f>SUM('Gestión de abastecimiento'!H128:M128)</f>
        <v>0</v>
      </c>
      <c r="E127" s="10" t="str">
        <f>IF(D127&lt;=$AC$19,"Bajo",IF(D127&lt;=$AC$20,"Medio ",IF(D127&lt;=$AC$21,"Alto",0)))</f>
        <v>0</v>
      </c>
      <c r="F127" t="str">
        <f>SUM('Gestión de abastecimiento'!N128:S128)</f>
        <v>0</v>
      </c>
      <c r="G127" s="10" t="str">
        <f>IF(F127&lt;=$AO$19,"Bajo",IF(F127&lt;=$AO$20,"Medio ",IF(F127&lt;=$AO$21,"Alto",0)))</f>
        <v>0</v>
      </c>
      <c r="H127" t="str">
        <f>SUM(B127:F127)</f>
        <v>0</v>
      </c>
      <c r="I127" s="10" t="str">
        <f>IF(H127&lt;=$BA$19,"Bajo",IF(H127&lt;=$BA$20,"Medio ",IF(H127&lt;=$BA$21,"Alto",0)))</f>
        <v>0</v>
      </c>
    </row>
    <row r="128" spans="1:61">
      <c r="A128" t="s">
        <v>148</v>
      </c>
      <c r="B128" t="str">
        <f>SUM('Gestión de abastecimiento'!B129:G129)</f>
        <v>0</v>
      </c>
      <c r="C128" s="10" t="str">
        <f>IF(B128&lt;=$Q$19,"Bajo",IF(B128&lt;=$Q$20,"Medio ",IF(B128&lt;=$Q$21,"Alto",0)))</f>
        <v>0</v>
      </c>
      <c r="D128" t="str">
        <f>SUM('Gestión de abastecimiento'!H129:M129)</f>
        <v>0</v>
      </c>
      <c r="E128" s="10" t="str">
        <f>IF(D128&lt;=$AC$19,"Bajo",IF(D128&lt;=$AC$20,"Medio ",IF(D128&lt;=$AC$21,"Alto",0)))</f>
        <v>0</v>
      </c>
      <c r="F128" t="str">
        <f>SUM('Gestión de abastecimiento'!N129:S129)</f>
        <v>0</v>
      </c>
      <c r="G128" s="10" t="str">
        <f>IF(F128&lt;=$AO$19,"Bajo",IF(F128&lt;=$AO$20,"Medio ",IF(F128&lt;=$AO$21,"Alto",0)))</f>
        <v>0</v>
      </c>
      <c r="H128" t="str">
        <f>SUM(B128:F128)</f>
        <v>0</v>
      </c>
      <c r="I128" s="10" t="str">
        <f>IF(H128&lt;=$BA$19,"Bajo",IF(H128&lt;=$BA$20,"Medio ",IF(H128&lt;=$BA$21,"Alto",0)))</f>
        <v>0</v>
      </c>
    </row>
    <row r="129" spans="1:61">
      <c r="A129" t="s">
        <v>149</v>
      </c>
      <c r="B129" t="str">
        <f>SUM('Gestión de abastecimiento'!B130:G130)</f>
        <v>0</v>
      </c>
      <c r="C129" s="10" t="str">
        <f>IF(B129&lt;=$Q$19,"Bajo",IF(B129&lt;=$Q$20,"Medio ",IF(B129&lt;=$Q$21,"Alto",0)))</f>
        <v>0</v>
      </c>
      <c r="D129" t="str">
        <f>SUM('Gestión de abastecimiento'!H130:M130)</f>
        <v>0</v>
      </c>
      <c r="E129" s="10" t="str">
        <f>IF(D129&lt;=$AC$19,"Bajo",IF(D129&lt;=$AC$20,"Medio ",IF(D129&lt;=$AC$21,"Alto",0)))</f>
        <v>0</v>
      </c>
      <c r="F129" t="str">
        <f>SUM('Gestión de abastecimiento'!N130:S130)</f>
        <v>0</v>
      </c>
      <c r="G129" s="10" t="str">
        <f>IF(F129&lt;=$AO$19,"Bajo",IF(F129&lt;=$AO$20,"Medio ",IF(F129&lt;=$AO$21,"Alto",0)))</f>
        <v>0</v>
      </c>
      <c r="H129" t="str">
        <f>SUM(B129:F129)</f>
        <v>0</v>
      </c>
      <c r="I129" s="10" t="str">
        <f>IF(H129&lt;=$BA$19,"Bajo",IF(H129&lt;=$BA$20,"Medio ",IF(H129&lt;=$BA$21,"Alto",0)))</f>
        <v>0</v>
      </c>
    </row>
    <row r="130" spans="1:61">
      <c r="A130" t="s">
        <v>150</v>
      </c>
      <c r="B130" t="str">
        <f>SUM('Gestión de abastecimiento'!B131:G131)</f>
        <v>0</v>
      </c>
      <c r="C130" s="10" t="str">
        <f>IF(B130&lt;=$Q$19,"Bajo",IF(B130&lt;=$Q$20,"Medio ",IF(B130&lt;=$Q$21,"Alto",0)))</f>
        <v>0</v>
      </c>
      <c r="D130" t="str">
        <f>SUM('Gestión de abastecimiento'!H131:M131)</f>
        <v>0</v>
      </c>
      <c r="E130" s="10" t="str">
        <f>IF(D130&lt;=$AC$19,"Bajo",IF(D130&lt;=$AC$20,"Medio ",IF(D130&lt;=$AC$21,"Alto",0)))</f>
        <v>0</v>
      </c>
      <c r="F130" t="str">
        <f>SUM('Gestión de abastecimiento'!N131:S131)</f>
        <v>0</v>
      </c>
      <c r="G130" s="10" t="str">
        <f>IF(F130&lt;=$AO$19,"Bajo",IF(F130&lt;=$AO$20,"Medio ",IF(F130&lt;=$AO$21,"Alto",0)))</f>
        <v>0</v>
      </c>
      <c r="H130" t="str">
        <f>SUM(B130:F130)</f>
        <v>0</v>
      </c>
      <c r="I130" s="10" t="str">
        <f>IF(H130&lt;=$BA$19,"Bajo",IF(H130&lt;=$BA$20,"Medio ",IF(H130&lt;=$BA$21,"Alto",0)))</f>
        <v>0</v>
      </c>
    </row>
    <row r="131" spans="1:61">
      <c r="A131" t="s">
        <v>151</v>
      </c>
      <c r="B131" t="str">
        <f>SUM('Gestión de abastecimiento'!B132:G132)</f>
        <v>0</v>
      </c>
      <c r="C131" s="10" t="str">
        <f>IF(B131&lt;=$Q$19,"Bajo",IF(B131&lt;=$Q$20,"Medio ",IF(B131&lt;=$Q$21,"Alto",0)))</f>
        <v>0</v>
      </c>
      <c r="D131" t="str">
        <f>SUM('Gestión de abastecimiento'!H132:M132)</f>
        <v>0</v>
      </c>
      <c r="E131" s="10" t="str">
        <f>IF(D131&lt;=$AC$19,"Bajo",IF(D131&lt;=$AC$20,"Medio ",IF(D131&lt;=$AC$21,"Alto",0)))</f>
        <v>0</v>
      </c>
      <c r="F131" t="str">
        <f>SUM('Gestión de abastecimiento'!N132:S132)</f>
        <v>0</v>
      </c>
      <c r="G131" s="10" t="str">
        <f>IF(F131&lt;=$AO$19,"Bajo",IF(F131&lt;=$AO$20,"Medio ",IF(F131&lt;=$AO$21,"Alto",0)))</f>
        <v>0</v>
      </c>
      <c r="H131" t="str">
        <f>SUM(B131:F131)</f>
        <v>0</v>
      </c>
      <c r="I131" s="10" t="str">
        <f>IF(H131&lt;=$BA$19,"Bajo",IF(H131&lt;=$BA$20,"Medio ",IF(H131&lt;=$BA$21,"Alto",0)))</f>
        <v>0</v>
      </c>
    </row>
    <row r="132" spans="1:61">
      <c r="A132" t="s">
        <v>152</v>
      </c>
      <c r="B132" t="str">
        <f>SUM('Gestión de abastecimiento'!B133:G133)</f>
        <v>0</v>
      </c>
      <c r="C132" s="10" t="str">
        <f>IF(B132&lt;=$Q$19,"Bajo",IF(B132&lt;=$Q$20,"Medio ",IF(B132&lt;=$Q$21,"Alto",0)))</f>
        <v>0</v>
      </c>
      <c r="D132" t="str">
        <f>SUM('Gestión de abastecimiento'!H133:M133)</f>
        <v>0</v>
      </c>
      <c r="E132" s="10" t="str">
        <f>IF(D132&lt;=$AC$19,"Bajo",IF(D132&lt;=$AC$20,"Medio ",IF(D132&lt;=$AC$21,"Alto",0)))</f>
        <v>0</v>
      </c>
      <c r="F132" t="str">
        <f>SUM('Gestión de abastecimiento'!N133:S133)</f>
        <v>0</v>
      </c>
      <c r="G132" s="10" t="str">
        <f>IF(F132&lt;=$AO$19,"Bajo",IF(F132&lt;=$AO$20,"Medio ",IF(F132&lt;=$AO$21,"Alto",0)))</f>
        <v>0</v>
      </c>
      <c r="H132" t="str">
        <f>SUM(B132:F132)</f>
        <v>0</v>
      </c>
      <c r="I132" s="10" t="str">
        <f>IF(H132&lt;=$BA$19,"Bajo",IF(H132&lt;=$BA$20,"Medio ",IF(H132&lt;=$BA$21,"Alto",0)))</f>
        <v>0</v>
      </c>
    </row>
    <row r="133" spans="1:61">
      <c r="A133" t="s">
        <v>153</v>
      </c>
      <c r="B133" t="str">
        <f>SUM('Gestión de abastecimiento'!B134:G134)</f>
        <v>0</v>
      </c>
      <c r="C133" s="10" t="str">
        <f>IF(B133&lt;=$Q$19,"Bajo",IF(B133&lt;=$Q$20,"Medio ",IF(B133&lt;=$Q$21,"Alto",0)))</f>
        <v>0</v>
      </c>
      <c r="D133" t="str">
        <f>SUM('Gestión de abastecimiento'!H134:M134)</f>
        <v>0</v>
      </c>
      <c r="E133" s="10" t="str">
        <f>IF(D133&lt;=$AC$19,"Bajo",IF(D133&lt;=$AC$20,"Medio ",IF(D133&lt;=$AC$21,"Alto",0)))</f>
        <v>0</v>
      </c>
      <c r="F133" t="str">
        <f>SUM('Gestión de abastecimiento'!N134:S134)</f>
        <v>0</v>
      </c>
      <c r="G133" s="10" t="str">
        <f>IF(F133&lt;=$AO$19,"Bajo",IF(F133&lt;=$AO$20,"Medio ",IF(F133&lt;=$AO$21,"Alto",0)))</f>
        <v>0</v>
      </c>
      <c r="H133" t="str">
        <f>SUM(B133:F133)</f>
        <v>0</v>
      </c>
      <c r="I133" s="10" t="str">
        <f>IF(H133&lt;=$BA$19,"Bajo",IF(H133&lt;=$BA$20,"Medio ",IF(H133&lt;=$BA$21,"Alto",0)))</f>
        <v>0</v>
      </c>
    </row>
    <row r="134" spans="1:61">
      <c r="A134" t="s">
        <v>154</v>
      </c>
      <c r="B134" t="str">
        <f>SUM('Gestión de abastecimiento'!B135:G135)</f>
        <v>0</v>
      </c>
      <c r="C134" s="10" t="str">
        <f>IF(B134&lt;=$Q$19,"Bajo",IF(B134&lt;=$Q$20,"Medio ",IF(B134&lt;=$Q$21,"Alto",0)))</f>
        <v>0</v>
      </c>
      <c r="D134" t="str">
        <f>SUM('Gestión de abastecimiento'!H135:M135)</f>
        <v>0</v>
      </c>
      <c r="E134" s="10" t="str">
        <f>IF(D134&lt;=$AC$19,"Bajo",IF(D134&lt;=$AC$20,"Medio ",IF(D134&lt;=$AC$21,"Alto",0)))</f>
        <v>0</v>
      </c>
      <c r="F134" t="str">
        <f>SUM('Gestión de abastecimiento'!N135:S135)</f>
        <v>0</v>
      </c>
      <c r="G134" s="10" t="str">
        <f>IF(F134&lt;=$AO$19,"Bajo",IF(F134&lt;=$AO$20,"Medio ",IF(F134&lt;=$AO$21,"Alto",0)))</f>
        <v>0</v>
      </c>
      <c r="H134" t="str">
        <f>SUM(B134:F134)</f>
        <v>0</v>
      </c>
      <c r="I134" s="10" t="str">
        <f>IF(H134&lt;=$BA$19,"Bajo",IF(H134&lt;=$BA$20,"Medio ",IF(H134&lt;=$BA$21,"Alto",0)))</f>
        <v>0</v>
      </c>
    </row>
    <row r="135" spans="1:61">
      <c r="A135" t="s">
        <v>155</v>
      </c>
      <c r="B135" t="str">
        <f>SUM('Gestión de abastecimiento'!B136:G136)</f>
        <v>0</v>
      </c>
      <c r="C135" s="10" t="str">
        <f>IF(B135&lt;=$Q$19,"Bajo",IF(B135&lt;=$Q$20,"Medio ",IF(B135&lt;=$Q$21,"Alto",0)))</f>
        <v>0</v>
      </c>
      <c r="D135" t="str">
        <f>SUM('Gestión de abastecimiento'!H136:M136)</f>
        <v>0</v>
      </c>
      <c r="E135" s="10" t="str">
        <f>IF(D135&lt;=$AC$19,"Bajo",IF(D135&lt;=$AC$20,"Medio ",IF(D135&lt;=$AC$21,"Alto",0)))</f>
        <v>0</v>
      </c>
      <c r="F135" t="str">
        <f>SUM('Gestión de abastecimiento'!N136:S136)</f>
        <v>0</v>
      </c>
      <c r="G135" s="10" t="str">
        <f>IF(F135&lt;=$AO$19,"Bajo",IF(F135&lt;=$AO$20,"Medio ",IF(F135&lt;=$AO$21,"Alto",0)))</f>
        <v>0</v>
      </c>
      <c r="H135" t="str">
        <f>SUM(B135:F135)</f>
        <v>0</v>
      </c>
      <c r="I135" s="10" t="str">
        <f>IF(H135&lt;=$BA$19,"Bajo",IF(H135&lt;=$BA$20,"Medio ",IF(H135&lt;=$BA$21,"Alto",0)))</f>
        <v>0</v>
      </c>
    </row>
    <row r="136" spans="1:61">
      <c r="A136" t="s">
        <v>156</v>
      </c>
      <c r="B136" t="str">
        <f>SUM('Gestión de abastecimiento'!B137:G137)</f>
        <v>0</v>
      </c>
      <c r="C136" s="10" t="str">
        <f>IF(B136&lt;=$Q$19,"Bajo",IF(B136&lt;=$Q$20,"Medio ",IF(B136&lt;=$Q$21,"Alto",0)))</f>
        <v>0</v>
      </c>
      <c r="D136" t="str">
        <f>SUM('Gestión de abastecimiento'!H137:M137)</f>
        <v>0</v>
      </c>
      <c r="E136" s="10" t="str">
        <f>IF(D136&lt;=$AC$19,"Bajo",IF(D136&lt;=$AC$20,"Medio ",IF(D136&lt;=$AC$21,"Alto",0)))</f>
        <v>0</v>
      </c>
      <c r="F136" t="str">
        <f>SUM('Gestión de abastecimiento'!N137:S137)</f>
        <v>0</v>
      </c>
      <c r="G136" s="10" t="str">
        <f>IF(F136&lt;=$AO$19,"Bajo",IF(F136&lt;=$AO$20,"Medio ",IF(F136&lt;=$AO$21,"Alto",0)))</f>
        <v>0</v>
      </c>
      <c r="H136" t="str">
        <f>SUM(B136:F136)</f>
        <v>0</v>
      </c>
      <c r="I136" s="10" t="str">
        <f>IF(H136&lt;=$BA$19,"Bajo",IF(H136&lt;=$BA$20,"Medio ",IF(H136&lt;=$BA$21,"Alto",0)))</f>
        <v>0</v>
      </c>
    </row>
    <row r="137" spans="1:61">
      <c r="A137" t="s">
        <v>157</v>
      </c>
      <c r="B137" t="str">
        <f>SUM('Gestión de abastecimiento'!B138:G138)</f>
        <v>0</v>
      </c>
      <c r="C137" s="10" t="str">
        <f>IF(B137&lt;=$Q$19,"Bajo",IF(B137&lt;=$Q$20,"Medio ",IF(B137&lt;=$Q$21,"Alto",0)))</f>
        <v>0</v>
      </c>
      <c r="D137" t="str">
        <f>SUM('Gestión de abastecimiento'!H138:M138)</f>
        <v>0</v>
      </c>
      <c r="E137" s="10" t="str">
        <f>IF(D137&lt;=$AC$19,"Bajo",IF(D137&lt;=$AC$20,"Medio ",IF(D137&lt;=$AC$21,"Alto",0)))</f>
        <v>0</v>
      </c>
      <c r="F137" t="str">
        <f>SUM('Gestión de abastecimiento'!N138:S138)</f>
        <v>0</v>
      </c>
      <c r="G137" s="10" t="str">
        <f>IF(F137&lt;=$AO$19,"Bajo",IF(F137&lt;=$AO$20,"Medio ",IF(F137&lt;=$AO$21,"Alto",0)))</f>
        <v>0</v>
      </c>
      <c r="H137" t="str">
        <f>SUM(B137:F137)</f>
        <v>0</v>
      </c>
      <c r="I137" s="10" t="str">
        <f>IF(H137&lt;=$BA$19,"Bajo",IF(H137&lt;=$BA$20,"Medio ",IF(H137&lt;=$BA$21,"Alto",0)))</f>
        <v>0</v>
      </c>
    </row>
    <row r="138" spans="1:61">
      <c r="A138" t="s">
        <v>158</v>
      </c>
      <c r="B138" t="str">
        <f>SUM('Gestión de abastecimiento'!B139:G139)</f>
        <v>0</v>
      </c>
      <c r="C138" s="10" t="str">
        <f>IF(B138&lt;=$Q$19,"Bajo",IF(B138&lt;=$Q$20,"Medio ",IF(B138&lt;=$Q$21,"Alto",0)))</f>
        <v>0</v>
      </c>
      <c r="D138" t="str">
        <f>SUM('Gestión de abastecimiento'!H139:M139)</f>
        <v>0</v>
      </c>
      <c r="E138" s="10" t="str">
        <f>IF(D138&lt;=$AC$19,"Bajo",IF(D138&lt;=$AC$20,"Medio ",IF(D138&lt;=$AC$21,"Alto",0)))</f>
        <v>0</v>
      </c>
      <c r="F138" t="str">
        <f>SUM('Gestión de abastecimiento'!N139:S139)</f>
        <v>0</v>
      </c>
      <c r="G138" s="10" t="str">
        <f>IF(F138&lt;=$AO$19,"Bajo",IF(F138&lt;=$AO$20,"Medio ",IF(F138&lt;=$AO$21,"Alto",0)))</f>
        <v>0</v>
      </c>
      <c r="H138" t="str">
        <f>SUM(B138:F138)</f>
        <v>0</v>
      </c>
      <c r="I138" s="10" t="str">
        <f>IF(H138&lt;=$BA$19,"Bajo",IF(H138&lt;=$BA$20,"Medio ",IF(H138&lt;=$BA$21,"Alto",0)))</f>
        <v>0</v>
      </c>
    </row>
    <row r="139" spans="1:61">
      <c r="A139" t="s">
        <v>159</v>
      </c>
      <c r="B139" t="str">
        <f>SUM('Gestión de abastecimiento'!B140:G140)</f>
        <v>0</v>
      </c>
      <c r="C139" s="10" t="str">
        <f>IF(B139&lt;=$Q$19,"Bajo",IF(B139&lt;=$Q$20,"Medio ",IF(B139&lt;=$Q$21,"Alto",0)))</f>
        <v>0</v>
      </c>
      <c r="D139" t="str">
        <f>SUM('Gestión de abastecimiento'!H140:M140)</f>
        <v>0</v>
      </c>
      <c r="E139" s="10" t="str">
        <f>IF(D139&lt;=$AC$19,"Bajo",IF(D139&lt;=$AC$20,"Medio ",IF(D139&lt;=$AC$21,"Alto",0)))</f>
        <v>0</v>
      </c>
      <c r="F139" t="str">
        <f>SUM('Gestión de abastecimiento'!N140:S140)</f>
        <v>0</v>
      </c>
      <c r="G139" s="10" t="str">
        <f>IF(F139&lt;=$AO$19,"Bajo",IF(F139&lt;=$AO$20,"Medio ",IF(F139&lt;=$AO$21,"Alto",0)))</f>
        <v>0</v>
      </c>
      <c r="H139" t="str">
        <f>SUM(B139:F139)</f>
        <v>0</v>
      </c>
      <c r="I139" s="10" t="str">
        <f>IF(H139&lt;=$BA$19,"Bajo",IF(H139&lt;=$BA$20,"Medio ",IF(H139&lt;=$BA$21,"Alto",0)))</f>
        <v>0</v>
      </c>
    </row>
    <row r="140" spans="1:61">
      <c r="A140" t="s">
        <v>160</v>
      </c>
      <c r="B140" t="str">
        <f>SUM('Gestión de abastecimiento'!B141:G141)</f>
        <v>0</v>
      </c>
      <c r="C140" s="10" t="str">
        <f>IF(B140&lt;=$Q$19,"Bajo",IF(B140&lt;=$Q$20,"Medio ",IF(B140&lt;=$Q$21,"Alto",0)))</f>
        <v>0</v>
      </c>
      <c r="D140" t="str">
        <f>SUM('Gestión de abastecimiento'!H141:M141)</f>
        <v>0</v>
      </c>
      <c r="E140" s="10" t="str">
        <f>IF(D140&lt;=$AC$19,"Bajo",IF(D140&lt;=$AC$20,"Medio ",IF(D140&lt;=$AC$21,"Alto",0)))</f>
        <v>0</v>
      </c>
      <c r="F140" t="str">
        <f>SUM('Gestión de abastecimiento'!N141:S141)</f>
        <v>0</v>
      </c>
      <c r="G140" s="10" t="str">
        <f>IF(F140&lt;=$AO$19,"Bajo",IF(F140&lt;=$AO$20,"Medio ",IF(F140&lt;=$AO$21,"Alto",0)))</f>
        <v>0</v>
      </c>
      <c r="H140" t="str">
        <f>SUM(B140:F140)</f>
        <v>0</v>
      </c>
      <c r="I140" s="10" t="str">
        <f>IF(H140&lt;=$BA$19,"Bajo",IF(H140&lt;=$BA$20,"Medio ",IF(H140&lt;=$BA$21,"Alto",0)))</f>
        <v>0</v>
      </c>
    </row>
    <row r="141" spans="1:61">
      <c r="A141" t="s">
        <v>161</v>
      </c>
      <c r="B141" t="str">
        <f>SUM('Gestión de abastecimiento'!B142:G142)</f>
        <v>0</v>
      </c>
      <c r="C141" s="10" t="str">
        <f>IF(B141&lt;=$Q$19,"Bajo",IF(B141&lt;=$Q$20,"Medio ",IF(B141&lt;=$Q$21,"Alto",0)))</f>
        <v>0</v>
      </c>
      <c r="D141" t="str">
        <f>SUM('Gestión de abastecimiento'!H142:M142)</f>
        <v>0</v>
      </c>
      <c r="E141" s="10" t="str">
        <f>IF(D141&lt;=$AC$19,"Bajo",IF(D141&lt;=$AC$20,"Medio ",IF(D141&lt;=$AC$21,"Alto",0)))</f>
        <v>0</v>
      </c>
      <c r="F141" t="str">
        <f>SUM('Gestión de abastecimiento'!N142:S142)</f>
        <v>0</v>
      </c>
      <c r="G141" s="10" t="str">
        <f>IF(F141&lt;=$AO$19,"Bajo",IF(F141&lt;=$AO$20,"Medio ",IF(F141&lt;=$AO$21,"Alto",0)))</f>
        <v>0</v>
      </c>
      <c r="H141" t="str">
        <f>SUM(B141:F141)</f>
        <v>0</v>
      </c>
      <c r="I141" s="10" t="str">
        <f>IF(H141&lt;=$BA$19,"Bajo",IF(H141&lt;=$BA$20,"Medio ",IF(H141&lt;=$BA$21,"Alto",0)))</f>
        <v>0</v>
      </c>
    </row>
    <row r="142" spans="1:61">
      <c r="A142" t="s">
        <v>162</v>
      </c>
      <c r="B142" t="str">
        <f>SUM('Gestión de abastecimiento'!B143:G143)</f>
        <v>0</v>
      </c>
      <c r="C142" s="10" t="str">
        <f>IF(B142&lt;=$Q$19,"Bajo",IF(B142&lt;=$Q$20,"Medio ",IF(B142&lt;=$Q$21,"Alto",0)))</f>
        <v>0</v>
      </c>
      <c r="D142" t="str">
        <f>SUM('Gestión de abastecimiento'!H143:M143)</f>
        <v>0</v>
      </c>
      <c r="E142" s="10" t="str">
        <f>IF(D142&lt;=$AC$19,"Bajo",IF(D142&lt;=$AC$20,"Medio ",IF(D142&lt;=$AC$21,"Alto",0)))</f>
        <v>0</v>
      </c>
      <c r="F142" t="str">
        <f>SUM('Gestión de abastecimiento'!N143:S143)</f>
        <v>0</v>
      </c>
      <c r="G142" s="10" t="str">
        <f>IF(F142&lt;=$AO$19,"Bajo",IF(F142&lt;=$AO$20,"Medio ",IF(F142&lt;=$AO$21,"Alto",0)))</f>
        <v>0</v>
      </c>
      <c r="H142" t="str">
        <f>SUM(B142:F142)</f>
        <v>0</v>
      </c>
      <c r="I142" s="10" t="str">
        <f>IF(H142&lt;=$BA$19,"Bajo",IF(H142&lt;=$BA$20,"Medio ",IF(H142&lt;=$BA$21,"Alto",0)))</f>
        <v>0</v>
      </c>
    </row>
    <row r="143" spans="1:61">
      <c r="A143" t="s">
        <v>163</v>
      </c>
      <c r="B143" t="str">
        <f>SUM('Gestión de abastecimiento'!B144:G144)</f>
        <v>0</v>
      </c>
      <c r="C143" s="10" t="str">
        <f>IF(B143&lt;=$Q$19,"Bajo",IF(B143&lt;=$Q$20,"Medio ",IF(B143&lt;=$Q$21,"Alto",0)))</f>
        <v>0</v>
      </c>
      <c r="D143" t="str">
        <f>SUM('Gestión de abastecimiento'!H144:M144)</f>
        <v>0</v>
      </c>
      <c r="E143" s="10" t="str">
        <f>IF(D143&lt;=$AC$19,"Bajo",IF(D143&lt;=$AC$20,"Medio ",IF(D143&lt;=$AC$21,"Alto",0)))</f>
        <v>0</v>
      </c>
      <c r="F143" t="str">
        <f>SUM('Gestión de abastecimiento'!N144:S144)</f>
        <v>0</v>
      </c>
      <c r="G143" s="10" t="str">
        <f>IF(F143&lt;=$AO$19,"Bajo",IF(F143&lt;=$AO$20,"Medio ",IF(F143&lt;=$AO$21,"Alto",0)))</f>
        <v>0</v>
      </c>
      <c r="H143" t="str">
        <f>SUM(B143:F143)</f>
        <v>0</v>
      </c>
      <c r="I143" s="10" t="str">
        <f>IF(H143&lt;=$BA$19,"Bajo",IF(H143&lt;=$BA$20,"Medio ",IF(H143&lt;=$BA$21,"Alto",0)))</f>
        <v>0</v>
      </c>
    </row>
    <row r="144" spans="1:61">
      <c r="A144" t="s">
        <v>164</v>
      </c>
      <c r="B144" t="str">
        <f>SUM('Gestión de abastecimiento'!B145:G145)</f>
        <v>0</v>
      </c>
      <c r="C144" s="10" t="str">
        <f>IF(B144&lt;=$Q$19,"Bajo",IF(B144&lt;=$Q$20,"Medio ",IF(B144&lt;=$Q$21,"Alto",0)))</f>
        <v>0</v>
      </c>
      <c r="D144" t="str">
        <f>SUM('Gestión de abastecimiento'!H145:M145)</f>
        <v>0</v>
      </c>
      <c r="E144" s="10" t="str">
        <f>IF(D144&lt;=$AC$19,"Bajo",IF(D144&lt;=$AC$20,"Medio ",IF(D144&lt;=$AC$21,"Alto",0)))</f>
        <v>0</v>
      </c>
      <c r="F144" t="str">
        <f>SUM('Gestión de abastecimiento'!N145:S145)</f>
        <v>0</v>
      </c>
      <c r="G144" s="10" t="str">
        <f>IF(F144&lt;=$AO$19,"Bajo",IF(F144&lt;=$AO$20,"Medio ",IF(F144&lt;=$AO$21,"Alto",0)))</f>
        <v>0</v>
      </c>
      <c r="H144" t="str">
        <f>SUM(B144:F144)</f>
        <v>0</v>
      </c>
      <c r="I144" s="10" t="str">
        <f>IF(H144&lt;=$BA$19,"Bajo",IF(H144&lt;=$BA$20,"Medio ",IF(H144&lt;=$BA$21,"Alto",0)))</f>
        <v>0</v>
      </c>
    </row>
    <row r="145" spans="1:61">
      <c r="A145" t="s">
        <v>165</v>
      </c>
      <c r="B145" t="str">
        <f>SUM('Gestión de abastecimiento'!B146:G146)</f>
        <v>0</v>
      </c>
      <c r="C145" s="10" t="str">
        <f>IF(B145&lt;=$Q$19,"Bajo",IF(B145&lt;=$Q$20,"Medio ",IF(B145&lt;=$Q$21,"Alto",0)))</f>
        <v>0</v>
      </c>
      <c r="D145" t="str">
        <f>SUM('Gestión de abastecimiento'!H146:M146)</f>
        <v>0</v>
      </c>
      <c r="E145" s="10" t="str">
        <f>IF(D145&lt;=$AC$19,"Bajo",IF(D145&lt;=$AC$20,"Medio ",IF(D145&lt;=$AC$21,"Alto",0)))</f>
        <v>0</v>
      </c>
      <c r="F145" t="str">
        <f>SUM('Gestión de abastecimiento'!N146:S146)</f>
        <v>0</v>
      </c>
      <c r="G145" s="10" t="str">
        <f>IF(F145&lt;=$AO$19,"Bajo",IF(F145&lt;=$AO$20,"Medio ",IF(F145&lt;=$AO$21,"Alto",0)))</f>
        <v>0</v>
      </c>
      <c r="H145" t="str">
        <f>SUM(B145:F145)</f>
        <v>0</v>
      </c>
      <c r="I145" s="10" t="str">
        <f>IF(H145&lt;=$BA$19,"Bajo",IF(H145&lt;=$BA$20,"Medio ",IF(H145&lt;=$BA$21,"Alto",0)))</f>
        <v>0</v>
      </c>
    </row>
    <row r="146" spans="1:61">
      <c r="A146" t="s">
        <v>166</v>
      </c>
      <c r="B146" t="str">
        <f>SUM('Gestión de abastecimiento'!B147:G147)</f>
        <v>0</v>
      </c>
      <c r="C146" s="10" t="str">
        <f>IF(B146&lt;=$Q$19,"Bajo",IF(B146&lt;=$Q$20,"Medio ",IF(B146&lt;=$Q$21,"Alto",0)))</f>
        <v>0</v>
      </c>
      <c r="D146" t="str">
        <f>SUM('Gestión de abastecimiento'!H147:M147)</f>
        <v>0</v>
      </c>
      <c r="E146" s="10" t="str">
        <f>IF(D146&lt;=$AC$19,"Bajo",IF(D146&lt;=$AC$20,"Medio ",IF(D146&lt;=$AC$21,"Alto",0)))</f>
        <v>0</v>
      </c>
      <c r="F146" t="str">
        <f>SUM('Gestión de abastecimiento'!N147:S147)</f>
        <v>0</v>
      </c>
      <c r="G146" s="10" t="str">
        <f>IF(F146&lt;=$AO$19,"Bajo",IF(F146&lt;=$AO$20,"Medio ",IF(F146&lt;=$AO$21,"Alto",0)))</f>
        <v>0</v>
      </c>
      <c r="H146" t="str">
        <f>SUM(B146:F146)</f>
        <v>0</v>
      </c>
      <c r="I146" s="10" t="str">
        <f>IF(H146&lt;=$BA$19,"Bajo",IF(H146&lt;=$BA$20,"Medio ",IF(H146&lt;=$BA$21,"Alto",0)))</f>
        <v>0</v>
      </c>
    </row>
    <row r="147" spans="1:61">
      <c r="A147" t="s">
        <v>167</v>
      </c>
      <c r="B147" t="str">
        <f>SUM('Gestión de abastecimiento'!B148:G148)</f>
        <v>0</v>
      </c>
      <c r="C147" s="10" t="str">
        <f>IF(B147&lt;=$Q$19,"Bajo",IF(B147&lt;=$Q$20,"Medio ",IF(B147&lt;=$Q$21,"Alto",0)))</f>
        <v>0</v>
      </c>
      <c r="D147" t="str">
        <f>SUM('Gestión de abastecimiento'!H148:M148)</f>
        <v>0</v>
      </c>
      <c r="E147" s="10" t="str">
        <f>IF(D147&lt;=$AC$19,"Bajo",IF(D147&lt;=$AC$20,"Medio ",IF(D147&lt;=$AC$21,"Alto",0)))</f>
        <v>0</v>
      </c>
      <c r="F147" t="str">
        <f>SUM('Gestión de abastecimiento'!N148:S148)</f>
        <v>0</v>
      </c>
      <c r="G147" s="10" t="str">
        <f>IF(F147&lt;=$AO$19,"Bajo",IF(F147&lt;=$AO$20,"Medio ",IF(F147&lt;=$AO$21,"Alto",0)))</f>
        <v>0</v>
      </c>
      <c r="H147" t="str">
        <f>SUM(B147:F147)</f>
        <v>0</v>
      </c>
      <c r="I147" s="10" t="str">
        <f>IF(H147&lt;=$BA$19,"Bajo",IF(H147&lt;=$BA$20,"Medio ",IF(H147&lt;=$BA$21,"Alto",0)))</f>
        <v>0</v>
      </c>
    </row>
    <row r="148" spans="1:61">
      <c r="A148" t="s">
        <v>168</v>
      </c>
      <c r="B148" t="str">
        <f>SUM('Gestión de abastecimiento'!B149:G149)</f>
        <v>0</v>
      </c>
      <c r="C148" s="10" t="str">
        <f>IF(B148&lt;=$Q$19,"Bajo",IF(B148&lt;=$Q$20,"Medio ",IF(B148&lt;=$Q$21,"Alto",0)))</f>
        <v>0</v>
      </c>
      <c r="D148" t="str">
        <f>SUM('Gestión de abastecimiento'!H149:M149)</f>
        <v>0</v>
      </c>
      <c r="E148" s="10" t="str">
        <f>IF(D148&lt;=$AC$19,"Bajo",IF(D148&lt;=$AC$20,"Medio ",IF(D148&lt;=$AC$21,"Alto",0)))</f>
        <v>0</v>
      </c>
      <c r="F148" t="str">
        <f>SUM('Gestión de abastecimiento'!N149:S149)</f>
        <v>0</v>
      </c>
      <c r="G148" s="10" t="str">
        <f>IF(F148&lt;=$AO$19,"Bajo",IF(F148&lt;=$AO$20,"Medio ",IF(F148&lt;=$AO$21,"Alto",0)))</f>
        <v>0</v>
      </c>
      <c r="H148" t="str">
        <f>SUM(B148:F148)</f>
        <v>0</v>
      </c>
      <c r="I148" s="10" t="str">
        <f>IF(H148&lt;=$BA$19,"Bajo",IF(H148&lt;=$BA$20,"Medio ",IF(H148&lt;=$BA$21,"Alto",0)))</f>
        <v>0</v>
      </c>
    </row>
    <row r="149" spans="1:61">
      <c r="A149" t="s">
        <v>169</v>
      </c>
      <c r="B149" t="str">
        <f>SUM('Gestión de abastecimiento'!B150:G150)</f>
        <v>0</v>
      </c>
      <c r="C149" s="10" t="str">
        <f>IF(B149&lt;=$Q$19,"Bajo",IF(B149&lt;=$Q$20,"Medio ",IF(B149&lt;=$Q$21,"Alto",0)))</f>
        <v>0</v>
      </c>
      <c r="D149" t="str">
        <f>SUM('Gestión de abastecimiento'!H150:M150)</f>
        <v>0</v>
      </c>
      <c r="E149" s="10" t="str">
        <f>IF(D149&lt;=$AC$19,"Bajo",IF(D149&lt;=$AC$20,"Medio ",IF(D149&lt;=$AC$21,"Alto",0)))</f>
        <v>0</v>
      </c>
      <c r="F149" t="str">
        <f>SUM('Gestión de abastecimiento'!N150:S150)</f>
        <v>0</v>
      </c>
      <c r="G149" s="10" t="str">
        <f>IF(F149&lt;=$AO$19,"Bajo",IF(F149&lt;=$AO$20,"Medio ",IF(F149&lt;=$AO$21,"Alto",0)))</f>
        <v>0</v>
      </c>
      <c r="H149" t="str">
        <f>SUM(B149:F149)</f>
        <v>0</v>
      </c>
      <c r="I149" s="10" t="str">
        <f>IF(H149&lt;=$BA$19,"Bajo",IF(H149&lt;=$BA$20,"Medio ",IF(H149&lt;=$BA$21,"Alto",0)))</f>
        <v>0</v>
      </c>
    </row>
    <row r="150" spans="1:61">
      <c r="A150" t="s">
        <v>170</v>
      </c>
      <c r="B150" t="str">
        <f>SUM('Gestión de abastecimiento'!B151:G151)</f>
        <v>0</v>
      </c>
      <c r="C150" s="10" t="str">
        <f>IF(B150&lt;=$Q$19,"Bajo",IF(B150&lt;=$Q$20,"Medio ",IF(B150&lt;=$Q$21,"Alto",0)))</f>
        <v>0</v>
      </c>
      <c r="D150" t="str">
        <f>SUM('Gestión de abastecimiento'!H151:M151)</f>
        <v>0</v>
      </c>
      <c r="E150" s="10" t="str">
        <f>IF(D150&lt;=$AC$19,"Bajo",IF(D150&lt;=$AC$20,"Medio ",IF(D150&lt;=$AC$21,"Alto",0)))</f>
        <v>0</v>
      </c>
      <c r="F150" t="str">
        <f>SUM('Gestión de abastecimiento'!N151:S151)</f>
        <v>0</v>
      </c>
      <c r="G150" s="10" t="str">
        <f>IF(F150&lt;=$AO$19,"Bajo",IF(F150&lt;=$AO$20,"Medio ",IF(F150&lt;=$AO$21,"Alto",0)))</f>
        <v>0</v>
      </c>
      <c r="H150" t="str">
        <f>SUM(B150:F150)</f>
        <v>0</v>
      </c>
      <c r="I150" s="10" t="str">
        <f>IF(H150&lt;=$BA$19,"Bajo",IF(H150&lt;=$BA$20,"Medio ",IF(H150&lt;=$BA$21,"Alto",0)))</f>
        <v>0</v>
      </c>
    </row>
    <row r="151" spans="1:61">
      <c r="A151" t="s">
        <v>171</v>
      </c>
      <c r="B151" t="str">
        <f>SUM('Gestión de abastecimiento'!B152:G152)</f>
        <v>0</v>
      </c>
      <c r="C151" s="10" t="str">
        <f>IF(B151&lt;=$Q$19,"Bajo",IF(B151&lt;=$Q$20,"Medio ",IF(B151&lt;=$Q$21,"Alto",0)))</f>
        <v>0</v>
      </c>
      <c r="D151" t="str">
        <f>SUM('Gestión de abastecimiento'!H152:M152)</f>
        <v>0</v>
      </c>
      <c r="E151" s="10" t="str">
        <f>IF(D151&lt;=$AC$19,"Bajo",IF(D151&lt;=$AC$20,"Medio ",IF(D151&lt;=$AC$21,"Alto",0)))</f>
        <v>0</v>
      </c>
      <c r="F151" t="str">
        <f>SUM('Gestión de abastecimiento'!N152:S152)</f>
        <v>0</v>
      </c>
      <c r="G151" s="10" t="str">
        <f>IF(F151&lt;=$AO$19,"Bajo",IF(F151&lt;=$AO$20,"Medio ",IF(F151&lt;=$AO$21,"Alto",0)))</f>
        <v>0</v>
      </c>
      <c r="H151" t="str">
        <f>SUM(B151:F151)</f>
        <v>0</v>
      </c>
      <c r="I151" s="10" t="str">
        <f>IF(H151&lt;=$BA$19,"Bajo",IF(H151&lt;=$BA$20,"Medio ",IF(H151&lt;=$BA$21,"Alto",0)))</f>
        <v>0</v>
      </c>
    </row>
    <row r="152" spans="1:61">
      <c r="A152" t="s">
        <v>172</v>
      </c>
      <c r="B152" t="str">
        <f>SUM('Gestión de abastecimiento'!B153:G153)</f>
        <v>0</v>
      </c>
      <c r="C152" s="10" t="str">
        <f>IF(B152&lt;=$Q$19,"Bajo",IF(B152&lt;=$Q$20,"Medio ",IF(B152&lt;=$Q$21,"Alto",0)))</f>
        <v>0</v>
      </c>
      <c r="D152" t="str">
        <f>SUM('Gestión de abastecimiento'!H153:M153)</f>
        <v>0</v>
      </c>
      <c r="E152" s="10" t="str">
        <f>IF(D152&lt;=$AC$19,"Bajo",IF(D152&lt;=$AC$20,"Medio ",IF(D152&lt;=$AC$21,"Alto",0)))</f>
        <v>0</v>
      </c>
      <c r="F152" t="str">
        <f>SUM('Gestión de abastecimiento'!N153:S153)</f>
        <v>0</v>
      </c>
      <c r="G152" s="10" t="str">
        <f>IF(F152&lt;=$AO$19,"Bajo",IF(F152&lt;=$AO$20,"Medio ",IF(F152&lt;=$AO$21,"Alto",0)))</f>
        <v>0</v>
      </c>
      <c r="H152" t="str">
        <f>SUM(B152:F152)</f>
        <v>0</v>
      </c>
      <c r="I152" s="10" t="str">
        <f>IF(H152&lt;=$BA$19,"Bajo",IF(H152&lt;=$BA$20,"Medio ",IF(H152&lt;=$BA$21,"Alto",0)))</f>
        <v>0</v>
      </c>
    </row>
    <row r="153" spans="1:61">
      <c r="A153" t="s">
        <v>173</v>
      </c>
      <c r="B153" t="str">
        <f>SUM('Gestión de abastecimiento'!B154:G154)</f>
        <v>0</v>
      </c>
      <c r="C153" s="10" t="str">
        <f>IF(B153&lt;=$Q$19,"Bajo",IF(B153&lt;=$Q$20,"Medio ",IF(B153&lt;=$Q$21,"Alto",0)))</f>
        <v>0</v>
      </c>
      <c r="D153" t="str">
        <f>SUM('Gestión de abastecimiento'!H154:M154)</f>
        <v>0</v>
      </c>
      <c r="E153" s="10" t="str">
        <f>IF(D153&lt;=$AC$19,"Bajo",IF(D153&lt;=$AC$20,"Medio ",IF(D153&lt;=$AC$21,"Alto",0)))</f>
        <v>0</v>
      </c>
      <c r="F153" t="str">
        <f>SUM('Gestión de abastecimiento'!N154:S154)</f>
        <v>0</v>
      </c>
      <c r="G153" s="10" t="str">
        <f>IF(F153&lt;=$AO$19,"Bajo",IF(F153&lt;=$AO$20,"Medio ",IF(F153&lt;=$AO$21,"Alto",0)))</f>
        <v>0</v>
      </c>
      <c r="H153" t="str">
        <f>SUM(B153:F153)</f>
        <v>0</v>
      </c>
      <c r="I153" s="10" t="str">
        <f>IF(H153&lt;=$BA$19,"Bajo",IF(H153&lt;=$BA$20,"Medio ",IF(H153&lt;=$BA$21,"Alto",0)))</f>
        <v>0</v>
      </c>
    </row>
    <row r="154" spans="1:61">
      <c r="A154" t="s">
        <v>174</v>
      </c>
      <c r="B154" t="str">
        <f>SUM('Gestión de abastecimiento'!B155:G155)</f>
        <v>0</v>
      </c>
      <c r="C154" s="10" t="str">
        <f>IF(B154&lt;=$Q$19,"Bajo",IF(B154&lt;=$Q$20,"Medio ",IF(B154&lt;=$Q$21,"Alto",0)))</f>
        <v>0</v>
      </c>
      <c r="D154" t="str">
        <f>SUM('Gestión de abastecimiento'!H155:M155)</f>
        <v>0</v>
      </c>
      <c r="E154" s="10" t="str">
        <f>IF(D154&lt;=$AC$19,"Bajo",IF(D154&lt;=$AC$20,"Medio ",IF(D154&lt;=$AC$21,"Alto",0)))</f>
        <v>0</v>
      </c>
      <c r="F154" t="str">
        <f>SUM('Gestión de abastecimiento'!N155:S155)</f>
        <v>0</v>
      </c>
      <c r="G154" s="10" t="str">
        <f>IF(F154&lt;=$AO$19,"Bajo",IF(F154&lt;=$AO$20,"Medio ",IF(F154&lt;=$AO$21,"Alto",0)))</f>
        <v>0</v>
      </c>
      <c r="H154" t="str">
        <f>SUM(B154:F154)</f>
        <v>0</v>
      </c>
      <c r="I154" s="10" t="str">
        <f>IF(H154&lt;=$BA$19,"Bajo",IF(H154&lt;=$BA$20,"Medio ",IF(H154&lt;=$BA$21,"Alto",0)))</f>
        <v>0</v>
      </c>
    </row>
    <row r="155" spans="1:61">
      <c r="A155" t="s">
        <v>175</v>
      </c>
      <c r="B155" t="str">
        <f>SUM('Gestión de abastecimiento'!B156:G156)</f>
        <v>0</v>
      </c>
      <c r="C155" s="10" t="str">
        <f>IF(B155&lt;=$Q$19,"Bajo",IF(B155&lt;=$Q$20,"Medio ",IF(B155&lt;=$Q$21,"Alto",0)))</f>
        <v>0</v>
      </c>
      <c r="D155" t="str">
        <f>SUM('Gestión de abastecimiento'!H156:M156)</f>
        <v>0</v>
      </c>
      <c r="E155" s="10" t="str">
        <f>IF(D155&lt;=$AC$19,"Bajo",IF(D155&lt;=$AC$20,"Medio ",IF(D155&lt;=$AC$21,"Alto",0)))</f>
        <v>0</v>
      </c>
      <c r="F155" t="str">
        <f>SUM('Gestión de abastecimiento'!N156:S156)</f>
        <v>0</v>
      </c>
      <c r="G155" s="10" t="str">
        <f>IF(F155&lt;=$AO$19,"Bajo",IF(F155&lt;=$AO$20,"Medio ",IF(F155&lt;=$AO$21,"Alto",0)))</f>
        <v>0</v>
      </c>
      <c r="H155" t="str">
        <f>SUM(B155:F155)</f>
        <v>0</v>
      </c>
      <c r="I155" s="10" t="str">
        <f>IF(H155&lt;=$BA$19,"Bajo",IF(H155&lt;=$BA$20,"Medio ",IF(H155&lt;=$BA$21,"Alto",0)))</f>
        <v>0</v>
      </c>
    </row>
    <row r="156" spans="1:61">
      <c r="A156" t="s">
        <v>176</v>
      </c>
      <c r="B156" t="str">
        <f>SUM('Gestión de abastecimiento'!B157:G157)</f>
        <v>0</v>
      </c>
      <c r="C156" s="10" t="str">
        <f>IF(B156&lt;=$Q$19,"Bajo",IF(B156&lt;=$Q$20,"Medio ",IF(B156&lt;=$Q$21,"Alto",0)))</f>
        <v>0</v>
      </c>
      <c r="D156" t="str">
        <f>SUM('Gestión de abastecimiento'!H157:M157)</f>
        <v>0</v>
      </c>
      <c r="E156" s="10" t="str">
        <f>IF(D156&lt;=$AC$19,"Bajo",IF(D156&lt;=$AC$20,"Medio ",IF(D156&lt;=$AC$21,"Alto",0)))</f>
        <v>0</v>
      </c>
      <c r="F156" t="str">
        <f>SUM('Gestión de abastecimiento'!N157:S157)</f>
        <v>0</v>
      </c>
      <c r="G156" s="10" t="str">
        <f>IF(F156&lt;=$AO$19,"Bajo",IF(F156&lt;=$AO$20,"Medio ",IF(F156&lt;=$AO$21,"Alto",0)))</f>
        <v>0</v>
      </c>
      <c r="H156" t="str">
        <f>SUM(B156:F156)</f>
        <v>0</v>
      </c>
      <c r="I156" s="10" t="str">
        <f>IF(H156&lt;=$BA$19,"Bajo",IF(H156&lt;=$BA$20,"Medio ",IF(H156&lt;=$BA$21,"Alto",0)))</f>
        <v>0</v>
      </c>
    </row>
    <row r="157" spans="1:61">
      <c r="A157" t="s">
        <v>177</v>
      </c>
      <c r="B157" t="str">
        <f>SUM('Gestión de abastecimiento'!B158:G158)</f>
        <v>0</v>
      </c>
      <c r="C157" s="10" t="str">
        <f>IF(B157&lt;=$Q$19,"Bajo",IF(B157&lt;=$Q$20,"Medio ",IF(B157&lt;=$Q$21,"Alto",0)))</f>
        <v>0</v>
      </c>
      <c r="D157" t="str">
        <f>SUM('Gestión de abastecimiento'!H158:M158)</f>
        <v>0</v>
      </c>
      <c r="E157" s="10" t="str">
        <f>IF(D157&lt;=$AC$19,"Bajo",IF(D157&lt;=$AC$20,"Medio ",IF(D157&lt;=$AC$21,"Alto",0)))</f>
        <v>0</v>
      </c>
      <c r="F157" t="str">
        <f>SUM('Gestión de abastecimiento'!N158:S158)</f>
        <v>0</v>
      </c>
      <c r="G157" s="10" t="str">
        <f>IF(F157&lt;=$AO$19,"Bajo",IF(F157&lt;=$AO$20,"Medio ",IF(F157&lt;=$AO$21,"Alto",0)))</f>
        <v>0</v>
      </c>
      <c r="H157" t="str">
        <f>SUM(B157:F157)</f>
        <v>0</v>
      </c>
      <c r="I157" s="10" t="str">
        <f>IF(H157&lt;=$BA$19,"Bajo",IF(H157&lt;=$BA$20,"Medio ",IF(H157&lt;=$BA$21,"Alto",0)))</f>
        <v>0</v>
      </c>
    </row>
    <row r="158" spans="1:61">
      <c r="A158" t="s">
        <v>178</v>
      </c>
      <c r="B158" t="str">
        <f>SUM('Gestión de abastecimiento'!B159:G159)</f>
        <v>0</v>
      </c>
      <c r="C158" s="10" t="str">
        <f>IF(B158&lt;=$Q$19,"Bajo",IF(B158&lt;=$Q$20,"Medio ",IF(B158&lt;=$Q$21,"Alto",0)))</f>
        <v>0</v>
      </c>
      <c r="D158" t="str">
        <f>SUM('Gestión de abastecimiento'!H159:M159)</f>
        <v>0</v>
      </c>
      <c r="E158" s="10" t="str">
        <f>IF(D158&lt;=$AC$19,"Bajo",IF(D158&lt;=$AC$20,"Medio ",IF(D158&lt;=$AC$21,"Alto",0)))</f>
        <v>0</v>
      </c>
      <c r="F158" t="str">
        <f>SUM('Gestión de abastecimiento'!N159:S159)</f>
        <v>0</v>
      </c>
      <c r="G158" s="10" t="str">
        <f>IF(F158&lt;=$AO$19,"Bajo",IF(F158&lt;=$AO$20,"Medio ",IF(F158&lt;=$AO$21,"Alto",0)))</f>
        <v>0</v>
      </c>
      <c r="H158" t="str">
        <f>SUM(B158:F158)</f>
        <v>0</v>
      </c>
      <c r="I158" s="10" t="str">
        <f>IF(H158&lt;=$BA$19,"Bajo",IF(H158&lt;=$BA$20,"Medio ",IF(H158&lt;=$BA$21,"Alto",0)))</f>
        <v>0</v>
      </c>
    </row>
    <row r="159" spans="1:61">
      <c r="A159" t="s">
        <v>179</v>
      </c>
      <c r="B159" t="str">
        <f>SUM('Gestión de abastecimiento'!B160:G160)</f>
        <v>0</v>
      </c>
      <c r="C159" s="10" t="str">
        <f>IF(B159&lt;=$Q$19,"Bajo",IF(B159&lt;=$Q$20,"Medio ",IF(B159&lt;=$Q$21,"Alto",0)))</f>
        <v>0</v>
      </c>
      <c r="D159" t="str">
        <f>SUM('Gestión de abastecimiento'!H160:M160)</f>
        <v>0</v>
      </c>
      <c r="E159" s="10" t="str">
        <f>IF(D159&lt;=$AC$19,"Bajo",IF(D159&lt;=$AC$20,"Medio ",IF(D159&lt;=$AC$21,"Alto",0)))</f>
        <v>0</v>
      </c>
      <c r="F159" t="str">
        <f>SUM('Gestión de abastecimiento'!N160:S160)</f>
        <v>0</v>
      </c>
      <c r="G159" s="10" t="str">
        <f>IF(F159&lt;=$AO$19,"Bajo",IF(F159&lt;=$AO$20,"Medio ",IF(F159&lt;=$AO$21,"Alto",0)))</f>
        <v>0</v>
      </c>
      <c r="H159" t="str">
        <f>SUM(B159:F159)</f>
        <v>0</v>
      </c>
      <c r="I159" s="10" t="str">
        <f>IF(H159&lt;=$BA$19,"Bajo",IF(H159&lt;=$BA$20,"Medio ",IF(H159&lt;=$BA$21,"Alto",0)))</f>
        <v>0</v>
      </c>
    </row>
    <row r="160" spans="1:61">
      <c r="A160" t="s">
        <v>180</v>
      </c>
      <c r="B160" t="str">
        <f>SUM('Gestión de abastecimiento'!B161:G161)</f>
        <v>0</v>
      </c>
      <c r="C160" s="10" t="str">
        <f>IF(B160&lt;=$Q$19,"Bajo",IF(B160&lt;=$Q$20,"Medio ",IF(B160&lt;=$Q$21,"Alto",0)))</f>
        <v>0</v>
      </c>
      <c r="D160" t="str">
        <f>SUM('Gestión de abastecimiento'!H161:M161)</f>
        <v>0</v>
      </c>
      <c r="E160" s="10" t="str">
        <f>IF(D160&lt;=$AC$19,"Bajo",IF(D160&lt;=$AC$20,"Medio ",IF(D160&lt;=$AC$21,"Alto",0)))</f>
        <v>0</v>
      </c>
      <c r="F160" t="str">
        <f>SUM('Gestión de abastecimiento'!N161:S161)</f>
        <v>0</v>
      </c>
      <c r="G160" s="10" t="str">
        <f>IF(F160&lt;=$AO$19,"Bajo",IF(F160&lt;=$AO$20,"Medio ",IF(F160&lt;=$AO$21,"Alto",0)))</f>
        <v>0</v>
      </c>
      <c r="H160" t="str">
        <f>SUM(B160:F160)</f>
        <v>0</v>
      </c>
      <c r="I160" s="10" t="str">
        <f>IF(H160&lt;=$BA$19,"Bajo",IF(H160&lt;=$BA$20,"Medio ",IF(H160&lt;=$BA$21,"Alto",0)))</f>
        <v>0</v>
      </c>
    </row>
    <row r="161" spans="1:61">
      <c r="A161" t="s">
        <v>181</v>
      </c>
      <c r="B161" t="str">
        <f>SUM('Gestión de abastecimiento'!B162:G162)</f>
        <v>0</v>
      </c>
      <c r="C161" s="10" t="str">
        <f>IF(B161&lt;=$Q$19,"Bajo",IF(B161&lt;=$Q$20,"Medio ",IF(B161&lt;=$Q$21,"Alto",0)))</f>
        <v>0</v>
      </c>
      <c r="D161" t="str">
        <f>SUM('Gestión de abastecimiento'!H162:M162)</f>
        <v>0</v>
      </c>
      <c r="E161" s="10" t="str">
        <f>IF(D161&lt;=$AC$19,"Bajo",IF(D161&lt;=$AC$20,"Medio ",IF(D161&lt;=$AC$21,"Alto",0)))</f>
        <v>0</v>
      </c>
      <c r="F161" t="str">
        <f>SUM('Gestión de abastecimiento'!N162:S162)</f>
        <v>0</v>
      </c>
      <c r="G161" s="10" t="str">
        <f>IF(F161&lt;=$AO$19,"Bajo",IF(F161&lt;=$AO$20,"Medio ",IF(F161&lt;=$AO$21,"Alto",0)))</f>
        <v>0</v>
      </c>
      <c r="H161" t="str">
        <f>SUM(B161:F161)</f>
        <v>0</v>
      </c>
      <c r="I161" s="10" t="str">
        <f>IF(H161&lt;=$BA$19,"Bajo",IF(H161&lt;=$BA$20,"Medio ",IF(H161&lt;=$BA$21,"Alto",0)))</f>
        <v>0</v>
      </c>
    </row>
    <row r="162" spans="1:61">
      <c r="A162" t="s">
        <v>182</v>
      </c>
      <c r="B162" t="str">
        <f>SUM('Gestión de abastecimiento'!B163:G163)</f>
        <v>0</v>
      </c>
      <c r="C162" s="10" t="str">
        <f>IF(B162&lt;=$Q$19,"Bajo",IF(B162&lt;=$Q$20,"Medio ",IF(B162&lt;=$Q$21,"Alto",0)))</f>
        <v>0</v>
      </c>
      <c r="D162" t="str">
        <f>SUM('Gestión de abastecimiento'!H163:M163)</f>
        <v>0</v>
      </c>
      <c r="E162" s="10" t="str">
        <f>IF(D162&lt;=$AC$19,"Bajo",IF(D162&lt;=$AC$20,"Medio ",IF(D162&lt;=$AC$21,"Alto",0)))</f>
        <v>0</v>
      </c>
      <c r="F162" t="str">
        <f>SUM('Gestión de abastecimiento'!N163:S163)</f>
        <v>0</v>
      </c>
      <c r="G162" s="10" t="str">
        <f>IF(F162&lt;=$AO$19,"Bajo",IF(F162&lt;=$AO$20,"Medio ",IF(F162&lt;=$AO$21,"Alto",0)))</f>
        <v>0</v>
      </c>
      <c r="H162" t="str">
        <f>SUM(B162:F162)</f>
        <v>0</v>
      </c>
      <c r="I162" s="10" t="str">
        <f>IF(H162&lt;=$BA$19,"Bajo",IF(H162&lt;=$BA$20,"Medio ",IF(H162&lt;=$BA$21,"Alto",0)))</f>
        <v>0</v>
      </c>
    </row>
    <row r="163" spans="1:61">
      <c r="A163" t="s">
        <v>183</v>
      </c>
      <c r="B163" t="str">
        <f>SUM('Gestión de abastecimiento'!B164:G164)</f>
        <v>0</v>
      </c>
      <c r="C163" s="10" t="str">
        <f>IF(B163&lt;=$Q$19,"Bajo",IF(B163&lt;=$Q$20,"Medio ",IF(B163&lt;=$Q$21,"Alto",0)))</f>
        <v>0</v>
      </c>
      <c r="D163" t="str">
        <f>SUM('Gestión de abastecimiento'!H164:M164)</f>
        <v>0</v>
      </c>
      <c r="E163" s="10" t="str">
        <f>IF(D163&lt;=$AC$19,"Bajo",IF(D163&lt;=$AC$20,"Medio ",IF(D163&lt;=$AC$21,"Alto",0)))</f>
        <v>0</v>
      </c>
      <c r="F163" t="str">
        <f>SUM('Gestión de abastecimiento'!N164:S164)</f>
        <v>0</v>
      </c>
      <c r="G163" s="10" t="str">
        <f>IF(F163&lt;=$AO$19,"Bajo",IF(F163&lt;=$AO$20,"Medio ",IF(F163&lt;=$AO$21,"Alto",0)))</f>
        <v>0</v>
      </c>
      <c r="H163" t="str">
        <f>SUM(B163:F163)</f>
        <v>0</v>
      </c>
      <c r="I163" s="10" t="str">
        <f>IF(H163&lt;=$BA$19,"Bajo",IF(H163&lt;=$BA$20,"Medio ",IF(H163&lt;=$BA$21,"Alto",0)))</f>
        <v>0</v>
      </c>
    </row>
    <row r="164" spans="1:61">
      <c r="A164" t="s">
        <v>184</v>
      </c>
      <c r="B164" t="str">
        <f>SUM('Gestión de abastecimiento'!B165:G165)</f>
        <v>0</v>
      </c>
      <c r="C164" s="10" t="str">
        <f>IF(B164&lt;=$Q$19,"Bajo",IF(B164&lt;=$Q$20,"Medio ",IF(B164&lt;=$Q$21,"Alto",0)))</f>
        <v>0</v>
      </c>
      <c r="D164" t="str">
        <f>SUM('Gestión de abastecimiento'!H165:M165)</f>
        <v>0</v>
      </c>
      <c r="E164" s="10" t="str">
        <f>IF(D164&lt;=$AC$19,"Bajo",IF(D164&lt;=$AC$20,"Medio ",IF(D164&lt;=$AC$21,"Alto",0)))</f>
        <v>0</v>
      </c>
      <c r="F164" t="str">
        <f>SUM('Gestión de abastecimiento'!N165:S165)</f>
        <v>0</v>
      </c>
      <c r="G164" s="10" t="str">
        <f>IF(F164&lt;=$AO$19,"Bajo",IF(F164&lt;=$AO$20,"Medio ",IF(F164&lt;=$AO$21,"Alto",0)))</f>
        <v>0</v>
      </c>
      <c r="H164" t="str">
        <f>SUM(B164:F164)</f>
        <v>0</v>
      </c>
      <c r="I164" s="10" t="str">
        <f>IF(H164&lt;=$BA$19,"Bajo",IF(H164&lt;=$BA$20,"Medio ",IF(H164&lt;=$BA$21,"Alto",0)))</f>
        <v>0</v>
      </c>
    </row>
    <row r="165" spans="1:61">
      <c r="A165" t="s">
        <v>185</v>
      </c>
      <c r="B165" t="str">
        <f>SUM('Gestión de abastecimiento'!B166:G166)</f>
        <v>0</v>
      </c>
      <c r="C165" s="10" t="str">
        <f>IF(B165&lt;=$Q$19,"Bajo",IF(B165&lt;=$Q$20,"Medio ",IF(B165&lt;=$Q$21,"Alto",0)))</f>
        <v>0</v>
      </c>
      <c r="D165" t="str">
        <f>SUM('Gestión de abastecimiento'!H166:M166)</f>
        <v>0</v>
      </c>
      <c r="E165" s="10" t="str">
        <f>IF(D165&lt;=$AC$19,"Bajo",IF(D165&lt;=$AC$20,"Medio ",IF(D165&lt;=$AC$21,"Alto",0)))</f>
        <v>0</v>
      </c>
      <c r="F165" t="str">
        <f>SUM('Gestión de abastecimiento'!N166:S166)</f>
        <v>0</v>
      </c>
      <c r="G165" s="10" t="str">
        <f>IF(F165&lt;=$AO$19,"Bajo",IF(F165&lt;=$AO$20,"Medio ",IF(F165&lt;=$AO$21,"Alto",0)))</f>
        <v>0</v>
      </c>
      <c r="H165" t="str">
        <f>SUM(B165:F165)</f>
        <v>0</v>
      </c>
      <c r="I165" s="10" t="str">
        <f>IF(H165&lt;=$BA$19,"Bajo",IF(H165&lt;=$BA$20,"Medio ",IF(H165&lt;=$BA$21,"Alto",0)))</f>
        <v>0</v>
      </c>
    </row>
    <row r="166" spans="1:61">
      <c r="A166" t="s">
        <v>186</v>
      </c>
      <c r="B166" t="str">
        <f>SUM('Gestión de abastecimiento'!B167:G167)</f>
        <v>0</v>
      </c>
      <c r="C166" s="10" t="str">
        <f>IF(B166&lt;=$Q$19,"Bajo",IF(B166&lt;=$Q$20,"Medio ",IF(B166&lt;=$Q$21,"Alto",0)))</f>
        <v>0</v>
      </c>
      <c r="D166" t="str">
        <f>SUM('Gestión de abastecimiento'!H167:M167)</f>
        <v>0</v>
      </c>
      <c r="E166" s="10" t="str">
        <f>IF(D166&lt;=$AC$19,"Bajo",IF(D166&lt;=$AC$20,"Medio ",IF(D166&lt;=$AC$21,"Alto",0)))</f>
        <v>0</v>
      </c>
      <c r="F166" t="str">
        <f>SUM('Gestión de abastecimiento'!N167:S167)</f>
        <v>0</v>
      </c>
      <c r="G166" s="10" t="str">
        <f>IF(F166&lt;=$AO$19,"Bajo",IF(F166&lt;=$AO$20,"Medio ",IF(F166&lt;=$AO$21,"Alto",0)))</f>
        <v>0</v>
      </c>
      <c r="H166" t="str">
        <f>SUM(B166:F166)</f>
        <v>0</v>
      </c>
      <c r="I166" s="10" t="str">
        <f>IF(H166&lt;=$BA$19,"Bajo",IF(H166&lt;=$BA$20,"Medio ",IF(H166&lt;=$BA$21,"Alto",0)))</f>
        <v>0</v>
      </c>
    </row>
    <row r="167" spans="1:61">
      <c r="A167" t="s">
        <v>187</v>
      </c>
      <c r="B167" t="str">
        <f>SUM('Gestión de abastecimiento'!B168:G168)</f>
        <v>0</v>
      </c>
      <c r="C167" s="10" t="str">
        <f>IF(B167&lt;=$Q$19,"Bajo",IF(B167&lt;=$Q$20,"Medio ",IF(B167&lt;=$Q$21,"Alto",0)))</f>
        <v>0</v>
      </c>
      <c r="D167" t="str">
        <f>SUM('Gestión de abastecimiento'!H168:M168)</f>
        <v>0</v>
      </c>
      <c r="E167" s="10" t="str">
        <f>IF(D167&lt;=$AC$19,"Bajo",IF(D167&lt;=$AC$20,"Medio ",IF(D167&lt;=$AC$21,"Alto",0)))</f>
        <v>0</v>
      </c>
      <c r="F167" t="str">
        <f>SUM('Gestión de abastecimiento'!N168:S168)</f>
        <v>0</v>
      </c>
      <c r="G167" s="10" t="str">
        <f>IF(F167&lt;=$AO$19,"Bajo",IF(F167&lt;=$AO$20,"Medio ",IF(F167&lt;=$AO$21,"Alto",0)))</f>
        <v>0</v>
      </c>
      <c r="H167" t="str">
        <f>SUM(B167:F167)</f>
        <v>0</v>
      </c>
      <c r="I167" s="10" t="str">
        <f>IF(H167&lt;=$BA$19,"Bajo",IF(H167&lt;=$BA$20,"Medio ",IF(H167&lt;=$BA$21,"Alto",0)))</f>
        <v>0</v>
      </c>
    </row>
    <row r="168" spans="1:61">
      <c r="A168" t="s">
        <v>188</v>
      </c>
      <c r="B168" t="str">
        <f>SUM('Gestión de abastecimiento'!B169:G169)</f>
        <v>0</v>
      </c>
      <c r="C168" s="10" t="str">
        <f>IF(B168&lt;=$Q$19,"Bajo",IF(B168&lt;=$Q$20,"Medio ",IF(B168&lt;=$Q$21,"Alto",0)))</f>
        <v>0</v>
      </c>
      <c r="D168" t="str">
        <f>SUM('Gestión de abastecimiento'!H169:M169)</f>
        <v>0</v>
      </c>
      <c r="E168" s="10" t="str">
        <f>IF(D168&lt;=$AC$19,"Bajo",IF(D168&lt;=$AC$20,"Medio ",IF(D168&lt;=$AC$21,"Alto",0)))</f>
        <v>0</v>
      </c>
      <c r="F168" t="str">
        <f>SUM('Gestión de abastecimiento'!N169:S169)</f>
        <v>0</v>
      </c>
      <c r="G168" s="10" t="str">
        <f>IF(F168&lt;=$AO$19,"Bajo",IF(F168&lt;=$AO$20,"Medio ",IF(F168&lt;=$AO$21,"Alto",0)))</f>
        <v>0</v>
      </c>
      <c r="H168" t="str">
        <f>SUM(B168:F168)</f>
        <v>0</v>
      </c>
      <c r="I168" s="10" t="str">
        <f>IF(H168&lt;=$BA$19,"Bajo",IF(H168&lt;=$BA$20,"Medio ",IF(H168&lt;=$BA$21,"Alto",0)))</f>
        <v>0</v>
      </c>
    </row>
    <row r="169" spans="1:61">
      <c r="A169" t="s">
        <v>189</v>
      </c>
      <c r="B169" t="str">
        <f>SUM('Gestión de abastecimiento'!B170:G170)</f>
        <v>0</v>
      </c>
      <c r="C169" s="10" t="str">
        <f>IF(B169&lt;=$Q$19,"Bajo",IF(B169&lt;=$Q$20,"Medio ",IF(B169&lt;=$Q$21,"Alto",0)))</f>
        <v>0</v>
      </c>
      <c r="D169" t="str">
        <f>SUM('Gestión de abastecimiento'!H170:M170)</f>
        <v>0</v>
      </c>
      <c r="E169" s="10" t="str">
        <f>IF(D169&lt;=$AC$19,"Bajo",IF(D169&lt;=$AC$20,"Medio ",IF(D169&lt;=$AC$21,"Alto",0)))</f>
        <v>0</v>
      </c>
      <c r="F169" t="str">
        <f>SUM('Gestión de abastecimiento'!N170:S170)</f>
        <v>0</v>
      </c>
      <c r="G169" s="10" t="str">
        <f>IF(F169&lt;=$AO$19,"Bajo",IF(F169&lt;=$AO$20,"Medio ",IF(F169&lt;=$AO$21,"Alto",0)))</f>
        <v>0</v>
      </c>
      <c r="H169" t="str">
        <f>SUM(B169:F169)</f>
        <v>0</v>
      </c>
      <c r="I169" s="10" t="str">
        <f>IF(H169&lt;=$BA$19,"Bajo",IF(H169&lt;=$BA$20,"Medio ",IF(H169&lt;=$BA$21,"Alto",0)))</f>
        <v>0</v>
      </c>
    </row>
    <row r="170" spans="1:61">
      <c r="A170" t="s">
        <v>190</v>
      </c>
      <c r="B170" t="str">
        <f>SUM('Gestión de abastecimiento'!B171:G171)</f>
        <v>0</v>
      </c>
      <c r="C170" s="10" t="str">
        <f>IF(B170&lt;=$Q$19,"Bajo",IF(B170&lt;=$Q$20,"Medio ",IF(B170&lt;=$Q$21,"Alto",0)))</f>
        <v>0</v>
      </c>
      <c r="D170" t="str">
        <f>SUM('Gestión de abastecimiento'!H171:M171)</f>
        <v>0</v>
      </c>
      <c r="E170" s="10" t="str">
        <f>IF(D170&lt;=$AC$19,"Bajo",IF(D170&lt;=$AC$20,"Medio ",IF(D170&lt;=$AC$21,"Alto",0)))</f>
        <v>0</v>
      </c>
      <c r="F170" t="str">
        <f>SUM('Gestión de abastecimiento'!N171:S171)</f>
        <v>0</v>
      </c>
      <c r="G170" s="10" t="str">
        <f>IF(F170&lt;=$AO$19,"Bajo",IF(F170&lt;=$AO$20,"Medio ",IF(F170&lt;=$AO$21,"Alto",0)))</f>
        <v>0</v>
      </c>
      <c r="H170" t="str">
        <f>SUM(B170:F170)</f>
        <v>0</v>
      </c>
      <c r="I170" s="10" t="str">
        <f>IF(H170&lt;=$BA$19,"Bajo",IF(H170&lt;=$BA$20,"Medio ",IF(H170&lt;=$BA$21,"Alto",0)))</f>
        <v>0</v>
      </c>
    </row>
    <row r="171" spans="1:61">
      <c r="A171" t="s">
        <v>191</v>
      </c>
      <c r="B171" t="str">
        <f>SUM('Gestión de abastecimiento'!B172:G172)</f>
        <v>0</v>
      </c>
      <c r="C171" s="10" t="str">
        <f>IF(B171&lt;=$Q$19,"Bajo",IF(B171&lt;=$Q$20,"Medio ",IF(B171&lt;=$Q$21,"Alto",0)))</f>
        <v>0</v>
      </c>
      <c r="D171" t="str">
        <f>SUM('Gestión de abastecimiento'!H172:M172)</f>
        <v>0</v>
      </c>
      <c r="E171" s="10" t="str">
        <f>IF(D171&lt;=$AC$19,"Bajo",IF(D171&lt;=$AC$20,"Medio ",IF(D171&lt;=$AC$21,"Alto",0)))</f>
        <v>0</v>
      </c>
      <c r="F171" t="str">
        <f>SUM('Gestión de abastecimiento'!N172:S172)</f>
        <v>0</v>
      </c>
      <c r="G171" s="10" t="str">
        <f>IF(F171&lt;=$AO$19,"Bajo",IF(F171&lt;=$AO$20,"Medio ",IF(F171&lt;=$AO$21,"Alto",0)))</f>
        <v>0</v>
      </c>
      <c r="H171" t="str">
        <f>SUM(B171:F171)</f>
        <v>0</v>
      </c>
      <c r="I171" s="10" t="str">
        <f>IF(H171&lt;=$BA$19,"Bajo",IF(H171&lt;=$BA$20,"Medio ",IF(H171&lt;=$BA$21,"Alto",0)))</f>
        <v>0</v>
      </c>
    </row>
    <row r="172" spans="1:61">
      <c r="A172" t="s">
        <v>192</v>
      </c>
      <c r="B172" t="str">
        <f>SUM('Gestión de abastecimiento'!B173:G173)</f>
        <v>0</v>
      </c>
      <c r="C172" s="10" t="str">
        <f>IF(B172&lt;=$Q$19,"Bajo",IF(B172&lt;=$Q$20,"Medio ",IF(B172&lt;=$Q$21,"Alto",0)))</f>
        <v>0</v>
      </c>
      <c r="D172" t="str">
        <f>SUM('Gestión de abastecimiento'!H173:M173)</f>
        <v>0</v>
      </c>
      <c r="E172" s="10" t="str">
        <f>IF(D172&lt;=$AC$19,"Bajo",IF(D172&lt;=$AC$20,"Medio ",IF(D172&lt;=$AC$21,"Alto",0)))</f>
        <v>0</v>
      </c>
      <c r="F172" t="str">
        <f>SUM('Gestión de abastecimiento'!N173:S173)</f>
        <v>0</v>
      </c>
      <c r="G172" s="10" t="str">
        <f>IF(F172&lt;=$AO$19,"Bajo",IF(F172&lt;=$AO$20,"Medio ",IF(F172&lt;=$AO$21,"Alto",0)))</f>
        <v>0</v>
      </c>
      <c r="H172" t="str">
        <f>SUM(B172:F172)</f>
        <v>0</v>
      </c>
      <c r="I172" s="10" t="str">
        <f>IF(H172&lt;=$BA$19,"Bajo",IF(H172&lt;=$BA$20,"Medio ",IF(H172&lt;=$BA$21,"Alto",0)))</f>
        <v>0</v>
      </c>
    </row>
    <row r="173" spans="1:61">
      <c r="A173" t="s">
        <v>193</v>
      </c>
      <c r="B173" t="str">
        <f>SUM('Gestión de abastecimiento'!B174:G174)</f>
        <v>0</v>
      </c>
      <c r="C173" s="10" t="str">
        <f>IF(B173&lt;=$Q$19,"Bajo",IF(B173&lt;=$Q$20,"Medio ",IF(B173&lt;=$Q$21,"Alto",0)))</f>
        <v>0</v>
      </c>
      <c r="D173" t="str">
        <f>SUM('Gestión de abastecimiento'!H174:M174)</f>
        <v>0</v>
      </c>
      <c r="E173" s="10" t="str">
        <f>IF(D173&lt;=$AC$19,"Bajo",IF(D173&lt;=$AC$20,"Medio ",IF(D173&lt;=$AC$21,"Alto",0)))</f>
        <v>0</v>
      </c>
      <c r="F173" t="str">
        <f>SUM('Gestión de abastecimiento'!N174:S174)</f>
        <v>0</v>
      </c>
      <c r="G173" s="10" t="str">
        <f>IF(F173&lt;=$AO$19,"Bajo",IF(F173&lt;=$AO$20,"Medio ",IF(F173&lt;=$AO$21,"Alto",0)))</f>
        <v>0</v>
      </c>
      <c r="H173" t="str">
        <f>SUM(B173:F173)</f>
        <v>0</v>
      </c>
      <c r="I173" s="10" t="str">
        <f>IF(H173&lt;=$BA$19,"Bajo",IF(H173&lt;=$BA$20,"Medio ",IF(H173&lt;=$BA$21,"Alto",0)))</f>
        <v>0</v>
      </c>
    </row>
    <row r="174" spans="1:61">
      <c r="A174" t="s">
        <v>194</v>
      </c>
      <c r="B174" t="str">
        <f>SUM('Gestión de abastecimiento'!B175:G175)</f>
        <v>0</v>
      </c>
      <c r="C174" s="10" t="str">
        <f>IF(B174&lt;=$Q$19,"Bajo",IF(B174&lt;=$Q$20,"Medio ",IF(B174&lt;=$Q$21,"Alto",0)))</f>
        <v>0</v>
      </c>
      <c r="D174" t="str">
        <f>SUM('Gestión de abastecimiento'!H175:M175)</f>
        <v>0</v>
      </c>
      <c r="E174" s="10" t="str">
        <f>IF(D174&lt;=$AC$19,"Bajo",IF(D174&lt;=$AC$20,"Medio ",IF(D174&lt;=$AC$21,"Alto",0)))</f>
        <v>0</v>
      </c>
      <c r="F174" t="str">
        <f>SUM('Gestión de abastecimiento'!N175:S175)</f>
        <v>0</v>
      </c>
      <c r="G174" s="10" t="str">
        <f>IF(F174&lt;=$AO$19,"Bajo",IF(F174&lt;=$AO$20,"Medio ",IF(F174&lt;=$AO$21,"Alto",0)))</f>
        <v>0</v>
      </c>
      <c r="H174" t="str">
        <f>SUM(B174:F174)</f>
        <v>0</v>
      </c>
      <c r="I174" s="10" t="str">
        <f>IF(H174&lt;=$BA$19,"Bajo",IF(H174&lt;=$BA$20,"Medio ",IF(H174&lt;=$BA$21,"Alto",0)))</f>
        <v>0</v>
      </c>
    </row>
    <row r="175" spans="1:61">
      <c r="A175" t="s">
        <v>195</v>
      </c>
      <c r="B175" t="str">
        <f>SUM('Gestión de abastecimiento'!B176:G176)</f>
        <v>0</v>
      </c>
      <c r="C175" s="10" t="str">
        <f>IF(B175&lt;=$Q$19,"Bajo",IF(B175&lt;=$Q$20,"Medio ",IF(B175&lt;=$Q$21,"Alto",0)))</f>
        <v>0</v>
      </c>
      <c r="D175" t="str">
        <f>SUM('Gestión de abastecimiento'!H176:M176)</f>
        <v>0</v>
      </c>
      <c r="E175" s="10" t="str">
        <f>IF(D175&lt;=$AC$19,"Bajo",IF(D175&lt;=$AC$20,"Medio ",IF(D175&lt;=$AC$21,"Alto",0)))</f>
        <v>0</v>
      </c>
      <c r="F175" t="str">
        <f>SUM('Gestión de abastecimiento'!N176:S176)</f>
        <v>0</v>
      </c>
      <c r="G175" s="10" t="str">
        <f>IF(F175&lt;=$AO$19,"Bajo",IF(F175&lt;=$AO$20,"Medio ",IF(F175&lt;=$AO$21,"Alto",0)))</f>
        <v>0</v>
      </c>
      <c r="H175" t="str">
        <f>SUM(B175:F175)</f>
        <v>0</v>
      </c>
      <c r="I175" s="10" t="str">
        <f>IF(H175&lt;=$BA$19,"Bajo",IF(H175&lt;=$BA$20,"Medio ",IF(H175&lt;=$BA$21,"Alto",0)))</f>
        <v>0</v>
      </c>
    </row>
    <row r="176" spans="1:61">
      <c r="A176" t="s">
        <v>196</v>
      </c>
      <c r="B176" t="str">
        <f>SUM('Gestión de abastecimiento'!B177:G177)</f>
        <v>0</v>
      </c>
      <c r="C176" s="10" t="str">
        <f>IF(B176&lt;=$Q$19,"Bajo",IF(B176&lt;=$Q$20,"Medio ",IF(B176&lt;=$Q$21,"Alto",0)))</f>
        <v>0</v>
      </c>
      <c r="D176" t="str">
        <f>SUM('Gestión de abastecimiento'!H177:M177)</f>
        <v>0</v>
      </c>
      <c r="E176" s="10" t="str">
        <f>IF(D176&lt;=$AC$19,"Bajo",IF(D176&lt;=$AC$20,"Medio ",IF(D176&lt;=$AC$21,"Alto",0)))</f>
        <v>0</v>
      </c>
      <c r="F176" t="str">
        <f>SUM('Gestión de abastecimiento'!N177:S177)</f>
        <v>0</v>
      </c>
      <c r="G176" s="10" t="str">
        <f>IF(F176&lt;=$AO$19,"Bajo",IF(F176&lt;=$AO$20,"Medio ",IF(F176&lt;=$AO$21,"Alto",0)))</f>
        <v>0</v>
      </c>
      <c r="H176" t="str">
        <f>SUM(B176:F176)</f>
        <v>0</v>
      </c>
      <c r="I176" s="10" t="str">
        <f>IF(H176&lt;=$BA$19,"Bajo",IF(H176&lt;=$BA$20,"Medio ",IF(H176&lt;=$BA$21,"Alto",0)))</f>
        <v>0</v>
      </c>
    </row>
    <row r="177" spans="1:61">
      <c r="A177" t="s">
        <v>197</v>
      </c>
      <c r="B177" t="str">
        <f>SUM('Gestión de abastecimiento'!B178:G178)</f>
        <v>0</v>
      </c>
      <c r="C177" s="10" t="str">
        <f>IF(B177&lt;=$Q$19,"Bajo",IF(B177&lt;=$Q$20,"Medio ",IF(B177&lt;=$Q$21,"Alto",0)))</f>
        <v>0</v>
      </c>
      <c r="D177" t="str">
        <f>SUM('Gestión de abastecimiento'!H178:M178)</f>
        <v>0</v>
      </c>
      <c r="E177" s="10" t="str">
        <f>IF(D177&lt;=$AC$19,"Bajo",IF(D177&lt;=$AC$20,"Medio ",IF(D177&lt;=$AC$21,"Alto",0)))</f>
        <v>0</v>
      </c>
      <c r="F177" t="str">
        <f>SUM('Gestión de abastecimiento'!N178:S178)</f>
        <v>0</v>
      </c>
      <c r="G177" s="10" t="str">
        <f>IF(F177&lt;=$AO$19,"Bajo",IF(F177&lt;=$AO$20,"Medio ",IF(F177&lt;=$AO$21,"Alto",0)))</f>
        <v>0</v>
      </c>
      <c r="H177" t="str">
        <f>SUM(B177:F177)</f>
        <v>0</v>
      </c>
      <c r="I177" s="10" t="str">
        <f>IF(H177&lt;=$BA$19,"Bajo",IF(H177&lt;=$BA$20,"Medio ",IF(H177&lt;=$BA$21,"Alto",0)))</f>
        <v>0</v>
      </c>
    </row>
    <row r="178" spans="1:61">
      <c r="A178" t="s">
        <v>198</v>
      </c>
      <c r="B178" t="str">
        <f>SUM('Gestión de abastecimiento'!B179:G179)</f>
        <v>0</v>
      </c>
      <c r="C178" s="10" t="str">
        <f>IF(B178&lt;=$Q$19,"Bajo",IF(B178&lt;=$Q$20,"Medio ",IF(B178&lt;=$Q$21,"Alto",0)))</f>
        <v>0</v>
      </c>
      <c r="D178" t="str">
        <f>SUM('Gestión de abastecimiento'!H179:M179)</f>
        <v>0</v>
      </c>
      <c r="E178" s="10" t="str">
        <f>IF(D178&lt;=$AC$19,"Bajo",IF(D178&lt;=$AC$20,"Medio ",IF(D178&lt;=$AC$21,"Alto",0)))</f>
        <v>0</v>
      </c>
      <c r="F178" t="str">
        <f>SUM('Gestión de abastecimiento'!N179:S179)</f>
        <v>0</v>
      </c>
      <c r="G178" s="10" t="str">
        <f>IF(F178&lt;=$AO$19,"Bajo",IF(F178&lt;=$AO$20,"Medio ",IF(F178&lt;=$AO$21,"Alto",0)))</f>
        <v>0</v>
      </c>
      <c r="H178" t="str">
        <f>SUM(B178:F178)</f>
        <v>0</v>
      </c>
      <c r="I178" s="10" t="str">
        <f>IF(H178&lt;=$BA$19,"Bajo",IF(H178&lt;=$BA$20,"Medio ",IF(H178&lt;=$BA$21,"Alto",0)))</f>
        <v>0</v>
      </c>
    </row>
    <row r="179" spans="1:61">
      <c r="A179" t="s">
        <v>199</v>
      </c>
      <c r="B179" t="str">
        <f>SUM('Gestión de abastecimiento'!B180:G180)</f>
        <v>0</v>
      </c>
      <c r="C179" s="10" t="str">
        <f>IF(B179&lt;=$Q$19,"Bajo",IF(B179&lt;=$Q$20,"Medio ",IF(B179&lt;=$Q$21,"Alto",0)))</f>
        <v>0</v>
      </c>
      <c r="D179" t="str">
        <f>SUM('Gestión de abastecimiento'!H180:M180)</f>
        <v>0</v>
      </c>
      <c r="E179" s="10" t="str">
        <f>IF(D179&lt;=$AC$19,"Bajo",IF(D179&lt;=$AC$20,"Medio ",IF(D179&lt;=$AC$21,"Alto",0)))</f>
        <v>0</v>
      </c>
      <c r="F179" t="str">
        <f>SUM('Gestión de abastecimiento'!N180:S180)</f>
        <v>0</v>
      </c>
      <c r="G179" s="10" t="str">
        <f>IF(F179&lt;=$AO$19,"Bajo",IF(F179&lt;=$AO$20,"Medio ",IF(F179&lt;=$AO$21,"Alto",0)))</f>
        <v>0</v>
      </c>
      <c r="H179" t="str">
        <f>SUM(B179:F179)</f>
        <v>0</v>
      </c>
      <c r="I179" s="10" t="str">
        <f>IF(H179&lt;=$BA$19,"Bajo",IF(H179&lt;=$BA$20,"Medio ",IF(H179&lt;=$BA$21,"Alto",0)))</f>
        <v>0</v>
      </c>
    </row>
    <row r="180" spans="1:61">
      <c r="A180" t="s">
        <v>200</v>
      </c>
      <c r="B180" t="str">
        <f>SUM('Gestión de abastecimiento'!B181:G181)</f>
        <v>0</v>
      </c>
      <c r="C180" s="10" t="str">
        <f>IF(B180&lt;=$Q$19,"Bajo",IF(B180&lt;=$Q$20,"Medio ",IF(B180&lt;=$Q$21,"Alto",0)))</f>
        <v>0</v>
      </c>
      <c r="D180" t="str">
        <f>SUM('Gestión de abastecimiento'!H181:M181)</f>
        <v>0</v>
      </c>
      <c r="E180" s="10" t="str">
        <f>IF(D180&lt;=$AC$19,"Bajo",IF(D180&lt;=$AC$20,"Medio ",IF(D180&lt;=$AC$21,"Alto",0)))</f>
        <v>0</v>
      </c>
      <c r="F180" t="str">
        <f>SUM('Gestión de abastecimiento'!N181:S181)</f>
        <v>0</v>
      </c>
      <c r="G180" s="10" t="str">
        <f>IF(F180&lt;=$AO$19,"Bajo",IF(F180&lt;=$AO$20,"Medio ",IF(F180&lt;=$AO$21,"Alto",0)))</f>
        <v>0</v>
      </c>
      <c r="H180" t="str">
        <f>SUM(B180:F180)</f>
        <v>0</v>
      </c>
      <c r="I180" s="10" t="str">
        <f>IF(H180&lt;=$BA$19,"Bajo",IF(H180&lt;=$BA$20,"Medio ",IF(H180&lt;=$BA$21,"Alto",0)))</f>
        <v>0</v>
      </c>
    </row>
    <row r="181" spans="1:61">
      <c r="A181" t="s">
        <v>201</v>
      </c>
      <c r="B181" t="str">
        <f>SUM('Gestión de abastecimiento'!B182:G182)</f>
        <v>0</v>
      </c>
      <c r="C181" s="10" t="str">
        <f>IF(B181&lt;=$Q$19,"Bajo",IF(B181&lt;=$Q$20,"Medio ",IF(B181&lt;=$Q$21,"Alto",0)))</f>
        <v>0</v>
      </c>
      <c r="D181" t="str">
        <f>SUM('Gestión de abastecimiento'!H182:M182)</f>
        <v>0</v>
      </c>
      <c r="E181" s="10" t="str">
        <f>IF(D181&lt;=$AC$19,"Bajo",IF(D181&lt;=$AC$20,"Medio ",IF(D181&lt;=$AC$21,"Alto",0)))</f>
        <v>0</v>
      </c>
      <c r="F181" t="str">
        <f>SUM('Gestión de abastecimiento'!N182:S182)</f>
        <v>0</v>
      </c>
      <c r="G181" s="10" t="str">
        <f>IF(F181&lt;=$AO$19,"Bajo",IF(F181&lt;=$AO$20,"Medio ",IF(F181&lt;=$AO$21,"Alto",0)))</f>
        <v>0</v>
      </c>
      <c r="H181" t="str">
        <f>SUM(B181:F181)</f>
        <v>0</v>
      </c>
      <c r="I181" s="10" t="str">
        <f>IF(H181&lt;=$BA$19,"Bajo",IF(H181&lt;=$BA$20,"Medio ",IF(H181&lt;=$BA$21,"Alto",0)))</f>
        <v>0</v>
      </c>
    </row>
    <row r="182" spans="1:61">
      <c r="A182" t="s">
        <v>202</v>
      </c>
      <c r="B182" t="str">
        <f>SUM('Gestión de abastecimiento'!B183:G183)</f>
        <v>0</v>
      </c>
      <c r="C182" s="10" t="str">
        <f>IF(B182&lt;=$Q$19,"Bajo",IF(B182&lt;=$Q$20,"Medio ",IF(B182&lt;=$Q$21,"Alto",0)))</f>
        <v>0</v>
      </c>
      <c r="D182" t="str">
        <f>SUM('Gestión de abastecimiento'!H183:M183)</f>
        <v>0</v>
      </c>
      <c r="E182" s="10" t="str">
        <f>IF(D182&lt;=$AC$19,"Bajo",IF(D182&lt;=$AC$20,"Medio ",IF(D182&lt;=$AC$21,"Alto",0)))</f>
        <v>0</v>
      </c>
      <c r="F182" t="str">
        <f>SUM('Gestión de abastecimiento'!N183:S183)</f>
        <v>0</v>
      </c>
      <c r="G182" s="10" t="str">
        <f>IF(F182&lt;=$AO$19,"Bajo",IF(F182&lt;=$AO$20,"Medio ",IF(F182&lt;=$AO$21,"Alto",0)))</f>
        <v>0</v>
      </c>
      <c r="H182" t="str">
        <f>SUM(B182:F182)</f>
        <v>0</v>
      </c>
      <c r="I182" s="10" t="str">
        <f>IF(H182&lt;=$BA$19,"Bajo",IF(H182&lt;=$BA$20,"Medio ",IF(H182&lt;=$BA$21,"Alto",0)))</f>
        <v>0</v>
      </c>
    </row>
    <row r="183" spans="1:61">
      <c r="A183" t="s">
        <v>203</v>
      </c>
      <c r="B183" t="str">
        <f>SUM('Gestión de abastecimiento'!B184:G184)</f>
        <v>0</v>
      </c>
      <c r="C183" s="10" t="str">
        <f>IF(B183&lt;=$Q$19,"Bajo",IF(B183&lt;=$Q$20,"Medio ",IF(B183&lt;=$Q$21,"Alto",0)))</f>
        <v>0</v>
      </c>
      <c r="D183" t="str">
        <f>SUM('Gestión de abastecimiento'!H184:M184)</f>
        <v>0</v>
      </c>
      <c r="E183" s="10" t="str">
        <f>IF(D183&lt;=$AC$19,"Bajo",IF(D183&lt;=$AC$20,"Medio ",IF(D183&lt;=$AC$21,"Alto",0)))</f>
        <v>0</v>
      </c>
      <c r="F183" t="str">
        <f>SUM('Gestión de abastecimiento'!N184:S184)</f>
        <v>0</v>
      </c>
      <c r="G183" s="10" t="str">
        <f>IF(F183&lt;=$AO$19,"Bajo",IF(F183&lt;=$AO$20,"Medio ",IF(F183&lt;=$AO$21,"Alto",0)))</f>
        <v>0</v>
      </c>
      <c r="H183" t="str">
        <f>SUM(B183:F183)</f>
        <v>0</v>
      </c>
      <c r="I183" s="10" t="str">
        <f>IF(H183&lt;=$BA$19,"Bajo",IF(H183&lt;=$BA$20,"Medio ",IF(H183&lt;=$BA$21,"Alto",0)))</f>
        <v>0</v>
      </c>
    </row>
    <row r="184" spans="1:61">
      <c r="A184" t="s">
        <v>204</v>
      </c>
      <c r="B184" t="str">
        <f>SUM('Gestión de abastecimiento'!B185:G185)</f>
        <v>0</v>
      </c>
      <c r="C184" s="10" t="str">
        <f>IF(B184&lt;=$Q$19,"Bajo",IF(B184&lt;=$Q$20,"Medio ",IF(B184&lt;=$Q$21,"Alto",0)))</f>
        <v>0</v>
      </c>
      <c r="D184" t="str">
        <f>SUM('Gestión de abastecimiento'!H185:M185)</f>
        <v>0</v>
      </c>
      <c r="E184" s="10" t="str">
        <f>IF(D184&lt;=$AC$19,"Bajo",IF(D184&lt;=$AC$20,"Medio ",IF(D184&lt;=$AC$21,"Alto",0)))</f>
        <v>0</v>
      </c>
      <c r="F184" t="str">
        <f>SUM('Gestión de abastecimiento'!N185:S185)</f>
        <v>0</v>
      </c>
      <c r="G184" s="10" t="str">
        <f>IF(F184&lt;=$AO$19,"Bajo",IF(F184&lt;=$AO$20,"Medio ",IF(F184&lt;=$AO$21,"Alto",0)))</f>
        <v>0</v>
      </c>
      <c r="H184" t="str">
        <f>SUM(B184:F184)</f>
        <v>0</v>
      </c>
      <c r="I184" s="10" t="str">
        <f>IF(H184&lt;=$BA$19,"Bajo",IF(H184&lt;=$BA$20,"Medio ",IF(H184&lt;=$BA$21,"Alto",0)))</f>
        <v>0</v>
      </c>
    </row>
    <row r="185" spans="1:61">
      <c r="A185" t="s">
        <v>205</v>
      </c>
      <c r="B185" t="str">
        <f>SUM('Gestión de abastecimiento'!B186:G186)</f>
        <v>0</v>
      </c>
      <c r="C185" s="10" t="str">
        <f>IF(B185&lt;=$Q$19,"Bajo",IF(B185&lt;=$Q$20,"Medio ",IF(B185&lt;=$Q$21,"Alto",0)))</f>
        <v>0</v>
      </c>
      <c r="D185" t="str">
        <f>SUM('Gestión de abastecimiento'!H186:M186)</f>
        <v>0</v>
      </c>
      <c r="E185" s="10" t="str">
        <f>IF(D185&lt;=$AC$19,"Bajo",IF(D185&lt;=$AC$20,"Medio ",IF(D185&lt;=$AC$21,"Alto",0)))</f>
        <v>0</v>
      </c>
      <c r="F185" t="str">
        <f>SUM('Gestión de abastecimiento'!N186:S186)</f>
        <v>0</v>
      </c>
      <c r="G185" s="10" t="str">
        <f>IF(F185&lt;=$AO$19,"Bajo",IF(F185&lt;=$AO$20,"Medio ",IF(F185&lt;=$AO$21,"Alto",0)))</f>
        <v>0</v>
      </c>
      <c r="H185" t="str">
        <f>SUM(B185:F185)</f>
        <v>0</v>
      </c>
      <c r="I185" s="10" t="str">
        <f>IF(H185&lt;=$BA$19,"Bajo",IF(H185&lt;=$BA$20,"Medio ",IF(H185&lt;=$BA$21,"Alto",0)))</f>
        <v>0</v>
      </c>
    </row>
    <row r="186" spans="1:61">
      <c r="A186" t="s">
        <v>206</v>
      </c>
      <c r="B186" t="str">
        <f>SUM('Gestión de abastecimiento'!B187:G187)</f>
        <v>0</v>
      </c>
      <c r="C186" s="10" t="str">
        <f>IF(B186&lt;=$Q$19,"Bajo",IF(B186&lt;=$Q$20,"Medio ",IF(B186&lt;=$Q$21,"Alto",0)))</f>
        <v>0</v>
      </c>
      <c r="D186" t="str">
        <f>SUM('Gestión de abastecimiento'!H187:M187)</f>
        <v>0</v>
      </c>
      <c r="E186" s="10" t="str">
        <f>IF(D186&lt;=$AC$19,"Bajo",IF(D186&lt;=$AC$20,"Medio ",IF(D186&lt;=$AC$21,"Alto",0)))</f>
        <v>0</v>
      </c>
      <c r="F186" t="str">
        <f>SUM('Gestión de abastecimiento'!N187:S187)</f>
        <v>0</v>
      </c>
      <c r="G186" s="10" t="str">
        <f>IF(F186&lt;=$AO$19,"Bajo",IF(F186&lt;=$AO$20,"Medio ",IF(F186&lt;=$AO$21,"Alto",0)))</f>
        <v>0</v>
      </c>
      <c r="H186" t="str">
        <f>SUM(B186:F186)</f>
        <v>0</v>
      </c>
      <c r="I186" s="10" t="str">
        <f>IF(H186&lt;=$BA$19,"Bajo",IF(H186&lt;=$BA$20,"Medio ",IF(H186&lt;=$BA$21,"Alto",0)))</f>
        <v>0</v>
      </c>
    </row>
    <row r="187" spans="1:61">
      <c r="A187" t="s">
        <v>207</v>
      </c>
      <c r="B187" t="str">
        <f>SUM('Gestión de abastecimiento'!B188:G188)</f>
        <v>0</v>
      </c>
      <c r="C187" s="10" t="str">
        <f>IF(B187&lt;=$Q$19,"Bajo",IF(B187&lt;=$Q$20,"Medio ",IF(B187&lt;=$Q$21,"Alto",0)))</f>
        <v>0</v>
      </c>
      <c r="D187" t="str">
        <f>SUM('Gestión de abastecimiento'!H188:M188)</f>
        <v>0</v>
      </c>
      <c r="E187" s="10" t="str">
        <f>IF(D187&lt;=$AC$19,"Bajo",IF(D187&lt;=$AC$20,"Medio ",IF(D187&lt;=$AC$21,"Alto",0)))</f>
        <v>0</v>
      </c>
      <c r="F187" t="str">
        <f>SUM('Gestión de abastecimiento'!N188:S188)</f>
        <v>0</v>
      </c>
      <c r="G187" s="10" t="str">
        <f>IF(F187&lt;=$AO$19,"Bajo",IF(F187&lt;=$AO$20,"Medio ",IF(F187&lt;=$AO$21,"Alto",0)))</f>
        <v>0</v>
      </c>
      <c r="H187" t="str">
        <f>SUM(B187:F187)</f>
        <v>0</v>
      </c>
      <c r="I187" s="10" t="str">
        <f>IF(H187&lt;=$BA$19,"Bajo",IF(H187&lt;=$BA$20,"Medio ",IF(H187&lt;=$BA$21,"Alto",0)))</f>
        <v>0</v>
      </c>
    </row>
    <row r="188" spans="1:61">
      <c r="A188" t="s">
        <v>208</v>
      </c>
      <c r="B188" t="str">
        <f>SUM('Gestión de abastecimiento'!B189:G189)</f>
        <v>0</v>
      </c>
      <c r="C188" s="10" t="str">
        <f>IF(B188&lt;=$Q$19,"Bajo",IF(B188&lt;=$Q$20,"Medio ",IF(B188&lt;=$Q$21,"Alto",0)))</f>
        <v>0</v>
      </c>
      <c r="D188" t="str">
        <f>SUM('Gestión de abastecimiento'!H189:M189)</f>
        <v>0</v>
      </c>
      <c r="E188" s="10" t="str">
        <f>IF(D188&lt;=$AC$19,"Bajo",IF(D188&lt;=$AC$20,"Medio ",IF(D188&lt;=$AC$21,"Alto",0)))</f>
        <v>0</v>
      </c>
      <c r="F188" t="str">
        <f>SUM('Gestión de abastecimiento'!N189:S189)</f>
        <v>0</v>
      </c>
      <c r="G188" s="10" t="str">
        <f>IF(F188&lt;=$AO$19,"Bajo",IF(F188&lt;=$AO$20,"Medio ",IF(F188&lt;=$AO$21,"Alto",0)))</f>
        <v>0</v>
      </c>
      <c r="H188" t="str">
        <f>SUM(B188:F188)</f>
        <v>0</v>
      </c>
      <c r="I188" s="10" t="str">
        <f>IF(H188&lt;=$BA$19,"Bajo",IF(H188&lt;=$BA$20,"Medio ",IF(H188&lt;=$BA$21,"Alto",0)))</f>
        <v>0</v>
      </c>
    </row>
    <row r="189" spans="1:61">
      <c r="A189" t="s">
        <v>209</v>
      </c>
      <c r="B189" t="str">
        <f>SUM('Gestión de abastecimiento'!B190:G190)</f>
        <v>0</v>
      </c>
      <c r="C189" s="10" t="str">
        <f>IF(B189&lt;=$Q$19,"Bajo",IF(B189&lt;=$Q$20,"Medio ",IF(B189&lt;=$Q$21,"Alto",0)))</f>
        <v>0</v>
      </c>
      <c r="D189" t="str">
        <f>SUM('Gestión de abastecimiento'!H190:M190)</f>
        <v>0</v>
      </c>
      <c r="E189" s="10" t="str">
        <f>IF(D189&lt;=$AC$19,"Bajo",IF(D189&lt;=$AC$20,"Medio ",IF(D189&lt;=$AC$21,"Alto",0)))</f>
        <v>0</v>
      </c>
      <c r="F189" t="str">
        <f>SUM('Gestión de abastecimiento'!N190:S190)</f>
        <v>0</v>
      </c>
      <c r="G189" s="10" t="str">
        <f>IF(F189&lt;=$AO$19,"Bajo",IF(F189&lt;=$AO$20,"Medio ",IF(F189&lt;=$AO$21,"Alto",0)))</f>
        <v>0</v>
      </c>
      <c r="H189" t="str">
        <f>SUM(B189:F189)</f>
        <v>0</v>
      </c>
      <c r="I189" s="10" t="str">
        <f>IF(H189&lt;=$BA$19,"Bajo",IF(H189&lt;=$BA$20,"Medio ",IF(H189&lt;=$BA$21,"Alto",0)))</f>
        <v>0</v>
      </c>
    </row>
    <row r="190" spans="1:61">
      <c r="A190" t="s">
        <v>210</v>
      </c>
      <c r="B190" t="str">
        <f>SUM('Gestión de abastecimiento'!B191:G191)</f>
        <v>0</v>
      </c>
      <c r="C190" s="10" t="str">
        <f>IF(B190&lt;=$Q$19,"Bajo",IF(B190&lt;=$Q$20,"Medio ",IF(B190&lt;=$Q$21,"Alto",0)))</f>
        <v>0</v>
      </c>
      <c r="D190" t="str">
        <f>SUM('Gestión de abastecimiento'!H191:M191)</f>
        <v>0</v>
      </c>
      <c r="E190" s="10" t="str">
        <f>IF(D190&lt;=$AC$19,"Bajo",IF(D190&lt;=$AC$20,"Medio ",IF(D190&lt;=$AC$21,"Alto",0)))</f>
        <v>0</v>
      </c>
      <c r="F190" t="str">
        <f>SUM('Gestión de abastecimiento'!N191:S191)</f>
        <v>0</v>
      </c>
      <c r="G190" s="10" t="str">
        <f>IF(F190&lt;=$AO$19,"Bajo",IF(F190&lt;=$AO$20,"Medio ",IF(F190&lt;=$AO$21,"Alto",0)))</f>
        <v>0</v>
      </c>
      <c r="H190" t="str">
        <f>SUM(B190:F190)</f>
        <v>0</v>
      </c>
      <c r="I190" s="10" t="str">
        <f>IF(H190&lt;=$BA$19,"Bajo",IF(H190&lt;=$BA$20,"Medio ",IF(H190&lt;=$BA$21,"Alto",0)))</f>
        <v>0</v>
      </c>
    </row>
    <row r="191" spans="1:61">
      <c r="A191" t="s">
        <v>211</v>
      </c>
      <c r="B191" t="str">
        <f>SUM('Gestión de abastecimiento'!B192:G192)</f>
        <v>0</v>
      </c>
      <c r="C191" s="10" t="str">
        <f>IF(B191&lt;=$Q$19,"Bajo",IF(B191&lt;=$Q$20,"Medio ",IF(B191&lt;=$Q$21,"Alto",0)))</f>
        <v>0</v>
      </c>
      <c r="D191" t="str">
        <f>SUM('Gestión de abastecimiento'!H192:M192)</f>
        <v>0</v>
      </c>
      <c r="E191" s="10" t="str">
        <f>IF(D191&lt;=$AC$19,"Bajo",IF(D191&lt;=$AC$20,"Medio ",IF(D191&lt;=$AC$21,"Alto",0)))</f>
        <v>0</v>
      </c>
      <c r="F191" t="str">
        <f>SUM('Gestión de abastecimiento'!N192:S192)</f>
        <v>0</v>
      </c>
      <c r="G191" s="10" t="str">
        <f>IF(F191&lt;=$AO$19,"Bajo",IF(F191&lt;=$AO$20,"Medio ",IF(F191&lt;=$AO$21,"Alto",0)))</f>
        <v>0</v>
      </c>
      <c r="H191" t="str">
        <f>SUM(B191:F191)</f>
        <v>0</v>
      </c>
      <c r="I191" s="10" t="str">
        <f>IF(H191&lt;=$BA$19,"Bajo",IF(H191&lt;=$BA$20,"Medio ",IF(H191&lt;=$BA$21,"Alto",0)))</f>
        <v>0</v>
      </c>
    </row>
    <row r="192" spans="1:61">
      <c r="A192" t="s">
        <v>212</v>
      </c>
      <c r="B192" t="str">
        <f>SUM('Gestión de abastecimiento'!B193:G193)</f>
        <v>0</v>
      </c>
      <c r="C192" s="10" t="str">
        <f>IF(B192&lt;=$Q$19,"Bajo",IF(B192&lt;=$Q$20,"Medio ",IF(B192&lt;=$Q$21,"Alto",0)))</f>
        <v>0</v>
      </c>
      <c r="D192" t="str">
        <f>SUM('Gestión de abastecimiento'!H193:M193)</f>
        <v>0</v>
      </c>
      <c r="E192" s="10" t="str">
        <f>IF(D192&lt;=$AC$19,"Bajo",IF(D192&lt;=$AC$20,"Medio ",IF(D192&lt;=$AC$21,"Alto",0)))</f>
        <v>0</v>
      </c>
      <c r="F192" t="str">
        <f>SUM('Gestión de abastecimiento'!N193:S193)</f>
        <v>0</v>
      </c>
      <c r="G192" s="10" t="str">
        <f>IF(F192&lt;=$AO$19,"Bajo",IF(F192&lt;=$AO$20,"Medio ",IF(F192&lt;=$AO$21,"Alto",0)))</f>
        <v>0</v>
      </c>
      <c r="H192" t="str">
        <f>SUM(B192:F192)</f>
        <v>0</v>
      </c>
      <c r="I192" s="10" t="str">
        <f>IF(H192&lt;=$BA$19,"Bajo",IF(H192&lt;=$BA$20,"Medio ",IF(H192&lt;=$BA$21,"Alto",0)))</f>
        <v>0</v>
      </c>
    </row>
    <row r="193" spans="1:61">
      <c r="A193" t="s">
        <v>213</v>
      </c>
      <c r="B193" t="str">
        <f>SUM('Gestión de abastecimiento'!B194:G194)</f>
        <v>0</v>
      </c>
      <c r="C193" s="10" t="str">
        <f>IF(B193&lt;=$Q$19,"Bajo",IF(B193&lt;=$Q$20,"Medio ",IF(B193&lt;=$Q$21,"Alto",0)))</f>
        <v>0</v>
      </c>
      <c r="D193" t="str">
        <f>SUM('Gestión de abastecimiento'!H194:M194)</f>
        <v>0</v>
      </c>
      <c r="E193" s="10" t="str">
        <f>IF(D193&lt;=$AC$19,"Bajo",IF(D193&lt;=$AC$20,"Medio ",IF(D193&lt;=$AC$21,"Alto",0)))</f>
        <v>0</v>
      </c>
      <c r="F193" t="str">
        <f>SUM('Gestión de abastecimiento'!N194:S194)</f>
        <v>0</v>
      </c>
      <c r="G193" s="10" t="str">
        <f>IF(F193&lt;=$AO$19,"Bajo",IF(F193&lt;=$AO$20,"Medio ",IF(F193&lt;=$AO$21,"Alto",0)))</f>
        <v>0</v>
      </c>
      <c r="H193" t="str">
        <f>SUM(B193:F193)</f>
        <v>0</v>
      </c>
      <c r="I193" s="10" t="str">
        <f>IF(H193&lt;=$BA$19,"Bajo",IF(H193&lt;=$BA$20,"Medio ",IF(H193&lt;=$BA$21,"Alto",0)))</f>
        <v>0</v>
      </c>
    </row>
    <row r="194" spans="1:61">
      <c r="A194" t="s">
        <v>214</v>
      </c>
      <c r="B194" t="str">
        <f>SUM('Gestión de abastecimiento'!B195:G195)</f>
        <v>0</v>
      </c>
      <c r="C194" s="10" t="str">
        <f>IF(B194&lt;=$Q$19,"Bajo",IF(B194&lt;=$Q$20,"Medio ",IF(B194&lt;=$Q$21,"Alto",0)))</f>
        <v>0</v>
      </c>
      <c r="D194" t="str">
        <f>SUM('Gestión de abastecimiento'!H195:M195)</f>
        <v>0</v>
      </c>
      <c r="E194" s="10" t="str">
        <f>IF(D194&lt;=$AC$19,"Bajo",IF(D194&lt;=$AC$20,"Medio ",IF(D194&lt;=$AC$21,"Alto",0)))</f>
        <v>0</v>
      </c>
      <c r="F194" t="str">
        <f>SUM('Gestión de abastecimiento'!N195:S195)</f>
        <v>0</v>
      </c>
      <c r="G194" s="10" t="str">
        <f>IF(F194&lt;=$AO$19,"Bajo",IF(F194&lt;=$AO$20,"Medio ",IF(F194&lt;=$AO$21,"Alto",0)))</f>
        <v>0</v>
      </c>
      <c r="H194" t="str">
        <f>SUM(B194:F194)</f>
        <v>0</v>
      </c>
      <c r="I194" s="10" t="str">
        <f>IF(H194&lt;=$BA$19,"Bajo",IF(H194&lt;=$BA$20,"Medio ",IF(H194&lt;=$BA$21,"Alto",0)))</f>
        <v>0</v>
      </c>
    </row>
    <row r="195" spans="1:61">
      <c r="A195" t="s">
        <v>215</v>
      </c>
      <c r="B195" t="str">
        <f>SUM('Gestión de abastecimiento'!B196:G196)</f>
        <v>0</v>
      </c>
      <c r="C195" s="10" t="str">
        <f>IF(B195&lt;=$Q$19,"Bajo",IF(B195&lt;=$Q$20,"Medio ",IF(B195&lt;=$Q$21,"Alto",0)))</f>
        <v>0</v>
      </c>
      <c r="D195" t="str">
        <f>SUM('Gestión de abastecimiento'!H196:M196)</f>
        <v>0</v>
      </c>
      <c r="E195" s="10" t="str">
        <f>IF(D195&lt;=$AC$19,"Bajo",IF(D195&lt;=$AC$20,"Medio ",IF(D195&lt;=$AC$21,"Alto",0)))</f>
        <v>0</v>
      </c>
      <c r="F195" t="str">
        <f>SUM('Gestión de abastecimiento'!N196:S196)</f>
        <v>0</v>
      </c>
      <c r="G195" s="10" t="str">
        <f>IF(F195&lt;=$AO$19,"Bajo",IF(F195&lt;=$AO$20,"Medio ",IF(F195&lt;=$AO$21,"Alto",0)))</f>
        <v>0</v>
      </c>
      <c r="H195" t="str">
        <f>SUM(B195:F195)</f>
        <v>0</v>
      </c>
      <c r="I195" s="10" t="str">
        <f>IF(H195&lt;=$BA$19,"Bajo",IF(H195&lt;=$BA$20,"Medio ",IF(H195&lt;=$BA$21,"Alto",0)))</f>
        <v>0</v>
      </c>
    </row>
    <row r="196" spans="1:61">
      <c r="A196" t="s">
        <v>216</v>
      </c>
      <c r="B196" t="str">
        <f>SUM('Gestión de abastecimiento'!B197:G197)</f>
        <v>0</v>
      </c>
      <c r="C196" s="10" t="str">
        <f>IF(B196&lt;=$Q$19,"Bajo",IF(B196&lt;=$Q$20,"Medio ",IF(B196&lt;=$Q$21,"Alto",0)))</f>
        <v>0</v>
      </c>
      <c r="D196" t="str">
        <f>SUM('Gestión de abastecimiento'!H197:M197)</f>
        <v>0</v>
      </c>
      <c r="E196" s="10" t="str">
        <f>IF(D196&lt;=$AC$19,"Bajo",IF(D196&lt;=$AC$20,"Medio ",IF(D196&lt;=$AC$21,"Alto",0)))</f>
        <v>0</v>
      </c>
      <c r="F196" t="str">
        <f>SUM('Gestión de abastecimiento'!N197:S197)</f>
        <v>0</v>
      </c>
      <c r="G196" s="10" t="str">
        <f>IF(F196&lt;=$AO$19,"Bajo",IF(F196&lt;=$AO$20,"Medio ",IF(F196&lt;=$AO$21,"Alto",0)))</f>
        <v>0</v>
      </c>
      <c r="H196" t="str">
        <f>SUM(B196:F196)</f>
        <v>0</v>
      </c>
      <c r="I196" s="10" t="str">
        <f>IF(H196&lt;=$BA$19,"Bajo",IF(H196&lt;=$BA$20,"Medio ",IF(H196&lt;=$BA$21,"Alto",0)))</f>
        <v>0</v>
      </c>
    </row>
    <row r="197" spans="1:61">
      <c r="A197" t="s">
        <v>217</v>
      </c>
      <c r="B197" t="str">
        <f>SUM('Gestión de abastecimiento'!B198:G198)</f>
        <v>0</v>
      </c>
      <c r="C197" s="10" t="str">
        <f>IF(B197&lt;=$Q$19,"Bajo",IF(B197&lt;=$Q$20,"Medio ",IF(B197&lt;=$Q$21,"Alto",0)))</f>
        <v>0</v>
      </c>
      <c r="D197" t="str">
        <f>SUM('Gestión de abastecimiento'!H198:M198)</f>
        <v>0</v>
      </c>
      <c r="E197" s="10" t="str">
        <f>IF(D197&lt;=$AC$19,"Bajo",IF(D197&lt;=$AC$20,"Medio ",IF(D197&lt;=$AC$21,"Alto",0)))</f>
        <v>0</v>
      </c>
      <c r="F197" t="str">
        <f>SUM('Gestión de abastecimiento'!N198:S198)</f>
        <v>0</v>
      </c>
      <c r="G197" s="10" t="str">
        <f>IF(F197&lt;=$AO$19,"Bajo",IF(F197&lt;=$AO$20,"Medio ",IF(F197&lt;=$AO$21,"Alto",0)))</f>
        <v>0</v>
      </c>
      <c r="H197" t="str">
        <f>SUM(B197:F197)</f>
        <v>0</v>
      </c>
      <c r="I197" s="10" t="str">
        <f>IF(H197&lt;=$BA$19,"Bajo",IF(H197&lt;=$BA$20,"Medio ",IF(H197&lt;=$BA$21,"Alto",0)))</f>
        <v>0</v>
      </c>
    </row>
    <row r="198" spans="1:61">
      <c r="A198" t="s">
        <v>218</v>
      </c>
      <c r="B198" t="str">
        <f>SUM('Gestión de abastecimiento'!B199:G199)</f>
        <v>0</v>
      </c>
      <c r="C198" s="10" t="str">
        <f>IF(B198&lt;=$Q$19,"Bajo",IF(B198&lt;=$Q$20,"Medio ",IF(B198&lt;=$Q$21,"Alto",0)))</f>
        <v>0</v>
      </c>
      <c r="D198" t="str">
        <f>SUM('Gestión de abastecimiento'!H199:M199)</f>
        <v>0</v>
      </c>
      <c r="E198" s="10" t="str">
        <f>IF(D198&lt;=$AC$19,"Bajo",IF(D198&lt;=$AC$20,"Medio ",IF(D198&lt;=$AC$21,"Alto",0)))</f>
        <v>0</v>
      </c>
      <c r="F198" t="str">
        <f>SUM('Gestión de abastecimiento'!N199:S199)</f>
        <v>0</v>
      </c>
      <c r="G198" s="10" t="str">
        <f>IF(F198&lt;=$AO$19,"Bajo",IF(F198&lt;=$AO$20,"Medio ",IF(F198&lt;=$AO$21,"Alto",0)))</f>
        <v>0</v>
      </c>
      <c r="H198" t="str">
        <f>SUM(B198:F198)</f>
        <v>0</v>
      </c>
      <c r="I198" s="10" t="str">
        <f>IF(H198&lt;=$BA$19,"Bajo",IF(H198&lt;=$BA$20,"Medio ",IF(H198&lt;=$BA$21,"Alto",0)))</f>
        <v>0</v>
      </c>
    </row>
    <row r="199" spans="1:61">
      <c r="A199" t="s">
        <v>219</v>
      </c>
      <c r="B199" t="str">
        <f>SUM('Gestión de abastecimiento'!B200:G200)</f>
        <v>0</v>
      </c>
      <c r="C199" s="10" t="str">
        <f>IF(B199&lt;=$Q$19,"Bajo",IF(B199&lt;=$Q$20,"Medio ",IF(B199&lt;=$Q$21,"Alto",0)))</f>
        <v>0</v>
      </c>
      <c r="D199" t="str">
        <f>SUM('Gestión de abastecimiento'!H200:M200)</f>
        <v>0</v>
      </c>
      <c r="E199" s="10" t="str">
        <f>IF(D199&lt;=$AC$19,"Bajo",IF(D199&lt;=$AC$20,"Medio ",IF(D199&lt;=$AC$21,"Alto",0)))</f>
        <v>0</v>
      </c>
      <c r="F199" t="str">
        <f>SUM('Gestión de abastecimiento'!N200:S200)</f>
        <v>0</v>
      </c>
      <c r="G199" s="10" t="str">
        <f>IF(F199&lt;=$AO$19,"Bajo",IF(F199&lt;=$AO$20,"Medio ",IF(F199&lt;=$AO$21,"Alto",0)))</f>
        <v>0</v>
      </c>
      <c r="H199" t="str">
        <f>SUM(B199:F199)</f>
        <v>0</v>
      </c>
      <c r="I199" s="10" t="str">
        <f>IF(H199&lt;=$BA$19,"Bajo",IF(H199&lt;=$BA$20,"Medio ",IF(H199&lt;=$BA$21,"Alto",0)))</f>
        <v>0</v>
      </c>
    </row>
    <row r="200" spans="1:61">
      <c r="A200" t="s">
        <v>220</v>
      </c>
      <c r="B200" t="str">
        <f>SUM('Gestión de abastecimiento'!B201:G201)</f>
        <v>0</v>
      </c>
      <c r="C200" s="10" t="str">
        <f>IF(B200&lt;=$Q$19,"Bajo",IF(B200&lt;=$Q$20,"Medio ",IF(B200&lt;=$Q$21,"Alto",0)))</f>
        <v>0</v>
      </c>
      <c r="D200" t="str">
        <f>SUM('Gestión de abastecimiento'!H201:M201)</f>
        <v>0</v>
      </c>
      <c r="E200" s="10" t="str">
        <f>IF(D200&lt;=$AC$19,"Bajo",IF(D200&lt;=$AC$20,"Medio ",IF(D200&lt;=$AC$21,"Alto",0)))</f>
        <v>0</v>
      </c>
      <c r="F200" t="str">
        <f>SUM('Gestión de abastecimiento'!N201:S201)</f>
        <v>0</v>
      </c>
      <c r="G200" s="10" t="str">
        <f>IF(F200&lt;=$AO$19,"Bajo",IF(F200&lt;=$AO$20,"Medio ",IF(F200&lt;=$AO$21,"Alto",0)))</f>
        <v>0</v>
      </c>
      <c r="H200" t="str">
        <f>SUM(B200:F200)</f>
        <v>0</v>
      </c>
      <c r="I200" s="10" t="str">
        <f>IF(H200&lt;=$BA$19,"Bajo",IF(H200&lt;=$BA$20,"Medio ",IF(H200&lt;=$BA$21,"Alto",0)))</f>
        <v>0</v>
      </c>
    </row>
    <row r="201" spans="1:61">
      <c r="A201" t="s">
        <v>221</v>
      </c>
      <c r="B201" t="str">
        <f>SUM('Gestión de abastecimiento'!B202:G202)</f>
        <v>0</v>
      </c>
      <c r="C201" s="10" t="str">
        <f>IF(B201&lt;=$Q$19,"Bajo",IF(B201&lt;=$Q$20,"Medio ",IF(B201&lt;=$Q$21,"Alto",0)))</f>
        <v>0</v>
      </c>
      <c r="D201" t="str">
        <f>SUM('Gestión de abastecimiento'!H202:M202)</f>
        <v>0</v>
      </c>
      <c r="E201" s="10" t="str">
        <f>IF(D201&lt;=$AC$19,"Bajo",IF(D201&lt;=$AC$20,"Medio ",IF(D201&lt;=$AC$21,"Alto",0)))</f>
        <v>0</v>
      </c>
      <c r="F201" t="str">
        <f>SUM('Gestión de abastecimiento'!N202:S202)</f>
        <v>0</v>
      </c>
      <c r="G201" s="10" t="str">
        <f>IF(F201&lt;=$AO$19,"Bajo",IF(F201&lt;=$AO$20,"Medio ",IF(F201&lt;=$AO$21,"Alto",0)))</f>
        <v>0</v>
      </c>
      <c r="H201" t="str">
        <f>SUM(B201:F201)</f>
        <v>0</v>
      </c>
      <c r="I201" s="10" t="str">
        <f>IF(H201&lt;=$BA$19,"Bajo",IF(H201&lt;=$BA$20,"Medio ",IF(H201&lt;=$BA$21,"Alto",0)))</f>
        <v>0</v>
      </c>
    </row>
    <row r="202" spans="1:61">
      <c r="A202" t="s">
        <v>222</v>
      </c>
      <c r="B202" t="str">
        <f>SUM('Gestión de abastecimiento'!B203:G203)</f>
        <v>0</v>
      </c>
      <c r="C202" s="10" t="str">
        <f>IF(B202&lt;=$Q$19,"Bajo",IF(B202&lt;=$Q$20,"Medio ",IF(B202&lt;=$Q$21,"Alto",0)))</f>
        <v>0</v>
      </c>
      <c r="D202" t="str">
        <f>SUM('Gestión de abastecimiento'!H203:M203)</f>
        <v>0</v>
      </c>
      <c r="E202" s="10" t="str">
        <f>IF(D202&lt;=$AC$19,"Bajo",IF(D202&lt;=$AC$20,"Medio ",IF(D202&lt;=$AC$21,"Alto",0)))</f>
        <v>0</v>
      </c>
      <c r="F202" t="str">
        <f>SUM('Gestión de abastecimiento'!N203:S203)</f>
        <v>0</v>
      </c>
      <c r="G202" s="10" t="str">
        <f>IF(F202&lt;=$AO$19,"Bajo",IF(F202&lt;=$AO$20,"Medio ",IF(F202&lt;=$AO$21,"Alto",0)))</f>
        <v>0</v>
      </c>
      <c r="H202" t="str">
        <f>SUM(B202:F202)</f>
        <v>0</v>
      </c>
      <c r="I202" s="10" t="str">
        <f>IF(H202&lt;=$BA$19,"Bajo",IF(H202&lt;=$BA$20,"Medio ",IF(H202&lt;=$BA$21,"Alto",0)))</f>
        <v>0</v>
      </c>
    </row>
    <row r="203" spans="1:61">
      <c r="A203" t="s">
        <v>223</v>
      </c>
      <c r="B203" t="str">
        <f>SUM('Gestión de abastecimiento'!B204:G204)</f>
        <v>0</v>
      </c>
      <c r="C203" s="10" t="str">
        <f>IF(B203&lt;=$Q$19,"Bajo",IF(B203&lt;=$Q$20,"Medio ",IF(B203&lt;=$Q$21,"Alto",0)))</f>
        <v>0</v>
      </c>
      <c r="D203" t="str">
        <f>SUM('Gestión de abastecimiento'!H204:M204)</f>
        <v>0</v>
      </c>
      <c r="E203" s="10" t="str">
        <f>IF(D203&lt;=$AC$19,"Bajo",IF(D203&lt;=$AC$20,"Medio ",IF(D203&lt;=$AC$21,"Alto",0)))</f>
        <v>0</v>
      </c>
      <c r="F203" t="str">
        <f>SUM('Gestión de abastecimiento'!N204:S204)</f>
        <v>0</v>
      </c>
      <c r="G203" s="10" t="str">
        <f>IF(F203&lt;=$AO$19,"Bajo",IF(F203&lt;=$AO$20,"Medio ",IF(F203&lt;=$AO$21,"Alto",0)))</f>
        <v>0</v>
      </c>
      <c r="H203" t="str">
        <f>SUM(B203:F203)</f>
        <v>0</v>
      </c>
      <c r="I203" s="10" t="str">
        <f>IF(H203&lt;=$BA$19,"Bajo",IF(H203&lt;=$BA$20,"Medio ",IF(H203&lt;=$BA$21,"Alto",0)))</f>
        <v>0</v>
      </c>
    </row>
    <row r="204" spans="1:61">
      <c r="A204" t="s">
        <v>224</v>
      </c>
      <c r="B204" t="str">
        <f>SUM('Gestión de abastecimiento'!B205:G205)</f>
        <v>0</v>
      </c>
      <c r="C204" s="10" t="str">
        <f>IF(B204&lt;=$Q$19,"Bajo",IF(B204&lt;=$Q$20,"Medio ",IF(B204&lt;=$Q$21,"Alto",0)))</f>
        <v>0</v>
      </c>
      <c r="D204" t="str">
        <f>SUM('Gestión de abastecimiento'!H205:M205)</f>
        <v>0</v>
      </c>
      <c r="E204" s="10" t="str">
        <f>IF(D204&lt;=$AC$19,"Bajo",IF(D204&lt;=$AC$20,"Medio ",IF(D204&lt;=$AC$21,"Alto",0)))</f>
        <v>0</v>
      </c>
      <c r="F204" t="str">
        <f>SUM('Gestión de abastecimiento'!N205:S205)</f>
        <v>0</v>
      </c>
      <c r="G204" s="10" t="str">
        <f>IF(F204&lt;=$AO$19,"Bajo",IF(F204&lt;=$AO$20,"Medio ",IF(F204&lt;=$AO$21,"Alto",0)))</f>
        <v>0</v>
      </c>
      <c r="H204" t="str">
        <f>SUM(B204:F204)</f>
        <v>0</v>
      </c>
      <c r="I204" s="10" t="str">
        <f>IF(H204&lt;=$BA$19,"Bajo",IF(H204&lt;=$BA$20,"Medio ",IF(H204&lt;=$BA$21,"Alto",0)))</f>
        <v>0</v>
      </c>
    </row>
    <row r="205" spans="1:61">
      <c r="A205" t="s">
        <v>225</v>
      </c>
      <c r="B205" t="str">
        <f>SUM('Gestión de abastecimiento'!B206:G206)</f>
        <v>0</v>
      </c>
      <c r="C205" s="10" t="str">
        <f>IF(B205&lt;=$Q$19,"Bajo",IF(B205&lt;=$Q$20,"Medio ",IF(B205&lt;=$Q$21,"Alto",0)))</f>
        <v>0</v>
      </c>
      <c r="D205" t="str">
        <f>SUM('Gestión de abastecimiento'!H206:M206)</f>
        <v>0</v>
      </c>
      <c r="E205" s="10" t="str">
        <f>IF(D205&lt;=$AC$19,"Bajo",IF(D205&lt;=$AC$20,"Medio ",IF(D205&lt;=$AC$21,"Alto",0)))</f>
        <v>0</v>
      </c>
      <c r="F205" t="str">
        <f>SUM('Gestión de abastecimiento'!N206:S206)</f>
        <v>0</v>
      </c>
      <c r="G205" s="10" t="str">
        <f>IF(F205&lt;=$AO$19,"Bajo",IF(F205&lt;=$AO$20,"Medio ",IF(F205&lt;=$AO$21,"Alto",0)))</f>
        <v>0</v>
      </c>
      <c r="H205" t="str">
        <f>SUM(B205:F205)</f>
        <v>0</v>
      </c>
      <c r="I205" s="10" t="str">
        <f>IF(H205&lt;=$BA$19,"Bajo",IF(H205&lt;=$BA$20,"Medio ",IF(H205&lt;=$BA$21,"Alto",0)))</f>
        <v>0</v>
      </c>
    </row>
    <row r="206" spans="1:61">
      <c r="A206" t="s">
        <v>226</v>
      </c>
      <c r="B206" t="str">
        <f>SUM('Gestión de abastecimiento'!B207:G207)</f>
        <v>0</v>
      </c>
      <c r="C206" s="10" t="str">
        <f>IF(B206&lt;=$Q$19,"Bajo",IF(B206&lt;=$Q$20,"Medio ",IF(B206&lt;=$Q$21,"Alto",0)))</f>
        <v>0</v>
      </c>
      <c r="D206" t="str">
        <f>SUM('Gestión de abastecimiento'!H207:M207)</f>
        <v>0</v>
      </c>
      <c r="E206" s="10" t="str">
        <f>IF(D206&lt;=$AC$19,"Bajo",IF(D206&lt;=$AC$20,"Medio ",IF(D206&lt;=$AC$21,"Alto",0)))</f>
        <v>0</v>
      </c>
      <c r="F206" t="str">
        <f>SUM('Gestión de abastecimiento'!N207:S207)</f>
        <v>0</v>
      </c>
      <c r="G206" s="10" t="str">
        <f>IF(F206&lt;=$AO$19,"Bajo",IF(F206&lt;=$AO$20,"Medio ",IF(F206&lt;=$AO$21,"Alto",0)))</f>
        <v>0</v>
      </c>
      <c r="H206" t="str">
        <f>SUM(B206:F206)</f>
        <v>0</v>
      </c>
      <c r="I206" s="10" t="str">
        <f>IF(H206&lt;=$BA$19,"Bajo",IF(H206&lt;=$BA$20,"Medio ",IF(H206&lt;=$BA$21,"Alto",0)))</f>
        <v>0</v>
      </c>
    </row>
    <row r="207" spans="1:61">
      <c r="A207" t="s">
        <v>227</v>
      </c>
      <c r="B207" t="str">
        <f>SUM('Gestión de abastecimiento'!B208:G208)</f>
        <v>0</v>
      </c>
      <c r="C207" s="10" t="str">
        <f>IF(B207&lt;=$Q$19,"Bajo",IF(B207&lt;=$Q$20,"Medio ",IF(B207&lt;=$Q$21,"Alto",0)))</f>
        <v>0</v>
      </c>
      <c r="D207" t="str">
        <f>SUM('Gestión de abastecimiento'!H208:M208)</f>
        <v>0</v>
      </c>
      <c r="E207" s="10" t="str">
        <f>IF(D207&lt;=$AC$19,"Bajo",IF(D207&lt;=$AC$20,"Medio ",IF(D207&lt;=$AC$21,"Alto",0)))</f>
        <v>0</v>
      </c>
      <c r="F207" t="str">
        <f>SUM('Gestión de abastecimiento'!N208:S208)</f>
        <v>0</v>
      </c>
      <c r="G207" s="10" t="str">
        <f>IF(F207&lt;=$AO$19,"Bajo",IF(F207&lt;=$AO$20,"Medio ",IF(F207&lt;=$AO$21,"Alto",0)))</f>
        <v>0</v>
      </c>
      <c r="H207" t="str">
        <f>SUM(B207:F207)</f>
        <v>0</v>
      </c>
      <c r="I207" s="10" t="str">
        <f>IF(H207&lt;=$BA$19,"Bajo",IF(H207&lt;=$BA$20,"Medio ",IF(H207&lt;=$BA$21,"Alto",0)))</f>
        <v>0</v>
      </c>
    </row>
    <row r="208" spans="1:61">
      <c r="A208" t="s">
        <v>228</v>
      </c>
      <c r="B208" t="str">
        <f>SUM('Gestión de abastecimiento'!B209:G209)</f>
        <v>0</v>
      </c>
      <c r="C208" s="10" t="str">
        <f>IF(B208&lt;=$Q$19,"Bajo",IF(B208&lt;=$Q$20,"Medio ",IF(B208&lt;=$Q$21,"Alto",0)))</f>
        <v>0</v>
      </c>
      <c r="D208" t="str">
        <f>SUM('Gestión de abastecimiento'!H209:M209)</f>
        <v>0</v>
      </c>
      <c r="E208" s="10" t="str">
        <f>IF(D208&lt;=$AC$19,"Bajo",IF(D208&lt;=$AC$20,"Medio ",IF(D208&lt;=$AC$21,"Alto",0)))</f>
        <v>0</v>
      </c>
      <c r="F208" t="str">
        <f>SUM('Gestión de abastecimiento'!N209:S209)</f>
        <v>0</v>
      </c>
      <c r="G208" s="10" t="str">
        <f>IF(F208&lt;=$AO$19,"Bajo",IF(F208&lt;=$AO$20,"Medio ",IF(F208&lt;=$AO$21,"Alto",0)))</f>
        <v>0</v>
      </c>
      <c r="H208" t="str">
        <f>SUM(B208:F208)</f>
        <v>0</v>
      </c>
      <c r="I208" s="10" t="str">
        <f>IF(H208&lt;=$BA$19,"Bajo",IF(H208&lt;=$BA$20,"Medio ",IF(H208&lt;=$BA$21,"Alto",0)))</f>
        <v>0</v>
      </c>
    </row>
    <row r="209" spans="1:61">
      <c r="A209" t="s">
        <v>229</v>
      </c>
      <c r="B209" t="str">
        <f>SUM('Gestión de abastecimiento'!B210:G210)</f>
        <v>0</v>
      </c>
      <c r="C209" s="10" t="str">
        <f>IF(B209&lt;=$Q$19,"Bajo",IF(B209&lt;=$Q$20,"Medio ",IF(B209&lt;=$Q$21,"Alto",0)))</f>
        <v>0</v>
      </c>
      <c r="D209" t="str">
        <f>SUM('Gestión de abastecimiento'!H210:M210)</f>
        <v>0</v>
      </c>
      <c r="E209" s="10" t="str">
        <f>IF(D209&lt;=$AC$19,"Bajo",IF(D209&lt;=$AC$20,"Medio ",IF(D209&lt;=$AC$21,"Alto",0)))</f>
        <v>0</v>
      </c>
      <c r="F209" t="str">
        <f>SUM('Gestión de abastecimiento'!N210:S210)</f>
        <v>0</v>
      </c>
      <c r="G209" s="10" t="str">
        <f>IF(F209&lt;=$AO$19,"Bajo",IF(F209&lt;=$AO$20,"Medio ",IF(F209&lt;=$AO$21,"Alto",0)))</f>
        <v>0</v>
      </c>
      <c r="H209" t="str">
        <f>SUM(B209:F209)</f>
        <v>0</v>
      </c>
      <c r="I209" s="10" t="str">
        <f>IF(H209&lt;=$BA$19,"Bajo",IF(H209&lt;=$BA$20,"Medio ",IF(H209&lt;=$BA$21,"Alto",0)))</f>
        <v>0</v>
      </c>
    </row>
    <row r="210" spans="1:61">
      <c r="A210" t="s">
        <v>230</v>
      </c>
      <c r="B210" t="str">
        <f>SUM('Gestión de abastecimiento'!B211:G211)</f>
        <v>0</v>
      </c>
      <c r="C210" s="10" t="str">
        <f>IF(B210&lt;=$Q$19,"Bajo",IF(B210&lt;=$Q$20,"Medio ",IF(B210&lt;=$Q$21,"Alto",0)))</f>
        <v>0</v>
      </c>
      <c r="D210" t="str">
        <f>SUM('Gestión de abastecimiento'!H211:M211)</f>
        <v>0</v>
      </c>
      <c r="E210" s="10" t="str">
        <f>IF(D210&lt;=$AC$19,"Bajo",IF(D210&lt;=$AC$20,"Medio ",IF(D210&lt;=$AC$21,"Alto",0)))</f>
        <v>0</v>
      </c>
      <c r="F210" t="str">
        <f>SUM('Gestión de abastecimiento'!N211:S211)</f>
        <v>0</v>
      </c>
      <c r="G210" s="10" t="str">
        <f>IF(F210&lt;=$AO$19,"Bajo",IF(F210&lt;=$AO$20,"Medio ",IF(F210&lt;=$AO$21,"Alto",0)))</f>
        <v>0</v>
      </c>
      <c r="H210" t="str">
        <f>SUM(B210:F210)</f>
        <v>0</v>
      </c>
      <c r="I210" s="10" t="str">
        <f>IF(H210&lt;=$BA$19,"Bajo",IF(H210&lt;=$BA$20,"Medio ",IF(H210&lt;=$BA$21,"Alto",0)))</f>
        <v>0</v>
      </c>
    </row>
    <row r="211" spans="1:61">
      <c r="A211" t="s">
        <v>231</v>
      </c>
      <c r="B211" t="str">
        <f>SUM('Gestión de abastecimiento'!B212:G212)</f>
        <v>0</v>
      </c>
      <c r="C211" s="10" t="str">
        <f>IF(B211&lt;=$Q$19,"Bajo",IF(B211&lt;=$Q$20,"Medio ",IF(B211&lt;=$Q$21,"Alto",0)))</f>
        <v>0</v>
      </c>
      <c r="D211" t="str">
        <f>SUM('Gestión de abastecimiento'!H212:M212)</f>
        <v>0</v>
      </c>
      <c r="E211" s="10" t="str">
        <f>IF(D211&lt;=$AC$19,"Bajo",IF(D211&lt;=$AC$20,"Medio ",IF(D211&lt;=$AC$21,"Alto",0)))</f>
        <v>0</v>
      </c>
      <c r="F211" t="str">
        <f>SUM('Gestión de abastecimiento'!N212:S212)</f>
        <v>0</v>
      </c>
      <c r="G211" s="10" t="str">
        <f>IF(F211&lt;=$AO$19,"Bajo",IF(F211&lt;=$AO$20,"Medio ",IF(F211&lt;=$AO$21,"Alto",0)))</f>
        <v>0</v>
      </c>
      <c r="H211" t="str">
        <f>SUM(B211:F211)</f>
        <v>0</v>
      </c>
      <c r="I211" s="10" t="str">
        <f>IF(H211&lt;=$BA$19,"Bajo",IF(H211&lt;=$BA$20,"Medio ",IF(H211&lt;=$BA$21,"Alto",0)))</f>
        <v>0</v>
      </c>
    </row>
    <row r="212" spans="1:61">
      <c r="A212" t="s">
        <v>232</v>
      </c>
      <c r="B212" t="str">
        <f>SUM('Gestión de abastecimiento'!B213:G213)</f>
        <v>0</v>
      </c>
      <c r="C212" s="10" t="str">
        <f>IF(B212&lt;=$Q$19,"Bajo",IF(B212&lt;=$Q$20,"Medio ",IF(B212&lt;=$Q$21,"Alto",0)))</f>
        <v>0</v>
      </c>
      <c r="D212" t="str">
        <f>SUM('Gestión de abastecimiento'!H213:M213)</f>
        <v>0</v>
      </c>
      <c r="E212" s="10" t="str">
        <f>IF(D212&lt;=$AC$19,"Bajo",IF(D212&lt;=$AC$20,"Medio ",IF(D212&lt;=$AC$21,"Alto",0)))</f>
        <v>0</v>
      </c>
      <c r="F212" t="str">
        <f>SUM('Gestión de abastecimiento'!N213:S213)</f>
        <v>0</v>
      </c>
      <c r="G212" s="10" t="str">
        <f>IF(F212&lt;=$AO$19,"Bajo",IF(F212&lt;=$AO$20,"Medio ",IF(F212&lt;=$AO$21,"Alto",0)))</f>
        <v>0</v>
      </c>
      <c r="H212" t="str">
        <f>SUM(B212:F212)</f>
        <v>0</v>
      </c>
      <c r="I212" s="10" t="str">
        <f>IF(H212&lt;=$BA$19,"Bajo",IF(H212&lt;=$BA$20,"Medio ",IF(H212&lt;=$BA$21,"Alto",0)))</f>
        <v>0</v>
      </c>
    </row>
    <row r="213" spans="1:61">
      <c r="A213" t="s">
        <v>233</v>
      </c>
      <c r="B213" t="str">
        <f>SUM('Gestión de abastecimiento'!B214:G214)</f>
        <v>0</v>
      </c>
      <c r="C213" s="10" t="str">
        <f>IF(B213&lt;=$Q$19,"Bajo",IF(B213&lt;=$Q$20,"Medio ",IF(B213&lt;=$Q$21,"Alto",0)))</f>
        <v>0</v>
      </c>
      <c r="D213" t="str">
        <f>SUM('Gestión de abastecimiento'!H214:M214)</f>
        <v>0</v>
      </c>
      <c r="E213" s="10" t="str">
        <f>IF(D213&lt;=$AC$19,"Bajo",IF(D213&lt;=$AC$20,"Medio ",IF(D213&lt;=$AC$21,"Alto",0)))</f>
        <v>0</v>
      </c>
      <c r="F213" t="str">
        <f>SUM('Gestión de abastecimiento'!N214:S214)</f>
        <v>0</v>
      </c>
      <c r="G213" s="10" t="str">
        <f>IF(F213&lt;=$AO$19,"Bajo",IF(F213&lt;=$AO$20,"Medio ",IF(F213&lt;=$AO$21,"Alto",0)))</f>
        <v>0</v>
      </c>
      <c r="H213" t="str">
        <f>SUM(B213:F213)</f>
        <v>0</v>
      </c>
      <c r="I213" s="10" t="str">
        <f>IF(H213&lt;=$BA$19,"Bajo",IF(H213&lt;=$BA$20,"Medio ",IF(H213&lt;=$BA$21,"Alto",0)))</f>
        <v>0</v>
      </c>
    </row>
    <row r="214" spans="1:61">
      <c r="A214" t="s">
        <v>234</v>
      </c>
      <c r="B214" t="str">
        <f>SUM('Gestión de abastecimiento'!B215:G215)</f>
        <v>0</v>
      </c>
      <c r="C214" s="10" t="str">
        <f>IF(B214&lt;=$Q$19,"Bajo",IF(B214&lt;=$Q$20,"Medio ",IF(B214&lt;=$Q$21,"Alto",0)))</f>
        <v>0</v>
      </c>
      <c r="D214" t="str">
        <f>SUM('Gestión de abastecimiento'!H215:M215)</f>
        <v>0</v>
      </c>
      <c r="E214" s="10" t="str">
        <f>IF(D214&lt;=$AC$19,"Bajo",IF(D214&lt;=$AC$20,"Medio ",IF(D214&lt;=$AC$21,"Alto",0)))</f>
        <v>0</v>
      </c>
      <c r="F214" t="str">
        <f>SUM('Gestión de abastecimiento'!N215:S215)</f>
        <v>0</v>
      </c>
      <c r="G214" s="10" t="str">
        <f>IF(F214&lt;=$AO$19,"Bajo",IF(F214&lt;=$AO$20,"Medio ",IF(F214&lt;=$AO$21,"Alto",0)))</f>
        <v>0</v>
      </c>
      <c r="H214" t="str">
        <f>SUM(B214:F214)</f>
        <v>0</v>
      </c>
      <c r="I214" s="10" t="str">
        <f>IF(H214&lt;=$BA$19,"Bajo",IF(H214&lt;=$BA$20,"Medio ",IF(H214&lt;=$BA$21,"Alto",0)))</f>
        <v>0</v>
      </c>
    </row>
    <row r="215" spans="1:61">
      <c r="A215" t="s">
        <v>235</v>
      </c>
      <c r="B215" t="str">
        <f>SUM('Gestión de abastecimiento'!B216:G216)</f>
        <v>0</v>
      </c>
      <c r="C215" s="10" t="str">
        <f>IF(B215&lt;=$Q$19,"Bajo",IF(B215&lt;=$Q$20,"Medio ",IF(B215&lt;=$Q$21,"Alto",0)))</f>
        <v>0</v>
      </c>
      <c r="D215" t="str">
        <f>SUM('Gestión de abastecimiento'!H216:M216)</f>
        <v>0</v>
      </c>
      <c r="E215" s="10" t="str">
        <f>IF(D215&lt;=$AC$19,"Bajo",IF(D215&lt;=$AC$20,"Medio ",IF(D215&lt;=$AC$21,"Alto",0)))</f>
        <v>0</v>
      </c>
      <c r="F215" t="str">
        <f>SUM('Gestión de abastecimiento'!N216:S216)</f>
        <v>0</v>
      </c>
      <c r="G215" s="10" t="str">
        <f>IF(F215&lt;=$AO$19,"Bajo",IF(F215&lt;=$AO$20,"Medio ",IF(F215&lt;=$AO$21,"Alto",0)))</f>
        <v>0</v>
      </c>
      <c r="H215" t="str">
        <f>SUM(B215:F215)</f>
        <v>0</v>
      </c>
      <c r="I215" s="10" t="str">
        <f>IF(H215&lt;=$BA$19,"Bajo",IF(H215&lt;=$BA$20,"Medio ",IF(H215&lt;=$BA$21,"Alto",0)))</f>
        <v>0</v>
      </c>
    </row>
    <row r="216" spans="1:61">
      <c r="A216" t="s">
        <v>236</v>
      </c>
      <c r="B216" t="str">
        <f>SUM('Gestión de abastecimiento'!B217:G217)</f>
        <v>0</v>
      </c>
      <c r="C216" s="10" t="str">
        <f>IF(B216&lt;=$Q$19,"Bajo",IF(B216&lt;=$Q$20,"Medio ",IF(B216&lt;=$Q$21,"Alto",0)))</f>
        <v>0</v>
      </c>
      <c r="D216" t="str">
        <f>SUM('Gestión de abastecimiento'!H217:M217)</f>
        <v>0</v>
      </c>
      <c r="E216" s="10" t="str">
        <f>IF(D216&lt;=$AC$19,"Bajo",IF(D216&lt;=$AC$20,"Medio ",IF(D216&lt;=$AC$21,"Alto",0)))</f>
        <v>0</v>
      </c>
      <c r="F216" t="str">
        <f>SUM('Gestión de abastecimiento'!N217:S217)</f>
        <v>0</v>
      </c>
      <c r="G216" s="10" t="str">
        <f>IF(F216&lt;=$AO$19,"Bajo",IF(F216&lt;=$AO$20,"Medio ",IF(F216&lt;=$AO$21,"Alto",0)))</f>
        <v>0</v>
      </c>
      <c r="H216" t="str">
        <f>SUM(B216:F216)</f>
        <v>0</v>
      </c>
      <c r="I216" s="10" t="str">
        <f>IF(H216&lt;=$BA$19,"Bajo",IF(H216&lt;=$BA$20,"Medio ",IF(H216&lt;=$BA$21,"Alto",0)))</f>
        <v>0</v>
      </c>
    </row>
    <row r="217" spans="1:61">
      <c r="A217" t="s">
        <v>237</v>
      </c>
      <c r="B217" t="str">
        <f>SUM('Gestión de abastecimiento'!B218:G218)</f>
        <v>0</v>
      </c>
      <c r="C217" s="10" t="str">
        <f>IF(B217&lt;=$Q$19,"Bajo",IF(B217&lt;=$Q$20,"Medio ",IF(B217&lt;=$Q$21,"Alto",0)))</f>
        <v>0</v>
      </c>
      <c r="D217" t="str">
        <f>SUM('Gestión de abastecimiento'!H218:M218)</f>
        <v>0</v>
      </c>
      <c r="E217" s="10" t="str">
        <f>IF(D217&lt;=$AC$19,"Bajo",IF(D217&lt;=$AC$20,"Medio ",IF(D217&lt;=$AC$21,"Alto",0)))</f>
        <v>0</v>
      </c>
      <c r="F217" t="str">
        <f>SUM('Gestión de abastecimiento'!N218:S218)</f>
        <v>0</v>
      </c>
      <c r="G217" s="10" t="str">
        <f>IF(F217&lt;=$AO$19,"Bajo",IF(F217&lt;=$AO$20,"Medio ",IF(F217&lt;=$AO$21,"Alto",0)))</f>
        <v>0</v>
      </c>
      <c r="H217" t="str">
        <f>SUM(B217:F217)</f>
        <v>0</v>
      </c>
      <c r="I217" s="10" t="str">
        <f>IF(H217&lt;=$BA$19,"Bajo",IF(H217&lt;=$BA$20,"Medio ",IF(H217&lt;=$BA$21,"Alto",0)))</f>
        <v>0</v>
      </c>
    </row>
    <row r="218" spans="1:61">
      <c r="A218" t="s">
        <v>238</v>
      </c>
      <c r="B218" t="str">
        <f>SUM('Gestión de abastecimiento'!B219:G219)</f>
        <v>0</v>
      </c>
      <c r="C218" s="10" t="str">
        <f>IF(B218&lt;=$Q$19,"Bajo",IF(B218&lt;=$Q$20,"Medio ",IF(B218&lt;=$Q$21,"Alto",0)))</f>
        <v>0</v>
      </c>
      <c r="D218" t="str">
        <f>SUM('Gestión de abastecimiento'!H219:M219)</f>
        <v>0</v>
      </c>
      <c r="E218" s="10" t="str">
        <f>IF(D218&lt;=$AC$19,"Bajo",IF(D218&lt;=$AC$20,"Medio ",IF(D218&lt;=$AC$21,"Alto",0)))</f>
        <v>0</v>
      </c>
      <c r="F218" t="str">
        <f>SUM('Gestión de abastecimiento'!N219:S219)</f>
        <v>0</v>
      </c>
      <c r="G218" s="10" t="str">
        <f>IF(F218&lt;=$AO$19,"Bajo",IF(F218&lt;=$AO$20,"Medio ",IF(F218&lt;=$AO$21,"Alto",0)))</f>
        <v>0</v>
      </c>
      <c r="H218" t="str">
        <f>SUM(B218:F218)</f>
        <v>0</v>
      </c>
      <c r="I218" s="10" t="str">
        <f>IF(H218&lt;=$BA$19,"Bajo",IF(H218&lt;=$BA$20,"Medio ",IF(H218&lt;=$BA$21,"Alto",0)))</f>
        <v>0</v>
      </c>
    </row>
    <row r="219" spans="1:61">
      <c r="A219" t="s">
        <v>239</v>
      </c>
      <c r="B219" t="str">
        <f>SUM('Gestión de abastecimiento'!B220:G220)</f>
        <v>0</v>
      </c>
      <c r="C219" s="10" t="str">
        <f>IF(B219&lt;=$Q$19,"Bajo",IF(B219&lt;=$Q$20,"Medio ",IF(B219&lt;=$Q$21,"Alto",0)))</f>
        <v>0</v>
      </c>
      <c r="D219" t="str">
        <f>SUM('Gestión de abastecimiento'!H220:M220)</f>
        <v>0</v>
      </c>
      <c r="E219" s="10" t="str">
        <f>IF(D219&lt;=$AC$19,"Bajo",IF(D219&lt;=$AC$20,"Medio ",IF(D219&lt;=$AC$21,"Alto",0)))</f>
        <v>0</v>
      </c>
      <c r="F219" t="str">
        <f>SUM('Gestión de abastecimiento'!N220:S220)</f>
        <v>0</v>
      </c>
      <c r="G219" s="10" t="str">
        <f>IF(F219&lt;=$AO$19,"Bajo",IF(F219&lt;=$AO$20,"Medio ",IF(F219&lt;=$AO$21,"Alto",0)))</f>
        <v>0</v>
      </c>
      <c r="H219" t="str">
        <f>SUM(B219:F219)</f>
        <v>0</v>
      </c>
      <c r="I219" s="10" t="str">
        <f>IF(H219&lt;=$BA$19,"Bajo",IF(H219&lt;=$BA$20,"Medio ",IF(H219&lt;=$BA$21,"Alto",0)))</f>
        <v>0</v>
      </c>
    </row>
    <row r="220" spans="1:61">
      <c r="A220" t="s">
        <v>240</v>
      </c>
      <c r="B220" t="str">
        <f>SUM('Gestión de abastecimiento'!B221:G221)</f>
        <v>0</v>
      </c>
      <c r="C220" s="10" t="str">
        <f>IF(B220&lt;=$Q$19,"Bajo",IF(B220&lt;=$Q$20,"Medio ",IF(B220&lt;=$Q$21,"Alto",0)))</f>
        <v>0</v>
      </c>
      <c r="D220" t="str">
        <f>SUM('Gestión de abastecimiento'!H221:M221)</f>
        <v>0</v>
      </c>
      <c r="E220" s="10" t="str">
        <f>IF(D220&lt;=$AC$19,"Bajo",IF(D220&lt;=$AC$20,"Medio ",IF(D220&lt;=$AC$21,"Alto",0)))</f>
        <v>0</v>
      </c>
      <c r="F220" t="str">
        <f>SUM('Gestión de abastecimiento'!N221:S221)</f>
        <v>0</v>
      </c>
      <c r="G220" s="10" t="str">
        <f>IF(F220&lt;=$AO$19,"Bajo",IF(F220&lt;=$AO$20,"Medio ",IF(F220&lt;=$AO$21,"Alto",0)))</f>
        <v>0</v>
      </c>
      <c r="H220" t="str">
        <f>SUM(B220:F220)</f>
        <v>0</v>
      </c>
      <c r="I220" s="10" t="str">
        <f>IF(H220&lt;=$BA$19,"Bajo",IF(H220&lt;=$BA$20,"Medio ",IF(H220&lt;=$BA$21,"Alto",0)))</f>
        <v>0</v>
      </c>
    </row>
    <row r="221" spans="1:61">
      <c r="A221" t="s">
        <v>241</v>
      </c>
      <c r="B221" t="str">
        <f>SUM('Gestión de abastecimiento'!B222:G222)</f>
        <v>0</v>
      </c>
      <c r="C221" s="10" t="str">
        <f>IF(B221&lt;=$Q$19,"Bajo",IF(B221&lt;=$Q$20,"Medio ",IF(B221&lt;=$Q$21,"Alto",0)))</f>
        <v>0</v>
      </c>
      <c r="D221" t="str">
        <f>SUM('Gestión de abastecimiento'!H222:M222)</f>
        <v>0</v>
      </c>
      <c r="E221" s="10" t="str">
        <f>IF(D221&lt;=$AC$19,"Bajo",IF(D221&lt;=$AC$20,"Medio ",IF(D221&lt;=$AC$21,"Alto",0)))</f>
        <v>0</v>
      </c>
      <c r="F221" t="str">
        <f>SUM('Gestión de abastecimiento'!N222:S222)</f>
        <v>0</v>
      </c>
      <c r="G221" s="10" t="str">
        <f>IF(F221&lt;=$AO$19,"Bajo",IF(F221&lt;=$AO$20,"Medio ",IF(F221&lt;=$AO$21,"Alto",0)))</f>
        <v>0</v>
      </c>
      <c r="H221" t="str">
        <f>SUM(B221:F221)</f>
        <v>0</v>
      </c>
      <c r="I221" s="10" t="str">
        <f>IF(H221&lt;=$BA$19,"Bajo",IF(H221&lt;=$BA$20,"Medio ",IF(H221&lt;=$BA$21,"Alto",0)))</f>
        <v>0</v>
      </c>
    </row>
    <row r="222" spans="1:61">
      <c r="A222" t="s">
        <v>242</v>
      </c>
      <c r="B222" t="str">
        <f>SUM('Gestión de abastecimiento'!B223:G223)</f>
        <v>0</v>
      </c>
      <c r="C222" s="10" t="str">
        <f>IF(B222&lt;=$Q$19,"Bajo",IF(B222&lt;=$Q$20,"Medio ",IF(B222&lt;=$Q$21,"Alto",0)))</f>
        <v>0</v>
      </c>
      <c r="D222" t="str">
        <f>SUM('Gestión de abastecimiento'!H223:M223)</f>
        <v>0</v>
      </c>
      <c r="E222" s="10" t="str">
        <f>IF(D222&lt;=$AC$19,"Bajo",IF(D222&lt;=$AC$20,"Medio ",IF(D222&lt;=$AC$21,"Alto",0)))</f>
        <v>0</v>
      </c>
      <c r="F222" t="str">
        <f>SUM('Gestión de abastecimiento'!N223:S223)</f>
        <v>0</v>
      </c>
      <c r="G222" s="10" t="str">
        <f>IF(F222&lt;=$AO$19,"Bajo",IF(F222&lt;=$AO$20,"Medio ",IF(F222&lt;=$AO$21,"Alto",0)))</f>
        <v>0</v>
      </c>
      <c r="H222" t="str">
        <f>SUM(B222:F222)</f>
        <v>0</v>
      </c>
      <c r="I222" s="10" t="str">
        <f>IF(H222&lt;=$BA$19,"Bajo",IF(H222&lt;=$BA$20,"Medio ",IF(H222&lt;=$BA$21,"Alto",0)))</f>
        <v>0</v>
      </c>
    </row>
    <row r="223" spans="1:61">
      <c r="A223" t="s">
        <v>243</v>
      </c>
      <c r="B223" t="str">
        <f>SUM('Gestión de abastecimiento'!B224:G224)</f>
        <v>0</v>
      </c>
      <c r="C223" s="10" t="str">
        <f>IF(B223&lt;=$Q$19,"Bajo",IF(B223&lt;=$Q$20,"Medio ",IF(B223&lt;=$Q$21,"Alto",0)))</f>
        <v>0</v>
      </c>
      <c r="D223" t="str">
        <f>SUM('Gestión de abastecimiento'!H224:M224)</f>
        <v>0</v>
      </c>
      <c r="E223" s="10" t="str">
        <f>IF(D223&lt;=$AC$19,"Bajo",IF(D223&lt;=$AC$20,"Medio ",IF(D223&lt;=$AC$21,"Alto",0)))</f>
        <v>0</v>
      </c>
      <c r="F223" t="str">
        <f>SUM('Gestión de abastecimiento'!N224:S224)</f>
        <v>0</v>
      </c>
      <c r="G223" s="10" t="str">
        <f>IF(F223&lt;=$AO$19,"Bajo",IF(F223&lt;=$AO$20,"Medio ",IF(F223&lt;=$AO$21,"Alto",0)))</f>
        <v>0</v>
      </c>
      <c r="H223" t="str">
        <f>SUM(B223:F223)</f>
        <v>0</v>
      </c>
      <c r="I223" s="10" t="str">
        <f>IF(H223&lt;=$BA$19,"Bajo",IF(H223&lt;=$BA$20,"Medio ",IF(H223&lt;=$BA$21,"Alto",0)))</f>
        <v>0</v>
      </c>
    </row>
    <row r="224" spans="1:61">
      <c r="A224" t="s">
        <v>244</v>
      </c>
      <c r="B224" t="str">
        <f>SUM('Gestión de abastecimiento'!B225:G225)</f>
        <v>0</v>
      </c>
      <c r="C224" s="10" t="str">
        <f>IF(B224&lt;=$Q$19,"Bajo",IF(B224&lt;=$Q$20,"Medio ",IF(B224&lt;=$Q$21,"Alto",0)))</f>
        <v>0</v>
      </c>
      <c r="D224" t="str">
        <f>SUM('Gestión de abastecimiento'!H225:M225)</f>
        <v>0</v>
      </c>
      <c r="E224" s="10" t="str">
        <f>IF(D224&lt;=$AC$19,"Bajo",IF(D224&lt;=$AC$20,"Medio ",IF(D224&lt;=$AC$21,"Alto",0)))</f>
        <v>0</v>
      </c>
      <c r="F224" t="str">
        <f>SUM('Gestión de abastecimiento'!N225:S225)</f>
        <v>0</v>
      </c>
      <c r="G224" s="10" t="str">
        <f>IF(F224&lt;=$AO$19,"Bajo",IF(F224&lt;=$AO$20,"Medio ",IF(F224&lt;=$AO$21,"Alto",0)))</f>
        <v>0</v>
      </c>
      <c r="H224" t="str">
        <f>SUM(B224:F224)</f>
        <v>0</v>
      </c>
      <c r="I224" s="10" t="str">
        <f>IF(H224&lt;=$BA$19,"Bajo",IF(H224&lt;=$BA$20,"Medio ",IF(H224&lt;=$BA$21,"Alto",0)))</f>
        <v>0</v>
      </c>
    </row>
    <row r="225" spans="1:61">
      <c r="A225" t="s">
        <v>245</v>
      </c>
      <c r="B225" t="str">
        <f>SUM('Gestión de abastecimiento'!B226:G226)</f>
        <v>0</v>
      </c>
      <c r="C225" s="10" t="str">
        <f>IF(B225&lt;=$Q$19,"Bajo",IF(B225&lt;=$Q$20,"Medio ",IF(B225&lt;=$Q$21,"Alto",0)))</f>
        <v>0</v>
      </c>
      <c r="D225" t="str">
        <f>SUM('Gestión de abastecimiento'!H226:M226)</f>
        <v>0</v>
      </c>
      <c r="E225" s="10" t="str">
        <f>IF(D225&lt;=$AC$19,"Bajo",IF(D225&lt;=$AC$20,"Medio ",IF(D225&lt;=$AC$21,"Alto",0)))</f>
        <v>0</v>
      </c>
      <c r="F225" t="str">
        <f>SUM('Gestión de abastecimiento'!N226:S226)</f>
        <v>0</v>
      </c>
      <c r="G225" s="10" t="str">
        <f>IF(F225&lt;=$AO$19,"Bajo",IF(F225&lt;=$AO$20,"Medio ",IF(F225&lt;=$AO$21,"Alto",0)))</f>
        <v>0</v>
      </c>
      <c r="H225" t="str">
        <f>SUM(B225:F225)</f>
        <v>0</v>
      </c>
      <c r="I225" s="10" t="str">
        <f>IF(H225&lt;=$BA$19,"Bajo",IF(H225&lt;=$BA$20,"Medio ",IF(H225&lt;=$BA$21,"Alto",0)))</f>
        <v>0</v>
      </c>
    </row>
    <row r="226" spans="1:61">
      <c r="A226" t="s">
        <v>246</v>
      </c>
      <c r="B226" t="str">
        <f>SUM('Gestión de abastecimiento'!B227:G227)</f>
        <v>0</v>
      </c>
      <c r="C226" s="10" t="str">
        <f>IF(B226&lt;=$Q$19,"Bajo",IF(B226&lt;=$Q$20,"Medio ",IF(B226&lt;=$Q$21,"Alto",0)))</f>
        <v>0</v>
      </c>
      <c r="D226" t="str">
        <f>SUM('Gestión de abastecimiento'!H227:M227)</f>
        <v>0</v>
      </c>
      <c r="E226" s="10" t="str">
        <f>IF(D226&lt;=$AC$19,"Bajo",IF(D226&lt;=$AC$20,"Medio ",IF(D226&lt;=$AC$21,"Alto",0)))</f>
        <v>0</v>
      </c>
      <c r="F226" t="str">
        <f>SUM('Gestión de abastecimiento'!N227:S227)</f>
        <v>0</v>
      </c>
      <c r="G226" s="10" t="str">
        <f>IF(F226&lt;=$AO$19,"Bajo",IF(F226&lt;=$AO$20,"Medio ",IF(F226&lt;=$AO$21,"Alto",0)))</f>
        <v>0</v>
      </c>
      <c r="H226" t="str">
        <f>SUM(B226:F226)</f>
        <v>0</v>
      </c>
      <c r="I226" s="10" t="str">
        <f>IF(H226&lt;=$BA$19,"Bajo",IF(H226&lt;=$BA$20,"Medio ",IF(H226&lt;=$BA$21,"Alto",0)))</f>
        <v>0</v>
      </c>
    </row>
    <row r="227" spans="1:61">
      <c r="A227" t="s">
        <v>247</v>
      </c>
      <c r="B227" t="str">
        <f>SUM('Gestión de abastecimiento'!B228:G228)</f>
        <v>0</v>
      </c>
      <c r="C227" s="10" t="str">
        <f>IF(B227&lt;=$Q$19,"Bajo",IF(B227&lt;=$Q$20,"Medio ",IF(B227&lt;=$Q$21,"Alto",0)))</f>
        <v>0</v>
      </c>
      <c r="D227" t="str">
        <f>SUM('Gestión de abastecimiento'!H228:M228)</f>
        <v>0</v>
      </c>
      <c r="E227" s="10" t="str">
        <f>IF(D227&lt;=$AC$19,"Bajo",IF(D227&lt;=$AC$20,"Medio ",IF(D227&lt;=$AC$21,"Alto",0)))</f>
        <v>0</v>
      </c>
      <c r="F227" t="str">
        <f>SUM('Gestión de abastecimiento'!N228:S228)</f>
        <v>0</v>
      </c>
      <c r="G227" s="10" t="str">
        <f>IF(F227&lt;=$AO$19,"Bajo",IF(F227&lt;=$AO$20,"Medio ",IF(F227&lt;=$AO$21,"Alto",0)))</f>
        <v>0</v>
      </c>
      <c r="H227" t="str">
        <f>SUM(B227:F227)</f>
        <v>0</v>
      </c>
      <c r="I227" s="10" t="str">
        <f>IF(H227&lt;=$BA$19,"Bajo",IF(H227&lt;=$BA$20,"Medio ",IF(H227&lt;=$BA$21,"Alto",0)))</f>
        <v>0</v>
      </c>
    </row>
    <row r="228" spans="1:61">
      <c r="A228" t="s">
        <v>248</v>
      </c>
      <c r="B228" t="str">
        <f>SUM('Gestión de abastecimiento'!B229:G229)</f>
        <v>0</v>
      </c>
      <c r="C228" s="10" t="str">
        <f>IF(B228&lt;=$Q$19,"Bajo",IF(B228&lt;=$Q$20,"Medio ",IF(B228&lt;=$Q$21,"Alto",0)))</f>
        <v>0</v>
      </c>
      <c r="D228" t="str">
        <f>SUM('Gestión de abastecimiento'!H229:M229)</f>
        <v>0</v>
      </c>
      <c r="E228" s="10" t="str">
        <f>IF(D228&lt;=$AC$19,"Bajo",IF(D228&lt;=$AC$20,"Medio ",IF(D228&lt;=$AC$21,"Alto",0)))</f>
        <v>0</v>
      </c>
      <c r="F228" t="str">
        <f>SUM('Gestión de abastecimiento'!N229:S229)</f>
        <v>0</v>
      </c>
      <c r="G228" s="10" t="str">
        <f>IF(F228&lt;=$AO$19,"Bajo",IF(F228&lt;=$AO$20,"Medio ",IF(F228&lt;=$AO$21,"Alto",0)))</f>
        <v>0</v>
      </c>
      <c r="H228" t="str">
        <f>SUM(B228:F228)</f>
        <v>0</v>
      </c>
      <c r="I228" s="10" t="str">
        <f>IF(H228&lt;=$BA$19,"Bajo",IF(H228&lt;=$BA$20,"Medio ",IF(H228&lt;=$BA$21,"Alto",0)))</f>
        <v>0</v>
      </c>
    </row>
    <row r="229" spans="1:61">
      <c r="A229" t="s">
        <v>249</v>
      </c>
      <c r="B229" t="str">
        <f>SUM('Gestión de abastecimiento'!B230:G230)</f>
        <v>0</v>
      </c>
      <c r="C229" s="10" t="str">
        <f>IF(B229&lt;=$Q$19,"Bajo",IF(B229&lt;=$Q$20,"Medio ",IF(B229&lt;=$Q$21,"Alto",0)))</f>
        <v>0</v>
      </c>
      <c r="D229" t="str">
        <f>SUM('Gestión de abastecimiento'!H230:M230)</f>
        <v>0</v>
      </c>
      <c r="E229" s="10" t="str">
        <f>IF(D229&lt;=$AC$19,"Bajo",IF(D229&lt;=$AC$20,"Medio ",IF(D229&lt;=$AC$21,"Alto",0)))</f>
        <v>0</v>
      </c>
      <c r="F229" t="str">
        <f>SUM('Gestión de abastecimiento'!N230:S230)</f>
        <v>0</v>
      </c>
      <c r="G229" s="10" t="str">
        <f>IF(F229&lt;=$AO$19,"Bajo",IF(F229&lt;=$AO$20,"Medio ",IF(F229&lt;=$AO$21,"Alto",0)))</f>
        <v>0</v>
      </c>
      <c r="H229" t="str">
        <f>SUM(B229:F229)</f>
        <v>0</v>
      </c>
      <c r="I229" s="10" t="str">
        <f>IF(H229&lt;=$BA$19,"Bajo",IF(H229&lt;=$BA$20,"Medio ",IF(H229&lt;=$BA$21,"Alto",0)))</f>
        <v>0</v>
      </c>
    </row>
    <row r="230" spans="1:61">
      <c r="A230" t="s">
        <v>250</v>
      </c>
      <c r="B230" t="str">
        <f>SUM('Gestión de abastecimiento'!B231:G231)</f>
        <v>0</v>
      </c>
      <c r="C230" s="10" t="str">
        <f>IF(B230&lt;=$Q$19,"Bajo",IF(B230&lt;=$Q$20,"Medio ",IF(B230&lt;=$Q$21,"Alto",0)))</f>
        <v>0</v>
      </c>
      <c r="D230" t="str">
        <f>SUM('Gestión de abastecimiento'!H231:M231)</f>
        <v>0</v>
      </c>
      <c r="E230" s="10" t="str">
        <f>IF(D230&lt;=$AC$19,"Bajo",IF(D230&lt;=$AC$20,"Medio ",IF(D230&lt;=$AC$21,"Alto",0)))</f>
        <v>0</v>
      </c>
      <c r="F230" t="str">
        <f>SUM('Gestión de abastecimiento'!N231:S231)</f>
        <v>0</v>
      </c>
      <c r="G230" s="10" t="str">
        <f>IF(F230&lt;=$AO$19,"Bajo",IF(F230&lt;=$AO$20,"Medio ",IF(F230&lt;=$AO$21,"Alto",0)))</f>
        <v>0</v>
      </c>
      <c r="H230" t="str">
        <f>SUM(B230:F230)</f>
        <v>0</v>
      </c>
      <c r="I230" s="10" t="str">
        <f>IF(H230&lt;=$BA$19,"Bajo",IF(H230&lt;=$BA$20,"Medio ",IF(H230&lt;=$BA$21,"Alto",0)))</f>
        <v>0</v>
      </c>
    </row>
    <row r="231" spans="1:61">
      <c r="A231" t="s">
        <v>251</v>
      </c>
      <c r="B231" t="str">
        <f>SUM('Gestión de abastecimiento'!B232:G232)</f>
        <v>0</v>
      </c>
      <c r="C231" s="10" t="str">
        <f>IF(B231&lt;=$Q$19,"Bajo",IF(B231&lt;=$Q$20,"Medio ",IF(B231&lt;=$Q$21,"Alto",0)))</f>
        <v>0</v>
      </c>
      <c r="D231" t="str">
        <f>SUM('Gestión de abastecimiento'!H232:M232)</f>
        <v>0</v>
      </c>
      <c r="E231" s="10" t="str">
        <f>IF(D231&lt;=$AC$19,"Bajo",IF(D231&lt;=$AC$20,"Medio ",IF(D231&lt;=$AC$21,"Alto",0)))</f>
        <v>0</v>
      </c>
      <c r="F231" t="str">
        <f>SUM('Gestión de abastecimiento'!N232:S232)</f>
        <v>0</v>
      </c>
      <c r="G231" s="10" t="str">
        <f>IF(F231&lt;=$AO$19,"Bajo",IF(F231&lt;=$AO$20,"Medio ",IF(F231&lt;=$AO$21,"Alto",0)))</f>
        <v>0</v>
      </c>
      <c r="H231" t="str">
        <f>SUM(B231:F231)</f>
        <v>0</v>
      </c>
      <c r="I231" s="10" t="str">
        <f>IF(H231&lt;=$BA$19,"Bajo",IF(H231&lt;=$BA$20,"Medio ",IF(H231&lt;=$BA$21,"Alto",0)))</f>
        <v>0</v>
      </c>
    </row>
    <row r="232" spans="1:61">
      <c r="A232" t="s">
        <v>252</v>
      </c>
      <c r="B232" t="str">
        <f>SUM('Gestión de abastecimiento'!B233:G233)</f>
        <v>0</v>
      </c>
      <c r="C232" s="10" t="str">
        <f>IF(B232&lt;=$Q$19,"Bajo",IF(B232&lt;=$Q$20,"Medio ",IF(B232&lt;=$Q$21,"Alto",0)))</f>
        <v>0</v>
      </c>
      <c r="D232" t="str">
        <f>SUM('Gestión de abastecimiento'!H233:M233)</f>
        <v>0</v>
      </c>
      <c r="E232" s="10" t="str">
        <f>IF(D232&lt;=$AC$19,"Bajo",IF(D232&lt;=$AC$20,"Medio ",IF(D232&lt;=$AC$21,"Alto",0)))</f>
        <v>0</v>
      </c>
      <c r="F232" t="str">
        <f>SUM('Gestión de abastecimiento'!N233:S233)</f>
        <v>0</v>
      </c>
      <c r="G232" s="10" t="str">
        <f>IF(F232&lt;=$AO$19,"Bajo",IF(F232&lt;=$AO$20,"Medio ",IF(F232&lt;=$AO$21,"Alto",0)))</f>
        <v>0</v>
      </c>
      <c r="H232" t="str">
        <f>SUM(B232:F232)</f>
        <v>0</v>
      </c>
      <c r="I232" s="10" t="str">
        <f>IF(H232&lt;=$BA$19,"Bajo",IF(H232&lt;=$BA$20,"Medio ",IF(H232&lt;=$BA$21,"Alto",0)))</f>
        <v>0</v>
      </c>
    </row>
    <row r="233" spans="1:61">
      <c r="A233" t="s">
        <v>253</v>
      </c>
      <c r="B233" t="str">
        <f>SUM('Gestión de abastecimiento'!B234:G234)</f>
        <v>0</v>
      </c>
      <c r="C233" s="10" t="str">
        <f>IF(B233&lt;=$Q$19,"Bajo",IF(B233&lt;=$Q$20,"Medio ",IF(B233&lt;=$Q$21,"Alto",0)))</f>
        <v>0</v>
      </c>
      <c r="D233" t="str">
        <f>SUM('Gestión de abastecimiento'!H234:M234)</f>
        <v>0</v>
      </c>
      <c r="E233" s="10" t="str">
        <f>IF(D233&lt;=$AC$19,"Bajo",IF(D233&lt;=$AC$20,"Medio ",IF(D233&lt;=$AC$21,"Alto",0)))</f>
        <v>0</v>
      </c>
      <c r="F233" t="str">
        <f>SUM('Gestión de abastecimiento'!N234:S234)</f>
        <v>0</v>
      </c>
      <c r="G233" s="10" t="str">
        <f>IF(F233&lt;=$AO$19,"Bajo",IF(F233&lt;=$AO$20,"Medio ",IF(F233&lt;=$AO$21,"Alto",0)))</f>
        <v>0</v>
      </c>
      <c r="H233" t="str">
        <f>SUM(B233:F233)</f>
        <v>0</v>
      </c>
      <c r="I233" s="10" t="str">
        <f>IF(H233&lt;=$BA$19,"Bajo",IF(H233&lt;=$BA$20,"Medio ",IF(H233&lt;=$BA$21,"Alto",0)))</f>
        <v>0</v>
      </c>
    </row>
    <row r="234" spans="1:61">
      <c r="A234" t="s">
        <v>254</v>
      </c>
      <c r="B234" t="str">
        <f>SUM('Gestión de abastecimiento'!B235:G235)</f>
        <v>0</v>
      </c>
      <c r="C234" s="10" t="str">
        <f>IF(B234&lt;=$Q$19,"Bajo",IF(B234&lt;=$Q$20,"Medio ",IF(B234&lt;=$Q$21,"Alto",0)))</f>
        <v>0</v>
      </c>
      <c r="D234" t="str">
        <f>SUM('Gestión de abastecimiento'!H235:M235)</f>
        <v>0</v>
      </c>
      <c r="E234" s="10" t="str">
        <f>IF(D234&lt;=$AC$19,"Bajo",IF(D234&lt;=$AC$20,"Medio ",IF(D234&lt;=$AC$21,"Alto",0)))</f>
        <v>0</v>
      </c>
      <c r="F234" t="str">
        <f>SUM('Gestión de abastecimiento'!N235:S235)</f>
        <v>0</v>
      </c>
      <c r="G234" s="10" t="str">
        <f>IF(F234&lt;=$AO$19,"Bajo",IF(F234&lt;=$AO$20,"Medio ",IF(F234&lt;=$AO$21,"Alto",0)))</f>
        <v>0</v>
      </c>
      <c r="H234" t="str">
        <f>SUM(B234:F234)</f>
        <v>0</v>
      </c>
      <c r="I234" s="10" t="str">
        <f>IF(H234&lt;=$BA$19,"Bajo",IF(H234&lt;=$BA$20,"Medio ",IF(H234&lt;=$BA$21,"Alto",0)))</f>
        <v>0</v>
      </c>
    </row>
    <row r="235" spans="1:61">
      <c r="A235" t="s">
        <v>255</v>
      </c>
      <c r="B235" t="str">
        <f>SUM('Gestión de abastecimiento'!B236:G236)</f>
        <v>0</v>
      </c>
      <c r="C235" s="10" t="str">
        <f>IF(B235&lt;=$Q$19,"Bajo",IF(B235&lt;=$Q$20,"Medio ",IF(B235&lt;=$Q$21,"Alto",0)))</f>
        <v>0</v>
      </c>
      <c r="D235" t="str">
        <f>SUM('Gestión de abastecimiento'!H236:M236)</f>
        <v>0</v>
      </c>
      <c r="E235" s="10" t="str">
        <f>IF(D235&lt;=$AC$19,"Bajo",IF(D235&lt;=$AC$20,"Medio ",IF(D235&lt;=$AC$21,"Alto",0)))</f>
        <v>0</v>
      </c>
      <c r="F235" t="str">
        <f>SUM('Gestión de abastecimiento'!N236:S236)</f>
        <v>0</v>
      </c>
      <c r="G235" s="10" t="str">
        <f>IF(F235&lt;=$AO$19,"Bajo",IF(F235&lt;=$AO$20,"Medio ",IF(F235&lt;=$AO$21,"Alto",0)))</f>
        <v>0</v>
      </c>
      <c r="H235" t="str">
        <f>SUM(B235:F235)</f>
        <v>0</v>
      </c>
      <c r="I235" s="10" t="str">
        <f>IF(H235&lt;=$BA$19,"Bajo",IF(H235&lt;=$BA$20,"Medio ",IF(H235&lt;=$BA$21,"Alto",0)))</f>
        <v>0</v>
      </c>
    </row>
    <row r="236" spans="1:61">
      <c r="A236" t="s">
        <v>256</v>
      </c>
      <c r="B236" t="str">
        <f>SUM('Gestión de abastecimiento'!B237:G237)</f>
        <v>0</v>
      </c>
      <c r="C236" s="10" t="str">
        <f>IF(B236&lt;=$Q$19,"Bajo",IF(B236&lt;=$Q$20,"Medio ",IF(B236&lt;=$Q$21,"Alto",0)))</f>
        <v>0</v>
      </c>
      <c r="D236" t="str">
        <f>SUM('Gestión de abastecimiento'!H237:M237)</f>
        <v>0</v>
      </c>
      <c r="E236" s="10" t="str">
        <f>IF(D236&lt;=$AC$19,"Bajo",IF(D236&lt;=$AC$20,"Medio ",IF(D236&lt;=$AC$21,"Alto",0)))</f>
        <v>0</v>
      </c>
      <c r="F236" t="str">
        <f>SUM('Gestión de abastecimiento'!N237:S237)</f>
        <v>0</v>
      </c>
      <c r="G236" s="10" t="str">
        <f>IF(F236&lt;=$AO$19,"Bajo",IF(F236&lt;=$AO$20,"Medio ",IF(F236&lt;=$AO$21,"Alto",0)))</f>
        <v>0</v>
      </c>
      <c r="H236" t="str">
        <f>SUM(B236:F236)</f>
        <v>0</v>
      </c>
      <c r="I236" s="10" t="str">
        <f>IF(H236&lt;=$BA$19,"Bajo",IF(H236&lt;=$BA$20,"Medio ",IF(H236&lt;=$BA$21,"Alto",0)))</f>
        <v>0</v>
      </c>
    </row>
    <row r="237" spans="1:61">
      <c r="A237" t="s">
        <v>257</v>
      </c>
      <c r="B237" t="str">
        <f>SUM('Gestión de abastecimiento'!B238:G238)</f>
        <v>0</v>
      </c>
      <c r="C237" s="10" t="str">
        <f>IF(B237&lt;=$Q$19,"Bajo",IF(B237&lt;=$Q$20,"Medio ",IF(B237&lt;=$Q$21,"Alto",0)))</f>
        <v>0</v>
      </c>
      <c r="D237" t="str">
        <f>SUM('Gestión de abastecimiento'!H238:M238)</f>
        <v>0</v>
      </c>
      <c r="E237" s="10" t="str">
        <f>IF(D237&lt;=$AC$19,"Bajo",IF(D237&lt;=$AC$20,"Medio ",IF(D237&lt;=$AC$21,"Alto",0)))</f>
        <v>0</v>
      </c>
      <c r="F237" t="str">
        <f>SUM('Gestión de abastecimiento'!N238:S238)</f>
        <v>0</v>
      </c>
      <c r="G237" s="10" t="str">
        <f>IF(F237&lt;=$AO$19,"Bajo",IF(F237&lt;=$AO$20,"Medio ",IF(F237&lt;=$AO$21,"Alto",0)))</f>
        <v>0</v>
      </c>
      <c r="H237" t="str">
        <f>SUM(B237:F237)</f>
        <v>0</v>
      </c>
      <c r="I237" s="10" t="str">
        <f>IF(H237&lt;=$BA$19,"Bajo",IF(H237&lt;=$BA$20,"Medio ",IF(H237&lt;=$BA$21,"Alto",0)))</f>
        <v>0</v>
      </c>
    </row>
    <row r="238" spans="1:61">
      <c r="A238" t="s">
        <v>258</v>
      </c>
      <c r="B238" t="str">
        <f>SUM('Gestión de abastecimiento'!B239:G239)</f>
        <v>0</v>
      </c>
      <c r="C238" s="10" t="str">
        <f>IF(B238&lt;=$Q$19,"Bajo",IF(B238&lt;=$Q$20,"Medio ",IF(B238&lt;=$Q$21,"Alto",0)))</f>
        <v>0</v>
      </c>
      <c r="D238" t="str">
        <f>SUM('Gestión de abastecimiento'!H239:M239)</f>
        <v>0</v>
      </c>
      <c r="E238" s="10" t="str">
        <f>IF(D238&lt;=$AC$19,"Bajo",IF(D238&lt;=$AC$20,"Medio ",IF(D238&lt;=$AC$21,"Alto",0)))</f>
        <v>0</v>
      </c>
      <c r="F238" t="str">
        <f>SUM('Gestión de abastecimiento'!N239:S239)</f>
        <v>0</v>
      </c>
      <c r="G238" s="10" t="str">
        <f>IF(F238&lt;=$AO$19,"Bajo",IF(F238&lt;=$AO$20,"Medio ",IF(F238&lt;=$AO$21,"Alto",0)))</f>
        <v>0</v>
      </c>
      <c r="H238" t="str">
        <f>SUM(B238:F238)</f>
        <v>0</v>
      </c>
      <c r="I238" s="10" t="str">
        <f>IF(H238&lt;=$BA$19,"Bajo",IF(H238&lt;=$BA$20,"Medio ",IF(H238&lt;=$BA$21,"Alto",0)))</f>
        <v>0</v>
      </c>
    </row>
    <row r="239" spans="1:61">
      <c r="A239" t="s">
        <v>259</v>
      </c>
      <c r="B239" t="str">
        <f>SUM('Gestión de abastecimiento'!B240:G240)</f>
        <v>0</v>
      </c>
      <c r="C239" s="10" t="str">
        <f>IF(B239&lt;=$Q$19,"Bajo",IF(B239&lt;=$Q$20,"Medio ",IF(B239&lt;=$Q$21,"Alto",0)))</f>
        <v>0</v>
      </c>
      <c r="D239" t="str">
        <f>SUM('Gestión de abastecimiento'!H240:M240)</f>
        <v>0</v>
      </c>
      <c r="E239" s="10" t="str">
        <f>IF(D239&lt;=$AC$19,"Bajo",IF(D239&lt;=$AC$20,"Medio ",IF(D239&lt;=$AC$21,"Alto",0)))</f>
        <v>0</v>
      </c>
      <c r="F239" t="str">
        <f>SUM('Gestión de abastecimiento'!N240:S240)</f>
        <v>0</v>
      </c>
      <c r="G239" s="10" t="str">
        <f>IF(F239&lt;=$AO$19,"Bajo",IF(F239&lt;=$AO$20,"Medio ",IF(F239&lt;=$AO$21,"Alto",0)))</f>
        <v>0</v>
      </c>
      <c r="H239" t="str">
        <f>SUM(B239:F239)</f>
        <v>0</v>
      </c>
      <c r="I239" s="10" t="str">
        <f>IF(H239&lt;=$BA$19,"Bajo",IF(H239&lt;=$BA$20,"Medio ",IF(H239&lt;=$BA$21,"Alto",0)))</f>
        <v>0</v>
      </c>
    </row>
    <row r="240" spans="1:61">
      <c r="A240" t="s">
        <v>260</v>
      </c>
      <c r="B240" t="str">
        <f>SUM('Gestión de abastecimiento'!B241:G241)</f>
        <v>0</v>
      </c>
      <c r="C240" s="10" t="str">
        <f>IF(B240&lt;=$Q$19,"Bajo",IF(B240&lt;=$Q$20,"Medio ",IF(B240&lt;=$Q$21,"Alto",0)))</f>
        <v>0</v>
      </c>
      <c r="D240" t="str">
        <f>SUM('Gestión de abastecimiento'!H241:M241)</f>
        <v>0</v>
      </c>
      <c r="E240" s="10" t="str">
        <f>IF(D240&lt;=$AC$19,"Bajo",IF(D240&lt;=$AC$20,"Medio ",IF(D240&lt;=$AC$21,"Alto",0)))</f>
        <v>0</v>
      </c>
      <c r="F240" t="str">
        <f>SUM('Gestión de abastecimiento'!N241:S241)</f>
        <v>0</v>
      </c>
      <c r="G240" s="10" t="str">
        <f>IF(F240&lt;=$AO$19,"Bajo",IF(F240&lt;=$AO$20,"Medio ",IF(F240&lt;=$AO$21,"Alto",0)))</f>
        <v>0</v>
      </c>
      <c r="H240" t="str">
        <f>SUM(B240:F240)</f>
        <v>0</v>
      </c>
      <c r="I240" s="10" t="str">
        <f>IF(H240&lt;=$BA$19,"Bajo",IF(H240&lt;=$BA$20,"Medio ",IF(H240&lt;=$BA$21,"Alto",0)))</f>
        <v>0</v>
      </c>
    </row>
    <row r="241" spans="1:61">
      <c r="A241" t="s">
        <v>261</v>
      </c>
      <c r="B241" t="str">
        <f>SUM('Gestión de abastecimiento'!B242:G242)</f>
        <v>0</v>
      </c>
      <c r="C241" s="10" t="str">
        <f>IF(B241&lt;=$Q$19,"Bajo",IF(B241&lt;=$Q$20,"Medio ",IF(B241&lt;=$Q$21,"Alto",0)))</f>
        <v>0</v>
      </c>
      <c r="D241" t="str">
        <f>SUM('Gestión de abastecimiento'!H242:M242)</f>
        <v>0</v>
      </c>
      <c r="E241" s="10" t="str">
        <f>IF(D241&lt;=$AC$19,"Bajo",IF(D241&lt;=$AC$20,"Medio ",IF(D241&lt;=$AC$21,"Alto",0)))</f>
        <v>0</v>
      </c>
      <c r="F241" t="str">
        <f>SUM('Gestión de abastecimiento'!N242:S242)</f>
        <v>0</v>
      </c>
      <c r="G241" s="10" t="str">
        <f>IF(F241&lt;=$AO$19,"Bajo",IF(F241&lt;=$AO$20,"Medio ",IF(F241&lt;=$AO$21,"Alto",0)))</f>
        <v>0</v>
      </c>
      <c r="H241" t="str">
        <f>SUM(B241:F241)</f>
        <v>0</v>
      </c>
      <c r="I241" s="10" t="str">
        <f>IF(H241&lt;=$BA$19,"Bajo",IF(H241&lt;=$BA$20,"Medio ",IF(H241&lt;=$BA$21,"Alto",0)))</f>
        <v>0</v>
      </c>
    </row>
    <row r="242" spans="1:61">
      <c r="A242" t="s">
        <v>262</v>
      </c>
      <c r="B242" t="str">
        <f>SUM('Gestión de abastecimiento'!B243:G243)</f>
        <v>0</v>
      </c>
      <c r="C242" s="10" t="str">
        <f>IF(B242&lt;=$Q$19,"Bajo",IF(B242&lt;=$Q$20,"Medio ",IF(B242&lt;=$Q$21,"Alto",0)))</f>
        <v>0</v>
      </c>
      <c r="D242" t="str">
        <f>SUM('Gestión de abastecimiento'!H243:M243)</f>
        <v>0</v>
      </c>
      <c r="E242" s="10" t="str">
        <f>IF(D242&lt;=$AC$19,"Bajo",IF(D242&lt;=$AC$20,"Medio ",IF(D242&lt;=$AC$21,"Alto",0)))</f>
        <v>0</v>
      </c>
      <c r="F242" t="str">
        <f>SUM('Gestión de abastecimiento'!N243:S243)</f>
        <v>0</v>
      </c>
      <c r="G242" s="10" t="str">
        <f>IF(F242&lt;=$AO$19,"Bajo",IF(F242&lt;=$AO$20,"Medio ",IF(F242&lt;=$AO$21,"Alto",0)))</f>
        <v>0</v>
      </c>
      <c r="H242" t="str">
        <f>SUM(B242:F242)</f>
        <v>0</v>
      </c>
      <c r="I242" s="10" t="str">
        <f>IF(H242&lt;=$BA$19,"Bajo",IF(H242&lt;=$BA$20,"Medio ",IF(H242&lt;=$BA$21,"Alto",0)))</f>
        <v>0</v>
      </c>
    </row>
    <row r="243" spans="1:61">
      <c r="A243" t="s">
        <v>263</v>
      </c>
      <c r="B243" t="str">
        <f>SUM('Gestión de abastecimiento'!B244:G244)</f>
        <v>0</v>
      </c>
      <c r="C243" s="10" t="str">
        <f>IF(B243&lt;=$Q$19,"Bajo",IF(B243&lt;=$Q$20,"Medio ",IF(B243&lt;=$Q$21,"Alto",0)))</f>
        <v>0</v>
      </c>
      <c r="D243" t="str">
        <f>SUM('Gestión de abastecimiento'!H244:M244)</f>
        <v>0</v>
      </c>
      <c r="E243" s="10" t="str">
        <f>IF(D243&lt;=$AC$19,"Bajo",IF(D243&lt;=$AC$20,"Medio ",IF(D243&lt;=$AC$21,"Alto",0)))</f>
        <v>0</v>
      </c>
      <c r="F243" t="str">
        <f>SUM('Gestión de abastecimiento'!N244:S244)</f>
        <v>0</v>
      </c>
      <c r="G243" s="10" t="str">
        <f>IF(F243&lt;=$AO$19,"Bajo",IF(F243&lt;=$AO$20,"Medio ",IF(F243&lt;=$AO$21,"Alto",0)))</f>
        <v>0</v>
      </c>
      <c r="H243" t="str">
        <f>SUM(B243:F243)</f>
        <v>0</v>
      </c>
      <c r="I243" s="10" t="str">
        <f>IF(H243&lt;=$BA$19,"Bajo",IF(H243&lt;=$BA$20,"Medio ",IF(H243&lt;=$BA$21,"Alto",0)))</f>
        <v>0</v>
      </c>
    </row>
    <row r="244" spans="1:61">
      <c r="A244" t="s">
        <v>264</v>
      </c>
      <c r="B244" t="str">
        <f>SUM('Gestión de abastecimiento'!B245:G245)</f>
        <v>0</v>
      </c>
      <c r="C244" s="10" t="str">
        <f>IF(B244&lt;=$Q$19,"Bajo",IF(B244&lt;=$Q$20,"Medio ",IF(B244&lt;=$Q$21,"Alto",0)))</f>
        <v>0</v>
      </c>
      <c r="D244" t="str">
        <f>SUM('Gestión de abastecimiento'!H245:M245)</f>
        <v>0</v>
      </c>
      <c r="E244" s="10" t="str">
        <f>IF(D244&lt;=$AC$19,"Bajo",IF(D244&lt;=$AC$20,"Medio ",IF(D244&lt;=$AC$21,"Alto",0)))</f>
        <v>0</v>
      </c>
      <c r="F244" t="str">
        <f>SUM('Gestión de abastecimiento'!N245:S245)</f>
        <v>0</v>
      </c>
      <c r="G244" s="10" t="str">
        <f>IF(F244&lt;=$AO$19,"Bajo",IF(F244&lt;=$AO$20,"Medio ",IF(F244&lt;=$AO$21,"Alto",0)))</f>
        <v>0</v>
      </c>
      <c r="H244" t="str">
        <f>SUM(B244:F244)</f>
        <v>0</v>
      </c>
      <c r="I244" s="10" t="str">
        <f>IF(H244&lt;=$BA$19,"Bajo",IF(H244&lt;=$BA$20,"Medio ",IF(H244&lt;=$BA$21,"Alto",0)))</f>
        <v>0</v>
      </c>
    </row>
    <row r="245" spans="1:61">
      <c r="A245" t="s">
        <v>265</v>
      </c>
      <c r="B245" t="str">
        <f>SUM('Gestión de abastecimiento'!B246:G246)</f>
        <v>0</v>
      </c>
      <c r="C245" s="10" t="str">
        <f>IF(B245&lt;=$Q$19,"Bajo",IF(B245&lt;=$Q$20,"Medio ",IF(B245&lt;=$Q$21,"Alto",0)))</f>
        <v>0</v>
      </c>
      <c r="D245" t="str">
        <f>SUM('Gestión de abastecimiento'!H246:M246)</f>
        <v>0</v>
      </c>
      <c r="E245" s="10" t="str">
        <f>IF(D245&lt;=$AC$19,"Bajo",IF(D245&lt;=$AC$20,"Medio ",IF(D245&lt;=$AC$21,"Alto",0)))</f>
        <v>0</v>
      </c>
      <c r="F245" t="str">
        <f>SUM('Gestión de abastecimiento'!N246:S246)</f>
        <v>0</v>
      </c>
      <c r="G245" s="10" t="str">
        <f>IF(F245&lt;=$AO$19,"Bajo",IF(F245&lt;=$AO$20,"Medio ",IF(F245&lt;=$AO$21,"Alto",0)))</f>
        <v>0</v>
      </c>
      <c r="H245" t="str">
        <f>SUM(B245:F245)</f>
        <v>0</v>
      </c>
      <c r="I245" s="10" t="str">
        <f>IF(H245&lt;=$BA$19,"Bajo",IF(H245&lt;=$BA$20,"Medio ",IF(H245&lt;=$BA$21,"Alto",0)))</f>
        <v>0</v>
      </c>
    </row>
    <row r="246" spans="1:61">
      <c r="A246" t="s">
        <v>266</v>
      </c>
      <c r="B246" t="str">
        <f>SUM('Gestión de abastecimiento'!B247:G247)</f>
        <v>0</v>
      </c>
      <c r="C246" s="10" t="str">
        <f>IF(B246&lt;=$Q$19,"Bajo",IF(B246&lt;=$Q$20,"Medio ",IF(B246&lt;=$Q$21,"Alto",0)))</f>
        <v>0</v>
      </c>
      <c r="D246" t="str">
        <f>SUM('Gestión de abastecimiento'!H247:M247)</f>
        <v>0</v>
      </c>
      <c r="E246" s="10" t="str">
        <f>IF(D246&lt;=$AC$19,"Bajo",IF(D246&lt;=$AC$20,"Medio ",IF(D246&lt;=$AC$21,"Alto",0)))</f>
        <v>0</v>
      </c>
      <c r="F246" t="str">
        <f>SUM('Gestión de abastecimiento'!N247:S247)</f>
        <v>0</v>
      </c>
      <c r="G246" s="10" t="str">
        <f>IF(F246&lt;=$AO$19,"Bajo",IF(F246&lt;=$AO$20,"Medio ",IF(F246&lt;=$AO$21,"Alto",0)))</f>
        <v>0</v>
      </c>
      <c r="H246" t="str">
        <f>SUM(B246:F246)</f>
        <v>0</v>
      </c>
      <c r="I246" s="10" t="str">
        <f>IF(H246&lt;=$BA$19,"Bajo",IF(H246&lt;=$BA$20,"Medio ",IF(H246&lt;=$BA$21,"Alto",0)))</f>
        <v>0</v>
      </c>
    </row>
    <row r="247" spans="1:61">
      <c r="A247" t="s">
        <v>267</v>
      </c>
      <c r="B247" t="str">
        <f>SUM('Gestión de abastecimiento'!B248:G248)</f>
        <v>0</v>
      </c>
      <c r="C247" s="10" t="str">
        <f>IF(B247&lt;=$Q$19,"Bajo",IF(B247&lt;=$Q$20,"Medio ",IF(B247&lt;=$Q$21,"Alto",0)))</f>
        <v>0</v>
      </c>
      <c r="D247" t="str">
        <f>SUM('Gestión de abastecimiento'!H248:M248)</f>
        <v>0</v>
      </c>
      <c r="E247" s="10" t="str">
        <f>IF(D247&lt;=$AC$19,"Bajo",IF(D247&lt;=$AC$20,"Medio ",IF(D247&lt;=$AC$21,"Alto",0)))</f>
        <v>0</v>
      </c>
      <c r="F247" t="str">
        <f>SUM('Gestión de abastecimiento'!N248:S248)</f>
        <v>0</v>
      </c>
      <c r="G247" s="10" t="str">
        <f>IF(F247&lt;=$AO$19,"Bajo",IF(F247&lt;=$AO$20,"Medio ",IF(F247&lt;=$AO$21,"Alto",0)))</f>
        <v>0</v>
      </c>
      <c r="H247" t="str">
        <f>SUM(B247:F247)</f>
        <v>0</v>
      </c>
      <c r="I247" s="10" t="str">
        <f>IF(H247&lt;=$BA$19,"Bajo",IF(H247&lt;=$BA$20,"Medio ",IF(H247&lt;=$BA$21,"Alto",0)))</f>
        <v>0</v>
      </c>
    </row>
    <row r="248" spans="1:61">
      <c r="A248" t="s">
        <v>268</v>
      </c>
      <c r="B248" t="str">
        <f>SUM('Gestión de abastecimiento'!B249:G249)</f>
        <v>0</v>
      </c>
      <c r="C248" s="10" t="str">
        <f>IF(B248&lt;=$Q$19,"Bajo",IF(B248&lt;=$Q$20,"Medio ",IF(B248&lt;=$Q$21,"Alto",0)))</f>
        <v>0</v>
      </c>
      <c r="D248" t="str">
        <f>SUM('Gestión de abastecimiento'!H249:M249)</f>
        <v>0</v>
      </c>
      <c r="E248" s="10" t="str">
        <f>IF(D248&lt;=$AC$19,"Bajo",IF(D248&lt;=$AC$20,"Medio ",IF(D248&lt;=$AC$21,"Alto",0)))</f>
        <v>0</v>
      </c>
      <c r="F248" t="str">
        <f>SUM('Gestión de abastecimiento'!N249:S249)</f>
        <v>0</v>
      </c>
      <c r="G248" s="10" t="str">
        <f>IF(F248&lt;=$AO$19,"Bajo",IF(F248&lt;=$AO$20,"Medio ",IF(F248&lt;=$AO$21,"Alto",0)))</f>
        <v>0</v>
      </c>
      <c r="H248" t="str">
        <f>SUM(B248:F248)</f>
        <v>0</v>
      </c>
      <c r="I248" s="10" t="str">
        <f>IF(H248&lt;=$BA$19,"Bajo",IF(H248&lt;=$BA$20,"Medio ",IF(H248&lt;=$BA$21,"Alto",0)))</f>
        <v>0</v>
      </c>
    </row>
    <row r="249" spans="1:61">
      <c r="A249" t="s">
        <v>269</v>
      </c>
      <c r="B249" t="str">
        <f>SUM('Gestión de abastecimiento'!B250:G250)</f>
        <v>0</v>
      </c>
      <c r="C249" s="10" t="str">
        <f>IF(B249&lt;=$Q$19,"Bajo",IF(B249&lt;=$Q$20,"Medio ",IF(B249&lt;=$Q$21,"Alto",0)))</f>
        <v>0</v>
      </c>
      <c r="D249" t="str">
        <f>SUM('Gestión de abastecimiento'!H250:M250)</f>
        <v>0</v>
      </c>
      <c r="E249" s="10" t="str">
        <f>IF(D249&lt;=$AC$19,"Bajo",IF(D249&lt;=$AC$20,"Medio ",IF(D249&lt;=$AC$21,"Alto",0)))</f>
        <v>0</v>
      </c>
      <c r="F249" t="str">
        <f>SUM('Gestión de abastecimiento'!N250:S250)</f>
        <v>0</v>
      </c>
      <c r="G249" s="10" t="str">
        <f>IF(F249&lt;=$AO$19,"Bajo",IF(F249&lt;=$AO$20,"Medio ",IF(F249&lt;=$AO$21,"Alto",0)))</f>
        <v>0</v>
      </c>
      <c r="H249" t="str">
        <f>SUM(B249:F249)</f>
        <v>0</v>
      </c>
      <c r="I249" s="10" t="str">
        <f>IF(H249&lt;=$BA$19,"Bajo",IF(H249&lt;=$BA$20,"Medio ",IF(H249&lt;=$BA$21,"Alto",0)))</f>
        <v>0</v>
      </c>
    </row>
    <row r="250" spans="1:61">
      <c r="A250" t="s">
        <v>270</v>
      </c>
      <c r="B250" t="str">
        <f>SUM('Gestión de abastecimiento'!B251:G251)</f>
        <v>0</v>
      </c>
      <c r="C250" s="10" t="str">
        <f>IF(B250&lt;=$Q$19,"Bajo",IF(B250&lt;=$Q$20,"Medio ",IF(B250&lt;=$Q$21,"Alto",0)))</f>
        <v>0</v>
      </c>
      <c r="D250" t="str">
        <f>SUM('Gestión de abastecimiento'!H251:M251)</f>
        <v>0</v>
      </c>
      <c r="E250" s="10" t="str">
        <f>IF(D250&lt;=$AC$19,"Bajo",IF(D250&lt;=$AC$20,"Medio ",IF(D250&lt;=$AC$21,"Alto",0)))</f>
        <v>0</v>
      </c>
      <c r="F250" t="str">
        <f>SUM('Gestión de abastecimiento'!N251:S251)</f>
        <v>0</v>
      </c>
      <c r="G250" s="10" t="str">
        <f>IF(F250&lt;=$AO$19,"Bajo",IF(F250&lt;=$AO$20,"Medio ",IF(F250&lt;=$AO$21,"Alto",0)))</f>
        <v>0</v>
      </c>
      <c r="H250" t="str">
        <f>SUM(B250:F250)</f>
        <v>0</v>
      </c>
      <c r="I250" s="10" t="str">
        <f>IF(H250&lt;=$BA$19,"Bajo",IF(H250&lt;=$BA$20,"Medio ",IF(H250&lt;=$BA$21,"Alto",0)))</f>
        <v>0</v>
      </c>
    </row>
    <row r="251" spans="1:61">
      <c r="A251" t="s">
        <v>271</v>
      </c>
      <c r="B251" t="str">
        <f>SUM('Gestión de abastecimiento'!B252:G252)</f>
        <v>0</v>
      </c>
      <c r="C251" s="10" t="str">
        <f>IF(B251&lt;=$Q$19,"Bajo",IF(B251&lt;=$Q$20,"Medio ",IF(B251&lt;=$Q$21,"Alto",0)))</f>
        <v>0</v>
      </c>
      <c r="D251" t="str">
        <f>SUM('Gestión de abastecimiento'!H252:M252)</f>
        <v>0</v>
      </c>
      <c r="E251" s="10" t="str">
        <f>IF(D251&lt;=$AC$19,"Bajo",IF(D251&lt;=$AC$20,"Medio ",IF(D251&lt;=$AC$21,"Alto",0)))</f>
        <v>0</v>
      </c>
      <c r="F251" t="str">
        <f>SUM('Gestión de abastecimiento'!N252:S252)</f>
        <v>0</v>
      </c>
      <c r="G251" s="10" t="str">
        <f>IF(F251&lt;=$AO$19,"Bajo",IF(F251&lt;=$AO$20,"Medio ",IF(F251&lt;=$AO$21,"Alto",0)))</f>
        <v>0</v>
      </c>
      <c r="H251" t="str">
        <f>SUM(B251:F251)</f>
        <v>0</v>
      </c>
      <c r="I251" s="10" t="str">
        <f>IF(H251&lt;=$BA$19,"Bajo",IF(H251&lt;=$BA$20,"Medio ",IF(H251&lt;=$BA$21,"Alto",0)))</f>
        <v>0</v>
      </c>
    </row>
    <row r="252" spans="1:61">
      <c r="A252" t="s">
        <v>272</v>
      </c>
      <c r="B252" t="str">
        <f>SUM('Gestión de abastecimiento'!B253:G253)</f>
        <v>0</v>
      </c>
      <c r="C252" s="10" t="str">
        <f>IF(B252&lt;=$Q$19,"Bajo",IF(B252&lt;=$Q$20,"Medio ",IF(B252&lt;=$Q$21,"Alto",0)))</f>
        <v>0</v>
      </c>
      <c r="D252" t="str">
        <f>SUM('Gestión de abastecimiento'!H253:M253)</f>
        <v>0</v>
      </c>
      <c r="E252" s="10" t="str">
        <f>IF(D252&lt;=$AC$19,"Bajo",IF(D252&lt;=$AC$20,"Medio ",IF(D252&lt;=$AC$21,"Alto",0)))</f>
        <v>0</v>
      </c>
      <c r="F252" t="str">
        <f>SUM('Gestión de abastecimiento'!N253:S253)</f>
        <v>0</v>
      </c>
      <c r="G252" s="10" t="str">
        <f>IF(F252&lt;=$AO$19,"Bajo",IF(F252&lt;=$AO$20,"Medio ",IF(F252&lt;=$AO$21,"Alto",0)))</f>
        <v>0</v>
      </c>
      <c r="H252" t="str">
        <f>SUM(B252:F252)</f>
        <v>0</v>
      </c>
      <c r="I252" s="10" t="str">
        <f>IF(H252&lt;=$BA$19,"Bajo",IF(H252&lt;=$BA$20,"Medio ",IF(H252&lt;=$BA$21,"Alto",0)))</f>
        <v>0</v>
      </c>
    </row>
    <row r="253" spans="1:61">
      <c r="A253" t="s">
        <v>273</v>
      </c>
      <c r="B253" t="str">
        <f>SUM('Gestión de abastecimiento'!B254:G254)</f>
        <v>0</v>
      </c>
      <c r="C253" s="10" t="str">
        <f>IF(B253&lt;=$Q$19,"Bajo",IF(B253&lt;=$Q$20,"Medio ",IF(B253&lt;=$Q$21,"Alto",0)))</f>
        <v>0</v>
      </c>
      <c r="D253" t="str">
        <f>SUM('Gestión de abastecimiento'!H254:M254)</f>
        <v>0</v>
      </c>
      <c r="E253" s="10" t="str">
        <f>IF(D253&lt;=$AC$19,"Bajo",IF(D253&lt;=$AC$20,"Medio ",IF(D253&lt;=$AC$21,"Alto",0)))</f>
        <v>0</v>
      </c>
      <c r="F253" t="str">
        <f>SUM('Gestión de abastecimiento'!N254:S254)</f>
        <v>0</v>
      </c>
      <c r="G253" s="10" t="str">
        <f>IF(F253&lt;=$AO$19,"Bajo",IF(F253&lt;=$AO$20,"Medio ",IF(F253&lt;=$AO$21,"Alto",0)))</f>
        <v>0</v>
      </c>
      <c r="H253" t="str">
        <f>SUM(B253:F253)</f>
        <v>0</v>
      </c>
      <c r="I253" s="10" t="str">
        <f>IF(H253&lt;=$BA$19,"Bajo",IF(H253&lt;=$BA$20,"Medio ",IF(H253&lt;=$BA$21,"Alto",0)))</f>
        <v>0</v>
      </c>
    </row>
    <row r="254" spans="1:61">
      <c r="A254" t="s">
        <v>274</v>
      </c>
      <c r="B254" t="str">
        <f>SUM('Gestión de abastecimiento'!B255:G255)</f>
        <v>0</v>
      </c>
      <c r="C254" s="10" t="str">
        <f>IF(B254&lt;=$Q$19,"Bajo",IF(B254&lt;=$Q$20,"Medio ",IF(B254&lt;=$Q$21,"Alto",0)))</f>
        <v>0</v>
      </c>
      <c r="D254" t="str">
        <f>SUM('Gestión de abastecimiento'!H255:M255)</f>
        <v>0</v>
      </c>
      <c r="E254" s="10" t="str">
        <f>IF(D254&lt;=$AC$19,"Bajo",IF(D254&lt;=$AC$20,"Medio ",IF(D254&lt;=$AC$21,"Alto",0)))</f>
        <v>0</v>
      </c>
      <c r="F254" t="str">
        <f>SUM('Gestión de abastecimiento'!N255:S255)</f>
        <v>0</v>
      </c>
      <c r="G254" s="10" t="str">
        <f>IF(F254&lt;=$AO$19,"Bajo",IF(F254&lt;=$AO$20,"Medio ",IF(F254&lt;=$AO$21,"Alto",0)))</f>
        <v>0</v>
      </c>
      <c r="H254" t="str">
        <f>SUM(B254:F254)</f>
        <v>0</v>
      </c>
      <c r="I254" s="10" t="str">
        <f>IF(H254&lt;=$BA$19,"Bajo",IF(H254&lt;=$BA$20,"Medio ",IF(H254&lt;=$BA$21,"Alto",0)))</f>
        <v>0</v>
      </c>
    </row>
    <row r="255" spans="1:61">
      <c r="A255" t="s">
        <v>275</v>
      </c>
      <c r="B255" t="str">
        <f>SUM('Gestión de abastecimiento'!B256:G256)</f>
        <v>0</v>
      </c>
      <c r="C255" s="10" t="str">
        <f>IF(B255&lt;=$Q$19,"Bajo",IF(B255&lt;=$Q$20,"Medio ",IF(B255&lt;=$Q$21,"Alto",0)))</f>
        <v>0</v>
      </c>
      <c r="D255" t="str">
        <f>SUM('Gestión de abastecimiento'!H256:M256)</f>
        <v>0</v>
      </c>
      <c r="E255" s="10" t="str">
        <f>IF(D255&lt;=$AC$19,"Bajo",IF(D255&lt;=$AC$20,"Medio ",IF(D255&lt;=$AC$21,"Alto",0)))</f>
        <v>0</v>
      </c>
      <c r="F255" t="str">
        <f>SUM('Gestión de abastecimiento'!N256:S256)</f>
        <v>0</v>
      </c>
      <c r="G255" s="10" t="str">
        <f>IF(F255&lt;=$AO$19,"Bajo",IF(F255&lt;=$AO$20,"Medio ",IF(F255&lt;=$AO$21,"Alto",0)))</f>
        <v>0</v>
      </c>
      <c r="H255" t="str">
        <f>SUM(B255:F255)</f>
        <v>0</v>
      </c>
      <c r="I255" s="10" t="str">
        <f>IF(H255&lt;=$BA$19,"Bajo",IF(H255&lt;=$BA$20,"Medio ",IF(H255&lt;=$BA$21,"Alto",0)))</f>
        <v>0</v>
      </c>
    </row>
    <row r="256" spans="1:61">
      <c r="A256" t="s">
        <v>276</v>
      </c>
      <c r="B256" t="str">
        <f>SUM('Gestión de abastecimiento'!B257:G257)</f>
        <v>0</v>
      </c>
      <c r="C256" s="10" t="str">
        <f>IF(B256&lt;=$Q$19,"Bajo",IF(B256&lt;=$Q$20,"Medio ",IF(B256&lt;=$Q$21,"Alto",0)))</f>
        <v>0</v>
      </c>
      <c r="D256" t="str">
        <f>SUM('Gestión de abastecimiento'!H257:M257)</f>
        <v>0</v>
      </c>
      <c r="E256" s="10" t="str">
        <f>IF(D256&lt;=$AC$19,"Bajo",IF(D256&lt;=$AC$20,"Medio ",IF(D256&lt;=$AC$21,"Alto",0)))</f>
        <v>0</v>
      </c>
      <c r="F256" t="str">
        <f>SUM('Gestión de abastecimiento'!N257:S257)</f>
        <v>0</v>
      </c>
      <c r="G256" s="10" t="str">
        <f>IF(F256&lt;=$AO$19,"Bajo",IF(F256&lt;=$AO$20,"Medio ",IF(F256&lt;=$AO$21,"Alto",0)))</f>
        <v>0</v>
      </c>
      <c r="H256" t="str">
        <f>SUM(B256:F256)</f>
        <v>0</v>
      </c>
      <c r="I256" s="10" t="str">
        <f>IF(H256&lt;=$BA$19,"Bajo",IF(H256&lt;=$BA$20,"Medio ",IF(H256&lt;=$BA$21,"Alto",0)))</f>
        <v>0</v>
      </c>
    </row>
    <row r="257" spans="1:61">
      <c r="A257" t="s">
        <v>277</v>
      </c>
      <c r="B257" t="str">
        <f>SUM('Gestión de abastecimiento'!B258:G258)</f>
        <v>0</v>
      </c>
      <c r="C257" s="10" t="str">
        <f>IF(B257&lt;=$Q$19,"Bajo",IF(B257&lt;=$Q$20,"Medio ",IF(B257&lt;=$Q$21,"Alto",0)))</f>
        <v>0</v>
      </c>
      <c r="D257" t="str">
        <f>SUM('Gestión de abastecimiento'!H258:M258)</f>
        <v>0</v>
      </c>
      <c r="E257" s="10" t="str">
        <f>IF(D257&lt;=$AC$19,"Bajo",IF(D257&lt;=$AC$20,"Medio ",IF(D257&lt;=$AC$21,"Alto",0)))</f>
        <v>0</v>
      </c>
      <c r="F257" t="str">
        <f>SUM('Gestión de abastecimiento'!N258:S258)</f>
        <v>0</v>
      </c>
      <c r="G257" s="10" t="str">
        <f>IF(F257&lt;=$AO$19,"Bajo",IF(F257&lt;=$AO$20,"Medio ",IF(F257&lt;=$AO$21,"Alto",0)))</f>
        <v>0</v>
      </c>
      <c r="H257" t="str">
        <f>SUM(B257:F257)</f>
        <v>0</v>
      </c>
      <c r="I257" s="10" t="str">
        <f>IF(H257&lt;=$BA$19,"Bajo",IF(H257&lt;=$BA$20,"Medio ",IF(H257&lt;=$BA$21,"Alto",0)))</f>
        <v>0</v>
      </c>
    </row>
    <row r="258" spans="1:61">
      <c r="A258" t="s">
        <v>278</v>
      </c>
      <c r="B258" t="str">
        <f>SUM('Gestión de abastecimiento'!B259:G259)</f>
        <v>0</v>
      </c>
      <c r="C258" s="10" t="str">
        <f>IF(B258&lt;=$Q$19,"Bajo",IF(B258&lt;=$Q$20,"Medio ",IF(B258&lt;=$Q$21,"Alto",0)))</f>
        <v>0</v>
      </c>
      <c r="D258" t="str">
        <f>SUM('Gestión de abastecimiento'!H259:M259)</f>
        <v>0</v>
      </c>
      <c r="E258" s="10" t="str">
        <f>IF(D258&lt;=$AC$19,"Bajo",IF(D258&lt;=$AC$20,"Medio ",IF(D258&lt;=$AC$21,"Alto",0)))</f>
        <v>0</v>
      </c>
      <c r="F258" t="str">
        <f>SUM('Gestión de abastecimiento'!N259:S259)</f>
        <v>0</v>
      </c>
      <c r="G258" s="10" t="str">
        <f>IF(F258&lt;=$AO$19,"Bajo",IF(F258&lt;=$AO$20,"Medio ",IF(F258&lt;=$AO$21,"Alto",0)))</f>
        <v>0</v>
      </c>
      <c r="H258" t="str">
        <f>SUM(B258:F258)</f>
        <v>0</v>
      </c>
      <c r="I258" s="10" t="str">
        <f>IF(H258&lt;=$BA$19,"Bajo",IF(H258&lt;=$BA$20,"Medio ",IF(H258&lt;=$BA$21,"Alto",0)))</f>
        <v>0</v>
      </c>
    </row>
    <row r="259" spans="1:61">
      <c r="A259" t="s">
        <v>279</v>
      </c>
      <c r="B259" t="str">
        <f>SUM('Gestión de abastecimiento'!B260:G260)</f>
        <v>0</v>
      </c>
      <c r="C259" s="10" t="str">
        <f>IF(B259&lt;=$Q$19,"Bajo",IF(B259&lt;=$Q$20,"Medio ",IF(B259&lt;=$Q$21,"Alto",0)))</f>
        <v>0</v>
      </c>
      <c r="D259" t="str">
        <f>SUM('Gestión de abastecimiento'!H260:M260)</f>
        <v>0</v>
      </c>
      <c r="E259" s="10" t="str">
        <f>IF(D259&lt;=$AC$19,"Bajo",IF(D259&lt;=$AC$20,"Medio ",IF(D259&lt;=$AC$21,"Alto",0)))</f>
        <v>0</v>
      </c>
      <c r="F259" t="str">
        <f>SUM('Gestión de abastecimiento'!N260:S260)</f>
        <v>0</v>
      </c>
      <c r="G259" s="10" t="str">
        <f>IF(F259&lt;=$AO$19,"Bajo",IF(F259&lt;=$AO$20,"Medio ",IF(F259&lt;=$AO$21,"Alto",0)))</f>
        <v>0</v>
      </c>
      <c r="H259" t="str">
        <f>SUM(B259:F259)</f>
        <v>0</v>
      </c>
      <c r="I259" s="10" t="str">
        <f>IF(H259&lt;=$BA$19,"Bajo",IF(H259&lt;=$BA$20,"Medio ",IF(H259&lt;=$BA$21,"Alto",0)))</f>
        <v>0</v>
      </c>
    </row>
    <row r="260" spans="1:61">
      <c r="A260" t="s">
        <v>280</v>
      </c>
      <c r="B260" t="str">
        <f>SUM('Gestión de abastecimiento'!B261:G261)</f>
        <v>0</v>
      </c>
      <c r="C260" s="10" t="str">
        <f>IF(B260&lt;=$Q$19,"Bajo",IF(B260&lt;=$Q$20,"Medio ",IF(B260&lt;=$Q$21,"Alto",0)))</f>
        <v>0</v>
      </c>
      <c r="D260" t="str">
        <f>SUM('Gestión de abastecimiento'!H261:M261)</f>
        <v>0</v>
      </c>
      <c r="E260" s="10" t="str">
        <f>IF(D260&lt;=$AC$19,"Bajo",IF(D260&lt;=$AC$20,"Medio ",IF(D260&lt;=$AC$21,"Alto",0)))</f>
        <v>0</v>
      </c>
      <c r="F260" t="str">
        <f>SUM('Gestión de abastecimiento'!N261:S261)</f>
        <v>0</v>
      </c>
      <c r="G260" s="10" t="str">
        <f>IF(F260&lt;=$AO$19,"Bajo",IF(F260&lt;=$AO$20,"Medio ",IF(F260&lt;=$AO$21,"Alto",0)))</f>
        <v>0</v>
      </c>
      <c r="H260" t="str">
        <f>SUM(B260:F260)</f>
        <v>0</v>
      </c>
      <c r="I260" s="10" t="str">
        <f>IF(H260&lt;=$BA$19,"Bajo",IF(H260&lt;=$BA$20,"Medio ",IF(H260&lt;=$BA$21,"Alto",0)))</f>
        <v>0</v>
      </c>
    </row>
    <row r="261" spans="1:61">
      <c r="A261" t="s">
        <v>281</v>
      </c>
      <c r="B261" t="str">
        <f>SUM('Gestión de abastecimiento'!B262:G262)</f>
        <v>0</v>
      </c>
      <c r="C261" s="10" t="str">
        <f>IF(B261&lt;=$Q$19,"Bajo",IF(B261&lt;=$Q$20,"Medio ",IF(B261&lt;=$Q$21,"Alto",0)))</f>
        <v>0</v>
      </c>
      <c r="D261" t="str">
        <f>SUM('Gestión de abastecimiento'!H262:M262)</f>
        <v>0</v>
      </c>
      <c r="E261" s="10" t="str">
        <f>IF(D261&lt;=$AC$19,"Bajo",IF(D261&lt;=$AC$20,"Medio ",IF(D261&lt;=$AC$21,"Alto",0)))</f>
        <v>0</v>
      </c>
      <c r="F261" t="str">
        <f>SUM('Gestión de abastecimiento'!N262:S262)</f>
        <v>0</v>
      </c>
      <c r="G261" s="10" t="str">
        <f>IF(F261&lt;=$AO$19,"Bajo",IF(F261&lt;=$AO$20,"Medio ",IF(F261&lt;=$AO$21,"Alto",0)))</f>
        <v>0</v>
      </c>
      <c r="H261" t="str">
        <f>SUM(B261:F261)</f>
        <v>0</v>
      </c>
      <c r="I261" s="10" t="str">
        <f>IF(H261&lt;=$BA$19,"Bajo",IF(H261&lt;=$BA$20,"Medio ",IF(H261&lt;=$BA$21,"Alto",0)))</f>
        <v>0</v>
      </c>
    </row>
    <row r="262" spans="1:61">
      <c r="A262" t="s">
        <v>282</v>
      </c>
      <c r="B262" t="str">
        <f>SUM('Gestión de abastecimiento'!B263:G263)</f>
        <v>0</v>
      </c>
      <c r="C262" s="10" t="str">
        <f>IF(B262&lt;=$Q$19,"Bajo",IF(B262&lt;=$Q$20,"Medio ",IF(B262&lt;=$Q$21,"Alto",0)))</f>
        <v>0</v>
      </c>
      <c r="D262" t="str">
        <f>SUM('Gestión de abastecimiento'!H263:M263)</f>
        <v>0</v>
      </c>
      <c r="E262" s="10" t="str">
        <f>IF(D262&lt;=$AC$19,"Bajo",IF(D262&lt;=$AC$20,"Medio ",IF(D262&lt;=$AC$21,"Alto",0)))</f>
        <v>0</v>
      </c>
      <c r="F262" t="str">
        <f>SUM('Gestión de abastecimiento'!N263:S263)</f>
        <v>0</v>
      </c>
      <c r="G262" s="10" t="str">
        <f>IF(F262&lt;=$AO$19,"Bajo",IF(F262&lt;=$AO$20,"Medio ",IF(F262&lt;=$AO$21,"Alto",0)))</f>
        <v>0</v>
      </c>
      <c r="H262" t="str">
        <f>SUM(B262:F262)</f>
        <v>0</v>
      </c>
      <c r="I262" s="10" t="str">
        <f>IF(H262&lt;=$BA$19,"Bajo",IF(H262&lt;=$BA$20,"Medio ",IF(H262&lt;=$BA$21,"Alto",0)))</f>
        <v>0</v>
      </c>
    </row>
    <row r="263" spans="1:61">
      <c r="A263" t="s">
        <v>283</v>
      </c>
      <c r="B263" t="str">
        <f>SUM('Gestión de abastecimiento'!B264:G264)</f>
        <v>0</v>
      </c>
      <c r="C263" s="10" t="str">
        <f>IF(B263&lt;=$Q$19,"Bajo",IF(B263&lt;=$Q$20,"Medio ",IF(B263&lt;=$Q$21,"Alto",0)))</f>
        <v>0</v>
      </c>
      <c r="D263" t="str">
        <f>SUM('Gestión de abastecimiento'!H264:M264)</f>
        <v>0</v>
      </c>
      <c r="E263" s="10" t="str">
        <f>IF(D263&lt;=$AC$19,"Bajo",IF(D263&lt;=$AC$20,"Medio ",IF(D263&lt;=$AC$21,"Alto",0)))</f>
        <v>0</v>
      </c>
      <c r="F263" t="str">
        <f>SUM('Gestión de abastecimiento'!N264:S264)</f>
        <v>0</v>
      </c>
      <c r="G263" s="10" t="str">
        <f>IF(F263&lt;=$AO$19,"Bajo",IF(F263&lt;=$AO$20,"Medio ",IF(F263&lt;=$AO$21,"Alto",0)))</f>
        <v>0</v>
      </c>
      <c r="H263" t="str">
        <f>SUM(B263:F263)</f>
        <v>0</v>
      </c>
      <c r="I263" s="10" t="str">
        <f>IF(H263&lt;=$BA$19,"Bajo",IF(H263&lt;=$BA$20,"Medio ",IF(H263&lt;=$BA$21,"Alto",0)))</f>
        <v>0</v>
      </c>
    </row>
    <row r="264" spans="1:61">
      <c r="A264" t="s">
        <v>284</v>
      </c>
      <c r="B264" t="str">
        <f>SUM('Gestión de abastecimiento'!B265:G265)</f>
        <v>0</v>
      </c>
      <c r="C264" s="10" t="str">
        <f>IF(B264&lt;=$Q$19,"Bajo",IF(B264&lt;=$Q$20,"Medio ",IF(B264&lt;=$Q$21,"Alto",0)))</f>
        <v>0</v>
      </c>
      <c r="D264" t="str">
        <f>SUM('Gestión de abastecimiento'!H265:M265)</f>
        <v>0</v>
      </c>
      <c r="E264" s="10" t="str">
        <f>IF(D264&lt;=$AC$19,"Bajo",IF(D264&lt;=$AC$20,"Medio ",IF(D264&lt;=$AC$21,"Alto",0)))</f>
        <v>0</v>
      </c>
      <c r="F264" t="str">
        <f>SUM('Gestión de abastecimiento'!N265:S265)</f>
        <v>0</v>
      </c>
      <c r="G264" s="10" t="str">
        <f>IF(F264&lt;=$AO$19,"Bajo",IF(F264&lt;=$AO$20,"Medio ",IF(F264&lt;=$AO$21,"Alto",0)))</f>
        <v>0</v>
      </c>
      <c r="H264" t="str">
        <f>SUM(B264:F264)</f>
        <v>0</v>
      </c>
      <c r="I264" s="10" t="str">
        <f>IF(H264&lt;=$BA$19,"Bajo",IF(H264&lt;=$BA$20,"Medio ",IF(H264&lt;=$BA$21,"Alto",0)))</f>
        <v>0</v>
      </c>
    </row>
    <row r="265" spans="1:61">
      <c r="A265" t="s">
        <v>285</v>
      </c>
      <c r="B265" t="str">
        <f>SUM('Gestión de abastecimiento'!B266:G266)</f>
        <v>0</v>
      </c>
      <c r="C265" s="10" t="str">
        <f>IF(B265&lt;=$Q$19,"Bajo",IF(B265&lt;=$Q$20,"Medio ",IF(B265&lt;=$Q$21,"Alto",0)))</f>
        <v>0</v>
      </c>
      <c r="D265" t="str">
        <f>SUM('Gestión de abastecimiento'!H266:M266)</f>
        <v>0</v>
      </c>
      <c r="E265" s="10" t="str">
        <f>IF(D265&lt;=$AC$19,"Bajo",IF(D265&lt;=$AC$20,"Medio ",IF(D265&lt;=$AC$21,"Alto",0)))</f>
        <v>0</v>
      </c>
      <c r="F265" t="str">
        <f>SUM('Gestión de abastecimiento'!N266:S266)</f>
        <v>0</v>
      </c>
      <c r="G265" s="10" t="str">
        <f>IF(F265&lt;=$AO$19,"Bajo",IF(F265&lt;=$AO$20,"Medio ",IF(F265&lt;=$AO$21,"Alto",0)))</f>
        <v>0</v>
      </c>
      <c r="H265" t="str">
        <f>SUM(B265:F265)</f>
        <v>0</v>
      </c>
      <c r="I265" s="10" t="str">
        <f>IF(H265&lt;=$BA$19,"Bajo",IF(H265&lt;=$BA$20,"Medio ",IF(H265&lt;=$BA$21,"Alto",0)))</f>
        <v>0</v>
      </c>
    </row>
    <row r="266" spans="1:61">
      <c r="A266" t="s">
        <v>286</v>
      </c>
      <c r="B266" t="str">
        <f>SUM('Gestión de abastecimiento'!B267:G267)</f>
        <v>0</v>
      </c>
      <c r="C266" s="10" t="str">
        <f>IF(B266&lt;=$Q$19,"Bajo",IF(B266&lt;=$Q$20,"Medio ",IF(B266&lt;=$Q$21,"Alto",0)))</f>
        <v>0</v>
      </c>
      <c r="D266" t="str">
        <f>SUM('Gestión de abastecimiento'!H267:M267)</f>
        <v>0</v>
      </c>
      <c r="E266" s="10" t="str">
        <f>IF(D266&lt;=$AC$19,"Bajo",IF(D266&lt;=$AC$20,"Medio ",IF(D266&lt;=$AC$21,"Alto",0)))</f>
        <v>0</v>
      </c>
      <c r="F266" t="str">
        <f>SUM('Gestión de abastecimiento'!N267:S267)</f>
        <v>0</v>
      </c>
      <c r="G266" s="10" t="str">
        <f>IF(F266&lt;=$AO$19,"Bajo",IF(F266&lt;=$AO$20,"Medio ",IF(F266&lt;=$AO$21,"Alto",0)))</f>
        <v>0</v>
      </c>
      <c r="H266" t="str">
        <f>SUM(B266:F266)</f>
        <v>0</v>
      </c>
      <c r="I266" s="10" t="str">
        <f>IF(H266&lt;=$BA$19,"Bajo",IF(H266&lt;=$BA$20,"Medio ",IF(H266&lt;=$BA$21,"Alto",0)))</f>
        <v>0</v>
      </c>
    </row>
    <row r="267" spans="1:61">
      <c r="A267" t="s">
        <v>287</v>
      </c>
      <c r="B267" t="str">
        <f>SUM('Gestión de abastecimiento'!B268:G268)</f>
        <v>0</v>
      </c>
      <c r="C267" s="10" t="str">
        <f>IF(B267&lt;=$Q$19,"Bajo",IF(B267&lt;=$Q$20,"Medio ",IF(B267&lt;=$Q$21,"Alto",0)))</f>
        <v>0</v>
      </c>
      <c r="D267" t="str">
        <f>SUM('Gestión de abastecimiento'!H268:M268)</f>
        <v>0</v>
      </c>
      <c r="E267" s="10" t="str">
        <f>IF(D267&lt;=$AC$19,"Bajo",IF(D267&lt;=$AC$20,"Medio ",IF(D267&lt;=$AC$21,"Alto",0)))</f>
        <v>0</v>
      </c>
      <c r="F267" t="str">
        <f>SUM('Gestión de abastecimiento'!N268:S268)</f>
        <v>0</v>
      </c>
      <c r="G267" s="10" t="str">
        <f>IF(F267&lt;=$AO$19,"Bajo",IF(F267&lt;=$AO$20,"Medio ",IF(F267&lt;=$AO$21,"Alto",0)))</f>
        <v>0</v>
      </c>
      <c r="H267" t="str">
        <f>SUM(B267:F267)</f>
        <v>0</v>
      </c>
      <c r="I267" s="10" t="str">
        <f>IF(H267&lt;=$BA$19,"Bajo",IF(H267&lt;=$BA$20,"Medio ",IF(H267&lt;=$BA$21,"Alto",0)))</f>
        <v>0</v>
      </c>
    </row>
    <row r="268" spans="1:61">
      <c r="A268" t="s">
        <v>288</v>
      </c>
      <c r="B268" t="str">
        <f>SUM('Gestión de abastecimiento'!B269:G269)</f>
        <v>0</v>
      </c>
      <c r="C268" s="10" t="str">
        <f>IF(B268&lt;=$Q$19,"Bajo",IF(B268&lt;=$Q$20,"Medio ",IF(B268&lt;=$Q$21,"Alto",0)))</f>
        <v>0</v>
      </c>
      <c r="D268" t="str">
        <f>SUM('Gestión de abastecimiento'!H269:M269)</f>
        <v>0</v>
      </c>
      <c r="E268" s="10" t="str">
        <f>IF(D268&lt;=$AC$19,"Bajo",IF(D268&lt;=$AC$20,"Medio ",IF(D268&lt;=$AC$21,"Alto",0)))</f>
        <v>0</v>
      </c>
      <c r="F268" t="str">
        <f>SUM('Gestión de abastecimiento'!N269:S269)</f>
        <v>0</v>
      </c>
      <c r="G268" s="10" t="str">
        <f>IF(F268&lt;=$AO$19,"Bajo",IF(F268&lt;=$AO$20,"Medio ",IF(F268&lt;=$AO$21,"Alto",0)))</f>
        <v>0</v>
      </c>
      <c r="H268" t="str">
        <f>SUM(B268:F268)</f>
        <v>0</v>
      </c>
      <c r="I268" s="10" t="str">
        <f>IF(H268&lt;=$BA$19,"Bajo",IF(H268&lt;=$BA$20,"Medio ",IF(H268&lt;=$BA$21,"Alto",0)))</f>
        <v>0</v>
      </c>
    </row>
    <row r="269" spans="1:61">
      <c r="A269" t="s">
        <v>289</v>
      </c>
      <c r="B269" t="str">
        <f>SUM('Gestión de abastecimiento'!B270:G270)</f>
        <v>0</v>
      </c>
      <c r="C269" s="10" t="str">
        <f>IF(B269&lt;=$Q$19,"Bajo",IF(B269&lt;=$Q$20,"Medio ",IF(B269&lt;=$Q$21,"Alto",0)))</f>
        <v>0</v>
      </c>
      <c r="D269" t="str">
        <f>SUM('Gestión de abastecimiento'!H270:M270)</f>
        <v>0</v>
      </c>
      <c r="E269" s="10" t="str">
        <f>IF(D269&lt;=$AC$19,"Bajo",IF(D269&lt;=$AC$20,"Medio ",IF(D269&lt;=$AC$21,"Alto",0)))</f>
        <v>0</v>
      </c>
      <c r="F269" t="str">
        <f>SUM('Gestión de abastecimiento'!N270:S270)</f>
        <v>0</v>
      </c>
      <c r="G269" s="10" t="str">
        <f>IF(F269&lt;=$AO$19,"Bajo",IF(F269&lt;=$AO$20,"Medio ",IF(F269&lt;=$AO$21,"Alto",0)))</f>
        <v>0</v>
      </c>
      <c r="H269" t="str">
        <f>SUM(B269:F269)</f>
        <v>0</v>
      </c>
      <c r="I269" s="10" t="str">
        <f>IF(H269&lt;=$BA$19,"Bajo",IF(H269&lt;=$BA$20,"Medio ",IF(H269&lt;=$BA$21,"Alto",0)))</f>
        <v>0</v>
      </c>
    </row>
    <row r="270" spans="1:61">
      <c r="A270" t="s">
        <v>290</v>
      </c>
      <c r="B270" t="str">
        <f>SUM('Gestión de abastecimiento'!B271:G271)</f>
        <v>0</v>
      </c>
      <c r="C270" s="10" t="str">
        <f>IF(B270&lt;=$Q$19,"Bajo",IF(B270&lt;=$Q$20,"Medio ",IF(B270&lt;=$Q$21,"Alto",0)))</f>
        <v>0</v>
      </c>
      <c r="D270" t="str">
        <f>SUM('Gestión de abastecimiento'!H271:M271)</f>
        <v>0</v>
      </c>
      <c r="E270" s="10" t="str">
        <f>IF(D270&lt;=$AC$19,"Bajo",IF(D270&lt;=$AC$20,"Medio ",IF(D270&lt;=$AC$21,"Alto",0)))</f>
        <v>0</v>
      </c>
      <c r="F270" t="str">
        <f>SUM('Gestión de abastecimiento'!N271:S271)</f>
        <v>0</v>
      </c>
      <c r="G270" s="10" t="str">
        <f>IF(F270&lt;=$AO$19,"Bajo",IF(F270&lt;=$AO$20,"Medio ",IF(F270&lt;=$AO$21,"Alto",0)))</f>
        <v>0</v>
      </c>
      <c r="H270" t="str">
        <f>SUM(B270:F270)</f>
        <v>0</v>
      </c>
      <c r="I270" s="10" t="str">
        <f>IF(H270&lt;=$BA$19,"Bajo",IF(H270&lt;=$BA$20,"Medio ",IF(H270&lt;=$BA$21,"Alto",0)))</f>
        <v>0</v>
      </c>
    </row>
    <row r="271" spans="1:61">
      <c r="A271" t="s">
        <v>291</v>
      </c>
      <c r="B271" t="str">
        <f>SUM('Gestión de abastecimiento'!B272:G272)</f>
        <v>0</v>
      </c>
      <c r="C271" s="10" t="str">
        <f>IF(B271&lt;=$Q$19,"Bajo",IF(B271&lt;=$Q$20,"Medio ",IF(B271&lt;=$Q$21,"Alto",0)))</f>
        <v>0</v>
      </c>
      <c r="D271" t="str">
        <f>SUM('Gestión de abastecimiento'!H272:M272)</f>
        <v>0</v>
      </c>
      <c r="E271" s="10" t="str">
        <f>IF(D271&lt;=$AC$19,"Bajo",IF(D271&lt;=$AC$20,"Medio ",IF(D271&lt;=$AC$21,"Alto",0)))</f>
        <v>0</v>
      </c>
      <c r="F271" t="str">
        <f>SUM('Gestión de abastecimiento'!N272:S272)</f>
        <v>0</v>
      </c>
      <c r="G271" s="10" t="str">
        <f>IF(F271&lt;=$AO$19,"Bajo",IF(F271&lt;=$AO$20,"Medio ",IF(F271&lt;=$AO$21,"Alto",0)))</f>
        <v>0</v>
      </c>
      <c r="H271" t="str">
        <f>SUM(B271:F271)</f>
        <v>0</v>
      </c>
      <c r="I271" s="10" t="str">
        <f>IF(H271&lt;=$BA$19,"Bajo",IF(H271&lt;=$BA$20,"Medio ",IF(H271&lt;=$BA$21,"Alto",0)))</f>
        <v>0</v>
      </c>
    </row>
    <row r="272" spans="1:61">
      <c r="A272" t="s">
        <v>292</v>
      </c>
      <c r="B272" t="str">
        <f>SUM('Gestión de abastecimiento'!B273:G273)</f>
        <v>0</v>
      </c>
      <c r="C272" s="10" t="str">
        <f>IF(B272&lt;=$Q$19,"Bajo",IF(B272&lt;=$Q$20,"Medio ",IF(B272&lt;=$Q$21,"Alto",0)))</f>
        <v>0</v>
      </c>
      <c r="D272" t="str">
        <f>SUM('Gestión de abastecimiento'!H273:M273)</f>
        <v>0</v>
      </c>
      <c r="E272" s="10" t="str">
        <f>IF(D272&lt;=$AC$19,"Bajo",IF(D272&lt;=$AC$20,"Medio ",IF(D272&lt;=$AC$21,"Alto",0)))</f>
        <v>0</v>
      </c>
      <c r="F272" t="str">
        <f>SUM('Gestión de abastecimiento'!N273:S273)</f>
        <v>0</v>
      </c>
      <c r="G272" s="10" t="str">
        <f>IF(F272&lt;=$AO$19,"Bajo",IF(F272&lt;=$AO$20,"Medio ",IF(F272&lt;=$AO$21,"Alto",0)))</f>
        <v>0</v>
      </c>
      <c r="H272" t="str">
        <f>SUM(B272:F272)</f>
        <v>0</v>
      </c>
      <c r="I272" s="10" t="str">
        <f>IF(H272&lt;=$BA$19,"Bajo",IF(H272&lt;=$BA$20,"Medio ",IF(H272&lt;=$BA$21,"Alto",0)))</f>
        <v>0</v>
      </c>
    </row>
    <row r="273" spans="1:61">
      <c r="A273" t="s">
        <v>293</v>
      </c>
      <c r="B273" t="str">
        <f>SUM('Gestión de abastecimiento'!B274:G274)</f>
        <v>0</v>
      </c>
      <c r="C273" s="10" t="str">
        <f>IF(B273&lt;=$Q$19,"Bajo",IF(B273&lt;=$Q$20,"Medio ",IF(B273&lt;=$Q$21,"Alto",0)))</f>
        <v>0</v>
      </c>
      <c r="D273" t="str">
        <f>SUM('Gestión de abastecimiento'!H274:M274)</f>
        <v>0</v>
      </c>
      <c r="E273" s="10" t="str">
        <f>IF(D273&lt;=$AC$19,"Bajo",IF(D273&lt;=$AC$20,"Medio ",IF(D273&lt;=$AC$21,"Alto",0)))</f>
        <v>0</v>
      </c>
      <c r="F273" t="str">
        <f>SUM('Gestión de abastecimiento'!N274:S274)</f>
        <v>0</v>
      </c>
      <c r="G273" s="10" t="str">
        <f>IF(F273&lt;=$AO$19,"Bajo",IF(F273&lt;=$AO$20,"Medio ",IF(F273&lt;=$AO$21,"Alto",0)))</f>
        <v>0</v>
      </c>
      <c r="H273" t="str">
        <f>SUM(B273:F273)</f>
        <v>0</v>
      </c>
      <c r="I273" s="10" t="str">
        <f>IF(H273&lt;=$BA$19,"Bajo",IF(H273&lt;=$BA$20,"Medio ",IF(H273&lt;=$BA$21,"Alto",0)))</f>
        <v>0</v>
      </c>
    </row>
    <row r="274" spans="1:61">
      <c r="A274" t="s">
        <v>294</v>
      </c>
      <c r="B274" t="str">
        <f>SUM('Gestión de abastecimiento'!B275:G275)</f>
        <v>0</v>
      </c>
      <c r="C274" s="10" t="str">
        <f>IF(B274&lt;=$Q$19,"Bajo",IF(B274&lt;=$Q$20,"Medio ",IF(B274&lt;=$Q$21,"Alto",0)))</f>
        <v>0</v>
      </c>
      <c r="D274" t="str">
        <f>SUM('Gestión de abastecimiento'!H275:M275)</f>
        <v>0</v>
      </c>
      <c r="E274" s="10" t="str">
        <f>IF(D274&lt;=$AC$19,"Bajo",IF(D274&lt;=$AC$20,"Medio ",IF(D274&lt;=$AC$21,"Alto",0)))</f>
        <v>0</v>
      </c>
      <c r="F274" t="str">
        <f>SUM('Gestión de abastecimiento'!N275:S275)</f>
        <v>0</v>
      </c>
      <c r="G274" s="10" t="str">
        <f>IF(F274&lt;=$AO$19,"Bajo",IF(F274&lt;=$AO$20,"Medio ",IF(F274&lt;=$AO$21,"Alto",0)))</f>
        <v>0</v>
      </c>
      <c r="H274" t="str">
        <f>SUM(B274:F274)</f>
        <v>0</v>
      </c>
      <c r="I274" s="10" t="str">
        <f>IF(H274&lt;=$BA$19,"Bajo",IF(H274&lt;=$BA$20,"Medio ",IF(H274&lt;=$BA$21,"Alto",0)))</f>
        <v>0</v>
      </c>
    </row>
    <row r="275" spans="1:61">
      <c r="A275" t="s">
        <v>295</v>
      </c>
      <c r="B275" t="str">
        <f>SUM('Gestión de abastecimiento'!B276:G276)</f>
        <v>0</v>
      </c>
      <c r="C275" s="10" t="str">
        <f>IF(B275&lt;=$Q$19,"Bajo",IF(B275&lt;=$Q$20,"Medio ",IF(B275&lt;=$Q$21,"Alto",0)))</f>
        <v>0</v>
      </c>
      <c r="D275" t="str">
        <f>SUM('Gestión de abastecimiento'!H276:M276)</f>
        <v>0</v>
      </c>
      <c r="E275" s="10" t="str">
        <f>IF(D275&lt;=$AC$19,"Bajo",IF(D275&lt;=$AC$20,"Medio ",IF(D275&lt;=$AC$21,"Alto",0)))</f>
        <v>0</v>
      </c>
      <c r="F275" t="str">
        <f>SUM('Gestión de abastecimiento'!N276:S276)</f>
        <v>0</v>
      </c>
      <c r="G275" s="10" t="str">
        <f>IF(F275&lt;=$AO$19,"Bajo",IF(F275&lt;=$AO$20,"Medio ",IF(F275&lt;=$AO$21,"Alto",0)))</f>
        <v>0</v>
      </c>
      <c r="H275" t="str">
        <f>SUM(B275:F275)</f>
        <v>0</v>
      </c>
      <c r="I275" s="10" t="str">
        <f>IF(H275&lt;=$BA$19,"Bajo",IF(H275&lt;=$BA$20,"Medio ",IF(H275&lt;=$BA$21,"Alto",0)))</f>
        <v>0</v>
      </c>
    </row>
    <row r="276" spans="1:61">
      <c r="A276" t="s">
        <v>296</v>
      </c>
      <c r="B276" t="str">
        <f>SUM('Gestión de abastecimiento'!B277:G277)</f>
        <v>0</v>
      </c>
      <c r="C276" s="10" t="str">
        <f>IF(B276&lt;=$Q$19,"Bajo",IF(B276&lt;=$Q$20,"Medio ",IF(B276&lt;=$Q$21,"Alto",0)))</f>
        <v>0</v>
      </c>
      <c r="D276" t="str">
        <f>SUM('Gestión de abastecimiento'!H277:M277)</f>
        <v>0</v>
      </c>
      <c r="E276" s="10" t="str">
        <f>IF(D276&lt;=$AC$19,"Bajo",IF(D276&lt;=$AC$20,"Medio ",IF(D276&lt;=$AC$21,"Alto",0)))</f>
        <v>0</v>
      </c>
      <c r="F276" t="str">
        <f>SUM('Gestión de abastecimiento'!N277:S277)</f>
        <v>0</v>
      </c>
      <c r="G276" s="10" t="str">
        <f>IF(F276&lt;=$AO$19,"Bajo",IF(F276&lt;=$AO$20,"Medio ",IF(F276&lt;=$AO$21,"Alto",0)))</f>
        <v>0</v>
      </c>
      <c r="H276" t="str">
        <f>SUM(B276:F276)</f>
        <v>0</v>
      </c>
      <c r="I276" s="10" t="str">
        <f>IF(H276&lt;=$BA$19,"Bajo",IF(H276&lt;=$BA$20,"Medio ",IF(H276&lt;=$BA$21,"Alto",0)))</f>
        <v>0</v>
      </c>
    </row>
    <row r="277" spans="1:61">
      <c r="A277" t="s">
        <v>297</v>
      </c>
      <c r="B277" t="str">
        <f>SUM('Gestión de abastecimiento'!B278:G278)</f>
        <v>0</v>
      </c>
      <c r="C277" s="10" t="str">
        <f>IF(B277&lt;=$Q$19,"Bajo",IF(B277&lt;=$Q$20,"Medio ",IF(B277&lt;=$Q$21,"Alto",0)))</f>
        <v>0</v>
      </c>
      <c r="D277" t="str">
        <f>SUM('Gestión de abastecimiento'!H278:M278)</f>
        <v>0</v>
      </c>
      <c r="E277" s="10" t="str">
        <f>IF(D277&lt;=$AC$19,"Bajo",IF(D277&lt;=$AC$20,"Medio ",IF(D277&lt;=$AC$21,"Alto",0)))</f>
        <v>0</v>
      </c>
      <c r="F277" t="str">
        <f>SUM('Gestión de abastecimiento'!N278:S278)</f>
        <v>0</v>
      </c>
      <c r="G277" s="10" t="str">
        <f>IF(F277&lt;=$AO$19,"Bajo",IF(F277&lt;=$AO$20,"Medio ",IF(F277&lt;=$AO$21,"Alto",0)))</f>
        <v>0</v>
      </c>
      <c r="H277" t="str">
        <f>SUM(B277:F277)</f>
        <v>0</v>
      </c>
      <c r="I277" s="10" t="str">
        <f>IF(H277&lt;=$BA$19,"Bajo",IF(H277&lt;=$BA$20,"Medio ",IF(H277&lt;=$BA$21,"Alto",0)))</f>
        <v>0</v>
      </c>
    </row>
    <row r="278" spans="1:61">
      <c r="A278" t="s">
        <v>298</v>
      </c>
      <c r="B278" t="str">
        <f>SUM('Gestión de abastecimiento'!B279:G279)</f>
        <v>0</v>
      </c>
      <c r="C278" s="10" t="str">
        <f>IF(B278&lt;=$Q$19,"Bajo",IF(B278&lt;=$Q$20,"Medio ",IF(B278&lt;=$Q$21,"Alto",0)))</f>
        <v>0</v>
      </c>
      <c r="D278" t="str">
        <f>SUM('Gestión de abastecimiento'!H279:M279)</f>
        <v>0</v>
      </c>
      <c r="E278" s="10" t="str">
        <f>IF(D278&lt;=$AC$19,"Bajo",IF(D278&lt;=$AC$20,"Medio ",IF(D278&lt;=$AC$21,"Alto",0)))</f>
        <v>0</v>
      </c>
      <c r="F278" t="str">
        <f>SUM('Gestión de abastecimiento'!N279:S279)</f>
        <v>0</v>
      </c>
      <c r="G278" s="10" t="str">
        <f>IF(F278&lt;=$AO$19,"Bajo",IF(F278&lt;=$AO$20,"Medio ",IF(F278&lt;=$AO$21,"Alto",0)))</f>
        <v>0</v>
      </c>
      <c r="H278" t="str">
        <f>SUM(B278:F278)</f>
        <v>0</v>
      </c>
      <c r="I278" s="10" t="str">
        <f>IF(H278&lt;=$BA$19,"Bajo",IF(H278&lt;=$BA$20,"Medio ",IF(H278&lt;=$BA$21,"Alto",0)))</f>
        <v>0</v>
      </c>
    </row>
    <row r="279" spans="1:61">
      <c r="A279" t="s">
        <v>299</v>
      </c>
      <c r="B279" t="str">
        <f>SUM('Gestión de abastecimiento'!B280:G280)</f>
        <v>0</v>
      </c>
      <c r="C279" s="10" t="str">
        <f>IF(B279&lt;=$Q$19,"Bajo",IF(B279&lt;=$Q$20,"Medio ",IF(B279&lt;=$Q$21,"Alto",0)))</f>
        <v>0</v>
      </c>
      <c r="D279" t="str">
        <f>SUM('Gestión de abastecimiento'!H280:M280)</f>
        <v>0</v>
      </c>
      <c r="E279" s="10" t="str">
        <f>IF(D279&lt;=$AC$19,"Bajo",IF(D279&lt;=$AC$20,"Medio ",IF(D279&lt;=$AC$21,"Alto",0)))</f>
        <v>0</v>
      </c>
      <c r="F279" t="str">
        <f>SUM('Gestión de abastecimiento'!N280:S280)</f>
        <v>0</v>
      </c>
      <c r="G279" s="10" t="str">
        <f>IF(F279&lt;=$AO$19,"Bajo",IF(F279&lt;=$AO$20,"Medio ",IF(F279&lt;=$AO$21,"Alto",0)))</f>
        <v>0</v>
      </c>
      <c r="H279" t="str">
        <f>SUM(B279:F279)</f>
        <v>0</v>
      </c>
      <c r="I279" s="10" t="str">
        <f>IF(H279&lt;=$BA$19,"Bajo",IF(H279&lt;=$BA$20,"Medio ",IF(H279&lt;=$BA$21,"Alto",0)))</f>
        <v>0</v>
      </c>
    </row>
    <row r="280" spans="1:61">
      <c r="A280" t="s">
        <v>300</v>
      </c>
      <c r="B280" t="str">
        <f>SUM('Gestión de abastecimiento'!B281:G281)</f>
        <v>0</v>
      </c>
      <c r="C280" s="10" t="str">
        <f>IF(B280&lt;=$Q$19,"Bajo",IF(B280&lt;=$Q$20,"Medio ",IF(B280&lt;=$Q$21,"Alto",0)))</f>
        <v>0</v>
      </c>
      <c r="D280" t="str">
        <f>SUM('Gestión de abastecimiento'!H281:M281)</f>
        <v>0</v>
      </c>
      <c r="E280" s="10" t="str">
        <f>IF(D280&lt;=$AC$19,"Bajo",IF(D280&lt;=$AC$20,"Medio ",IF(D280&lt;=$AC$21,"Alto",0)))</f>
        <v>0</v>
      </c>
      <c r="F280" t="str">
        <f>SUM('Gestión de abastecimiento'!N281:S281)</f>
        <v>0</v>
      </c>
      <c r="G280" s="10" t="str">
        <f>IF(F280&lt;=$AO$19,"Bajo",IF(F280&lt;=$AO$20,"Medio ",IF(F280&lt;=$AO$21,"Alto",0)))</f>
        <v>0</v>
      </c>
      <c r="H280" t="str">
        <f>SUM(B280:F280)</f>
        <v>0</v>
      </c>
      <c r="I280" s="10" t="str">
        <f>IF(H280&lt;=$BA$19,"Bajo",IF(H280&lt;=$BA$20,"Medio ",IF(H280&lt;=$BA$21,"Alto",0)))</f>
        <v>0</v>
      </c>
    </row>
    <row r="281" spans="1:61">
      <c r="A281" t="s">
        <v>301</v>
      </c>
      <c r="B281" t="str">
        <f>SUM('Gestión de abastecimiento'!B282:G282)</f>
        <v>0</v>
      </c>
      <c r="C281" s="10" t="str">
        <f>IF(B281&lt;=$Q$19,"Bajo",IF(B281&lt;=$Q$20,"Medio ",IF(B281&lt;=$Q$21,"Alto",0)))</f>
        <v>0</v>
      </c>
      <c r="D281" t="str">
        <f>SUM('Gestión de abastecimiento'!H282:M282)</f>
        <v>0</v>
      </c>
      <c r="E281" s="10" t="str">
        <f>IF(D281&lt;=$AC$19,"Bajo",IF(D281&lt;=$AC$20,"Medio ",IF(D281&lt;=$AC$21,"Alto",0)))</f>
        <v>0</v>
      </c>
      <c r="F281" t="str">
        <f>SUM('Gestión de abastecimiento'!N282:S282)</f>
        <v>0</v>
      </c>
      <c r="G281" s="10" t="str">
        <f>IF(F281&lt;=$AO$19,"Bajo",IF(F281&lt;=$AO$20,"Medio ",IF(F281&lt;=$AO$21,"Alto",0)))</f>
        <v>0</v>
      </c>
      <c r="H281" t="str">
        <f>SUM(B281:F281)</f>
        <v>0</v>
      </c>
      <c r="I281" s="10" t="str">
        <f>IF(H281&lt;=$BA$19,"Bajo",IF(H281&lt;=$BA$20,"Medio ",IF(H281&lt;=$BA$21,"Alto",0)))</f>
        <v>0</v>
      </c>
    </row>
    <row r="282" spans="1:61">
      <c r="A282" t="s">
        <v>302</v>
      </c>
      <c r="B282" t="str">
        <f>SUM('Gestión de abastecimiento'!B283:G283)</f>
        <v>0</v>
      </c>
      <c r="C282" s="10" t="str">
        <f>IF(B282&lt;=$Q$19,"Bajo",IF(B282&lt;=$Q$20,"Medio ",IF(B282&lt;=$Q$21,"Alto",0)))</f>
        <v>0</v>
      </c>
      <c r="D282" t="str">
        <f>SUM('Gestión de abastecimiento'!H283:M283)</f>
        <v>0</v>
      </c>
      <c r="E282" s="10" t="str">
        <f>IF(D282&lt;=$AC$19,"Bajo",IF(D282&lt;=$AC$20,"Medio ",IF(D282&lt;=$AC$21,"Alto",0)))</f>
        <v>0</v>
      </c>
      <c r="F282" t="str">
        <f>SUM('Gestión de abastecimiento'!N283:S283)</f>
        <v>0</v>
      </c>
      <c r="G282" s="10" t="str">
        <f>IF(F282&lt;=$AO$19,"Bajo",IF(F282&lt;=$AO$20,"Medio ",IF(F282&lt;=$AO$21,"Alto",0)))</f>
        <v>0</v>
      </c>
      <c r="H282" t="str">
        <f>SUM(B282:F282)</f>
        <v>0</v>
      </c>
      <c r="I282" s="10" t="str">
        <f>IF(H282&lt;=$BA$19,"Bajo",IF(H282&lt;=$BA$20,"Medio ",IF(H282&lt;=$BA$21,"Alto",0)))</f>
        <v>0</v>
      </c>
    </row>
    <row r="283" spans="1:61">
      <c r="A283" t="s">
        <v>303</v>
      </c>
      <c r="B283" t="str">
        <f>SUM('Gestión de abastecimiento'!B284:G284)</f>
        <v>0</v>
      </c>
      <c r="C283" s="10" t="str">
        <f>IF(B283&lt;=$Q$19,"Bajo",IF(B283&lt;=$Q$20,"Medio ",IF(B283&lt;=$Q$21,"Alto",0)))</f>
        <v>0</v>
      </c>
      <c r="D283" t="str">
        <f>SUM('Gestión de abastecimiento'!H284:M284)</f>
        <v>0</v>
      </c>
      <c r="E283" s="10" t="str">
        <f>IF(D283&lt;=$AC$19,"Bajo",IF(D283&lt;=$AC$20,"Medio ",IF(D283&lt;=$AC$21,"Alto",0)))</f>
        <v>0</v>
      </c>
      <c r="F283" t="str">
        <f>SUM('Gestión de abastecimiento'!N284:S284)</f>
        <v>0</v>
      </c>
      <c r="G283" s="10" t="str">
        <f>IF(F283&lt;=$AO$19,"Bajo",IF(F283&lt;=$AO$20,"Medio ",IF(F283&lt;=$AO$21,"Alto",0)))</f>
        <v>0</v>
      </c>
      <c r="H283" t="str">
        <f>SUM(B283:F283)</f>
        <v>0</v>
      </c>
      <c r="I283" s="10" t="str">
        <f>IF(H283&lt;=$BA$19,"Bajo",IF(H283&lt;=$BA$20,"Medio ",IF(H283&lt;=$BA$21,"Alto",0)))</f>
        <v>0</v>
      </c>
    </row>
    <row r="284" spans="1:61">
      <c r="A284" t="s">
        <v>304</v>
      </c>
      <c r="B284" t="str">
        <f>SUM('Gestión de abastecimiento'!B285:G285)</f>
        <v>0</v>
      </c>
      <c r="C284" s="10" t="str">
        <f>IF(B284&lt;=$Q$19,"Bajo",IF(B284&lt;=$Q$20,"Medio ",IF(B284&lt;=$Q$21,"Alto",0)))</f>
        <v>0</v>
      </c>
      <c r="D284" t="str">
        <f>SUM('Gestión de abastecimiento'!H285:M285)</f>
        <v>0</v>
      </c>
      <c r="E284" s="10" t="str">
        <f>IF(D284&lt;=$AC$19,"Bajo",IF(D284&lt;=$AC$20,"Medio ",IF(D284&lt;=$AC$21,"Alto",0)))</f>
        <v>0</v>
      </c>
      <c r="F284" t="str">
        <f>SUM('Gestión de abastecimiento'!N285:S285)</f>
        <v>0</v>
      </c>
      <c r="G284" s="10" t="str">
        <f>IF(F284&lt;=$AO$19,"Bajo",IF(F284&lt;=$AO$20,"Medio ",IF(F284&lt;=$AO$21,"Alto",0)))</f>
        <v>0</v>
      </c>
      <c r="H284" t="str">
        <f>SUM(B284:F284)</f>
        <v>0</v>
      </c>
      <c r="I284" s="10" t="str">
        <f>IF(H284&lt;=$BA$19,"Bajo",IF(H284&lt;=$BA$20,"Medio ",IF(H284&lt;=$BA$21,"Alto",0)))</f>
        <v>0</v>
      </c>
    </row>
    <row r="285" spans="1:61">
      <c r="A285" t="s">
        <v>305</v>
      </c>
      <c r="B285" t="str">
        <f>SUM('Gestión de abastecimiento'!B286:G286)</f>
        <v>0</v>
      </c>
      <c r="C285" s="10" t="str">
        <f>IF(B285&lt;=$Q$19,"Bajo",IF(B285&lt;=$Q$20,"Medio ",IF(B285&lt;=$Q$21,"Alto",0)))</f>
        <v>0</v>
      </c>
      <c r="D285" t="str">
        <f>SUM('Gestión de abastecimiento'!H286:M286)</f>
        <v>0</v>
      </c>
      <c r="E285" s="10" t="str">
        <f>IF(D285&lt;=$AC$19,"Bajo",IF(D285&lt;=$AC$20,"Medio ",IF(D285&lt;=$AC$21,"Alto",0)))</f>
        <v>0</v>
      </c>
      <c r="F285" t="str">
        <f>SUM('Gestión de abastecimiento'!N286:S286)</f>
        <v>0</v>
      </c>
      <c r="G285" s="10" t="str">
        <f>IF(F285&lt;=$AO$19,"Bajo",IF(F285&lt;=$AO$20,"Medio ",IF(F285&lt;=$AO$21,"Alto",0)))</f>
        <v>0</v>
      </c>
      <c r="H285" t="str">
        <f>SUM(B285:F285)</f>
        <v>0</v>
      </c>
      <c r="I285" s="10" t="str">
        <f>IF(H285&lt;=$BA$19,"Bajo",IF(H285&lt;=$BA$20,"Medio ",IF(H285&lt;=$BA$21,"Alto",0)))</f>
        <v>0</v>
      </c>
    </row>
    <row r="286" spans="1:61">
      <c r="A286" t="s">
        <v>306</v>
      </c>
      <c r="B286" t="str">
        <f>SUM('Gestión de abastecimiento'!B287:G287)</f>
        <v>0</v>
      </c>
      <c r="C286" s="10" t="str">
        <f>IF(B286&lt;=$Q$19,"Bajo",IF(B286&lt;=$Q$20,"Medio ",IF(B286&lt;=$Q$21,"Alto",0)))</f>
        <v>0</v>
      </c>
      <c r="D286" t="str">
        <f>SUM('Gestión de abastecimiento'!H287:M287)</f>
        <v>0</v>
      </c>
      <c r="E286" s="10" t="str">
        <f>IF(D286&lt;=$AC$19,"Bajo",IF(D286&lt;=$AC$20,"Medio ",IF(D286&lt;=$AC$21,"Alto",0)))</f>
        <v>0</v>
      </c>
      <c r="F286" t="str">
        <f>SUM('Gestión de abastecimiento'!N287:S287)</f>
        <v>0</v>
      </c>
      <c r="G286" s="10" t="str">
        <f>IF(F286&lt;=$AO$19,"Bajo",IF(F286&lt;=$AO$20,"Medio ",IF(F286&lt;=$AO$21,"Alto",0)))</f>
        <v>0</v>
      </c>
      <c r="H286" t="str">
        <f>SUM(B286:F286)</f>
        <v>0</v>
      </c>
      <c r="I286" s="10" t="str">
        <f>IF(H286&lt;=$BA$19,"Bajo",IF(H286&lt;=$BA$20,"Medio ",IF(H286&lt;=$BA$21,"Alto",0)))</f>
        <v>0</v>
      </c>
    </row>
    <row r="287" spans="1:61">
      <c r="A287" t="s">
        <v>307</v>
      </c>
      <c r="B287" t="str">
        <f>SUM('Gestión de abastecimiento'!B288:G288)</f>
        <v>0</v>
      </c>
      <c r="C287" s="10" t="str">
        <f>IF(B287&lt;=$Q$19,"Bajo",IF(B287&lt;=$Q$20,"Medio ",IF(B287&lt;=$Q$21,"Alto",0)))</f>
        <v>0</v>
      </c>
      <c r="D287" t="str">
        <f>SUM('Gestión de abastecimiento'!H288:M288)</f>
        <v>0</v>
      </c>
      <c r="E287" s="10" t="str">
        <f>IF(D287&lt;=$AC$19,"Bajo",IF(D287&lt;=$AC$20,"Medio ",IF(D287&lt;=$AC$21,"Alto",0)))</f>
        <v>0</v>
      </c>
      <c r="F287" t="str">
        <f>SUM('Gestión de abastecimiento'!N288:S288)</f>
        <v>0</v>
      </c>
      <c r="G287" s="10" t="str">
        <f>IF(F287&lt;=$AO$19,"Bajo",IF(F287&lt;=$AO$20,"Medio ",IF(F287&lt;=$AO$21,"Alto",0)))</f>
        <v>0</v>
      </c>
      <c r="H287" t="str">
        <f>SUM(B287:F287)</f>
        <v>0</v>
      </c>
      <c r="I287" s="10" t="str">
        <f>IF(H287&lt;=$BA$19,"Bajo",IF(H287&lt;=$BA$20,"Medio ",IF(H287&lt;=$BA$21,"Alto",0)))</f>
        <v>0</v>
      </c>
    </row>
    <row r="288" spans="1:61">
      <c r="A288" t="s">
        <v>308</v>
      </c>
      <c r="B288" t="str">
        <f>SUM('Gestión de abastecimiento'!B289:G289)</f>
        <v>0</v>
      </c>
      <c r="C288" s="10" t="str">
        <f>IF(B288&lt;=$Q$19,"Bajo",IF(B288&lt;=$Q$20,"Medio ",IF(B288&lt;=$Q$21,"Alto",0)))</f>
        <v>0</v>
      </c>
      <c r="D288" t="str">
        <f>SUM('Gestión de abastecimiento'!H289:M289)</f>
        <v>0</v>
      </c>
      <c r="E288" s="10" t="str">
        <f>IF(D288&lt;=$AC$19,"Bajo",IF(D288&lt;=$AC$20,"Medio ",IF(D288&lt;=$AC$21,"Alto",0)))</f>
        <v>0</v>
      </c>
      <c r="F288" t="str">
        <f>SUM('Gestión de abastecimiento'!N289:S289)</f>
        <v>0</v>
      </c>
      <c r="G288" s="10" t="str">
        <f>IF(F288&lt;=$AO$19,"Bajo",IF(F288&lt;=$AO$20,"Medio ",IF(F288&lt;=$AO$21,"Alto",0)))</f>
        <v>0</v>
      </c>
      <c r="H288" t="str">
        <f>SUM(B288:F288)</f>
        <v>0</v>
      </c>
      <c r="I288" s="10" t="str">
        <f>IF(H288&lt;=$BA$19,"Bajo",IF(H288&lt;=$BA$20,"Medio ",IF(H288&lt;=$BA$21,"Alto",0)))</f>
        <v>0</v>
      </c>
    </row>
    <row r="289" spans="1:61">
      <c r="A289" t="s">
        <v>309</v>
      </c>
      <c r="B289" t="str">
        <f>SUM('Gestión de abastecimiento'!B290:G290)</f>
        <v>0</v>
      </c>
      <c r="C289" s="10" t="str">
        <f>IF(B289&lt;=$Q$19,"Bajo",IF(B289&lt;=$Q$20,"Medio ",IF(B289&lt;=$Q$21,"Alto",0)))</f>
        <v>0</v>
      </c>
      <c r="D289" t="str">
        <f>SUM('Gestión de abastecimiento'!H290:M290)</f>
        <v>0</v>
      </c>
      <c r="E289" s="10" t="str">
        <f>IF(D289&lt;=$AC$19,"Bajo",IF(D289&lt;=$AC$20,"Medio ",IF(D289&lt;=$AC$21,"Alto",0)))</f>
        <v>0</v>
      </c>
      <c r="F289" t="str">
        <f>SUM('Gestión de abastecimiento'!N290:S290)</f>
        <v>0</v>
      </c>
      <c r="G289" s="10" t="str">
        <f>IF(F289&lt;=$AO$19,"Bajo",IF(F289&lt;=$AO$20,"Medio ",IF(F289&lt;=$AO$21,"Alto",0)))</f>
        <v>0</v>
      </c>
      <c r="H289" t="str">
        <f>SUM(B289:F289)</f>
        <v>0</v>
      </c>
      <c r="I289" s="10" t="str">
        <f>IF(H289&lt;=$BA$19,"Bajo",IF(H289&lt;=$BA$20,"Medio ",IF(H289&lt;=$BA$21,"Alto",0)))</f>
        <v>0</v>
      </c>
    </row>
    <row r="290" spans="1:61">
      <c r="A290" t="s">
        <v>310</v>
      </c>
      <c r="B290" t="str">
        <f>SUM('Gestión de abastecimiento'!B291:G291)</f>
        <v>0</v>
      </c>
      <c r="C290" s="10" t="str">
        <f>IF(B290&lt;=$Q$19,"Bajo",IF(B290&lt;=$Q$20,"Medio ",IF(B290&lt;=$Q$21,"Alto",0)))</f>
        <v>0</v>
      </c>
      <c r="D290" t="str">
        <f>SUM('Gestión de abastecimiento'!H291:M291)</f>
        <v>0</v>
      </c>
      <c r="E290" s="10" t="str">
        <f>IF(D290&lt;=$AC$19,"Bajo",IF(D290&lt;=$AC$20,"Medio ",IF(D290&lt;=$AC$21,"Alto",0)))</f>
        <v>0</v>
      </c>
      <c r="F290" t="str">
        <f>SUM('Gestión de abastecimiento'!N291:S291)</f>
        <v>0</v>
      </c>
      <c r="G290" s="10" t="str">
        <f>IF(F290&lt;=$AO$19,"Bajo",IF(F290&lt;=$AO$20,"Medio ",IF(F290&lt;=$AO$21,"Alto",0)))</f>
        <v>0</v>
      </c>
      <c r="H290" t="str">
        <f>SUM(B290:F290)</f>
        <v>0</v>
      </c>
      <c r="I290" s="10" t="str">
        <f>IF(H290&lt;=$BA$19,"Bajo",IF(H290&lt;=$BA$20,"Medio ",IF(H290&lt;=$BA$21,"Alto",0)))</f>
        <v>0</v>
      </c>
    </row>
    <row r="291" spans="1:61">
      <c r="A291" t="s">
        <v>311</v>
      </c>
      <c r="B291" t="str">
        <f>SUM('Gestión de abastecimiento'!B292:G292)</f>
        <v>0</v>
      </c>
      <c r="C291" s="10" t="str">
        <f>IF(B291&lt;=$Q$19,"Bajo",IF(B291&lt;=$Q$20,"Medio ",IF(B291&lt;=$Q$21,"Alto",0)))</f>
        <v>0</v>
      </c>
      <c r="D291" t="str">
        <f>SUM('Gestión de abastecimiento'!H292:M292)</f>
        <v>0</v>
      </c>
      <c r="E291" s="10" t="str">
        <f>IF(D291&lt;=$AC$19,"Bajo",IF(D291&lt;=$AC$20,"Medio ",IF(D291&lt;=$AC$21,"Alto",0)))</f>
        <v>0</v>
      </c>
      <c r="F291" t="str">
        <f>SUM('Gestión de abastecimiento'!N292:S292)</f>
        <v>0</v>
      </c>
      <c r="G291" s="10" t="str">
        <f>IF(F291&lt;=$AO$19,"Bajo",IF(F291&lt;=$AO$20,"Medio ",IF(F291&lt;=$AO$21,"Alto",0)))</f>
        <v>0</v>
      </c>
      <c r="H291" t="str">
        <f>SUM(B291:F291)</f>
        <v>0</v>
      </c>
      <c r="I291" s="10" t="str">
        <f>IF(H291&lt;=$BA$19,"Bajo",IF(H291&lt;=$BA$20,"Medio ",IF(H291&lt;=$BA$21,"Alto",0)))</f>
        <v>0</v>
      </c>
    </row>
    <row r="292" spans="1:61">
      <c r="A292" t="s">
        <v>312</v>
      </c>
      <c r="B292" t="str">
        <f>SUM('Gestión de abastecimiento'!B293:G293)</f>
        <v>0</v>
      </c>
      <c r="C292" s="10" t="str">
        <f>IF(B292&lt;=$Q$19,"Bajo",IF(B292&lt;=$Q$20,"Medio ",IF(B292&lt;=$Q$21,"Alto",0)))</f>
        <v>0</v>
      </c>
      <c r="D292" t="str">
        <f>SUM('Gestión de abastecimiento'!H293:M293)</f>
        <v>0</v>
      </c>
      <c r="E292" s="10" t="str">
        <f>IF(D292&lt;=$AC$19,"Bajo",IF(D292&lt;=$AC$20,"Medio ",IF(D292&lt;=$AC$21,"Alto",0)))</f>
        <v>0</v>
      </c>
      <c r="F292" t="str">
        <f>SUM('Gestión de abastecimiento'!N293:S293)</f>
        <v>0</v>
      </c>
      <c r="G292" s="10" t="str">
        <f>IF(F292&lt;=$AO$19,"Bajo",IF(F292&lt;=$AO$20,"Medio ",IF(F292&lt;=$AO$21,"Alto",0)))</f>
        <v>0</v>
      </c>
      <c r="H292" t="str">
        <f>SUM(B292:F292)</f>
        <v>0</v>
      </c>
      <c r="I292" s="10" t="str">
        <f>IF(H292&lt;=$BA$19,"Bajo",IF(H292&lt;=$BA$20,"Medio ",IF(H292&lt;=$BA$21,"Alto",0)))</f>
        <v>0</v>
      </c>
    </row>
    <row r="901" spans="1:61">
      <c r="K901" s="10" t="s">
        <v>333</v>
      </c>
      <c r="L901" s="10" t="str">
        <f>(N4)</f>
        <v>0</v>
      </c>
      <c r="N901" s="10" t="s">
        <v>361</v>
      </c>
      <c r="W901" s="10" t="s">
        <v>333</v>
      </c>
      <c r="X901" s="10" t="str">
        <f>(Z4)</f>
        <v>0</v>
      </c>
      <c r="Z901" s="10" t="s">
        <v>361</v>
      </c>
      <c r="AI901" s="10" t="s">
        <v>333</v>
      </c>
      <c r="AJ901" s="10" t="str">
        <f>(AL4)</f>
        <v>0</v>
      </c>
      <c r="AL901" s="10" t="s">
        <v>361</v>
      </c>
      <c r="AU901" s="10" t="s">
        <v>333</v>
      </c>
      <c r="AV901" s="10" t="str">
        <f>(AX4)</f>
        <v>0</v>
      </c>
      <c r="AX901" s="10" t="s">
        <v>361</v>
      </c>
    </row>
    <row r="902" spans="1:61">
      <c r="K902" s="10" t="s">
        <v>362</v>
      </c>
      <c r="L902" s="10" t="str">
        <f>(N5)</f>
        <v>0</v>
      </c>
      <c r="N902" s="10" t="s">
        <v>363</v>
      </c>
      <c r="W902" s="10" t="s">
        <v>362</v>
      </c>
      <c r="X902" s="10" t="str">
        <f>(Z5)</f>
        <v>0</v>
      </c>
      <c r="Z902" s="10" t="s">
        <v>363</v>
      </c>
      <c r="AI902" s="10" t="s">
        <v>362</v>
      </c>
      <c r="AJ902" s="10" t="str">
        <f>(AL5)</f>
        <v>0</v>
      </c>
      <c r="AL902" s="10" t="s">
        <v>363</v>
      </c>
      <c r="AU902" s="10" t="s">
        <v>362</v>
      </c>
      <c r="AV902" s="10" t="str">
        <f>(AX5)</f>
        <v>0</v>
      </c>
      <c r="AX902" s="10" t="s">
        <v>363</v>
      </c>
    </row>
    <row r="904" spans="1:61">
      <c r="K904" s="10" t="s">
        <v>364</v>
      </c>
      <c r="L904" s="14" t="str">
        <f>MAX(S19:S21)</f>
        <v>0</v>
      </c>
      <c r="M904" s="10" t="str">
        <f>IF(L2104=S19,O19,IF(L2104=S20,O20,IF(L2104=S21,O21,"algo esta mal")))</f>
        <v>0</v>
      </c>
      <c r="W904" s="10" t="s">
        <v>364</v>
      </c>
      <c r="X904" s="14" t="str">
        <f>MAX(AE19:AE21)</f>
        <v>0</v>
      </c>
      <c r="Y904" s="10" t="str">
        <f>IF(X2104=AE19,AA19,IF(X2104=AE20,AA20,IF(X2104=AE21,AA21,"algo esta mal")))</f>
        <v>0</v>
      </c>
      <c r="AI904" s="10" t="s">
        <v>364</v>
      </c>
      <c r="AJ904" s="14" t="str">
        <f>MAX(AQ19:AQ21)</f>
        <v>0</v>
      </c>
      <c r="AK904" s="10" t="str">
        <f>IF(AJ2104=AQ19,AM19,IF(AJ2104=AQ20,AM20,IF(AJ2104=AQ21,AM21,"algo esta mal")))</f>
        <v>0</v>
      </c>
      <c r="AU904" s="10" t="s">
        <v>364</v>
      </c>
      <c r="AV904" s="14" t="str">
        <f>MAX(BC19:BC21)</f>
        <v>0</v>
      </c>
      <c r="AW904" s="10" t="str">
        <f>IF(AV2104=BC19,AY19,IF(AV2104=BC20,AY20,IF(AV2104=BC21,AY21,"algo esta mal")))</f>
        <v>0</v>
      </c>
    </row>
    <row r="905" spans="1:61">
      <c r="M905" s="10" t="s">
        <v>365</v>
      </c>
      <c r="N905" s="10" t="s">
        <v>366</v>
      </c>
      <c r="O905" s="10" t="s">
        <v>319</v>
      </c>
      <c r="P905" s="10" t="s">
        <v>320</v>
      </c>
      <c r="Q905" s="10" t="s">
        <v>321</v>
      </c>
      <c r="R905" s="10" t="s">
        <v>322</v>
      </c>
      <c r="S905" s="10" t="s">
        <v>323</v>
      </c>
      <c r="Y905" s="10" t="s">
        <v>365</v>
      </c>
      <c r="Z905" s="10" t="s">
        <v>366</v>
      </c>
      <c r="AA905" s="10" t="s">
        <v>319</v>
      </c>
      <c r="AB905" s="10" t="s">
        <v>320</v>
      </c>
      <c r="AC905" s="10" t="s">
        <v>321</v>
      </c>
      <c r="AD905" s="10" t="s">
        <v>322</v>
      </c>
      <c r="AE905" s="10" t="s">
        <v>323</v>
      </c>
      <c r="AK905" s="10" t="s">
        <v>365</v>
      </c>
      <c r="AL905" s="10" t="s">
        <v>366</v>
      </c>
      <c r="AM905" s="10" t="s">
        <v>319</v>
      </c>
      <c r="AN905" s="10" t="s">
        <v>320</v>
      </c>
      <c r="AO905" s="10" t="s">
        <v>321</v>
      </c>
      <c r="AP905" s="10" t="s">
        <v>322</v>
      </c>
      <c r="AQ905" s="10" t="s">
        <v>323</v>
      </c>
    </row>
    <row r="906" spans="1:61">
      <c r="M906" s="10" t="s">
        <v>367</v>
      </c>
      <c r="N906" s="14" t="s">
        <v>367</v>
      </c>
      <c r="O906" t="str">
        <f>('Gestión de abastecimiento'!B306)</f>
        <v>0</v>
      </c>
      <c r="P906" t="str">
        <f>('Gestión de abastecimiento'!B307)</f>
        <v>0</v>
      </c>
      <c r="Q906" t="str">
        <f>('Gestión de abastecimiento'!B308)</f>
        <v>0</v>
      </c>
      <c r="R906" t="str">
        <f>('Gestión de abastecimiento'!B309)</f>
        <v>0</v>
      </c>
      <c r="S906" t="str">
        <f>('Gestión de abastecimiento'!B310)</f>
        <v>0</v>
      </c>
      <c r="Y906" s="10" t="s">
        <v>367</v>
      </c>
      <c r="Z906" s="14" t="s">
        <v>367</v>
      </c>
      <c r="AA906" t="str">
        <f>('Gestión de abastecimiento'!H306)</f>
        <v>0</v>
      </c>
      <c r="AB906" t="str">
        <f>('Gestión de abastecimiento'!H307)</f>
        <v>0</v>
      </c>
      <c r="AC906" t="str">
        <f>('Gestión de abastecimiento'!H308)</f>
        <v>0</v>
      </c>
      <c r="AD906" t="str">
        <f>('Gestión de abastecimiento'!H309)</f>
        <v>0</v>
      </c>
      <c r="AE906" t="str">
        <f>('Gestión de abastecimiento'!H310)</f>
        <v>0</v>
      </c>
      <c r="AK906" s="10" t="s">
        <v>367</v>
      </c>
      <c r="AL906" s="14" t="s">
        <v>367</v>
      </c>
      <c r="AM906" t="str">
        <f>('Gestión de abastecimiento'!N306)</f>
        <v>0</v>
      </c>
      <c r="AN906" t="str">
        <f>('Gestión de abastecimiento'!N307)</f>
        <v>0</v>
      </c>
      <c r="AO906" t="str">
        <f>('Gestión de abastecimiento'!N308)</f>
        <v>0</v>
      </c>
      <c r="AP906" t="str">
        <f>('Gestión de abastecimiento'!N309)</f>
        <v>0</v>
      </c>
      <c r="AQ906" t="str">
        <f>('Gestión de abastecimiento'!N310)</f>
        <v>0</v>
      </c>
    </row>
    <row r="907" spans="1:61">
      <c r="M907" s="10" t="s">
        <v>367</v>
      </c>
      <c r="N907" s="14" t="s">
        <v>367</v>
      </c>
      <c r="O907" t="str">
        <f>('Gestión de abastecimiento'!C306)</f>
        <v>0</v>
      </c>
      <c r="P907" t="str">
        <f>('Gestión de abastecimiento'!C307)</f>
        <v>0</v>
      </c>
      <c r="Q907" t="str">
        <f>('Gestión de abastecimiento'!C308)</f>
        <v>0</v>
      </c>
      <c r="R907" t="str">
        <f>('Gestión de abastecimiento'!C309)</f>
        <v>0</v>
      </c>
      <c r="S907" t="str">
        <f>('Gestión de abastecimiento'!C310)</f>
        <v>0</v>
      </c>
      <c r="Y907" s="10" t="s">
        <v>367</v>
      </c>
      <c r="Z907" s="14" t="s">
        <v>367</v>
      </c>
      <c r="AA907" t="str">
        <f>('Gestión de abastecimiento'!I306)</f>
        <v>0</v>
      </c>
      <c r="AB907" t="str">
        <f>('Gestión de abastecimiento'!I307)</f>
        <v>0</v>
      </c>
      <c r="AC907" t="str">
        <f>('Gestión de abastecimiento'!I308)</f>
        <v>0</v>
      </c>
      <c r="AD907" t="str">
        <f>('Gestión de abastecimiento'!I309)</f>
        <v>0</v>
      </c>
      <c r="AE907" t="str">
        <f>('Gestión de abastecimiento'!I310)</f>
        <v>0</v>
      </c>
      <c r="AK907" s="10" t="s">
        <v>367</v>
      </c>
      <c r="AL907" s="14" t="s">
        <v>367</v>
      </c>
      <c r="AM907" t="str">
        <f>('Gestión de abastecimiento'!O306)</f>
        <v>0</v>
      </c>
      <c r="AN907" t="str">
        <f>('Gestión de abastecimiento'!O307)</f>
        <v>0</v>
      </c>
      <c r="AO907" t="str">
        <f>('Gestión de abastecimiento'!O308)</f>
        <v>0</v>
      </c>
      <c r="AP907" t="str">
        <f>('Gestión de abastecimiento'!O309)</f>
        <v>0</v>
      </c>
      <c r="AQ907" t="str">
        <f>('Gestión de abastecimiento'!O310)</f>
        <v>0</v>
      </c>
    </row>
    <row r="908" spans="1:61">
      <c r="M908" s="10" t="s">
        <v>367</v>
      </c>
      <c r="N908" s="14" t="s">
        <v>367</v>
      </c>
      <c r="O908" t="str">
        <f>('Gestión de abastecimiento'!D306)</f>
        <v>0</v>
      </c>
      <c r="P908" t="str">
        <f>('Gestión de abastecimiento'!D307)</f>
        <v>0</v>
      </c>
      <c r="Q908" t="str">
        <f>('Gestión de abastecimiento'!D308)</f>
        <v>0</v>
      </c>
      <c r="R908" t="str">
        <f>('Gestión de abastecimiento'!D309)</f>
        <v>0</v>
      </c>
      <c r="S908" t="str">
        <f>('Gestión de abastecimiento'!D310)</f>
        <v>0</v>
      </c>
      <c r="Y908" s="10" t="s">
        <v>367</v>
      </c>
      <c r="Z908" s="14"/>
      <c r="AA908" t="str">
        <f>('Gestión de abastecimiento'!J306)</f>
        <v>0</v>
      </c>
      <c r="AB908" t="str">
        <f>('Gestión de abastecimiento'!J307)</f>
        <v>0</v>
      </c>
      <c r="AC908" t="str">
        <f>('Gestión de abastecimiento'!J308)</f>
        <v>0</v>
      </c>
      <c r="AD908" t="str">
        <f>('Gestión de abastecimiento'!J309)</f>
        <v>0</v>
      </c>
      <c r="AE908" t="str">
        <f>('Gestión de abastecimiento'!J310)</f>
        <v>0</v>
      </c>
      <c r="AK908" s="10" t="s">
        <v>367</v>
      </c>
      <c r="AL908" s="14" t="s">
        <v>367</v>
      </c>
      <c r="AM908" t="str">
        <f>('Gestión de abastecimiento'!P306)</f>
        <v>0</v>
      </c>
      <c r="AN908" t="str">
        <f>('Gestión de abastecimiento'!P307)</f>
        <v>0</v>
      </c>
      <c r="AO908" t="str">
        <f>('Gestión de abastecimiento'!P308)</f>
        <v>0</v>
      </c>
      <c r="AP908" t="str">
        <f>('Gestión de abastecimiento'!P309)</f>
        <v>0</v>
      </c>
      <c r="AQ908" t="str">
        <f>('Gestión de abastecimiento'!P310)</f>
        <v>0</v>
      </c>
    </row>
    <row r="909" spans="1:61">
      <c r="M909" s="10" t="s">
        <v>367</v>
      </c>
      <c r="N909" s="14"/>
      <c r="O909" t="str">
        <f>('Gestión de abastecimiento'!E306)</f>
        <v>0</v>
      </c>
      <c r="P909" t="str">
        <f>('Gestión de abastecimiento'!E307)</f>
        <v>0</v>
      </c>
      <c r="Q909" t="str">
        <f>('Gestión de abastecimiento'!E308)</f>
        <v>0</v>
      </c>
      <c r="R909" t="str">
        <f>('Gestión de abastecimiento'!E309)</f>
        <v>0</v>
      </c>
      <c r="S909" t="str">
        <f>('Gestión de abastecimiento'!E310)</f>
        <v>0</v>
      </c>
      <c r="Y909" s="10" t="s">
        <v>367</v>
      </c>
      <c r="Z909" s="14" t="s">
        <v>367</v>
      </c>
      <c r="AA909" t="str">
        <f>('Gestión de abastecimiento'!K306)</f>
        <v>0</v>
      </c>
      <c r="AB909" t="str">
        <f>('Gestión de abastecimiento'!K307)</f>
        <v>0</v>
      </c>
      <c r="AC909" t="str">
        <f>('Gestión de abastecimiento'!K308)</f>
        <v>0</v>
      </c>
      <c r="AD909" t="str">
        <f>('Gestión de abastecimiento'!K309)</f>
        <v>0</v>
      </c>
      <c r="AE909" t="str">
        <f>('Gestión de abastecimiento'!K310)</f>
        <v>0</v>
      </c>
      <c r="AK909" s="10" t="s">
        <v>367</v>
      </c>
      <c r="AL909" s="14" t="s">
        <v>367</v>
      </c>
      <c r="AM909" t="str">
        <f>('Gestión de abastecimiento'!Q306)</f>
        <v>0</v>
      </c>
      <c r="AN909" t="str">
        <f>('Gestión de abastecimiento'!Q307)</f>
        <v>0</v>
      </c>
      <c r="AO909" t="str">
        <f>('Gestión de abastecimiento'!Q308)</f>
        <v>0</v>
      </c>
      <c r="AP909" t="str">
        <f>('Gestión de abastecimiento'!Q309)</f>
        <v>0</v>
      </c>
      <c r="AQ909" t="str">
        <f>('Gestión de abastecimiento'!Q310)</f>
        <v>0</v>
      </c>
    </row>
    <row r="910" spans="1:61">
      <c r="M910" s="10"/>
      <c r="N910" s="14" t="s">
        <v>367</v>
      </c>
      <c r="O910" t="str">
        <f>('Gestión de abastecimiento'!F306)</f>
        <v>0</v>
      </c>
      <c r="P910" t="str">
        <f>('Gestión de abastecimiento'!F307)</f>
        <v>0</v>
      </c>
      <c r="Q910" t="str">
        <f>('Gestión de abastecimiento'!F308)</f>
        <v>0</v>
      </c>
      <c r="R910" t="str">
        <f>('Gestión de abastecimiento'!F309)</f>
        <v>0</v>
      </c>
      <c r="S910" t="str">
        <f>('Gestión de abastecimiento'!F310)</f>
        <v>0</v>
      </c>
      <c r="Y910" s="10" t="s">
        <v>367</v>
      </c>
      <c r="Z910" s="14" t="s">
        <v>367</v>
      </c>
      <c r="AA910" t="str">
        <f>('Gestión de abastecimiento'!L306)</f>
        <v>0</v>
      </c>
      <c r="AB910" t="str">
        <f>('Gestión de abastecimiento'!L307)</f>
        <v>0</v>
      </c>
      <c r="AC910" t="str">
        <f>('Gestión de abastecimiento'!L308)</f>
        <v>0</v>
      </c>
      <c r="AD910" t="str">
        <f>('Gestión de abastecimiento'!L309)</f>
        <v>0</v>
      </c>
      <c r="AE910" t="str">
        <f>('Gestión de abastecimiento'!L310)</f>
        <v>0</v>
      </c>
      <c r="AK910" s="10" t="s">
        <v>367</v>
      </c>
      <c r="AL910" s="14" t="s">
        <v>367</v>
      </c>
      <c r="AM910" t="str">
        <f>('Gestión de abastecimiento'!R306)</f>
        <v>0</v>
      </c>
      <c r="AN910" t="str">
        <f>('Gestión de abastecimiento'!R307)</f>
        <v>0</v>
      </c>
      <c r="AO910" t="str">
        <f>('Gestión de abastecimiento'!R308)</f>
        <v>0</v>
      </c>
      <c r="AP910" t="str">
        <f>('Gestión de abastecimiento'!R309)</f>
        <v>0</v>
      </c>
      <c r="AQ910" t="str">
        <f>('Gestión de abastecimiento'!R310)</f>
        <v>0</v>
      </c>
    </row>
    <row r="911" spans="1:61">
      <c r="M911" s="10" t="s">
        <v>367</v>
      </c>
      <c r="N911" s="14" t="s">
        <v>367</v>
      </c>
      <c r="O911" t="str">
        <f>('Gestión de abastecimiento'!G306)</f>
        <v>0</v>
      </c>
      <c r="P911" t="str">
        <f>('Gestión de abastecimiento'!G307)</f>
        <v>0</v>
      </c>
      <c r="Q911" t="str">
        <f>('Gestión de abastecimiento'!G308)</f>
        <v>0</v>
      </c>
      <c r="R911" t="str">
        <f>('Gestión de abastecimiento'!G309)</f>
        <v>0</v>
      </c>
      <c r="S911" t="str">
        <f>('Gestión de abastecimiento'!G310)</f>
        <v>0</v>
      </c>
      <c r="Y911" s="10" t="s">
        <v>367</v>
      </c>
      <c r="Z911" s="14" t="s">
        <v>367</v>
      </c>
      <c r="AA911" t="str">
        <f>('Gestión de abastecimiento'!M306)</f>
        <v>0</v>
      </c>
      <c r="AB911" t="str">
        <f>('Gestión de abastecimiento'!M307)</f>
        <v>0</v>
      </c>
      <c r="AC911" t="str">
        <f>('Gestión de abastecimiento'!M308)</f>
        <v>0</v>
      </c>
      <c r="AD911" t="str">
        <f>('Gestión de abastecimiento'!M309)</f>
        <v>0</v>
      </c>
      <c r="AE911" t="str">
        <f>('Gestión de abastecimiento'!M310)</f>
        <v>0</v>
      </c>
      <c r="AK911" s="10" t="s">
        <v>367</v>
      </c>
      <c r="AL911" s="14" t="s">
        <v>367</v>
      </c>
      <c r="AM911" t="str">
        <f>('Gestión de abastecimiento'!S306)</f>
        <v>0</v>
      </c>
      <c r="AN911" t="str">
        <f>('Gestión de abastecimiento'!S307)</f>
        <v>0</v>
      </c>
      <c r="AO911" t="str">
        <f>('Gestión de abastecimiento'!S308)</f>
        <v>0</v>
      </c>
      <c r="AP911" t="str">
        <f>('Gestión de abastecimiento'!S309)</f>
        <v>0</v>
      </c>
      <c r="AQ911" t="str">
        <f>('Gestión de abastecimiento'!S310)</f>
        <v>0</v>
      </c>
    </row>
    <row r="1015" spans="1:61">
      <c r="M1015" s="10" t="s">
        <v>366</v>
      </c>
      <c r="N1015" s="10" t="str">
        <f>CONCATENATE(O905," y ",P905)</f>
        <v>0</v>
      </c>
      <c r="O1015" s="10" t="str">
        <f>(Q905)</f>
        <v>0</v>
      </c>
      <c r="P1015" s="10" t="str">
        <f>CONCATENATE(R905," y ",S905)</f>
        <v>0</v>
      </c>
      <c r="Q1015" s="10" t="s">
        <v>368</v>
      </c>
      <c r="R1015" s="10" t="s">
        <v>369</v>
      </c>
      <c r="S1015" s="10" t="s">
        <v>370</v>
      </c>
      <c r="T1015" s="10" t="s">
        <v>371</v>
      </c>
      <c r="U1015" s="10" t="s">
        <v>372</v>
      </c>
      <c r="Y1015" s="10" t="s">
        <v>366</v>
      </c>
      <c r="Z1015" s="10" t="str">
        <f>CONCATENATE(AA905," y ",AB905)</f>
        <v>0</v>
      </c>
      <c r="AA1015" s="10" t="str">
        <f>(AC905)</f>
        <v>0</v>
      </c>
      <c r="AB1015" s="10" t="str">
        <f>CONCATENATE(AD905," y ",AE905)</f>
        <v>0</v>
      </c>
      <c r="AC1015" s="10" t="s">
        <v>368</v>
      </c>
      <c r="AD1015" s="10" t="s">
        <v>369</v>
      </c>
      <c r="AE1015" s="10" t="s">
        <v>370</v>
      </c>
      <c r="AF1015" s="10" t="s">
        <v>371</v>
      </c>
      <c r="AG1015" s="10" t="s">
        <v>372</v>
      </c>
      <c r="AK1015" s="10" t="s">
        <v>366</v>
      </c>
      <c r="AL1015" s="10" t="str">
        <f>CONCATENATE(AM905," y ",AN905)</f>
        <v>0</v>
      </c>
      <c r="AM1015" s="10" t="str">
        <f>(AO905)</f>
        <v>0</v>
      </c>
      <c r="AN1015" s="10" t="str">
        <f>CONCATENATE(AP905," y ",AQ905)</f>
        <v>0</v>
      </c>
      <c r="AO1015" s="10" t="s">
        <v>368</v>
      </c>
      <c r="AP1015" s="10" t="s">
        <v>369</v>
      </c>
      <c r="AQ1015" s="10" t="s">
        <v>370</v>
      </c>
      <c r="AR1015" s="10" t="s">
        <v>371</v>
      </c>
      <c r="AS1015" s="10" t="s">
        <v>372</v>
      </c>
      <c r="AW1015" s="10" t="s">
        <v>373</v>
      </c>
      <c r="AX1015" s="10" t="s">
        <v>352</v>
      </c>
      <c r="AY1015" s="10" t="s">
        <v>353</v>
      </c>
      <c r="AZ1015" s="10" t="s">
        <v>354</v>
      </c>
      <c r="BA1015" s="10" t="s">
        <v>368</v>
      </c>
      <c r="BB1015" s="10" t="s">
        <v>374</v>
      </c>
      <c r="BC1015" s="10" t="s">
        <v>375</v>
      </c>
      <c r="BD1015" s="10" t="s">
        <v>376</v>
      </c>
      <c r="BE1015" s="10" t="s">
        <v>377</v>
      </c>
      <c r="BF1015" s="10" t="s">
        <v>378</v>
      </c>
      <c r="BG1015" s="10" t="s">
        <v>379</v>
      </c>
      <c r="BH1015" s="10" t="s">
        <v>380</v>
      </c>
      <c r="BI1015" s="10" t="s">
        <v>372</v>
      </c>
    </row>
    <row r="1016" spans="1:61">
      <c r="M1016" s="10" t="str">
        <f>(N906)</f>
        <v>0</v>
      </c>
      <c r="N1016" s="14" t="str">
        <f>SUM(O906:P906)</f>
        <v>0</v>
      </c>
      <c r="O1016" s="14" t="str">
        <f>(Q906)</f>
        <v>0</v>
      </c>
      <c r="P1016" s="14" t="str">
        <f>SUM(R906:S906)</f>
        <v>0</v>
      </c>
      <c r="Q1016" s="14" t="str">
        <f>MAX(N1016:P1016)</f>
        <v>0</v>
      </c>
      <c r="R1016" s="10" t="str">
        <f>IF(Q1016=N1016,$N$1015,IF(Q1016=O1016,$O$1015,IF(Q1016=P1016,$P$1015,"ALGO ESTA MAL")))</f>
        <v>0</v>
      </c>
      <c r="S1016" s="10" t="str">
        <f>RANDBETWEEN(1,10)</f>
        <v>0</v>
      </c>
      <c r="T1016" s="10" t="str">
        <f>IF(S1016=$T$1100,$U$1100,IF(S1016=$T$1101,$U$1101,IF(S1016=$T$1102,$U$1102,IF(S1016=$T$1103,$U$1103,IF(S1016=$T$1104,$U$1104,IF(S1016=$T$1105,$U$1105,IF(S1016=$T$1106,$U$1106,IF(S1016=$T$1107,$U$1107,IF(S1016=$T$1108,$U$1108,IF(S1016=$T$1109,$U$1109,"algo esta mal"))))))))))</f>
        <v>0</v>
      </c>
      <c r="U1016" s="10" t="str">
        <f>CONCATENATE("el ",ROUND(Q1016*100,0),"% ",T1016," como ",R1016 )</f>
        <v>0</v>
      </c>
      <c r="Y1016" s="10" t="str">
        <f>(Z906)</f>
        <v>0</v>
      </c>
      <c r="Z1016" s="14" t="str">
        <f>SUM(AA906:AB906)</f>
        <v>0</v>
      </c>
      <c r="AA1016" s="14" t="str">
        <f>(AC906)</f>
        <v>0</v>
      </c>
      <c r="AB1016" s="14" t="str">
        <f>SUM(AD906:AE906)</f>
        <v>0</v>
      </c>
      <c r="AC1016" s="14" t="str">
        <f>MAX(Z1016:AB1016)</f>
        <v>0</v>
      </c>
      <c r="AD1016" s="10" t="str">
        <f>IF(AC1016=Z1016,$Z$1015,IF(AC1016=AA1016,$AA$1015,IF(AC1016=AB1016,$AB$1015,"ALGO ESTA MAL")))</f>
        <v>0</v>
      </c>
      <c r="AE1016" s="10" t="str">
        <f>RANDBETWEEN(1,10)</f>
        <v>0</v>
      </c>
      <c r="AF1016" s="10" t="str">
        <f>IF(AE1016=$AF$1100,$AG$1100,IF(AE1016=$AF$1101,$AG$1101,IF(AE1016=$AF$1102,$AG$1102,IF(AE1016=$AF$1103,$AG$1103,IF(AE1016=$AF$1104,$AG$1104,IF(AE1016=$AF$1105,$AG$1105,IF(AE1016=$AF$1106,$AG$1106,IF(AE1016=$AF$1107,$AG$1107,IF(AE1016=$AF$1108,$AG$1108,IF(AE1016=$AF$1109,$AG$1109,"algo esta mal"))))))))))</f>
        <v>0</v>
      </c>
      <c r="AG1016" s="10" t="str">
        <f>CONCATENATE("el ",ROUND(AC1016*100,0),"% ",AF1016," como ",AD1016 )</f>
        <v>0</v>
      </c>
      <c r="AK1016" s="10" t="str">
        <f>(AL906)</f>
        <v>0</v>
      </c>
      <c r="AL1016" s="14" t="str">
        <f>SUM(AM906:AN906)</f>
        <v>0</v>
      </c>
      <c r="AM1016" s="14" t="str">
        <f>(AO906)</f>
        <v>0</v>
      </c>
      <c r="AN1016" s="14" t="str">
        <f>SUM(AP906:AQ906)</f>
        <v>0</v>
      </c>
      <c r="AO1016" s="14" t="str">
        <f>MAX(AL1016:AN1016)</f>
        <v>0</v>
      </c>
      <c r="AP1016" s="10" t="str">
        <f>IF(AO1016=AL1016,$AL$1015,IF(AO1016=AM1016,$AM$1015,IF(AO1016=AN1016,$AN$1015,"ALGO ESTA MAL")))</f>
        <v>0</v>
      </c>
      <c r="AQ1016" s="10" t="str">
        <f>RANDBETWEEN(1,10)</f>
        <v>0</v>
      </c>
      <c r="AR1016" s="10" t="str">
        <f>IF(AQ1016=$AR$1100,$AS$1100,IF(AQ1016=$AR$1101,$AS$1101,IF(AQ1016=$AR$1102,$AS$1102,IF(AQ1016=$AR$1103,$AS$1103,IF(AQ1016=$AR$1104,$AS$1104,IF(AQ1016=$AR$1105,$AS$1105,IF(AQ1016=$AR$1106,$AS$1106,IF(AQ1016=$AR$1107,$AS$1107,IF(AQ1016=$AR$1108,$AS$1108,IF(AQ1016=$AR$1109,$AS$1109,"algo esta mal"))))))))))</f>
        <v>0</v>
      </c>
      <c r="AS1016" s="10" t="str">
        <f>CONCATENATE("el ",ROUND(AO1016*100,0),"% ",AR1016," como ",AP1016 )</f>
        <v>0</v>
      </c>
      <c r="AW1016" s="14" t="str">
        <f>(O16)</f>
        <v>0</v>
      </c>
      <c r="AX1016" s="14" t="str">
        <f>(S19)</f>
        <v>0</v>
      </c>
      <c r="AY1016" s="5" t="str">
        <f>(S20)</f>
        <v>0</v>
      </c>
      <c r="AZ1016" s="14" t="str">
        <f>(S21)</f>
        <v>0</v>
      </c>
      <c r="BA1016" s="14" t="str">
        <f>MAX(AX1016:AZ1016)</f>
        <v>0</v>
      </c>
      <c r="BB1016" s="10" t="str">
        <f>IF(BA1016=AX1016,$AX$1015,IF(BA1016=AY1016,$AY$1015,IF(BA1016=AZ1016,$AZ$1015,"algo esta mal")))</f>
        <v>0</v>
      </c>
      <c r="BC1016" s="10" t="str">
        <f> RANDBETWEEN(1,10)</f>
        <v>0</v>
      </c>
      <c r="BD1016" s="10" t="str">
        <f>IF(BC1016=$BD$1100,$BE$1100,IF(BC1016=$BD$1101,$BE$1101,IF(BC1016=$BD$1102,$BE$1102,IF(BC1016=$BD$1103,$BE$1103,IF(BC1016=$BD$1104,$BE$1104,IF(BC1016=$BD$1105,$BE$1105,IF(BC1016=$BD$1106,$BE$1106,IF(BC1016=$BD$1107,$BE$1107,IF(BC1016=$BD$1108,$BE$1108,IF(BC1016=$BD$1109,$BE$1109,"algo esta mal"))))))))))</f>
        <v>0</v>
      </c>
      <c r="BE1016" s="10" t="str">
        <f> RANDBETWEEN(1,7)</f>
        <v>0</v>
      </c>
      <c r="BF1016" s="10" t="str">
        <f>IF(BE1016=$BD$1110,$BE$1110,IF(BE1016=$BD$1111,$BE$1111,IF(BE1016=$BD$1112,$BE$1112,IF(BE1016=$BD$1113,$BE$1113,IF(BE1016=$BD$1114,$BE$1114,IF(BE1016=$BD$1115,$BE$1115,IF(BE1016=$BD$1116,$BE$1116,IF(BE1016=$BD$1047,$BE$1047,IF(BE1016=$BD$1048,$BE$1048,IF(BE1016=$BD$1049,$BE$1049,"algo esta mal"))))))))))</f>
        <v>0</v>
      </c>
      <c r="BG1016" s="10" t="str">
        <f> RANDBETWEEN(1,2)</f>
        <v>0</v>
      </c>
      <c r="BH1016" s="10" t="str">
        <f>IF(BG1016=$BD$1120,$BE$1120,IF(BG1016=$BD$1121,$BE$1121,"algo esta mal"))</f>
        <v>0</v>
      </c>
      <c r="BI1016" s="10" t="str">
        <f>CONCATENATE("el ",ROUND(BA1016*100,0),"% de los ",BH1016," ",BD1016," a la dimensión ",AW1016," como ",BB1016,", ",BF1016)</f>
        <v>0</v>
      </c>
    </row>
    <row r="1017" spans="1:61">
      <c r="M1017" s="10" t="str">
        <f>(N907)</f>
        <v>0</v>
      </c>
      <c r="N1017" s="14" t="str">
        <f>SUM(O907:P907)</f>
        <v>0</v>
      </c>
      <c r="O1017" s="14" t="str">
        <f>(Q907)</f>
        <v>0</v>
      </c>
      <c r="P1017" s="14" t="str">
        <f>SUM(R907:S907)</f>
        <v>0</v>
      </c>
      <c r="Q1017" s="14" t="str">
        <f>MAX(N1017:P1017)</f>
        <v>0</v>
      </c>
      <c r="R1017" s="10" t="str">
        <f>IF(Q1017=N1017,$N$1015,IF(Q1017=O1017,$O$1015,IF(Q1017=P1017,$P$1015,"ALGO ESTA MAL")))</f>
        <v>0</v>
      </c>
      <c r="S1017" s="10" t="str">
        <f>RANDBETWEEN(1,10)</f>
        <v>0</v>
      </c>
      <c r="T1017" s="10" t="str">
        <f>IF(S1017=$T$1100,$U$1100,IF(S1017=$T$1101,$U$1101,IF(S1017=$T$1102,$U$1102,IF(S1017=$T$1103,$U$1103,IF(S1017=$T$1104,$U$1104,IF(S1017=$T$1105,$U$1105,IF(S1017=$T$1106,$U$1106,IF(S1017=$T$1107,$U$1107,IF(S1017=$T$1108,$U$1108,IF(S1017=$T$1109,$U$1109,"algo esta mal"))))))))))</f>
        <v>0</v>
      </c>
      <c r="U1017" s="10" t="str">
        <f>CONCATENATE("el ",ROUND(Q1017*100,0),"% de los ",T1017," como ",R1017)</f>
        <v>0</v>
      </c>
      <c r="Y1017" s="10" t="str">
        <f>(Z907)</f>
        <v>0</v>
      </c>
      <c r="Z1017" s="14" t="str">
        <f>SUM(AA907:AB907)</f>
        <v>0</v>
      </c>
      <c r="AA1017" s="14" t="str">
        <f>(AC907)</f>
        <v>0</v>
      </c>
      <c r="AB1017" s="14" t="str">
        <f>SUM(AD907:AE907)</f>
        <v>0</v>
      </c>
      <c r="AC1017" s="14" t="str">
        <f>MAX(Z1017:AB1017)</f>
        <v>0</v>
      </c>
      <c r="AD1017" s="10" t="str">
        <f>IF(AC1017=Z1017,$Z$1015,IF(AC1017=AA1017,$AA$1015,IF(AC1017=AB1017,$AB$1015,"ALGO ESTA MAL")))</f>
        <v>0</v>
      </c>
      <c r="AE1017" s="10" t="str">
        <f>RANDBETWEEN(1,10)</f>
        <v>0</v>
      </c>
      <c r="AF1017" s="10" t="str">
        <f>IF(AE1017=$AF$1100,$AG$1100,IF(AE1017=$AF$1101,$AG$1101,IF(AE1017=$AF$1102,$AG$1102,IF(AE1017=$AF$1103,$AG$1103,IF(AE1017=$AF$1104,$AG$1104,IF(AE1017=$AF$1105,$AG$1105,IF(AE1017=$AF$1106,$AG$1106,IF(AE1017=$AF$1107,$AG$1107,IF(AE1017=$AF$1108,$AG$1108,IF(AE1017=$AF$1109,$AG$1109,"algo esta mal"))))))))))</f>
        <v>0</v>
      </c>
      <c r="AG1017" s="10" t="str">
        <f>CONCATENATE("el ",ROUND(AC1017*100,0),"% de los ",AF1017," como ",AD1017)</f>
        <v>0</v>
      </c>
      <c r="AK1017" s="10" t="str">
        <f>(AL907)</f>
        <v>0</v>
      </c>
      <c r="AL1017" s="14" t="str">
        <f>SUM(AM907:AN907)</f>
        <v>0</v>
      </c>
      <c r="AM1017" s="14" t="str">
        <f>(AO907)</f>
        <v>0</v>
      </c>
      <c r="AN1017" s="14" t="str">
        <f>SUM(AP907:AQ907)</f>
        <v>0</v>
      </c>
      <c r="AO1017" s="14" t="str">
        <f>MAX(AL1017:AN1017)</f>
        <v>0</v>
      </c>
      <c r="AP1017" s="10" t="str">
        <f>IF(AO1017=AL1017,$AL$1015,IF(AO1017=AM1017,$AM$1015,IF(AO1017=AN1017,$AN$1015,"ALGO ESTA MAL")))</f>
        <v>0</v>
      </c>
      <c r="AQ1017" s="10" t="str">
        <f>RANDBETWEEN(1,10)</f>
        <v>0</v>
      </c>
      <c r="AR1017" s="10" t="str">
        <f>IF(AQ1017=$AR$1100,$AS$1100,IF(AQ1017=$AR$1101,$AS$1101,IF(AQ1017=$AR$1102,$AS$1102,IF(AQ1017=$AR$1103,$AS$1103,IF(AQ1017=$AR$1104,$AS$1104,IF(AQ1017=$AR$1105,$AS$1105,IF(AQ1017=$AR$1106,$AS$1106,IF(AQ1017=$AR$1107,$AS$1107,IF(AQ1017=$AR$1108,$AS$1108,IF(AQ1017=$AR$1109,$AS$1109,"algo esta mal"))))))))))</f>
        <v>0</v>
      </c>
      <c r="AS1017" s="10" t="str">
        <f>CONCATENATE("el ",ROUND(AO1017*100,0),"% de los ",AR1017," como ",AP1017)</f>
        <v>0</v>
      </c>
      <c r="AW1017" s="14" t="str">
        <f>(AA16)</f>
        <v>0</v>
      </c>
      <c r="AX1017" s="14" t="str">
        <f>(AE19)</f>
        <v>0</v>
      </c>
      <c r="AY1017" s="5" t="str">
        <f>(AE20)</f>
        <v>0</v>
      </c>
      <c r="AZ1017" s="14" t="str">
        <f>(AE21)</f>
        <v>0</v>
      </c>
      <c r="BA1017" s="14" t="str">
        <f>MAX(AX1017:AZ1017)</f>
        <v>0</v>
      </c>
      <c r="BB1017" s="10" t="str">
        <f>IF(BA1017=AX1017,$AX$1015,IF(BA1017=AY1017,$AY$1015,IF(BA1017=AZ1017,$AZ$1015,"algo esta mal")))</f>
        <v>0</v>
      </c>
      <c r="BC1017" s="10" t="str">
        <f> RANDBETWEEN(1,10)</f>
        <v>0</v>
      </c>
      <c r="BD1017" s="10" t="str">
        <f>IF(BC1017=$BD$1100,$BE$1100,IF(BC1017=$BD$1101,$BE$1101,IF(BC1017=$BD$1102,$BE$1102,IF(BC1017=$BD$1103,$BE$1103,IF(BC1017=$BD$1104,$BE$1104,IF(BC1017=$BD$1105,$BE$1105,IF(BC1017=$BD$1106,$BE$1106,IF(BC1017=$BD$1107,$BE$1107,IF(BC1017=$BD$1108,$BE$1108,IF(BC1017=$BD$1109,$BE$1109,"algo esta mal"))))))))))</f>
        <v>0</v>
      </c>
      <c r="BE1017" s="10" t="str">
        <f> RANDBETWEEN(1,7)</f>
        <v>0</v>
      </c>
      <c r="BF1017" s="10" t="str">
        <f>IF(BE1017=$BD$1110,$BE$1110,IF(BE1017=$BD$1111,$BE$1111,IF(BE1017=$BD$1112,$BE$1112,IF(BE1017=$BD$1113,$BE$1113,IF(BE1017=$BD$1114,$BE$1114,IF(BE1017=$BD$1115,$BE$1115,IF(BE1017=$BD$1116,$BE$1116,IF(BE1017=$BD$1047,$BE$1047,IF(BE1017=$BD$1048,$BE$1048,IF(BE1017=$BD$1049,$BE$1049,"algo esta mal"))))))))))</f>
        <v>0</v>
      </c>
      <c r="BG1017" s="10" t="str">
        <f> RANDBETWEEN(1,2)</f>
        <v>0</v>
      </c>
      <c r="BH1017" s="10" t="str">
        <f>IF(BG1017=$BD$1120,$BE$1120,IF(BG1017=$BD$1121,$BE$1121,"algo esta mal"))</f>
        <v>0</v>
      </c>
      <c r="BI1017" s="10" t="str">
        <f>CONCATENATE("el ",ROUND(BA1017*100,0),"% de los ",BH1017," ",BD1017," a la dimensión ",AW1017," como ",BB1017,", ",BF1017)</f>
        <v>0</v>
      </c>
    </row>
    <row r="1018" spans="1:61">
      <c r="M1018" s="10" t="str">
        <f>(N908)</f>
        <v>0</v>
      </c>
      <c r="N1018" s="14" t="str">
        <f>SUM(O908:P908)</f>
        <v>0</v>
      </c>
      <c r="O1018" s="14" t="str">
        <f>(Q908)</f>
        <v>0</v>
      </c>
      <c r="P1018" s="14" t="str">
        <f>SUM(R908:S908)</f>
        <v>0</v>
      </c>
      <c r="Q1018" s="14" t="str">
        <f>MAX(N1018:P1018)</f>
        <v>0</v>
      </c>
      <c r="R1018" s="10" t="str">
        <f>IF(Q1018=N1018,$N$1015,IF(Q1018=O1018,$O$1015,IF(Q1018=P1018,$P$1015,"ALGO ESTA MAL")))</f>
        <v>0</v>
      </c>
      <c r="S1018" s="10" t="str">
        <f>RANDBETWEEN(1,10)</f>
        <v>0</v>
      </c>
      <c r="T1018" s="10" t="str">
        <f>IF(S1018=$T$1100,$U$1100,IF(S1018=$T$1101,$U$1101,IF(S1018=$T$1102,$U$1102,IF(S1018=$T$1103,$U$1103,IF(S1018=$T$1104,$U$1104,IF(S1018=$T$1105,$U$1105,IF(S1018=$T$1106,$U$1106,IF(S1018=$T$1107,$U$1107,IF(S1018=$T$1108,$U$1108,IF(S1018=$T$1109,$U$1109,"algo esta mal"))))))))))</f>
        <v>0</v>
      </c>
      <c r="U1018" s="10" t="str">
        <f>CONCATENATE("el ",ROUND(Q1018*100,0),"% ",T1018," como ",R1018 )</f>
        <v>0</v>
      </c>
      <c r="Y1018" s="10" t="str">
        <f>(Z908)</f>
        <v>0</v>
      </c>
      <c r="Z1018" s="14" t="str">
        <f>SUM(AA908:AB908)</f>
        <v>0</v>
      </c>
      <c r="AA1018" s="14" t="str">
        <f>(AC908)</f>
        <v>0</v>
      </c>
      <c r="AB1018" s="14" t="str">
        <f>SUM(AD908:AE908)</f>
        <v>0</v>
      </c>
      <c r="AC1018" s="14" t="str">
        <f>MAX(Z1018:AB1018)</f>
        <v>0</v>
      </c>
      <c r="AD1018" s="10" t="str">
        <f>IF(AC1018=Z1018,$Z$1015,IF(AC1018=AA1018,$AA$1015,IF(AC1018=AB1018,$AB$1015,"ALGO ESTA MAL")))</f>
        <v>0</v>
      </c>
      <c r="AE1018" s="10" t="str">
        <f>RANDBETWEEN(1,10)</f>
        <v>0</v>
      </c>
      <c r="AF1018" s="10" t="str">
        <f>IF(AE1018=$AF$1100,$AG$1100,IF(AE1018=$AF$1101,$AG$1101,IF(AE1018=$AF$1102,$AG$1102,IF(AE1018=$AF$1103,$AG$1103,IF(AE1018=$AF$1104,$AG$1104,IF(AE1018=$AF$1105,$AG$1105,IF(AE1018=$AF$1106,$AG$1106,IF(AE1018=$AF$1107,$AG$1107,IF(AE1018=$AF$1108,$AG$1108,IF(AE1018=$AF$1109,$AG$1109,"algo esta mal"))))))))))</f>
        <v>0</v>
      </c>
      <c r="AG1018" s="10" t="str">
        <f>CONCATENATE("el ",ROUND(AC1018*100,0),"% ",AF1018," como ",AD1018 )</f>
        <v>0</v>
      </c>
      <c r="AK1018" s="10" t="str">
        <f>(AL908)</f>
        <v>0</v>
      </c>
      <c r="AL1018" s="14" t="str">
        <f>SUM(AM908:AN908)</f>
        <v>0</v>
      </c>
      <c r="AM1018" s="14" t="str">
        <f>(AO908)</f>
        <v>0</v>
      </c>
      <c r="AN1018" s="14" t="str">
        <f>SUM(AP908:AQ908)</f>
        <v>0</v>
      </c>
      <c r="AO1018" s="14" t="str">
        <f>MAX(AL1018:AN1018)</f>
        <v>0</v>
      </c>
      <c r="AP1018" s="10" t="str">
        <f>IF(AO1018=AL1018,$AL$1015,IF(AO1018=AM1018,$AM$1015,IF(AO1018=AN1018,$AN$1015,"ALGO ESTA MAL")))</f>
        <v>0</v>
      </c>
      <c r="AQ1018" s="10" t="str">
        <f>RANDBETWEEN(1,10)</f>
        <v>0</v>
      </c>
      <c r="AR1018" s="10" t="str">
        <f>IF(AQ1018=$AR$1100,$AS$1100,IF(AQ1018=$AR$1101,$AS$1101,IF(AQ1018=$AR$1102,$AS$1102,IF(AQ1018=$AR$1103,$AS$1103,IF(AQ1018=$AR$1104,$AS$1104,IF(AQ1018=$AR$1105,$AS$1105,IF(AQ1018=$AR$1106,$AS$1106,IF(AQ1018=$AR$1107,$AS$1107,IF(AQ1018=$AR$1108,$AS$1108,IF(AQ1018=$AR$1109,$AS$1109,"algo esta mal"))))))))))</f>
        <v>0</v>
      </c>
      <c r="AS1018" s="10" t="str">
        <f>CONCATENATE("el ",ROUND(AO1018*100,0),"% ",AR1018," como ",AP1018 )</f>
        <v>0</v>
      </c>
      <c r="AW1018" s="14" t="str">
        <f>(AM16)</f>
        <v>0</v>
      </c>
      <c r="AX1018" s="14" t="str">
        <f>(AQ19)</f>
        <v>0</v>
      </c>
      <c r="AY1018" s="5" t="str">
        <f>(AQ20)</f>
        <v>0</v>
      </c>
      <c r="AZ1018" s="14" t="str">
        <f>(AQ21)</f>
        <v>0</v>
      </c>
      <c r="BA1018" s="14" t="str">
        <f>MAX(AX1018:AZ1018)</f>
        <v>0</v>
      </c>
      <c r="BB1018" s="10" t="str">
        <f>IF(BA1018=AX1018,$AX$1015,IF(BA1018=AY1018,$AY$1015,IF(BA1018=AZ1018,$AZ$1015,"algo esta mal")))</f>
        <v>0</v>
      </c>
      <c r="BC1018" s="10" t="str">
        <f> RANDBETWEEN(1,10)</f>
        <v>0</v>
      </c>
      <c r="BD1018" s="10" t="str">
        <f>IF(BC1018=$BD$1100,$BE$1100,IF(BC1018=$BD$1101,$BE$1101,IF(BC1018=$BD$1102,$BE$1102,IF(BC1018=$BD$1103,$BE$1103,IF(BC1018=$BD$1104,$BE$1104,IF(BC1018=$BD$1105,$BE$1105,IF(BC1018=$BD$1106,$BE$1106,IF(BC1018=$BD$1107,$BE$1107,IF(BC1018=$BD$1108,$BE$1108,IF(BC1018=$BD$1109,$BE$1109,"algo esta mal"))))))))))</f>
        <v>0</v>
      </c>
      <c r="BE1018" s="10" t="str">
        <f> RANDBETWEEN(1,7)</f>
        <v>0</v>
      </c>
      <c r="BF1018" s="10" t="str">
        <f>IF(BE1018=$BD$1110,$BE$1110,IF(BE1018=$BD$1111,$BE$1111,IF(BE1018=$BD$1112,$BE$1112,IF(BE1018=$BD$1113,$BE$1113,IF(BE1018=$BD$1114,$BE$1114,IF(BE1018=$BD$1115,$BE$1115,IF(BE1018=$BD$1116,$BE$1116,IF(BE1018=$BD$1047,$BE$1047,IF(BE1018=$BD$1048,$BE$1048,IF(BE1018=$BD$1049,$BE$1049,"algo esta mal"))))))))))</f>
        <v>0</v>
      </c>
      <c r="BG1018" s="10" t="str">
        <f> RANDBETWEEN(1,2)</f>
        <v>0</v>
      </c>
      <c r="BH1018" s="10" t="str">
        <f>IF(BG1018=$BD$1120,$BE$1120,IF(BG1018=$BD$1121,$BE$1121,"algo esta mal"))</f>
        <v>0</v>
      </c>
      <c r="BI1018" s="10" t="str">
        <f>CONCATENATE("el ",ROUND(BA1018*100,0),"% de los ",BH1018," ",BD1018," a la dimensión ",AW1018," como ",BB1018,", ",BF1018)</f>
        <v>0</v>
      </c>
    </row>
    <row r="1019" spans="1:61">
      <c r="M1019" s="10" t="str">
        <f>(N909)</f>
        <v>0</v>
      </c>
      <c r="N1019" s="14" t="str">
        <f>SUM(O909:P909)</f>
        <v>0</v>
      </c>
      <c r="O1019" s="14" t="str">
        <f>(Q909)</f>
        <v>0</v>
      </c>
      <c r="P1019" s="14" t="str">
        <f>SUM(R909:S909)</f>
        <v>0</v>
      </c>
      <c r="Q1019" s="14" t="str">
        <f>MAX(N1019:P1019)</f>
        <v>0</v>
      </c>
      <c r="R1019" s="10" t="str">
        <f>IF(Q1019=N1019,$N$1015,IF(Q1019=O1019,$O$1015,IF(Q1019=P1019,$P$1015,"ALGO ESTA MAL")))</f>
        <v>0</v>
      </c>
      <c r="S1019" s="10" t="str">
        <f>RANDBETWEEN(1,10)</f>
        <v>0</v>
      </c>
      <c r="T1019" s="10" t="str">
        <f>IF(S1019=$T$1100,$U$1100,IF(S1019=$T$1101,$U$1101,IF(S1019=$T$1102,$U$1102,IF(S1019=$T$1103,$U$1103,IF(S1019=$T$1104,$U$1104,IF(S1019=$T$1105,$U$1105,IF(S1019=$T$1106,$U$1106,IF(S1019=$T$1107,$U$1107,IF(S1019=$T$1108,$U$1108,IF(S1019=$T$1109,$U$1109,"algo esta mal"))))))))))</f>
        <v>0</v>
      </c>
      <c r="U1019" s="10" t="str">
        <f>CONCATENATE("el ",ROUND(Q1019*100,0),"% de los ",T1019," como ",R1019)</f>
        <v>0</v>
      </c>
      <c r="Y1019" s="10" t="str">
        <f>(Z909)</f>
        <v>0</v>
      </c>
      <c r="Z1019" s="14" t="str">
        <f>SUM(AA909:AB909)</f>
        <v>0</v>
      </c>
      <c r="AA1019" s="14" t="str">
        <f>(AC909)</f>
        <v>0</v>
      </c>
      <c r="AB1019" s="14" t="str">
        <f>SUM(AD909:AE909)</f>
        <v>0</v>
      </c>
      <c r="AC1019" s="14" t="str">
        <f>MAX(Z1019:AB1019)</f>
        <v>0</v>
      </c>
      <c r="AD1019" s="10" t="str">
        <f>IF(AC1019=Z1019,$Z$1015,IF(AC1019=AA1019,$AA$1015,IF(AC1019=AB1019,$AB$1015,"ALGO ESTA MAL")))</f>
        <v>0</v>
      </c>
      <c r="AE1019" s="10" t="str">
        <f>RANDBETWEEN(1,10)</f>
        <v>0</v>
      </c>
      <c r="AF1019" s="10" t="str">
        <f>IF(AE1019=$AF$1100,$AG$1100,IF(AE1019=$AF$1101,$AG$1101,IF(AE1019=$AF$1102,$AG$1102,IF(AE1019=$AF$1103,$AG$1103,IF(AE1019=$AF$1104,$AG$1104,IF(AE1019=$AF$1105,$AG$1105,IF(AE1019=$AF$1106,$AG$1106,IF(AE1019=$AF$1107,$AG$1107,IF(AE1019=$AF$1108,$AG$1108,IF(AE1019=$AF$1109,$AG$1109,"algo esta mal"))))))))))</f>
        <v>0</v>
      </c>
      <c r="AG1019" s="10" t="str">
        <f>CONCATENATE("el ",ROUND(AC1019*100,0),"% de los ",AF1019," como ",AD1019)</f>
        <v>0</v>
      </c>
      <c r="AK1019" s="10" t="str">
        <f>(AL909)</f>
        <v>0</v>
      </c>
      <c r="AL1019" s="14" t="str">
        <f>SUM(AM909:AN909)</f>
        <v>0</v>
      </c>
      <c r="AM1019" s="14" t="str">
        <f>(AO909)</f>
        <v>0</v>
      </c>
      <c r="AN1019" s="14" t="str">
        <f>SUM(AP909:AQ909)</f>
        <v>0</v>
      </c>
      <c r="AO1019" s="14" t="str">
        <f>MAX(AL1019:AN1019)</f>
        <v>0</v>
      </c>
      <c r="AP1019" s="10" t="str">
        <f>IF(AO1019=AL1019,$AL$1015,IF(AO1019=AM1019,$AM$1015,IF(AO1019=AN1019,$AN$1015,"ALGO ESTA MAL")))</f>
        <v>0</v>
      </c>
      <c r="AQ1019" s="10" t="str">
        <f>RANDBETWEEN(1,10)</f>
        <v>0</v>
      </c>
      <c r="AR1019" s="10" t="str">
        <f>IF(AQ1019=$AR$1100,$AS$1100,IF(AQ1019=$AR$1101,$AS$1101,IF(AQ1019=$AR$1102,$AS$1102,IF(AQ1019=$AR$1103,$AS$1103,IF(AQ1019=$AR$1104,$AS$1104,IF(AQ1019=$AR$1105,$AS$1105,IF(AQ1019=$AR$1106,$AS$1106,IF(AQ1019=$AR$1107,$AS$1107,IF(AQ1019=$AR$1108,$AS$1108,IF(AQ1019=$AR$1109,$AS$1109,"algo esta mal"))))))))))</f>
        <v>0</v>
      </c>
      <c r="AS1019" s="10" t="str">
        <f>CONCATENATE("el ",ROUND(AO1019*100,0),"% de los ",AR1019," como ",AP1019)</f>
        <v>0</v>
      </c>
    </row>
    <row r="1020" spans="1:61">
      <c r="M1020" s="10" t="str">
        <f>(N910)</f>
        <v>0</v>
      </c>
      <c r="N1020" s="14" t="str">
        <f>SUM(O910:P910)</f>
        <v>0</v>
      </c>
      <c r="O1020" s="14" t="str">
        <f>(Q910)</f>
        <v>0</v>
      </c>
      <c r="P1020" s="14" t="str">
        <f>SUM(R910:S910)</f>
        <v>0</v>
      </c>
      <c r="Q1020" s="14" t="str">
        <f>MAX(N1020:P1020)</f>
        <v>0</v>
      </c>
      <c r="R1020" s="10" t="str">
        <f>IF(Q1020=N1020,$N$1015,IF(Q1020=O1020,$O$1015,IF(Q1020=P1020,$P$1015,"ALGO ESTA MAL")))</f>
        <v>0</v>
      </c>
      <c r="S1020" s="10" t="str">
        <f>RANDBETWEEN(1,10)</f>
        <v>0</v>
      </c>
      <c r="T1020" s="10" t="str">
        <f>IF(S1020=$T$1100,$U$1100,IF(S1020=$T$1101,$U$1101,IF(S1020=$T$1102,$U$1102,IF(S1020=$T$1103,$U$1103,IF(S1020=$T$1104,$U$1104,IF(S1020=$T$1105,$U$1105,IF(S1020=$T$1106,$U$1106,IF(S1020=$T$1107,$U$1107,IF(S1020=$T$1108,$U$1108,IF(S1020=$T$1109,$U$1109,"algo esta mal"))))))))))</f>
        <v>0</v>
      </c>
      <c r="U1020" s="10" t="str">
        <f>CONCATENATE("el ",ROUND(Q1020*100,0),"% ",T1020," como ",R1020)</f>
        <v>0</v>
      </c>
      <c r="Y1020" s="10" t="str">
        <f>(Z910)</f>
        <v>0</v>
      </c>
      <c r="Z1020" s="14" t="str">
        <f>SUM(AA910:AB910)</f>
        <v>0</v>
      </c>
      <c r="AA1020" s="14" t="str">
        <f>(AC910)</f>
        <v>0</v>
      </c>
      <c r="AB1020" s="14" t="str">
        <f>SUM(AD910:AE910)</f>
        <v>0</v>
      </c>
      <c r="AC1020" s="14" t="str">
        <f>MAX(Z1020:AB1020)</f>
        <v>0</v>
      </c>
      <c r="AD1020" s="10" t="str">
        <f>IF(AC1020=Z1020,$Z$1015,IF(AC1020=AA1020,$AA$1015,IF(AC1020=AB1020,$AB$1015,"ALGO ESTA MAL")))</f>
        <v>0</v>
      </c>
      <c r="AE1020" s="10" t="str">
        <f>RANDBETWEEN(1,10)</f>
        <v>0</v>
      </c>
      <c r="AF1020" s="10" t="str">
        <f>IF(AE1020=$AF$1100,$AG$1100,IF(AE1020=$AF$1101,$AG$1101,IF(AE1020=$AF$1102,$AG$1102,IF(AE1020=$AF$1103,$AG$1103,IF(AE1020=$AF$1104,$AG$1104,IF(AE1020=$AF$1105,$AG$1105,IF(AE1020=$AF$1106,$AG$1106,IF(AE1020=$AF$1107,$AG$1107,IF(AE1020=$AF$1108,$AG$1108,IF(AE1020=$AF$1109,$AG$1109,"algo esta mal"))))))))))</f>
        <v>0</v>
      </c>
      <c r="AG1020" s="10" t="str">
        <f>CONCATENATE("el ",ROUND(AC1020*100,0),"% ",AF1020," como ",AD1020)</f>
        <v>0</v>
      </c>
      <c r="AK1020" s="10" t="str">
        <f>(AL910)</f>
        <v>0</v>
      </c>
      <c r="AL1020" s="14" t="str">
        <f>SUM(AM910:AN910)</f>
        <v>0</v>
      </c>
      <c r="AM1020" s="14" t="str">
        <f>(AO910)</f>
        <v>0</v>
      </c>
      <c r="AN1020" s="14" t="str">
        <f>SUM(AP910:AQ910)</f>
        <v>0</v>
      </c>
      <c r="AO1020" s="14" t="str">
        <f>MAX(AL1020:AN1020)</f>
        <v>0</v>
      </c>
      <c r="AP1020" s="10" t="str">
        <f>IF(AO1020=AL1020,$AL$1015,IF(AO1020=AM1020,$AM$1015,IF(AO1020=AN1020,$AN$1015,"ALGO ESTA MAL")))</f>
        <v>0</v>
      </c>
      <c r="AQ1020" s="10" t="str">
        <f>RANDBETWEEN(1,10)</f>
        <v>0</v>
      </c>
      <c r="AR1020" s="10" t="str">
        <f>IF(AQ1020=$AR$1100,$AS$1100,IF(AQ1020=$AR$1101,$AS$1101,IF(AQ1020=$AR$1102,$AS$1102,IF(AQ1020=$AR$1103,$AS$1103,IF(AQ1020=$AR$1104,$AS$1104,IF(AQ1020=$AR$1105,$AS$1105,IF(AQ1020=$AR$1106,$AS$1106,IF(AQ1020=$AR$1107,$AS$1107,IF(AQ1020=$AR$1108,$AS$1108,IF(AQ1020=$AR$1109,$AS$1109,"algo esta mal"))))))))))</f>
        <v>0</v>
      </c>
      <c r="AS1020" s="10" t="str">
        <f>CONCATENATE("el ",ROUND(AO1020*100,0),"% ",AR1020," como ",AP1020)</f>
        <v>0</v>
      </c>
    </row>
    <row r="1021" spans="1:61">
      <c r="M1021" s="10" t="str">
        <f>(N911)</f>
        <v>0</v>
      </c>
      <c r="N1021" s="14" t="str">
        <f>SUM(O911:P911)</f>
        <v>0</v>
      </c>
      <c r="O1021" s="14" t="str">
        <f>(Q911)</f>
        <v>0</v>
      </c>
      <c r="P1021" s="14" t="str">
        <f>SUM(R911:S911)</f>
        <v>0</v>
      </c>
      <c r="Q1021" s="14" t="str">
        <f>MAX(N1021:P1021)</f>
        <v>0</v>
      </c>
      <c r="R1021" s="10" t="str">
        <f>IF(Q1021=N1021,$N$1015,IF(Q1021=O1021,$O$1015,IF(Q1021=P1021,$P$1015,"ALGO ESTA MAL")))</f>
        <v>0</v>
      </c>
      <c r="S1021" s="10" t="str">
        <f>RANDBETWEEN(1,10)</f>
        <v>0</v>
      </c>
      <c r="T1021" s="10" t="str">
        <f>IF(S1021=$T$1100,$U$1100,IF(S1021=$T$1101,$U$1101,IF(S1021=$T$1102,$U$1102,IF(S1021=$T$1103,$U$1103,IF(S1021=$T$1104,$U$1104,IF(S1021=$T$1105,$U$1105,IF(S1021=$T$1106,$U$1106,IF(S1021=$T$1107,$U$1107,IF(S1021=$T$1108,$U$1108,IF(S1021=$T$1109,$U$1109,"algo esta mal"))))))))))</f>
        <v>0</v>
      </c>
      <c r="U1021" s="10" t="str">
        <f>CONCATENATE("el ",ROUND(Q1021*100,0),"% ",T1021," como ",R1021)</f>
        <v>0</v>
      </c>
      <c r="Y1021" s="10" t="str">
        <f>(Z911)</f>
        <v>0</v>
      </c>
      <c r="Z1021" s="14" t="str">
        <f>SUM(AA911:AB911)</f>
        <v>0</v>
      </c>
      <c r="AA1021" s="14" t="str">
        <f>(AC911)</f>
        <v>0</v>
      </c>
      <c r="AB1021" s="14" t="str">
        <f>SUM(AD911:AE911)</f>
        <v>0</v>
      </c>
      <c r="AC1021" s="14" t="str">
        <f>MAX(Z1021:AB1021)</f>
        <v>0</v>
      </c>
      <c r="AD1021" s="10" t="str">
        <f>IF(AC1021=Z1021,$Z$1015,IF(AC1021=AA1021,$AA$1015,IF(AC1021=AB1021,$AB$1015,"ALGO ESTA MAL")))</f>
        <v>0</v>
      </c>
      <c r="AE1021" s="10" t="str">
        <f>RANDBETWEEN(1,10)</f>
        <v>0</v>
      </c>
      <c r="AF1021" s="10" t="str">
        <f>IF(AE1021=$AF$1100,$AG$1100,IF(AE1021=$AF$1101,$AG$1101,IF(AE1021=$AF$1102,$AG$1102,IF(AE1021=$AF$1103,$AG$1103,IF(AE1021=$AF$1104,$AG$1104,IF(AE1021=$AF$1105,$AG$1105,IF(AE1021=$AF$1106,$AG$1106,IF(AE1021=$AF$1107,$AG$1107,IF(AE1021=$AF$1108,$AG$1108,IF(AE1021=$AF$1109,$AG$1109,"algo esta mal"))))))))))</f>
        <v>0</v>
      </c>
      <c r="AG1021" s="10" t="str">
        <f>CONCATENATE("el ",ROUND(AC1021*100,0),"% ",AF1021," como ",AD1021)</f>
        <v>0</v>
      </c>
      <c r="AK1021" s="10" t="str">
        <f>(AL911)</f>
        <v>0</v>
      </c>
      <c r="AL1021" s="14" t="str">
        <f>SUM(AM911:AN911)</f>
        <v>0</v>
      </c>
      <c r="AM1021" s="14" t="str">
        <f>(AO911)</f>
        <v>0</v>
      </c>
      <c r="AN1021" s="14" t="str">
        <f>SUM(AP911:AQ911)</f>
        <v>0</v>
      </c>
      <c r="AO1021" s="14" t="str">
        <f>MAX(AL1021:AN1021)</f>
        <v>0</v>
      </c>
      <c r="AP1021" s="10" t="str">
        <f>IF(AO1021=AL1021,$AL$1015,IF(AO1021=AM1021,$AM$1015,IF(AO1021=AN1021,$AN$1015,"ALGO ESTA MAL")))</f>
        <v>0</v>
      </c>
      <c r="AQ1021" s="10" t="str">
        <f>RANDBETWEEN(1,10)</f>
        <v>0</v>
      </c>
      <c r="AR1021" s="10" t="str">
        <f>IF(AQ1021=$AR$1100,$AS$1100,IF(AQ1021=$AR$1101,$AS$1101,IF(AQ1021=$AR$1102,$AS$1102,IF(AQ1021=$AR$1103,$AS$1103,IF(AQ1021=$AR$1104,$AS$1104,IF(AQ1021=$AR$1105,$AS$1105,IF(AQ1021=$AR$1106,$AS$1106,IF(AQ1021=$AR$1107,$AS$1107,IF(AQ1021=$AR$1108,$AS$1108,IF(AQ1021=$AR$1109,$AS$1109,"algo esta mal"))))))))))</f>
        <v>0</v>
      </c>
      <c r="AS1021" s="10" t="str">
        <f>CONCATENATE("el ",ROUND(AO1021*100,0),"% ",AR1021," como ",AP1021)</f>
        <v>0</v>
      </c>
    </row>
    <row r="1100" spans="1:61">
      <c r="T1100" s="10">
        <v>1</v>
      </c>
      <c r="U1100" s="10" t="s">
        <v>381</v>
      </c>
      <c r="AF1100" s="10">
        <v>1</v>
      </c>
      <c r="AG1100" s="10" t="s">
        <v>381</v>
      </c>
      <c r="AR1100" s="10">
        <v>1</v>
      </c>
      <c r="AS1100" s="10" t="s">
        <v>381</v>
      </c>
      <c r="BD1100" s="10">
        <v>1</v>
      </c>
      <c r="BE1100" s="10" t="s">
        <v>381</v>
      </c>
    </row>
    <row r="1101" spans="1:61">
      <c r="T1101" s="10">
        <v>2</v>
      </c>
      <c r="U1101" s="10" t="s">
        <v>382</v>
      </c>
      <c r="AF1101" s="10">
        <v>2</v>
      </c>
      <c r="AG1101" s="10" t="s">
        <v>382</v>
      </c>
      <c r="AR1101" s="10">
        <v>2</v>
      </c>
      <c r="AS1101" s="10" t="s">
        <v>382</v>
      </c>
      <c r="BD1101" s="10">
        <v>2</v>
      </c>
      <c r="BE1101" s="10" t="s">
        <v>382</v>
      </c>
    </row>
    <row r="1102" spans="1:61">
      <c r="T1102" s="10">
        <v>3</v>
      </c>
      <c r="U1102" s="10" t="s">
        <v>383</v>
      </c>
      <c r="AF1102" s="10">
        <v>3</v>
      </c>
      <c r="AG1102" s="10" t="s">
        <v>383</v>
      </c>
      <c r="AR1102" s="10">
        <v>3</v>
      </c>
      <c r="AS1102" s="10" t="s">
        <v>383</v>
      </c>
      <c r="BD1102" s="10">
        <v>3</v>
      </c>
      <c r="BE1102" s="10" t="s">
        <v>383</v>
      </c>
    </row>
    <row r="1103" spans="1:61">
      <c r="T1103" s="10">
        <v>4</v>
      </c>
      <c r="U1103" s="10" t="s">
        <v>384</v>
      </c>
      <c r="AF1103" s="10">
        <v>4</v>
      </c>
      <c r="AG1103" s="10" t="s">
        <v>384</v>
      </c>
      <c r="AR1103" s="10">
        <v>4</v>
      </c>
      <c r="AS1103" s="10" t="s">
        <v>384</v>
      </c>
      <c r="BD1103" s="10">
        <v>4</v>
      </c>
      <c r="BE1103" s="10" t="s">
        <v>384</v>
      </c>
    </row>
    <row r="1104" spans="1:61">
      <c r="T1104" s="10">
        <v>5</v>
      </c>
      <c r="U1104" s="10" t="s">
        <v>385</v>
      </c>
      <c r="AF1104" s="10">
        <v>5</v>
      </c>
      <c r="AG1104" s="10" t="s">
        <v>385</v>
      </c>
      <c r="AR1104" s="10">
        <v>5</v>
      </c>
      <c r="AS1104" s="10" t="s">
        <v>385</v>
      </c>
      <c r="BD1104" s="10">
        <v>5</v>
      </c>
      <c r="BE1104" s="10" t="s">
        <v>385</v>
      </c>
    </row>
    <row r="1105" spans="1:61">
      <c r="T1105" s="10">
        <v>6</v>
      </c>
      <c r="U1105" s="10" t="s">
        <v>386</v>
      </c>
      <c r="AF1105" s="10">
        <v>6</v>
      </c>
      <c r="AG1105" s="10" t="s">
        <v>386</v>
      </c>
      <c r="AR1105" s="10">
        <v>6</v>
      </c>
      <c r="AS1105" s="10" t="s">
        <v>386</v>
      </c>
      <c r="BD1105" s="10">
        <v>6</v>
      </c>
      <c r="BE1105" s="10" t="s">
        <v>386</v>
      </c>
    </row>
    <row r="1106" spans="1:61">
      <c r="T1106" s="10">
        <v>7</v>
      </c>
      <c r="U1106" s="10" t="s">
        <v>387</v>
      </c>
      <c r="AF1106" s="10">
        <v>7</v>
      </c>
      <c r="AG1106" s="10" t="s">
        <v>387</v>
      </c>
      <c r="AR1106" s="10">
        <v>7</v>
      </c>
      <c r="AS1106" s="10" t="s">
        <v>387</v>
      </c>
      <c r="BD1106" s="10">
        <v>7</v>
      </c>
      <c r="BE1106" s="10" t="s">
        <v>387</v>
      </c>
    </row>
    <row r="1107" spans="1:61">
      <c r="T1107" s="10">
        <v>8</v>
      </c>
      <c r="U1107" s="10" t="s">
        <v>388</v>
      </c>
      <c r="AF1107" s="10">
        <v>8</v>
      </c>
      <c r="AG1107" s="10" t="s">
        <v>388</v>
      </c>
      <c r="AR1107" s="10">
        <v>8</v>
      </c>
      <c r="AS1107" s="10" t="s">
        <v>388</v>
      </c>
      <c r="BD1107" s="10">
        <v>8</v>
      </c>
      <c r="BE1107" s="10" t="s">
        <v>388</v>
      </c>
    </row>
    <row r="1108" spans="1:61">
      <c r="T1108" s="10">
        <v>9</v>
      </c>
      <c r="U1108" s="10" t="s">
        <v>389</v>
      </c>
      <c r="AF1108" s="10">
        <v>9</v>
      </c>
      <c r="AG1108" s="10" t="s">
        <v>389</v>
      </c>
      <c r="AR1108" s="10">
        <v>9</v>
      </c>
      <c r="AS1108" s="10" t="s">
        <v>389</v>
      </c>
      <c r="BD1108" s="10">
        <v>9</v>
      </c>
      <c r="BE1108" s="10" t="s">
        <v>389</v>
      </c>
    </row>
    <row r="1109" spans="1:61">
      <c r="T1109" s="10">
        <v>10</v>
      </c>
      <c r="U1109" s="10" t="s">
        <v>390</v>
      </c>
      <c r="AF1109" s="10">
        <v>10</v>
      </c>
      <c r="AG1109" s="10" t="s">
        <v>390</v>
      </c>
      <c r="AR1109" s="10">
        <v>10</v>
      </c>
      <c r="AS1109" s="10" t="s">
        <v>390</v>
      </c>
      <c r="BD1109" s="10">
        <v>10</v>
      </c>
      <c r="BE1109" s="10" t="s">
        <v>390</v>
      </c>
    </row>
    <row r="1110" spans="1:61">
      <c r="BD1110" s="10">
        <v>1</v>
      </c>
      <c r="BE1110" s="10" t="s">
        <v>391</v>
      </c>
    </row>
    <row r="1111" spans="1:61">
      <c r="BD1111" s="10">
        <v>2</v>
      </c>
      <c r="BE1111" s="10" t="s">
        <v>392</v>
      </c>
    </row>
    <row r="1112" spans="1:61">
      <c r="BD1112" s="10">
        <v>3</v>
      </c>
      <c r="BE1112" s="10" t="s">
        <v>393</v>
      </c>
    </row>
    <row r="1113" spans="1:61">
      <c r="BD1113" s="10">
        <v>4</v>
      </c>
      <c r="BE1113" s="10" t="s">
        <v>394</v>
      </c>
    </row>
    <row r="1114" spans="1:61">
      <c r="BD1114" s="10">
        <v>5</v>
      </c>
      <c r="BE1114" s="10" t="s">
        <v>395</v>
      </c>
    </row>
    <row r="1115" spans="1:61">
      <c r="BD1115" s="10">
        <v>6</v>
      </c>
      <c r="BE1115" s="10" t="s">
        <v>396</v>
      </c>
    </row>
    <row r="1116" spans="1:61">
      <c r="BD1116" s="10">
        <v>7</v>
      </c>
      <c r="BE1116" s="10" t="s">
        <v>397</v>
      </c>
    </row>
    <row r="1120" spans="1:61">
      <c r="BD1120" s="10">
        <v>1</v>
      </c>
      <c r="BE1120" s="10" t="str">
        <f>(AX902)</f>
        <v>0</v>
      </c>
    </row>
    <row r="1121" spans="1:61">
      <c r="BD1121" s="10">
        <v>2</v>
      </c>
      <c r="BE1121" s="10" t="s">
        <v>398</v>
      </c>
    </row>
    <row r="2019" spans="1:61">
      <c r="P2019" t="str">
        <f>N11</f>
        <v>0</v>
      </c>
      <c r="Q2019" t="str">
        <f>P19+N13</f>
        <v>0</v>
      </c>
      <c r="R2019" t="str">
        <f>COUNTIF($C$4:$C$292,$O19)</f>
        <v>0</v>
      </c>
      <c r="S2019" s="5" t="str">
        <f>R2019/R2022</f>
        <v>0</v>
      </c>
      <c r="AB2019" t="str">
        <f>Z11</f>
        <v>0</v>
      </c>
      <c r="AC2019" t="str">
        <f>AB19+Z13</f>
        <v>0</v>
      </c>
      <c r="AD2019" t="str">
        <f>COUNTIF($E$4:$E$292,$AA19)</f>
        <v>0</v>
      </c>
      <c r="AE2019" s="5" t="str">
        <f>AD2019/AD2022</f>
        <v>0</v>
      </c>
      <c r="AN2019" t="str">
        <f>AL11</f>
        <v>0</v>
      </c>
      <c r="AO2019" t="str">
        <f>AN19+AL13</f>
        <v>0</v>
      </c>
      <c r="AP2019" t="str">
        <f>COUNTIF($G$4:$G$292,$AM19)</f>
        <v>0</v>
      </c>
      <c r="AQ2019" s="5" t="str">
        <f>AP2019/AP2022</f>
        <v>0</v>
      </c>
      <c r="AZ2019" t="str">
        <f>AX11</f>
        <v>0</v>
      </c>
      <c r="BA2019" t="str">
        <f>AZ19+AX13 - 1</f>
        <v>0</v>
      </c>
      <c r="BB2019" t="str">
        <f>COUNTIF($I$4:$I$292,$AY19)</f>
        <v>0</v>
      </c>
      <c r="BC2019" s="5" t="str">
        <f>BB2019/BB2022</f>
        <v>0</v>
      </c>
    </row>
    <row r="2020" spans="1:61">
      <c r="P2020" t="str">
        <f>Q19+ 1</f>
        <v>0</v>
      </c>
      <c r="Q2020" t="str">
        <f>P20+N13</f>
        <v>0</v>
      </c>
      <c r="R2020" t="str">
        <f>COUNTIF($C$4:$C$292,$O20)</f>
        <v>0</v>
      </c>
      <c r="S2020" s="5" t="str">
        <f>R2020/R2022</f>
        <v>0</v>
      </c>
      <c r="AB2020" t="str">
        <f>AC19+ 1</f>
        <v>0</v>
      </c>
      <c r="AC2020" t="str">
        <f>AB20+Z13</f>
        <v>0</v>
      </c>
      <c r="AD2020" t="str">
        <f>COUNTIF($E$4:$E$292,$AA20)</f>
        <v>0</v>
      </c>
      <c r="AE2020" s="5" t="str">
        <f>AD2020/AD2022</f>
        <v>0</v>
      </c>
      <c r="AN2020" t="str">
        <f>AO19+ 1</f>
        <v>0</v>
      </c>
      <c r="AO2020" t="str">
        <f>AN20+AL13</f>
        <v>0</v>
      </c>
      <c r="AP2020" t="str">
        <f>COUNTIF($G$4:$G$292,$AM20)</f>
        <v>0</v>
      </c>
      <c r="AQ2020" s="5" t="str">
        <f>AP2020/AP2022</f>
        <v>0</v>
      </c>
      <c r="AZ2020" t="str">
        <f>BA19+ 1</f>
        <v>0</v>
      </c>
      <c r="BA2020" t="str">
        <f>AZ20+AX13 - 1</f>
        <v>0</v>
      </c>
      <c r="BB2020" t="str">
        <f>COUNTIF($I$4:$I$292,$AY20)</f>
        <v>0</v>
      </c>
      <c r="BC2020" s="5" t="str">
        <f>BB2020/BB2022</f>
        <v>0</v>
      </c>
    </row>
    <row r="2021" spans="1:61">
      <c r="P2021" t="str">
        <f>Q20+ 1</f>
        <v>0</v>
      </c>
      <c r="Q2021" t="str">
        <f>N10</f>
        <v>0</v>
      </c>
      <c r="R2021" t="str">
        <f>COUNTIF($C$4:$C$292,$O21)</f>
        <v>0</v>
      </c>
      <c r="S2021" s="5" t="str">
        <f>R2021/R2022</f>
        <v>0</v>
      </c>
      <c r="AB2021" t="str">
        <f>AC20+ 1</f>
        <v>0</v>
      </c>
      <c r="AC2021" t="str">
        <f>Z10</f>
        <v>0</v>
      </c>
      <c r="AD2021" t="str">
        <f>COUNTIF($E$4:$E$292,$AA21)</f>
        <v>0</v>
      </c>
      <c r="AE2021" s="5" t="str">
        <f>AD2021/AD2022</f>
        <v>0</v>
      </c>
      <c r="AN2021" t="str">
        <f>AO20+ 1</f>
        <v>0</v>
      </c>
      <c r="AO2021" t="str">
        <f>AL10</f>
        <v>0</v>
      </c>
      <c r="AP2021" t="str">
        <f>COUNTIF($G$4:$G$292,$AM21)</f>
        <v>0</v>
      </c>
      <c r="AQ2021" s="5" t="str">
        <f>AP2021/AP2022</f>
        <v>0</v>
      </c>
      <c r="AZ2021" t="str">
        <f>BA20+ 1</f>
        <v>0</v>
      </c>
      <c r="BA2021" t="str">
        <f>AX10</f>
        <v>0</v>
      </c>
      <c r="BB2021" t="str">
        <f>COUNTIF($I$4:$I$292,$AY21)</f>
        <v>0</v>
      </c>
      <c r="BC2021" s="5" t="str">
        <f>BB2021/BB2022</f>
        <v>0</v>
      </c>
    </row>
    <row r="2022" spans="1:61">
      <c r="R2022" t="str">
        <f>SUM(R2019:R2021)</f>
        <v>0</v>
      </c>
      <c r="S2022" s="5" t="str">
        <f>SUM(S2019:S2021)</f>
        <v>0</v>
      </c>
      <c r="AD2022" t="str">
        <f>SUM(AD2019:AD2021)</f>
        <v>0</v>
      </c>
      <c r="AE2022" s="5" t="str">
        <f>SUM(AE2019:AE2021)</f>
        <v>0</v>
      </c>
      <c r="AP2022" t="str">
        <f>SUM(AP2019:AP2021)</f>
        <v>0</v>
      </c>
      <c r="AQ2022" s="5" t="str">
        <f>SUM(AQ2019:AQ2021)</f>
        <v>0</v>
      </c>
      <c r="BB2022" t="str">
        <f>SUM(BB2019:BB2021)</f>
        <v>0</v>
      </c>
      <c r="BC2022" s="5" t="str">
        <f>SUM(BC2019:BC2021)</f>
        <v>0</v>
      </c>
    </row>
    <row r="2101" spans="1:61">
      <c r="K2101" s="10" t="s">
        <v>333</v>
      </c>
      <c r="L2101" s="10" t="str">
        <f>(N4)</f>
        <v>0</v>
      </c>
      <c r="N2101" s="10" t="s">
        <v>361</v>
      </c>
      <c r="W2101" s="10" t="s">
        <v>333</v>
      </c>
      <c r="X2101" s="10" t="str">
        <f>(Z4)</f>
        <v>0</v>
      </c>
      <c r="Z2101" s="10" t="s">
        <v>361</v>
      </c>
      <c r="AI2101" s="10" t="s">
        <v>333</v>
      </c>
      <c r="AJ2101" s="10" t="str">
        <f>(AL4)</f>
        <v>0</v>
      </c>
      <c r="AL2101" s="10" t="s">
        <v>361</v>
      </c>
      <c r="AU2101" s="10" t="s">
        <v>333</v>
      </c>
      <c r="AV2101" s="10" t="str">
        <f>(AX4)</f>
        <v>0</v>
      </c>
      <c r="AX2101" s="10" t="s">
        <v>361</v>
      </c>
    </row>
    <row r="2102" spans="1:61">
      <c r="K2102" s="10" t="s">
        <v>362</v>
      </c>
      <c r="L2102" s="10" t="str">
        <f>(N5)</f>
        <v>0</v>
      </c>
      <c r="N2102" s="10" t="s">
        <v>363</v>
      </c>
      <c r="W2102" s="10" t="s">
        <v>362</v>
      </c>
      <c r="X2102" s="10" t="str">
        <f>(Z5)</f>
        <v>0</v>
      </c>
      <c r="Z2102" s="10" t="s">
        <v>363</v>
      </c>
      <c r="AI2102" s="10" t="s">
        <v>362</v>
      </c>
      <c r="AJ2102" s="10" t="str">
        <f>(AL5)</f>
        <v>0</v>
      </c>
      <c r="AL2102" s="10" t="s">
        <v>363</v>
      </c>
      <c r="AU2102" s="10" t="s">
        <v>362</v>
      </c>
      <c r="AV2102" s="10" t="str">
        <f>(AX5)</f>
        <v>0</v>
      </c>
      <c r="AX2102" s="10" t="s">
        <v>363</v>
      </c>
    </row>
    <row r="2104" spans="1:61">
      <c r="K2104" s="10" t="s">
        <v>364</v>
      </c>
      <c r="L2104" s="14" t="str">
        <f>MAX(S19:S21)</f>
        <v>0</v>
      </c>
      <c r="M2104" s="10" t="str">
        <f>IF(L2104=S19,O19,IF(L2104=S20,O20,IF(L2104=S21,O21,"algo esta mal")))</f>
        <v>0</v>
      </c>
      <c r="W2104" s="10" t="s">
        <v>364</v>
      </c>
      <c r="X2104" s="14" t="str">
        <f>MAX(AE19:AE21)</f>
        <v>0</v>
      </c>
      <c r="Y2104" s="10" t="str">
        <f>IF(X2104=AE19,AA19,IF(X2104=AE20,AA20,IF(X2104=AE21,AA21,"algo esta mal")))</f>
        <v>0</v>
      </c>
      <c r="AI2104" s="10" t="s">
        <v>364</v>
      </c>
      <c r="AJ2104" s="14" t="str">
        <f>MAX(AQ19:AQ21)</f>
        <v>0</v>
      </c>
      <c r="AK2104" s="10" t="str">
        <f>IF(AJ2104=AQ19,AM19,IF(AJ2104=AQ20,AM20,IF(AJ2104=AQ21,AM21,"algo esta mal")))</f>
        <v>0</v>
      </c>
      <c r="AU2104" s="10" t="s">
        <v>364</v>
      </c>
      <c r="AV2104" s="14" t="str">
        <f>MAX(BC19:BC21)</f>
        <v>0</v>
      </c>
      <c r="AW2104" s="10" t="str">
        <f>IF(AV2104=BC19,AY19,IF(AV2104=BC20,AY20,IF(AV2104=BC21,AY21,"algo esta mal")))</f>
        <v>0</v>
      </c>
    </row>
    <row r="2105" spans="1:61">
      <c r="M2105" s="10" t="s">
        <v>365</v>
      </c>
      <c r="N2105" s="10" t="s">
        <v>366</v>
      </c>
      <c r="O2105" s="10" t="s">
        <v>319</v>
      </c>
      <c r="P2105" s="10" t="s">
        <v>320</v>
      </c>
      <c r="Q2105" s="10" t="s">
        <v>321</v>
      </c>
      <c r="R2105" s="10" t="s">
        <v>322</v>
      </c>
      <c r="S2105" s="10" t="s">
        <v>323</v>
      </c>
      <c r="Y2105" s="10" t="s">
        <v>365</v>
      </c>
      <c r="Z2105" s="10" t="s">
        <v>366</v>
      </c>
      <c r="AA2105" s="10" t="s">
        <v>319</v>
      </c>
      <c r="AB2105" s="10" t="s">
        <v>320</v>
      </c>
      <c r="AC2105" s="10" t="s">
        <v>321</v>
      </c>
      <c r="AD2105" s="10" t="s">
        <v>322</v>
      </c>
      <c r="AE2105" s="10" t="s">
        <v>323</v>
      </c>
      <c r="AK2105" s="10" t="s">
        <v>365</v>
      </c>
      <c r="AL2105" s="10" t="s">
        <v>366</v>
      </c>
      <c r="AM2105" s="10" t="s">
        <v>319</v>
      </c>
      <c r="AN2105" s="10" t="s">
        <v>320</v>
      </c>
      <c r="AO2105" s="10" t="s">
        <v>321</v>
      </c>
      <c r="AP2105" s="10" t="s">
        <v>322</v>
      </c>
      <c r="AQ2105" s="10" t="s">
        <v>323</v>
      </c>
    </row>
    <row r="2205" spans="1:61">
      <c r="M2205" s="10" t="s">
        <v>366</v>
      </c>
      <c r="N2205" s="10" t="str">
        <f>CONCATENATE(O2105," y ",P2105)</f>
        <v>0</v>
      </c>
      <c r="O2205" s="10" t="str">
        <f>(Q2105)</f>
        <v>0</v>
      </c>
      <c r="P2205" s="10" t="str">
        <f>CONCATENATE(R2105," y ",S2105)</f>
        <v>0</v>
      </c>
      <c r="Q2205" s="10" t="s">
        <v>368</v>
      </c>
      <c r="R2205" s="10" t="s">
        <v>369</v>
      </c>
      <c r="S2205" s="10" t="s">
        <v>370</v>
      </c>
      <c r="T2205" s="10" t="s">
        <v>371</v>
      </c>
      <c r="U2205" s="10" t="s">
        <v>372</v>
      </c>
      <c r="Y2205" s="10" t="s">
        <v>366</v>
      </c>
      <c r="Z2205" s="10" t="str">
        <f>CONCATENATE(AA2105," y ",AB2105)</f>
        <v>0</v>
      </c>
      <c r="AA2205" s="10" t="str">
        <f>(AC2105)</f>
        <v>0</v>
      </c>
      <c r="AB2205" s="10" t="str">
        <f>CONCATENATE(AD2105," y ",AE2105)</f>
        <v>0</v>
      </c>
      <c r="AC2205" s="10" t="s">
        <v>368</v>
      </c>
      <c r="AD2205" s="10" t="s">
        <v>369</v>
      </c>
      <c r="AE2205" s="10" t="s">
        <v>370</v>
      </c>
      <c r="AF2205" s="10" t="s">
        <v>371</v>
      </c>
      <c r="AG2205" s="10" t="s">
        <v>372</v>
      </c>
      <c r="AK2205" s="10" t="s">
        <v>366</v>
      </c>
      <c r="AL2205" s="10" t="str">
        <f>CONCATENATE(AM2105," y ",AN2105)</f>
        <v>0</v>
      </c>
      <c r="AM2205" s="10" t="str">
        <f>(AO2105)</f>
        <v>0</v>
      </c>
      <c r="AN2205" s="10" t="str">
        <f>CONCATENATE(AP2105," y ",AQ2105)</f>
        <v>0</v>
      </c>
      <c r="AO2205" s="10" t="s">
        <v>368</v>
      </c>
      <c r="AP2205" s="10" t="s">
        <v>369</v>
      </c>
      <c r="AQ2205" s="10" t="s">
        <v>370</v>
      </c>
      <c r="AR2205" s="10" t="s">
        <v>371</v>
      </c>
      <c r="AS2205" s="10" t="s">
        <v>372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A3"/>
    <mergeCell ref="B2:C2"/>
    <mergeCell ref="B3:B3"/>
    <mergeCell ref="C3:C3"/>
    <mergeCell ref="D2:E2"/>
    <mergeCell ref="D3:D3"/>
    <mergeCell ref="E3:E3"/>
    <mergeCell ref="F2:G2"/>
    <mergeCell ref="F3:F3"/>
    <mergeCell ref="G3:G3"/>
    <mergeCell ref="H2:I2"/>
    <mergeCell ref="H3:H3"/>
    <mergeCell ref="I3:I3"/>
    <mergeCell ref="O17:O18"/>
    <mergeCell ref="P17:Q17"/>
    <mergeCell ref="R17:R18"/>
    <mergeCell ref="S17:S18"/>
    <mergeCell ref="M47:R53"/>
    <mergeCell ref="AA17:AA18"/>
    <mergeCell ref="AB17:AC17"/>
    <mergeCell ref="AD17:AD18"/>
    <mergeCell ref="AE17:AE18"/>
    <mergeCell ref="Y47:AD53"/>
    <mergeCell ref="AM17:AM18"/>
    <mergeCell ref="AN17:AO17"/>
    <mergeCell ref="AP17:AP18"/>
    <mergeCell ref="AQ17:AQ18"/>
    <mergeCell ref="AK47:AP53"/>
    <mergeCell ref="AY17:AY18"/>
    <mergeCell ref="AZ17:BA17"/>
    <mergeCell ref="BB17:BB18"/>
    <mergeCell ref="BC17:BC18"/>
    <mergeCell ref="AW47:BB5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FE2135"/>
  <sheetViews>
    <sheetView tabSelected="0" workbookViewId="0" showGridLines="true" showRowColHeaders="1">
      <selection activeCell="FA2135" sqref="FA2135"/>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 min="22" max="22" width="26" customWidth="true" style="0"/>
    <col min="23" max="23" width="26" customWidth="true" style="0"/>
    <col min="24" max="24" width="26" customWidth="true" style="0"/>
    <col min="31" max="31" width="26" customWidth="true" style="0"/>
    <col min="32" max="32" width="26" customWidth="true" style="0"/>
    <col min="33" max="33" width="26" customWidth="true" style="0"/>
    <col min="40" max="40" width="26" customWidth="true" style="0"/>
    <col min="41" max="41" width="26" customWidth="true" style="0"/>
    <col min="42" max="42" width="26" customWidth="true" style="0"/>
    <col min="49" max="49" width="26" customWidth="true" style="0"/>
    <col min="50" max="50" width="26" customWidth="true" style="0"/>
    <col min="51" max="51" width="26" customWidth="true" style="0"/>
    <col min="58" max="58" width="26" customWidth="true" style="0"/>
    <col min="59" max="59" width="26" customWidth="true" style="0"/>
    <col min="60" max="60" width="26" customWidth="true" style="0"/>
    <col min="67" max="67" width="26" customWidth="true" style="0"/>
    <col min="68" max="68" width="26" customWidth="true" style="0"/>
    <col min="69" max="69" width="26" customWidth="true" style="0"/>
    <col min="76" max="76" width="26" customWidth="true" style="0"/>
    <col min="77" max="77" width="26" customWidth="true" style="0"/>
    <col min="78" max="78" width="26" customWidth="true" style="0"/>
    <col min="85" max="85" width="26" customWidth="true" style="0"/>
    <col min="86" max="86" width="26" customWidth="true" style="0"/>
    <col min="87" max="87" width="26" customWidth="true" style="0"/>
    <col min="94" max="94" width="26" customWidth="true" style="0"/>
    <col min="95" max="95" width="26" customWidth="true" style="0"/>
    <col min="96" max="96" width="26" customWidth="true" style="0"/>
    <col min="103" max="103" width="26" customWidth="true" style="0"/>
    <col min="104" max="104" width="26" customWidth="true" style="0"/>
    <col min="105" max="105" width="26" customWidth="true" style="0"/>
    <col min="112" max="112" width="26" customWidth="true" style="0"/>
    <col min="113" max="113" width="26" customWidth="true" style="0"/>
    <col min="114" max="114" width="26" customWidth="true" style="0"/>
    <col min="121" max="121" width="26" customWidth="true" style="0"/>
    <col min="122" max="122" width="26" customWidth="true" style="0"/>
    <col min="123" max="123" width="26" customWidth="true" style="0"/>
    <col min="130" max="130" width="26" customWidth="true" style="0"/>
    <col min="131" max="131" width="26" customWidth="true" style="0"/>
    <col min="132" max="132" width="26" customWidth="true" style="0"/>
    <col min="139" max="139" width="26" customWidth="true" style="0"/>
    <col min="140" max="140" width="26" customWidth="true" style="0"/>
    <col min="141" max="141" width="26" customWidth="true" style="0"/>
    <col min="148" max="148" width="26" customWidth="true" style="0"/>
    <col min="149" max="149" width="26" customWidth="true" style="0"/>
    <col min="150" max="150" width="26" customWidth="true" style="0"/>
    <col min="157" max="157" width="26" customWidth="true" style="0"/>
    <col min="158" max="158" width="26" customWidth="true" style="0"/>
    <col min="159" max="159" width="26" customWidth="true" style="0"/>
  </cols>
  <sheetData>
    <row r="3" spans="1:161">
      <c r="B3" s="11"/>
      <c r="C3" s="11"/>
      <c r="D3" s="11"/>
      <c r="E3" s="11"/>
      <c r="F3" s="11"/>
      <c r="G3" s="11"/>
      <c r="H3" s="11"/>
      <c r="K3" s="11"/>
      <c r="L3" s="11"/>
      <c r="M3" s="11"/>
      <c r="N3" s="11"/>
      <c r="O3" s="11"/>
      <c r="P3" s="11"/>
      <c r="Q3" s="11"/>
      <c r="T3" s="11"/>
      <c r="U3" s="11"/>
      <c r="V3" s="11"/>
      <c r="W3" s="11"/>
      <c r="X3" s="11"/>
      <c r="Y3" s="11"/>
      <c r="Z3" s="11"/>
      <c r="AC3" s="11"/>
      <c r="AD3" s="11"/>
      <c r="AE3" s="11"/>
      <c r="AF3" s="11"/>
      <c r="AG3" s="11"/>
      <c r="AH3" s="11"/>
      <c r="AI3" s="11"/>
      <c r="AL3" s="11"/>
      <c r="AM3" s="11"/>
      <c r="AN3" s="11"/>
      <c r="AO3" s="11"/>
      <c r="AP3" s="11"/>
      <c r="AQ3" s="11"/>
      <c r="AR3" s="11"/>
      <c r="AU3" s="11"/>
      <c r="AV3" s="11"/>
      <c r="AW3" s="11"/>
      <c r="AX3" s="11"/>
      <c r="AY3" s="11"/>
      <c r="AZ3" s="11"/>
      <c r="BA3" s="11"/>
      <c r="BD3" s="11"/>
      <c r="BE3" s="11"/>
      <c r="BF3" s="11"/>
      <c r="BG3" s="11"/>
      <c r="BH3" s="11"/>
      <c r="BI3" s="11"/>
      <c r="BJ3" s="11"/>
      <c r="BM3" s="11"/>
      <c r="BN3" s="11"/>
      <c r="BO3" s="11"/>
      <c r="BP3" s="11"/>
      <c r="BQ3" s="11"/>
      <c r="BR3" s="11"/>
      <c r="BS3" s="11"/>
      <c r="BV3" s="11"/>
      <c r="BW3" s="11"/>
      <c r="BX3" s="11"/>
      <c r="BY3" s="11"/>
      <c r="BZ3" s="11"/>
      <c r="CA3" s="11"/>
      <c r="CB3" s="11"/>
      <c r="CE3" s="11"/>
      <c r="CF3" s="11"/>
      <c r="CG3" s="11"/>
      <c r="CH3" s="11"/>
      <c r="CI3" s="11"/>
      <c r="CJ3" s="11"/>
      <c r="CK3" s="11"/>
      <c r="CN3" s="11"/>
      <c r="CO3" s="11"/>
      <c r="CP3" s="11"/>
      <c r="CQ3" s="11"/>
      <c r="CR3" s="11"/>
      <c r="CS3" s="11"/>
      <c r="CT3" s="11"/>
      <c r="CW3" s="11"/>
      <c r="CX3" s="11"/>
      <c r="CY3" s="11"/>
      <c r="CZ3" s="11"/>
      <c r="DA3" s="11"/>
      <c r="DB3" s="11"/>
      <c r="DC3" s="11"/>
      <c r="DF3" s="11"/>
      <c r="DG3" s="11"/>
      <c r="DH3" s="11"/>
      <c r="DI3" s="11"/>
      <c r="DJ3" s="11"/>
      <c r="DK3" s="11"/>
      <c r="DL3" s="11"/>
      <c r="DO3" s="11"/>
      <c r="DP3" s="11"/>
      <c r="DQ3" s="11"/>
      <c r="DR3" s="11"/>
      <c r="DS3" s="11"/>
      <c r="DT3" s="11"/>
      <c r="DU3" s="11"/>
      <c r="DX3" s="11"/>
      <c r="DY3" s="11"/>
      <c r="DZ3" s="11"/>
      <c r="EA3" s="11"/>
      <c r="EB3" s="11"/>
      <c r="EC3" s="11"/>
      <c r="ED3" s="11"/>
      <c r="EG3" s="11"/>
      <c r="EH3" s="11"/>
      <c r="EI3" s="11"/>
      <c r="EJ3" s="11"/>
      <c r="EK3" s="11"/>
      <c r="EL3" s="11"/>
      <c r="EM3" s="11"/>
      <c r="EP3" s="11"/>
      <c r="EQ3" s="11"/>
      <c r="ER3" s="11"/>
      <c r="ES3" s="11"/>
      <c r="ET3" s="11"/>
      <c r="EU3" s="11"/>
      <c r="EV3" s="11"/>
      <c r="EY3" s="11"/>
      <c r="EZ3" s="11"/>
      <c r="FA3" s="11"/>
      <c r="FB3" s="11"/>
      <c r="FC3" s="11"/>
      <c r="FD3" s="11"/>
      <c r="FE3" s="11"/>
    </row>
    <row r="4" spans="1:161">
      <c r="B4" s="11"/>
      <c r="D4" s="30" t="s">
        <v>399</v>
      </c>
      <c r="E4" s="29"/>
      <c r="F4" s="29"/>
      <c r="H4" s="11"/>
      <c r="K4" s="11"/>
      <c r="M4" s="30" t="s">
        <v>400</v>
      </c>
      <c r="N4" s="29"/>
      <c r="O4" s="29"/>
      <c r="Q4" s="11"/>
      <c r="T4" s="11"/>
      <c r="V4" s="30" t="s">
        <v>401</v>
      </c>
      <c r="W4" s="29"/>
      <c r="X4" s="29"/>
      <c r="Z4" s="11"/>
      <c r="AC4" s="11"/>
      <c r="AE4" s="30" t="s">
        <v>402</v>
      </c>
      <c r="AF4" s="29"/>
      <c r="AG4" s="29"/>
      <c r="AI4" s="11"/>
      <c r="AL4" s="11"/>
      <c r="AN4" s="30" t="s">
        <v>403</v>
      </c>
      <c r="AO4" s="29"/>
      <c r="AP4" s="29"/>
      <c r="AR4" s="11"/>
      <c r="AU4" s="11"/>
      <c r="AW4" s="30" t="s">
        <v>404</v>
      </c>
      <c r="AX4" s="29"/>
      <c r="AY4" s="29"/>
      <c r="BA4" s="11"/>
      <c r="BD4" s="11"/>
      <c r="BF4" s="30" t="s">
        <v>405</v>
      </c>
      <c r="BG4" s="29"/>
      <c r="BH4" s="29"/>
      <c r="BJ4" s="11"/>
      <c r="BM4" s="11"/>
      <c r="BO4" s="30" t="s">
        <v>406</v>
      </c>
      <c r="BP4" s="29"/>
      <c r="BQ4" s="29"/>
      <c r="BS4" s="11"/>
      <c r="BV4" s="11"/>
      <c r="BX4" s="30" t="s">
        <v>407</v>
      </c>
      <c r="BY4" s="29"/>
      <c r="BZ4" s="29"/>
      <c r="CB4" s="11"/>
      <c r="CE4" s="11"/>
      <c r="CG4" s="30" t="s">
        <v>408</v>
      </c>
      <c r="CH4" s="29"/>
      <c r="CI4" s="29"/>
      <c r="CK4" s="11"/>
      <c r="CN4" s="11"/>
      <c r="CP4" s="30" t="s">
        <v>409</v>
      </c>
      <c r="CQ4" s="29"/>
      <c r="CR4" s="29"/>
      <c r="CT4" s="11"/>
      <c r="CW4" s="11"/>
      <c r="CY4" s="30" t="s">
        <v>410</v>
      </c>
      <c r="CZ4" s="29"/>
      <c r="DA4" s="29"/>
      <c r="DC4" s="11"/>
      <c r="DF4" s="11"/>
      <c r="DH4" s="30" t="s">
        <v>411</v>
      </c>
      <c r="DI4" s="29"/>
      <c r="DJ4" s="29"/>
      <c r="DL4" s="11"/>
      <c r="DO4" s="11"/>
      <c r="DQ4" s="30" t="s">
        <v>412</v>
      </c>
      <c r="DR4" s="29"/>
      <c r="DS4" s="29"/>
      <c r="DU4" s="11"/>
      <c r="DX4" s="11"/>
      <c r="DZ4" s="30" t="s">
        <v>413</v>
      </c>
      <c r="EA4" s="29"/>
      <c r="EB4" s="29"/>
      <c r="ED4" s="11"/>
      <c r="EG4" s="11"/>
      <c r="EI4" s="30" t="s">
        <v>414</v>
      </c>
      <c r="EJ4" s="29"/>
      <c r="EK4" s="29"/>
      <c r="EM4" s="11"/>
      <c r="EP4" s="11"/>
      <c r="ER4" s="30" t="s">
        <v>415</v>
      </c>
      <c r="ES4" s="29"/>
      <c r="ET4" s="29"/>
      <c r="EV4" s="11"/>
      <c r="EY4" s="11"/>
      <c r="FA4" s="30" t="s">
        <v>416</v>
      </c>
      <c r="FB4" s="29"/>
      <c r="FC4" s="29"/>
      <c r="FE4" s="11"/>
    </row>
    <row r="5" spans="1:161">
      <c r="B5" s="11"/>
      <c r="D5" s="10" t="s">
        <v>343</v>
      </c>
      <c r="H5" s="11"/>
      <c r="K5" s="11"/>
      <c r="M5" s="10" t="s">
        <v>344</v>
      </c>
      <c r="Q5" s="11"/>
      <c r="T5" s="11"/>
      <c r="V5" s="10" t="s">
        <v>345</v>
      </c>
      <c r="Z5" s="11"/>
      <c r="AC5" s="11"/>
      <c r="AE5" s="10" t="s">
        <v>346</v>
      </c>
      <c r="AI5" s="11"/>
      <c r="AL5" s="11"/>
      <c r="AN5" s="10" t="s">
        <v>417</v>
      </c>
      <c r="AR5" s="11"/>
      <c r="AU5" s="11"/>
      <c r="AW5" s="10" t="s">
        <v>418</v>
      </c>
      <c r="BA5" s="11"/>
      <c r="BD5" s="11"/>
      <c r="BF5" s="10" t="s">
        <v>419</v>
      </c>
      <c r="BJ5" s="11"/>
      <c r="BM5" s="11"/>
      <c r="BO5" s="10" t="s">
        <v>420</v>
      </c>
      <c r="BS5" s="11"/>
      <c r="BV5" s="11"/>
      <c r="BX5" s="10" t="s">
        <v>421</v>
      </c>
      <c r="CB5" s="11"/>
      <c r="CE5" s="11"/>
      <c r="CG5" s="10" t="s">
        <v>422</v>
      </c>
      <c r="CK5" s="11"/>
      <c r="CN5" s="11"/>
      <c r="CP5" s="10" t="s">
        <v>423</v>
      </c>
      <c r="CT5" s="11"/>
      <c r="CW5" s="11"/>
      <c r="CY5" s="10" t="s">
        <v>424</v>
      </c>
      <c r="DC5" s="11"/>
      <c r="DF5" s="11"/>
      <c r="DH5" s="10" t="s">
        <v>425</v>
      </c>
      <c r="DL5" s="11"/>
      <c r="DO5" s="11"/>
      <c r="DQ5" s="10" t="s">
        <v>426</v>
      </c>
      <c r="DU5" s="11"/>
      <c r="DX5" s="11"/>
      <c r="DZ5" s="10" t="s">
        <v>427</v>
      </c>
      <c r="ED5" s="11"/>
      <c r="EG5" s="11"/>
      <c r="EI5" s="10" t="s">
        <v>428</v>
      </c>
      <c r="EM5" s="11"/>
      <c r="EP5" s="11"/>
      <c r="ER5" s="10" t="s">
        <v>429</v>
      </c>
      <c r="EV5" s="11"/>
      <c r="EY5" s="11"/>
      <c r="FA5" s="10" t="s">
        <v>430</v>
      </c>
      <c r="FE5" s="11"/>
    </row>
    <row r="6" spans="1:161">
      <c r="B6" s="11"/>
      <c r="D6" s="10" t="s">
        <v>367</v>
      </c>
      <c r="H6" s="11"/>
      <c r="K6" s="11"/>
      <c r="M6" s="10" t="s">
        <v>367</v>
      </c>
      <c r="Q6" s="11"/>
      <c r="T6" s="11"/>
      <c r="V6" s="10" t="s">
        <v>367</v>
      </c>
      <c r="Z6" s="11"/>
      <c r="AC6" s="11"/>
      <c r="AE6" s="10" t="s">
        <v>367</v>
      </c>
      <c r="AI6" s="11"/>
      <c r="AL6" s="11"/>
      <c r="AN6" s="10"/>
      <c r="AR6" s="11"/>
      <c r="AU6" s="11"/>
      <c r="AW6" s="10" t="s">
        <v>367</v>
      </c>
      <c r="BA6" s="11"/>
      <c r="BD6" s="11"/>
      <c r="BF6" s="10" t="s">
        <v>367</v>
      </c>
      <c r="BJ6" s="11"/>
      <c r="BM6" s="11"/>
      <c r="BO6" s="10" t="s">
        <v>367</v>
      </c>
      <c r="BS6" s="11"/>
      <c r="BV6" s="11"/>
      <c r="BX6" s="10" t="s">
        <v>367</v>
      </c>
      <c r="CB6" s="11"/>
      <c r="CE6" s="11"/>
      <c r="CG6" s="10" t="s">
        <v>367</v>
      </c>
      <c r="CK6" s="11"/>
      <c r="CN6" s="11"/>
      <c r="CP6" s="10" t="s">
        <v>367</v>
      </c>
      <c r="CT6" s="11"/>
      <c r="CW6" s="11"/>
      <c r="CY6" s="10" t="s">
        <v>367</v>
      </c>
      <c r="DC6" s="11"/>
      <c r="DF6" s="11"/>
      <c r="DH6" s="10" t="s">
        <v>367</v>
      </c>
      <c r="DL6" s="11"/>
      <c r="DO6" s="11"/>
      <c r="DQ6" s="10" t="s">
        <v>367</v>
      </c>
      <c r="DU6" s="11"/>
      <c r="DX6" s="11"/>
      <c r="DZ6" s="10" t="s">
        <v>367</v>
      </c>
      <c r="ED6" s="11"/>
      <c r="EG6" s="11"/>
      <c r="EI6" s="10" t="s">
        <v>367</v>
      </c>
      <c r="EM6" s="11"/>
      <c r="EP6" s="11"/>
      <c r="ER6" s="10" t="s">
        <v>367</v>
      </c>
      <c r="EV6" s="11"/>
      <c r="EY6" s="11"/>
      <c r="FA6" s="10" t="s">
        <v>367</v>
      </c>
      <c r="FE6" s="11"/>
    </row>
    <row r="7" spans="1:161">
      <c r="B7" s="11"/>
      <c r="D7" s="13"/>
      <c r="E7" s="19" t="s">
        <v>348</v>
      </c>
      <c r="F7" s="19" t="s">
        <v>349</v>
      </c>
      <c r="H7" s="11"/>
      <c r="K7" s="11"/>
      <c r="M7" s="13"/>
      <c r="N7" s="19" t="s">
        <v>348</v>
      </c>
      <c r="O7" s="19" t="s">
        <v>349</v>
      </c>
      <c r="Q7" s="11"/>
      <c r="T7" s="11"/>
      <c r="V7" s="13"/>
      <c r="W7" s="19" t="s">
        <v>348</v>
      </c>
      <c r="X7" s="19" t="s">
        <v>349</v>
      </c>
      <c r="Z7" s="11"/>
      <c r="AC7" s="11"/>
      <c r="AE7" s="13"/>
      <c r="AF7" s="19" t="s">
        <v>348</v>
      </c>
      <c r="AG7" s="19" t="s">
        <v>349</v>
      </c>
      <c r="AI7" s="11"/>
      <c r="AL7" s="11"/>
      <c r="AN7" s="13"/>
      <c r="AO7" s="19" t="s">
        <v>348</v>
      </c>
      <c r="AP7" s="19" t="s">
        <v>349</v>
      </c>
      <c r="AR7" s="11"/>
      <c r="AU7" s="11"/>
      <c r="AW7" s="13"/>
      <c r="AX7" s="19" t="s">
        <v>348</v>
      </c>
      <c r="AY7" s="19" t="s">
        <v>349</v>
      </c>
      <c r="BA7" s="11"/>
      <c r="BD7" s="11"/>
      <c r="BF7" s="13"/>
      <c r="BG7" s="19" t="s">
        <v>348</v>
      </c>
      <c r="BH7" s="19" t="s">
        <v>349</v>
      </c>
      <c r="BJ7" s="11"/>
      <c r="BM7" s="11"/>
      <c r="BO7" s="13"/>
      <c r="BP7" s="19" t="s">
        <v>348</v>
      </c>
      <c r="BQ7" s="19" t="s">
        <v>349</v>
      </c>
      <c r="BS7" s="11"/>
      <c r="BV7" s="11"/>
      <c r="BX7" s="13"/>
      <c r="BY7" s="19" t="s">
        <v>348</v>
      </c>
      <c r="BZ7" s="19" t="s">
        <v>349</v>
      </c>
      <c r="CB7" s="11"/>
      <c r="CE7" s="11"/>
      <c r="CG7" s="13"/>
      <c r="CH7" s="19" t="s">
        <v>348</v>
      </c>
      <c r="CI7" s="19" t="s">
        <v>349</v>
      </c>
      <c r="CK7" s="11"/>
      <c r="CN7" s="11"/>
      <c r="CP7" s="13"/>
      <c r="CQ7" s="19" t="s">
        <v>348</v>
      </c>
      <c r="CR7" s="19" t="s">
        <v>349</v>
      </c>
      <c r="CT7" s="11"/>
      <c r="CW7" s="11"/>
      <c r="CY7" s="13"/>
      <c r="CZ7" s="19" t="s">
        <v>348</v>
      </c>
      <c r="DA7" s="19" t="s">
        <v>349</v>
      </c>
      <c r="DC7" s="11"/>
      <c r="DF7" s="11"/>
      <c r="DH7" s="13"/>
      <c r="DI7" s="19" t="s">
        <v>348</v>
      </c>
      <c r="DJ7" s="19" t="s">
        <v>349</v>
      </c>
      <c r="DL7" s="11"/>
      <c r="DO7" s="11"/>
      <c r="DQ7" s="13"/>
      <c r="DR7" s="19" t="s">
        <v>348</v>
      </c>
      <c r="DS7" s="19" t="s">
        <v>349</v>
      </c>
      <c r="DU7" s="11"/>
      <c r="DX7" s="11"/>
      <c r="DZ7" s="13"/>
      <c r="EA7" s="19" t="s">
        <v>348</v>
      </c>
      <c r="EB7" s="19" t="s">
        <v>349</v>
      </c>
      <c r="ED7" s="11"/>
      <c r="EG7" s="11"/>
      <c r="EI7" s="13"/>
      <c r="EJ7" s="19" t="s">
        <v>348</v>
      </c>
      <c r="EK7" s="19" t="s">
        <v>349</v>
      </c>
      <c r="EM7" s="11"/>
      <c r="EP7" s="11"/>
      <c r="ER7" s="13"/>
      <c r="ES7" s="19" t="s">
        <v>348</v>
      </c>
      <c r="ET7" s="19" t="s">
        <v>349</v>
      </c>
      <c r="EV7" s="11"/>
      <c r="EY7" s="11"/>
      <c r="FA7" s="13"/>
      <c r="FB7" s="19" t="s">
        <v>348</v>
      </c>
      <c r="FC7" s="19" t="s">
        <v>349</v>
      </c>
      <c r="FE7" s="11"/>
    </row>
    <row r="8" spans="1:161">
      <c r="B8" s="11"/>
      <c r="D8" s="26" t="str">
        <f>('Gestión de abastecimiento'!A300)</f>
        <v>0</v>
      </c>
      <c r="E8" s="18" t="str">
        <f>('Gestión de abastecimiento'!B300)</f>
        <v>0</v>
      </c>
      <c r="F8" s="22" t="str">
        <f>('Gestión de abastecimiento'!B306)</f>
        <v>0</v>
      </c>
      <c r="H8" s="11"/>
      <c r="K8" s="11"/>
      <c r="M8" s="26" t="str">
        <f>('Gestión de abastecimiento'!A300)</f>
        <v>0</v>
      </c>
      <c r="N8" s="18" t="str">
        <f>('Gestión de abastecimiento'!C300)</f>
        <v>0</v>
      </c>
      <c r="O8" s="22" t="str">
        <f>('Gestión de abastecimiento'!C306)</f>
        <v>0</v>
      </c>
      <c r="Q8" s="11"/>
      <c r="T8" s="11"/>
      <c r="V8" s="26" t="str">
        <f>('Gestión de abastecimiento'!A300)</f>
        <v>0</v>
      </c>
      <c r="W8" s="18" t="str">
        <f>('Gestión de abastecimiento'!D300)</f>
        <v>0</v>
      </c>
      <c r="X8" s="22" t="str">
        <f>('Gestión de abastecimiento'!D306)</f>
        <v>0</v>
      </c>
      <c r="Z8" s="11"/>
      <c r="AC8" s="11"/>
      <c r="AE8" s="26" t="str">
        <f>('Gestión de abastecimiento'!A300)</f>
        <v>0</v>
      </c>
      <c r="AF8" s="18" t="str">
        <f>('Gestión de abastecimiento'!E300)</f>
        <v>0</v>
      </c>
      <c r="AG8" s="22" t="str">
        <f>('Gestión de abastecimiento'!E306)</f>
        <v>0</v>
      </c>
      <c r="AI8" s="11"/>
      <c r="AL8" s="11"/>
      <c r="AN8" s="26" t="str">
        <f>('Gestión de abastecimiento'!A300)</f>
        <v>0</v>
      </c>
      <c r="AO8" s="18" t="str">
        <f>('Gestión de abastecimiento'!F300)</f>
        <v>0</v>
      </c>
      <c r="AP8" s="22" t="str">
        <f>('Gestión de abastecimiento'!F306)</f>
        <v>0</v>
      </c>
      <c r="AR8" s="11"/>
      <c r="AU8" s="11"/>
      <c r="AW8" s="26" t="str">
        <f>('Gestión de abastecimiento'!A300)</f>
        <v>0</v>
      </c>
      <c r="AX8" s="18" t="str">
        <f>('Gestión de abastecimiento'!G300)</f>
        <v>0</v>
      </c>
      <c r="AY8" s="22" t="str">
        <f>('Gestión de abastecimiento'!G306)</f>
        <v>0</v>
      </c>
      <c r="BA8" s="11"/>
      <c r="BD8" s="11"/>
      <c r="BF8" s="26" t="str">
        <f>('Gestión de abastecimiento'!A300)</f>
        <v>0</v>
      </c>
      <c r="BG8" s="18" t="str">
        <f>('Gestión de abastecimiento'!H300)</f>
        <v>0</v>
      </c>
      <c r="BH8" s="22" t="str">
        <f>('Gestión de abastecimiento'!H306)</f>
        <v>0</v>
      </c>
      <c r="BJ8" s="11"/>
      <c r="BM8" s="11"/>
      <c r="BO8" s="26" t="str">
        <f>('Gestión de abastecimiento'!A300)</f>
        <v>0</v>
      </c>
      <c r="BP8" s="18" t="str">
        <f>('Gestión de abastecimiento'!I300)</f>
        <v>0</v>
      </c>
      <c r="BQ8" s="22" t="str">
        <f>('Gestión de abastecimiento'!I306)</f>
        <v>0</v>
      </c>
      <c r="BS8" s="11"/>
      <c r="BV8" s="11"/>
      <c r="BX8" s="26" t="str">
        <f>('Gestión de abastecimiento'!A300)</f>
        <v>0</v>
      </c>
      <c r="BY8" s="18" t="str">
        <f>('Gestión de abastecimiento'!J300)</f>
        <v>0</v>
      </c>
      <c r="BZ8" s="22" t="str">
        <f>('Gestión de abastecimiento'!J306)</f>
        <v>0</v>
      </c>
      <c r="CB8" s="11"/>
      <c r="CE8" s="11"/>
      <c r="CG8" s="26" t="str">
        <f>('Gestión de abastecimiento'!A300)</f>
        <v>0</v>
      </c>
      <c r="CH8" s="18" t="str">
        <f>('Gestión de abastecimiento'!K300)</f>
        <v>0</v>
      </c>
      <c r="CI8" s="22" t="str">
        <f>('Gestión de abastecimiento'!K306)</f>
        <v>0</v>
      </c>
      <c r="CK8" s="11"/>
      <c r="CN8" s="11"/>
      <c r="CP8" s="26" t="str">
        <f>('Gestión de abastecimiento'!A300)</f>
        <v>0</v>
      </c>
      <c r="CQ8" s="18" t="str">
        <f>('Gestión de abastecimiento'!L300)</f>
        <v>0</v>
      </c>
      <c r="CR8" s="22" t="str">
        <f>('Gestión de abastecimiento'!L306)</f>
        <v>0</v>
      </c>
      <c r="CT8" s="11"/>
      <c r="CW8" s="11"/>
      <c r="CY8" s="26" t="str">
        <f>('Gestión de abastecimiento'!A300)</f>
        <v>0</v>
      </c>
      <c r="CZ8" s="18" t="str">
        <f>('Gestión de abastecimiento'!M300)</f>
        <v>0</v>
      </c>
      <c r="DA8" s="22" t="str">
        <f>('Gestión de abastecimiento'!M306)</f>
        <v>0</v>
      </c>
      <c r="DC8" s="11"/>
      <c r="DF8" s="11"/>
      <c r="DH8" s="26" t="str">
        <f>('Gestión de abastecimiento'!A300)</f>
        <v>0</v>
      </c>
      <c r="DI8" s="18" t="str">
        <f>('Gestión de abastecimiento'!N300)</f>
        <v>0</v>
      </c>
      <c r="DJ8" s="22" t="str">
        <f>('Gestión de abastecimiento'!N306)</f>
        <v>0</v>
      </c>
      <c r="DL8" s="11"/>
      <c r="DO8" s="11"/>
      <c r="DQ8" s="26" t="str">
        <f>('Gestión de abastecimiento'!A300)</f>
        <v>0</v>
      </c>
      <c r="DR8" s="18" t="str">
        <f>('Gestión de abastecimiento'!O300)</f>
        <v>0</v>
      </c>
      <c r="DS8" s="22" t="str">
        <f>('Gestión de abastecimiento'!O306)</f>
        <v>0</v>
      </c>
      <c r="DU8" s="11"/>
      <c r="DX8" s="11"/>
      <c r="DZ8" s="26" t="str">
        <f>('Gestión de abastecimiento'!A300)</f>
        <v>0</v>
      </c>
      <c r="EA8" s="18" t="str">
        <f>('Gestión de abastecimiento'!P300)</f>
        <v>0</v>
      </c>
      <c r="EB8" s="22" t="str">
        <f>('Gestión de abastecimiento'!P306)</f>
        <v>0</v>
      </c>
      <c r="ED8" s="11"/>
      <c r="EG8" s="11"/>
      <c r="EI8" s="26" t="str">
        <f>('Gestión de abastecimiento'!A300)</f>
        <v>0</v>
      </c>
      <c r="EJ8" s="18" t="str">
        <f>('Gestión de abastecimiento'!Q300)</f>
        <v>0</v>
      </c>
      <c r="EK8" s="22" t="str">
        <f>('Gestión de abastecimiento'!Q306)</f>
        <v>0</v>
      </c>
      <c r="EM8" s="11"/>
      <c r="EP8" s="11"/>
      <c r="ER8" s="26" t="str">
        <f>('Gestión de abastecimiento'!A300)</f>
        <v>0</v>
      </c>
      <c r="ES8" s="18" t="str">
        <f>('Gestión de abastecimiento'!R300)</f>
        <v>0</v>
      </c>
      <c r="ET8" s="22" t="str">
        <f>('Gestión de abastecimiento'!R306)</f>
        <v>0</v>
      </c>
      <c r="EV8" s="11"/>
      <c r="EY8" s="11"/>
      <c r="FA8" s="26" t="str">
        <f>('Gestión de abastecimiento'!A300)</f>
        <v>0</v>
      </c>
      <c r="FB8" s="18" t="str">
        <f>('Gestión de abastecimiento'!S300)</f>
        <v>0</v>
      </c>
      <c r="FC8" s="22" t="str">
        <f>('Gestión de abastecimiento'!S306)</f>
        <v>0</v>
      </c>
      <c r="FE8" s="11"/>
    </row>
    <row r="9" spans="1:161">
      <c r="B9" s="11"/>
      <c r="D9" s="26" t="str">
        <f>('Gestión de abastecimiento'!A301)</f>
        <v>0</v>
      </c>
      <c r="E9" s="18" t="str">
        <f>('Gestión de abastecimiento'!B301)</f>
        <v>0</v>
      </c>
      <c r="F9" s="22" t="str">
        <f>('Gestión de abastecimiento'!B307)</f>
        <v>0</v>
      </c>
      <c r="H9" s="11"/>
      <c r="K9" s="11"/>
      <c r="M9" s="26" t="str">
        <f>('Gestión de abastecimiento'!A301)</f>
        <v>0</v>
      </c>
      <c r="N9" s="18" t="str">
        <f>('Gestión de abastecimiento'!C301)</f>
        <v>0</v>
      </c>
      <c r="O9" s="22" t="str">
        <f>('Gestión de abastecimiento'!C307)</f>
        <v>0</v>
      </c>
      <c r="Q9" s="11"/>
      <c r="T9" s="11"/>
      <c r="V9" s="26" t="str">
        <f>('Gestión de abastecimiento'!A301)</f>
        <v>0</v>
      </c>
      <c r="W9" s="18" t="str">
        <f>('Gestión de abastecimiento'!D301)</f>
        <v>0</v>
      </c>
      <c r="X9" s="22" t="str">
        <f>('Gestión de abastecimiento'!D307)</f>
        <v>0</v>
      </c>
      <c r="Z9" s="11"/>
      <c r="AC9" s="11"/>
      <c r="AE9" s="26" t="str">
        <f>('Gestión de abastecimiento'!A301)</f>
        <v>0</v>
      </c>
      <c r="AF9" s="18" t="str">
        <f>('Gestión de abastecimiento'!E301)</f>
        <v>0</v>
      </c>
      <c r="AG9" s="22" t="str">
        <f>('Gestión de abastecimiento'!E307)</f>
        <v>0</v>
      </c>
      <c r="AI9" s="11"/>
      <c r="AL9" s="11"/>
      <c r="AN9" s="26" t="str">
        <f>('Gestión de abastecimiento'!A301)</f>
        <v>0</v>
      </c>
      <c r="AO9" s="18" t="str">
        <f>('Gestión de abastecimiento'!F301)</f>
        <v>0</v>
      </c>
      <c r="AP9" s="22" t="str">
        <f>('Gestión de abastecimiento'!F307)</f>
        <v>0</v>
      </c>
      <c r="AR9" s="11"/>
      <c r="AU9" s="11"/>
      <c r="AW9" s="26" t="str">
        <f>('Gestión de abastecimiento'!A301)</f>
        <v>0</v>
      </c>
      <c r="AX9" s="18" t="str">
        <f>('Gestión de abastecimiento'!G301)</f>
        <v>0</v>
      </c>
      <c r="AY9" s="22" t="str">
        <f>('Gestión de abastecimiento'!G307)</f>
        <v>0</v>
      </c>
      <c r="BA9" s="11"/>
      <c r="BD9" s="11"/>
      <c r="BF9" s="26" t="str">
        <f>('Gestión de abastecimiento'!A301)</f>
        <v>0</v>
      </c>
      <c r="BG9" s="18" t="str">
        <f>('Gestión de abastecimiento'!H301)</f>
        <v>0</v>
      </c>
      <c r="BH9" s="22" t="str">
        <f>('Gestión de abastecimiento'!H307)</f>
        <v>0</v>
      </c>
      <c r="BJ9" s="11"/>
      <c r="BM9" s="11"/>
      <c r="BO9" s="26" t="str">
        <f>('Gestión de abastecimiento'!A301)</f>
        <v>0</v>
      </c>
      <c r="BP9" s="18" t="str">
        <f>('Gestión de abastecimiento'!I301)</f>
        <v>0</v>
      </c>
      <c r="BQ9" s="22" t="str">
        <f>('Gestión de abastecimiento'!I307)</f>
        <v>0</v>
      </c>
      <c r="BS9" s="11"/>
      <c r="BV9" s="11"/>
      <c r="BX9" s="26" t="str">
        <f>('Gestión de abastecimiento'!A301)</f>
        <v>0</v>
      </c>
      <c r="BY9" s="18" t="str">
        <f>('Gestión de abastecimiento'!J301)</f>
        <v>0</v>
      </c>
      <c r="BZ9" s="22" t="str">
        <f>('Gestión de abastecimiento'!J307)</f>
        <v>0</v>
      </c>
      <c r="CB9" s="11"/>
      <c r="CE9" s="11"/>
      <c r="CG9" s="26" t="str">
        <f>('Gestión de abastecimiento'!A301)</f>
        <v>0</v>
      </c>
      <c r="CH9" s="18" t="str">
        <f>('Gestión de abastecimiento'!K301)</f>
        <v>0</v>
      </c>
      <c r="CI9" s="22" t="str">
        <f>('Gestión de abastecimiento'!K307)</f>
        <v>0</v>
      </c>
      <c r="CK9" s="11"/>
      <c r="CN9" s="11"/>
      <c r="CP9" s="26" t="str">
        <f>('Gestión de abastecimiento'!A301)</f>
        <v>0</v>
      </c>
      <c r="CQ9" s="18" t="str">
        <f>('Gestión de abastecimiento'!L301)</f>
        <v>0</v>
      </c>
      <c r="CR9" s="22" t="str">
        <f>('Gestión de abastecimiento'!L307)</f>
        <v>0</v>
      </c>
      <c r="CT9" s="11"/>
      <c r="CW9" s="11"/>
      <c r="CY9" s="26" t="str">
        <f>('Gestión de abastecimiento'!A301)</f>
        <v>0</v>
      </c>
      <c r="CZ9" s="18" t="str">
        <f>('Gestión de abastecimiento'!M301)</f>
        <v>0</v>
      </c>
      <c r="DA9" s="22" t="str">
        <f>('Gestión de abastecimiento'!M307)</f>
        <v>0</v>
      </c>
      <c r="DC9" s="11"/>
      <c r="DF9" s="11"/>
      <c r="DH9" s="26" t="str">
        <f>('Gestión de abastecimiento'!A301)</f>
        <v>0</v>
      </c>
      <c r="DI9" s="18" t="str">
        <f>('Gestión de abastecimiento'!N301)</f>
        <v>0</v>
      </c>
      <c r="DJ9" s="22" t="str">
        <f>('Gestión de abastecimiento'!N307)</f>
        <v>0</v>
      </c>
      <c r="DL9" s="11"/>
      <c r="DO9" s="11"/>
      <c r="DQ9" s="26" t="str">
        <f>('Gestión de abastecimiento'!A301)</f>
        <v>0</v>
      </c>
      <c r="DR9" s="18" t="str">
        <f>('Gestión de abastecimiento'!O301)</f>
        <v>0</v>
      </c>
      <c r="DS9" s="22" t="str">
        <f>('Gestión de abastecimiento'!O307)</f>
        <v>0</v>
      </c>
      <c r="DU9" s="11"/>
      <c r="DX9" s="11"/>
      <c r="DZ9" s="26" t="str">
        <f>('Gestión de abastecimiento'!A301)</f>
        <v>0</v>
      </c>
      <c r="EA9" s="18" t="str">
        <f>('Gestión de abastecimiento'!P301)</f>
        <v>0</v>
      </c>
      <c r="EB9" s="22" t="str">
        <f>('Gestión de abastecimiento'!P307)</f>
        <v>0</v>
      </c>
      <c r="ED9" s="11"/>
      <c r="EG9" s="11"/>
      <c r="EI9" s="26" t="str">
        <f>('Gestión de abastecimiento'!A301)</f>
        <v>0</v>
      </c>
      <c r="EJ9" s="18" t="str">
        <f>('Gestión de abastecimiento'!Q301)</f>
        <v>0</v>
      </c>
      <c r="EK9" s="22" t="str">
        <f>('Gestión de abastecimiento'!Q307)</f>
        <v>0</v>
      </c>
      <c r="EM9" s="11"/>
      <c r="EP9" s="11"/>
      <c r="ER9" s="26" t="str">
        <f>('Gestión de abastecimiento'!A301)</f>
        <v>0</v>
      </c>
      <c r="ES9" s="18" t="str">
        <f>('Gestión de abastecimiento'!R301)</f>
        <v>0</v>
      </c>
      <c r="ET9" s="22" t="str">
        <f>('Gestión de abastecimiento'!R307)</f>
        <v>0</v>
      </c>
      <c r="EV9" s="11"/>
      <c r="EY9" s="11"/>
      <c r="FA9" s="26" t="str">
        <f>('Gestión de abastecimiento'!A301)</f>
        <v>0</v>
      </c>
      <c r="FB9" s="18" t="str">
        <f>('Gestión de abastecimiento'!S301)</f>
        <v>0</v>
      </c>
      <c r="FC9" s="22" t="str">
        <f>('Gestión de abastecimiento'!S307)</f>
        <v>0</v>
      </c>
      <c r="FE9" s="11"/>
    </row>
    <row r="10" spans="1:161">
      <c r="B10" s="11"/>
      <c r="D10" s="26" t="str">
        <f>('Gestión de abastecimiento'!A302)</f>
        <v>0</v>
      </c>
      <c r="E10" s="18" t="str">
        <f>('Gestión de abastecimiento'!B302)</f>
        <v>0</v>
      </c>
      <c r="F10" s="22" t="str">
        <f>('Gestión de abastecimiento'!B308)</f>
        <v>0</v>
      </c>
      <c r="H10" s="11"/>
      <c r="K10" s="11"/>
      <c r="M10" s="26" t="str">
        <f>('Gestión de abastecimiento'!A302)</f>
        <v>0</v>
      </c>
      <c r="N10" s="18" t="str">
        <f>('Gestión de abastecimiento'!C302)</f>
        <v>0</v>
      </c>
      <c r="O10" s="22" t="str">
        <f>('Gestión de abastecimiento'!C308)</f>
        <v>0</v>
      </c>
      <c r="Q10" s="11"/>
      <c r="T10" s="11"/>
      <c r="V10" s="26" t="str">
        <f>('Gestión de abastecimiento'!A302)</f>
        <v>0</v>
      </c>
      <c r="W10" s="18" t="str">
        <f>('Gestión de abastecimiento'!D302)</f>
        <v>0</v>
      </c>
      <c r="X10" s="22" t="str">
        <f>('Gestión de abastecimiento'!D308)</f>
        <v>0</v>
      </c>
      <c r="Z10" s="11"/>
      <c r="AC10" s="11"/>
      <c r="AE10" s="26" t="str">
        <f>('Gestión de abastecimiento'!A302)</f>
        <v>0</v>
      </c>
      <c r="AF10" s="18" t="str">
        <f>('Gestión de abastecimiento'!E302)</f>
        <v>0</v>
      </c>
      <c r="AG10" s="22" t="str">
        <f>('Gestión de abastecimiento'!E308)</f>
        <v>0</v>
      </c>
      <c r="AI10" s="11"/>
      <c r="AL10" s="11"/>
      <c r="AN10" s="26" t="str">
        <f>('Gestión de abastecimiento'!A302)</f>
        <v>0</v>
      </c>
      <c r="AO10" s="18" t="str">
        <f>('Gestión de abastecimiento'!F302)</f>
        <v>0</v>
      </c>
      <c r="AP10" s="22" t="str">
        <f>('Gestión de abastecimiento'!F308)</f>
        <v>0</v>
      </c>
      <c r="AR10" s="11"/>
      <c r="AU10" s="11"/>
      <c r="AW10" s="26" t="str">
        <f>('Gestión de abastecimiento'!A302)</f>
        <v>0</v>
      </c>
      <c r="AX10" s="18" t="str">
        <f>('Gestión de abastecimiento'!G302)</f>
        <v>0</v>
      </c>
      <c r="AY10" s="22" t="str">
        <f>('Gestión de abastecimiento'!G308)</f>
        <v>0</v>
      </c>
      <c r="BA10" s="11"/>
      <c r="BD10" s="11"/>
      <c r="BF10" s="26" t="str">
        <f>('Gestión de abastecimiento'!A302)</f>
        <v>0</v>
      </c>
      <c r="BG10" s="18" t="str">
        <f>('Gestión de abastecimiento'!H302)</f>
        <v>0</v>
      </c>
      <c r="BH10" s="22" t="str">
        <f>('Gestión de abastecimiento'!H308)</f>
        <v>0</v>
      </c>
      <c r="BJ10" s="11"/>
      <c r="BM10" s="11"/>
      <c r="BO10" s="26" t="str">
        <f>('Gestión de abastecimiento'!A302)</f>
        <v>0</v>
      </c>
      <c r="BP10" s="18" t="str">
        <f>('Gestión de abastecimiento'!I302)</f>
        <v>0</v>
      </c>
      <c r="BQ10" s="22" t="str">
        <f>('Gestión de abastecimiento'!I308)</f>
        <v>0</v>
      </c>
      <c r="BS10" s="11"/>
      <c r="BV10" s="11"/>
      <c r="BX10" s="26" t="str">
        <f>('Gestión de abastecimiento'!A302)</f>
        <v>0</v>
      </c>
      <c r="BY10" s="18" t="str">
        <f>('Gestión de abastecimiento'!J302)</f>
        <v>0</v>
      </c>
      <c r="BZ10" s="22" t="str">
        <f>('Gestión de abastecimiento'!J308)</f>
        <v>0</v>
      </c>
      <c r="CB10" s="11"/>
      <c r="CE10" s="11"/>
      <c r="CG10" s="26" t="str">
        <f>('Gestión de abastecimiento'!A302)</f>
        <v>0</v>
      </c>
      <c r="CH10" s="18" t="str">
        <f>('Gestión de abastecimiento'!K302)</f>
        <v>0</v>
      </c>
      <c r="CI10" s="22" t="str">
        <f>('Gestión de abastecimiento'!K308)</f>
        <v>0</v>
      </c>
      <c r="CK10" s="11"/>
      <c r="CN10" s="11"/>
      <c r="CP10" s="26" t="str">
        <f>('Gestión de abastecimiento'!A302)</f>
        <v>0</v>
      </c>
      <c r="CQ10" s="18" t="str">
        <f>('Gestión de abastecimiento'!L302)</f>
        <v>0</v>
      </c>
      <c r="CR10" s="22" t="str">
        <f>('Gestión de abastecimiento'!L308)</f>
        <v>0</v>
      </c>
      <c r="CT10" s="11"/>
      <c r="CW10" s="11"/>
      <c r="CY10" s="26" t="str">
        <f>('Gestión de abastecimiento'!A302)</f>
        <v>0</v>
      </c>
      <c r="CZ10" s="18" t="str">
        <f>('Gestión de abastecimiento'!M302)</f>
        <v>0</v>
      </c>
      <c r="DA10" s="22" t="str">
        <f>('Gestión de abastecimiento'!M308)</f>
        <v>0</v>
      </c>
      <c r="DC10" s="11"/>
      <c r="DF10" s="11"/>
      <c r="DH10" s="26" t="str">
        <f>('Gestión de abastecimiento'!A302)</f>
        <v>0</v>
      </c>
      <c r="DI10" s="18" t="str">
        <f>('Gestión de abastecimiento'!N302)</f>
        <v>0</v>
      </c>
      <c r="DJ10" s="22" t="str">
        <f>('Gestión de abastecimiento'!N308)</f>
        <v>0</v>
      </c>
      <c r="DL10" s="11"/>
      <c r="DO10" s="11"/>
      <c r="DQ10" s="26" t="str">
        <f>('Gestión de abastecimiento'!A302)</f>
        <v>0</v>
      </c>
      <c r="DR10" s="18" t="str">
        <f>('Gestión de abastecimiento'!O302)</f>
        <v>0</v>
      </c>
      <c r="DS10" s="22" t="str">
        <f>('Gestión de abastecimiento'!O308)</f>
        <v>0</v>
      </c>
      <c r="DU10" s="11"/>
      <c r="DX10" s="11"/>
      <c r="DZ10" s="26" t="str">
        <f>('Gestión de abastecimiento'!A302)</f>
        <v>0</v>
      </c>
      <c r="EA10" s="18" t="str">
        <f>('Gestión de abastecimiento'!P302)</f>
        <v>0</v>
      </c>
      <c r="EB10" s="22" t="str">
        <f>('Gestión de abastecimiento'!P308)</f>
        <v>0</v>
      </c>
      <c r="ED10" s="11"/>
      <c r="EG10" s="11"/>
      <c r="EI10" s="26" t="str">
        <f>('Gestión de abastecimiento'!A302)</f>
        <v>0</v>
      </c>
      <c r="EJ10" s="18" t="str">
        <f>('Gestión de abastecimiento'!Q302)</f>
        <v>0</v>
      </c>
      <c r="EK10" s="22" t="str">
        <f>('Gestión de abastecimiento'!Q308)</f>
        <v>0</v>
      </c>
      <c r="EM10" s="11"/>
      <c r="EP10" s="11"/>
      <c r="ER10" s="26" t="str">
        <f>('Gestión de abastecimiento'!A302)</f>
        <v>0</v>
      </c>
      <c r="ES10" s="18" t="str">
        <f>('Gestión de abastecimiento'!R302)</f>
        <v>0</v>
      </c>
      <c r="ET10" s="22" t="str">
        <f>('Gestión de abastecimiento'!R308)</f>
        <v>0</v>
      </c>
      <c r="EV10" s="11"/>
      <c r="EY10" s="11"/>
      <c r="FA10" s="26" t="str">
        <f>('Gestión de abastecimiento'!A302)</f>
        <v>0</v>
      </c>
      <c r="FB10" s="18" t="str">
        <f>('Gestión de abastecimiento'!S302)</f>
        <v>0</v>
      </c>
      <c r="FC10" s="22" t="str">
        <f>('Gestión de abastecimiento'!S308)</f>
        <v>0</v>
      </c>
      <c r="FE10" s="11"/>
    </row>
    <row r="11" spans="1:161">
      <c r="B11" s="11"/>
      <c r="D11" s="26" t="str">
        <f>('Gestión de abastecimiento'!A303)</f>
        <v>0</v>
      </c>
      <c r="E11" s="18" t="str">
        <f>('Gestión de abastecimiento'!B303)</f>
        <v>0</v>
      </c>
      <c r="F11" s="22" t="str">
        <f>('Gestión de abastecimiento'!B309)</f>
        <v>0</v>
      </c>
      <c r="H11" s="11"/>
      <c r="K11" s="11"/>
      <c r="M11" s="26" t="str">
        <f>('Gestión de abastecimiento'!A303)</f>
        <v>0</v>
      </c>
      <c r="N11" s="18" t="str">
        <f>('Gestión de abastecimiento'!C303)</f>
        <v>0</v>
      </c>
      <c r="O11" s="22" t="str">
        <f>('Gestión de abastecimiento'!C309)</f>
        <v>0</v>
      </c>
      <c r="Q11" s="11"/>
      <c r="T11" s="11"/>
      <c r="V11" s="26" t="str">
        <f>('Gestión de abastecimiento'!A303)</f>
        <v>0</v>
      </c>
      <c r="W11" s="18" t="str">
        <f>('Gestión de abastecimiento'!D303)</f>
        <v>0</v>
      </c>
      <c r="X11" s="22" t="str">
        <f>('Gestión de abastecimiento'!D309)</f>
        <v>0</v>
      </c>
      <c r="Z11" s="11"/>
      <c r="AC11" s="11"/>
      <c r="AE11" s="26" t="str">
        <f>('Gestión de abastecimiento'!A303)</f>
        <v>0</v>
      </c>
      <c r="AF11" s="18" t="str">
        <f>('Gestión de abastecimiento'!E303)</f>
        <v>0</v>
      </c>
      <c r="AG11" s="22" t="str">
        <f>('Gestión de abastecimiento'!E309)</f>
        <v>0</v>
      </c>
      <c r="AI11" s="11"/>
      <c r="AL11" s="11"/>
      <c r="AN11" s="26" t="str">
        <f>('Gestión de abastecimiento'!A303)</f>
        <v>0</v>
      </c>
      <c r="AO11" s="18" t="str">
        <f>('Gestión de abastecimiento'!F303)</f>
        <v>0</v>
      </c>
      <c r="AP11" s="22" t="str">
        <f>('Gestión de abastecimiento'!F309)</f>
        <v>0</v>
      </c>
      <c r="AR11" s="11"/>
      <c r="AU11" s="11"/>
      <c r="AW11" s="26" t="str">
        <f>('Gestión de abastecimiento'!A303)</f>
        <v>0</v>
      </c>
      <c r="AX11" s="18" t="str">
        <f>('Gestión de abastecimiento'!G303)</f>
        <v>0</v>
      </c>
      <c r="AY11" s="22" t="str">
        <f>('Gestión de abastecimiento'!G309)</f>
        <v>0</v>
      </c>
      <c r="BA11" s="11"/>
      <c r="BD11" s="11"/>
      <c r="BF11" s="26" t="str">
        <f>('Gestión de abastecimiento'!A303)</f>
        <v>0</v>
      </c>
      <c r="BG11" s="18" t="str">
        <f>('Gestión de abastecimiento'!H303)</f>
        <v>0</v>
      </c>
      <c r="BH11" s="22" t="str">
        <f>('Gestión de abastecimiento'!H309)</f>
        <v>0</v>
      </c>
      <c r="BJ11" s="11"/>
      <c r="BM11" s="11"/>
      <c r="BO11" s="26" t="str">
        <f>('Gestión de abastecimiento'!A303)</f>
        <v>0</v>
      </c>
      <c r="BP11" s="18" t="str">
        <f>('Gestión de abastecimiento'!I303)</f>
        <v>0</v>
      </c>
      <c r="BQ11" s="22" t="str">
        <f>('Gestión de abastecimiento'!I309)</f>
        <v>0</v>
      </c>
      <c r="BS11" s="11"/>
      <c r="BV11" s="11"/>
      <c r="BX11" s="26" t="str">
        <f>('Gestión de abastecimiento'!A303)</f>
        <v>0</v>
      </c>
      <c r="BY11" s="18" t="str">
        <f>('Gestión de abastecimiento'!J303)</f>
        <v>0</v>
      </c>
      <c r="BZ11" s="22" t="str">
        <f>('Gestión de abastecimiento'!J309)</f>
        <v>0</v>
      </c>
      <c r="CB11" s="11"/>
      <c r="CE11" s="11"/>
      <c r="CG11" s="26" t="str">
        <f>('Gestión de abastecimiento'!A303)</f>
        <v>0</v>
      </c>
      <c r="CH11" s="18" t="str">
        <f>('Gestión de abastecimiento'!K303)</f>
        <v>0</v>
      </c>
      <c r="CI11" s="22" t="str">
        <f>('Gestión de abastecimiento'!K309)</f>
        <v>0</v>
      </c>
      <c r="CK11" s="11"/>
      <c r="CN11" s="11"/>
      <c r="CP11" s="26" t="str">
        <f>('Gestión de abastecimiento'!A303)</f>
        <v>0</v>
      </c>
      <c r="CQ11" s="18" t="str">
        <f>('Gestión de abastecimiento'!L303)</f>
        <v>0</v>
      </c>
      <c r="CR11" s="22" t="str">
        <f>('Gestión de abastecimiento'!L309)</f>
        <v>0</v>
      </c>
      <c r="CT11" s="11"/>
      <c r="CW11" s="11"/>
      <c r="CY11" s="26" t="str">
        <f>('Gestión de abastecimiento'!A303)</f>
        <v>0</v>
      </c>
      <c r="CZ11" s="18" t="str">
        <f>('Gestión de abastecimiento'!M303)</f>
        <v>0</v>
      </c>
      <c r="DA11" s="22" t="str">
        <f>('Gestión de abastecimiento'!M309)</f>
        <v>0</v>
      </c>
      <c r="DC11" s="11"/>
      <c r="DF11" s="11"/>
      <c r="DH11" s="26" t="str">
        <f>('Gestión de abastecimiento'!A303)</f>
        <v>0</v>
      </c>
      <c r="DI11" s="18" t="str">
        <f>('Gestión de abastecimiento'!N303)</f>
        <v>0</v>
      </c>
      <c r="DJ11" s="22" t="str">
        <f>('Gestión de abastecimiento'!N309)</f>
        <v>0</v>
      </c>
      <c r="DL11" s="11"/>
      <c r="DO11" s="11"/>
      <c r="DQ11" s="26" t="str">
        <f>('Gestión de abastecimiento'!A303)</f>
        <v>0</v>
      </c>
      <c r="DR11" s="18" t="str">
        <f>('Gestión de abastecimiento'!O303)</f>
        <v>0</v>
      </c>
      <c r="DS11" s="22" t="str">
        <f>('Gestión de abastecimiento'!O309)</f>
        <v>0</v>
      </c>
      <c r="DU11" s="11"/>
      <c r="DX11" s="11"/>
      <c r="DZ11" s="26" t="str">
        <f>('Gestión de abastecimiento'!A303)</f>
        <v>0</v>
      </c>
      <c r="EA11" s="18" t="str">
        <f>('Gestión de abastecimiento'!P303)</f>
        <v>0</v>
      </c>
      <c r="EB11" s="22" t="str">
        <f>('Gestión de abastecimiento'!P309)</f>
        <v>0</v>
      </c>
      <c r="ED11" s="11"/>
      <c r="EG11" s="11"/>
      <c r="EI11" s="26" t="str">
        <f>('Gestión de abastecimiento'!A303)</f>
        <v>0</v>
      </c>
      <c r="EJ11" s="18" t="str">
        <f>('Gestión de abastecimiento'!Q303)</f>
        <v>0</v>
      </c>
      <c r="EK11" s="22" t="str">
        <f>('Gestión de abastecimiento'!Q309)</f>
        <v>0</v>
      </c>
      <c r="EM11" s="11"/>
      <c r="EP11" s="11"/>
      <c r="ER11" s="26" t="str">
        <f>('Gestión de abastecimiento'!A303)</f>
        <v>0</v>
      </c>
      <c r="ES11" s="18" t="str">
        <f>('Gestión de abastecimiento'!R303)</f>
        <v>0</v>
      </c>
      <c r="ET11" s="22" t="str">
        <f>('Gestión de abastecimiento'!R309)</f>
        <v>0</v>
      </c>
      <c r="EV11" s="11"/>
      <c r="EY11" s="11"/>
      <c r="FA11" s="26" t="str">
        <f>('Gestión de abastecimiento'!A303)</f>
        <v>0</v>
      </c>
      <c r="FB11" s="18" t="str">
        <f>('Gestión de abastecimiento'!S303)</f>
        <v>0</v>
      </c>
      <c r="FC11" s="22" t="str">
        <f>('Gestión de abastecimiento'!S309)</f>
        <v>0</v>
      </c>
      <c r="FE11" s="11"/>
    </row>
    <row r="12" spans="1:161">
      <c r="B12" s="11"/>
      <c r="D12" s="26" t="str">
        <f>('Gestión de abastecimiento'!A304)</f>
        <v>0</v>
      </c>
      <c r="E12" s="18" t="str">
        <f>('Gestión de abastecimiento'!B304)</f>
        <v>0</v>
      </c>
      <c r="F12" s="22" t="str">
        <f>('Gestión de abastecimiento'!B310)</f>
        <v>0</v>
      </c>
      <c r="H12" s="11"/>
      <c r="K12" s="11"/>
      <c r="M12" s="26" t="str">
        <f>('Gestión de abastecimiento'!A304)</f>
        <v>0</v>
      </c>
      <c r="N12" s="18" t="str">
        <f>('Gestión de abastecimiento'!C304)</f>
        <v>0</v>
      </c>
      <c r="O12" s="22" t="str">
        <f>('Gestión de abastecimiento'!C310)</f>
        <v>0</v>
      </c>
      <c r="Q12" s="11"/>
      <c r="T12" s="11"/>
      <c r="V12" s="26" t="str">
        <f>('Gestión de abastecimiento'!A304)</f>
        <v>0</v>
      </c>
      <c r="W12" s="18" t="str">
        <f>('Gestión de abastecimiento'!D304)</f>
        <v>0</v>
      </c>
      <c r="X12" s="22" t="str">
        <f>('Gestión de abastecimiento'!D310)</f>
        <v>0</v>
      </c>
      <c r="Z12" s="11"/>
      <c r="AC12" s="11"/>
      <c r="AE12" s="26" t="str">
        <f>('Gestión de abastecimiento'!A304)</f>
        <v>0</v>
      </c>
      <c r="AF12" s="18" t="str">
        <f>('Gestión de abastecimiento'!E304)</f>
        <v>0</v>
      </c>
      <c r="AG12" s="22" t="str">
        <f>('Gestión de abastecimiento'!E310)</f>
        <v>0</v>
      </c>
      <c r="AI12" s="11"/>
      <c r="AL12" s="11"/>
      <c r="AN12" s="26" t="str">
        <f>('Gestión de abastecimiento'!A304)</f>
        <v>0</v>
      </c>
      <c r="AO12" s="18" t="str">
        <f>('Gestión de abastecimiento'!F304)</f>
        <v>0</v>
      </c>
      <c r="AP12" s="22" t="str">
        <f>('Gestión de abastecimiento'!F310)</f>
        <v>0</v>
      </c>
      <c r="AR12" s="11"/>
      <c r="AU12" s="11"/>
      <c r="AW12" s="26" t="str">
        <f>('Gestión de abastecimiento'!A304)</f>
        <v>0</v>
      </c>
      <c r="AX12" s="18" t="str">
        <f>('Gestión de abastecimiento'!G304)</f>
        <v>0</v>
      </c>
      <c r="AY12" s="22" t="str">
        <f>('Gestión de abastecimiento'!G310)</f>
        <v>0</v>
      </c>
      <c r="BA12" s="11"/>
      <c r="BD12" s="11"/>
      <c r="BF12" s="26" t="str">
        <f>('Gestión de abastecimiento'!A304)</f>
        <v>0</v>
      </c>
      <c r="BG12" s="18" t="str">
        <f>('Gestión de abastecimiento'!H304)</f>
        <v>0</v>
      </c>
      <c r="BH12" s="22" t="str">
        <f>('Gestión de abastecimiento'!H310)</f>
        <v>0</v>
      </c>
      <c r="BJ12" s="11"/>
      <c r="BM12" s="11"/>
      <c r="BO12" s="26" t="str">
        <f>('Gestión de abastecimiento'!A304)</f>
        <v>0</v>
      </c>
      <c r="BP12" s="18" t="str">
        <f>('Gestión de abastecimiento'!I304)</f>
        <v>0</v>
      </c>
      <c r="BQ12" s="22" t="str">
        <f>('Gestión de abastecimiento'!I310)</f>
        <v>0</v>
      </c>
      <c r="BS12" s="11"/>
      <c r="BV12" s="11"/>
      <c r="BX12" s="26" t="str">
        <f>('Gestión de abastecimiento'!A304)</f>
        <v>0</v>
      </c>
      <c r="BY12" s="18" t="str">
        <f>('Gestión de abastecimiento'!J304)</f>
        <v>0</v>
      </c>
      <c r="BZ12" s="22" t="str">
        <f>('Gestión de abastecimiento'!J310)</f>
        <v>0</v>
      </c>
      <c r="CB12" s="11"/>
      <c r="CE12" s="11"/>
      <c r="CG12" s="26" t="str">
        <f>('Gestión de abastecimiento'!A304)</f>
        <v>0</v>
      </c>
      <c r="CH12" s="18" t="str">
        <f>('Gestión de abastecimiento'!K304)</f>
        <v>0</v>
      </c>
      <c r="CI12" s="22" t="str">
        <f>('Gestión de abastecimiento'!K310)</f>
        <v>0</v>
      </c>
      <c r="CK12" s="11"/>
      <c r="CN12" s="11"/>
      <c r="CP12" s="26" t="str">
        <f>('Gestión de abastecimiento'!A304)</f>
        <v>0</v>
      </c>
      <c r="CQ12" s="18" t="str">
        <f>('Gestión de abastecimiento'!L304)</f>
        <v>0</v>
      </c>
      <c r="CR12" s="22" t="str">
        <f>('Gestión de abastecimiento'!L310)</f>
        <v>0</v>
      </c>
      <c r="CT12" s="11"/>
      <c r="CW12" s="11"/>
      <c r="CY12" s="26" t="str">
        <f>('Gestión de abastecimiento'!A304)</f>
        <v>0</v>
      </c>
      <c r="CZ12" s="18" t="str">
        <f>('Gestión de abastecimiento'!M304)</f>
        <v>0</v>
      </c>
      <c r="DA12" s="22" t="str">
        <f>('Gestión de abastecimiento'!M310)</f>
        <v>0</v>
      </c>
      <c r="DC12" s="11"/>
      <c r="DF12" s="11"/>
      <c r="DH12" s="26" t="str">
        <f>('Gestión de abastecimiento'!A304)</f>
        <v>0</v>
      </c>
      <c r="DI12" s="18" t="str">
        <f>('Gestión de abastecimiento'!N304)</f>
        <v>0</v>
      </c>
      <c r="DJ12" s="22" t="str">
        <f>('Gestión de abastecimiento'!N310)</f>
        <v>0</v>
      </c>
      <c r="DL12" s="11"/>
      <c r="DO12" s="11"/>
      <c r="DQ12" s="26" t="str">
        <f>('Gestión de abastecimiento'!A304)</f>
        <v>0</v>
      </c>
      <c r="DR12" s="18" t="str">
        <f>('Gestión de abastecimiento'!O304)</f>
        <v>0</v>
      </c>
      <c r="DS12" s="22" t="str">
        <f>('Gestión de abastecimiento'!O310)</f>
        <v>0</v>
      </c>
      <c r="DU12" s="11"/>
      <c r="DX12" s="11"/>
      <c r="DZ12" s="26" t="str">
        <f>('Gestión de abastecimiento'!A304)</f>
        <v>0</v>
      </c>
      <c r="EA12" s="18" t="str">
        <f>('Gestión de abastecimiento'!P304)</f>
        <v>0</v>
      </c>
      <c r="EB12" s="22" t="str">
        <f>('Gestión de abastecimiento'!P310)</f>
        <v>0</v>
      </c>
      <c r="ED12" s="11"/>
      <c r="EG12" s="11"/>
      <c r="EI12" s="26" t="str">
        <f>('Gestión de abastecimiento'!A304)</f>
        <v>0</v>
      </c>
      <c r="EJ12" s="18" t="str">
        <f>('Gestión de abastecimiento'!Q304)</f>
        <v>0</v>
      </c>
      <c r="EK12" s="22" t="str">
        <f>('Gestión de abastecimiento'!Q310)</f>
        <v>0</v>
      </c>
      <c r="EM12" s="11"/>
      <c r="EP12" s="11"/>
      <c r="ER12" s="26" t="str">
        <f>('Gestión de abastecimiento'!A304)</f>
        <v>0</v>
      </c>
      <c r="ES12" s="18" t="str">
        <f>('Gestión de abastecimiento'!R304)</f>
        <v>0</v>
      </c>
      <c r="ET12" s="22" t="str">
        <f>('Gestión de abastecimiento'!R310)</f>
        <v>0</v>
      </c>
      <c r="EV12" s="11"/>
      <c r="EY12" s="11"/>
      <c r="FA12" s="26" t="str">
        <f>('Gestión de abastecimiento'!A304)</f>
        <v>0</v>
      </c>
      <c r="FB12" s="18" t="str">
        <f>('Gestión de abastecimiento'!S304)</f>
        <v>0</v>
      </c>
      <c r="FC12" s="22" t="str">
        <f>('Gestión de abastecimiento'!S310)</f>
        <v>0</v>
      </c>
      <c r="FE12" s="11"/>
    </row>
    <row r="13" spans="1:161">
      <c r="B13" s="11"/>
      <c r="D13" s="32" t="str">
        <f>('Gestión de abastecimiento'!A305)</f>
        <v>0</v>
      </c>
      <c r="E13" s="19" t="str">
        <f>('Gestión de abastecimiento'!B305)</f>
        <v>0</v>
      </c>
      <c r="F13" s="23" t="str">
        <f>('Gestión de abastecimiento'!B311)</f>
        <v>0</v>
      </c>
      <c r="H13" s="11"/>
      <c r="K13" s="11"/>
      <c r="M13" s="32" t="str">
        <f>('Gestión de abastecimiento'!A305)</f>
        <v>0</v>
      </c>
      <c r="N13" s="19" t="str">
        <f>('Gestión de abastecimiento'!C305)</f>
        <v>0</v>
      </c>
      <c r="O13" s="23" t="str">
        <f>('Gestión de abastecimiento'!C311)</f>
        <v>0</v>
      </c>
      <c r="Q13" s="11"/>
      <c r="T13" s="11"/>
      <c r="V13" s="32" t="str">
        <f>('Gestión de abastecimiento'!A305)</f>
        <v>0</v>
      </c>
      <c r="W13" s="19" t="str">
        <f>('Gestión de abastecimiento'!D305)</f>
        <v>0</v>
      </c>
      <c r="X13" s="23" t="str">
        <f>('Gestión de abastecimiento'!D311)</f>
        <v>0</v>
      </c>
      <c r="Z13" s="11"/>
      <c r="AC13" s="11"/>
      <c r="AE13" s="32" t="str">
        <f>('Gestión de abastecimiento'!A305)</f>
        <v>0</v>
      </c>
      <c r="AF13" s="19" t="str">
        <f>('Gestión de abastecimiento'!E305)</f>
        <v>0</v>
      </c>
      <c r="AG13" s="23" t="str">
        <f>('Gestión de abastecimiento'!E311)</f>
        <v>0</v>
      </c>
      <c r="AI13" s="11"/>
      <c r="AL13" s="11"/>
      <c r="AN13" s="32" t="str">
        <f>('Gestión de abastecimiento'!A305)</f>
        <v>0</v>
      </c>
      <c r="AO13" s="19" t="str">
        <f>('Gestión de abastecimiento'!F305)</f>
        <v>0</v>
      </c>
      <c r="AP13" s="23" t="str">
        <f>('Gestión de abastecimiento'!F311)</f>
        <v>0</v>
      </c>
      <c r="AR13" s="11"/>
      <c r="AU13" s="11"/>
      <c r="AW13" s="32" t="str">
        <f>('Gestión de abastecimiento'!A305)</f>
        <v>0</v>
      </c>
      <c r="AX13" s="19" t="str">
        <f>('Gestión de abastecimiento'!G305)</f>
        <v>0</v>
      </c>
      <c r="AY13" s="23" t="str">
        <f>('Gestión de abastecimiento'!G311)</f>
        <v>0</v>
      </c>
      <c r="BA13" s="11"/>
      <c r="BD13" s="11"/>
      <c r="BF13" s="32" t="str">
        <f>('Gestión de abastecimiento'!A305)</f>
        <v>0</v>
      </c>
      <c r="BG13" s="19" t="str">
        <f>('Gestión de abastecimiento'!H305)</f>
        <v>0</v>
      </c>
      <c r="BH13" s="23" t="str">
        <f>('Gestión de abastecimiento'!H311)</f>
        <v>0</v>
      </c>
      <c r="BJ13" s="11"/>
      <c r="BM13" s="11"/>
      <c r="BO13" s="32" t="str">
        <f>('Gestión de abastecimiento'!A305)</f>
        <v>0</v>
      </c>
      <c r="BP13" s="19" t="str">
        <f>('Gestión de abastecimiento'!I305)</f>
        <v>0</v>
      </c>
      <c r="BQ13" s="23" t="str">
        <f>('Gestión de abastecimiento'!I311)</f>
        <v>0</v>
      </c>
      <c r="BS13" s="11"/>
      <c r="BV13" s="11"/>
      <c r="BX13" s="32" t="str">
        <f>('Gestión de abastecimiento'!A305)</f>
        <v>0</v>
      </c>
      <c r="BY13" s="19" t="str">
        <f>('Gestión de abastecimiento'!J305)</f>
        <v>0</v>
      </c>
      <c r="BZ13" s="23" t="str">
        <f>('Gestión de abastecimiento'!J311)</f>
        <v>0</v>
      </c>
      <c r="CB13" s="11"/>
      <c r="CE13" s="11"/>
      <c r="CG13" s="32" t="str">
        <f>('Gestión de abastecimiento'!A305)</f>
        <v>0</v>
      </c>
      <c r="CH13" s="19" t="str">
        <f>('Gestión de abastecimiento'!K305)</f>
        <v>0</v>
      </c>
      <c r="CI13" s="23" t="str">
        <f>('Gestión de abastecimiento'!K311)</f>
        <v>0</v>
      </c>
      <c r="CK13" s="11"/>
      <c r="CN13" s="11"/>
      <c r="CP13" s="32" t="str">
        <f>('Gestión de abastecimiento'!A305)</f>
        <v>0</v>
      </c>
      <c r="CQ13" s="19" t="str">
        <f>('Gestión de abastecimiento'!L305)</f>
        <v>0</v>
      </c>
      <c r="CR13" s="23" t="str">
        <f>('Gestión de abastecimiento'!L311)</f>
        <v>0</v>
      </c>
      <c r="CT13" s="11"/>
      <c r="CW13" s="11"/>
      <c r="CY13" s="32" t="str">
        <f>('Gestión de abastecimiento'!A305)</f>
        <v>0</v>
      </c>
      <c r="CZ13" s="19" t="str">
        <f>('Gestión de abastecimiento'!M305)</f>
        <v>0</v>
      </c>
      <c r="DA13" s="23" t="str">
        <f>('Gestión de abastecimiento'!M311)</f>
        <v>0</v>
      </c>
      <c r="DC13" s="11"/>
      <c r="DF13" s="11"/>
      <c r="DH13" s="32" t="str">
        <f>('Gestión de abastecimiento'!A305)</f>
        <v>0</v>
      </c>
      <c r="DI13" s="19" t="str">
        <f>('Gestión de abastecimiento'!N305)</f>
        <v>0</v>
      </c>
      <c r="DJ13" s="23" t="str">
        <f>('Gestión de abastecimiento'!N311)</f>
        <v>0</v>
      </c>
      <c r="DL13" s="11"/>
      <c r="DO13" s="11"/>
      <c r="DQ13" s="32" t="str">
        <f>('Gestión de abastecimiento'!A305)</f>
        <v>0</v>
      </c>
      <c r="DR13" s="19" t="str">
        <f>('Gestión de abastecimiento'!O305)</f>
        <v>0</v>
      </c>
      <c r="DS13" s="23" t="str">
        <f>('Gestión de abastecimiento'!O311)</f>
        <v>0</v>
      </c>
      <c r="DU13" s="11"/>
      <c r="DX13" s="11"/>
      <c r="DZ13" s="32" t="str">
        <f>('Gestión de abastecimiento'!A305)</f>
        <v>0</v>
      </c>
      <c r="EA13" s="19" t="str">
        <f>('Gestión de abastecimiento'!P305)</f>
        <v>0</v>
      </c>
      <c r="EB13" s="23" t="str">
        <f>('Gestión de abastecimiento'!P311)</f>
        <v>0</v>
      </c>
      <c r="ED13" s="11"/>
      <c r="EG13" s="11"/>
      <c r="EI13" s="32" t="str">
        <f>('Gestión de abastecimiento'!A305)</f>
        <v>0</v>
      </c>
      <c r="EJ13" s="19" t="str">
        <f>('Gestión de abastecimiento'!Q305)</f>
        <v>0</v>
      </c>
      <c r="EK13" s="23" t="str">
        <f>('Gestión de abastecimiento'!Q311)</f>
        <v>0</v>
      </c>
      <c r="EM13" s="11"/>
      <c r="EP13" s="11"/>
      <c r="ER13" s="32" t="str">
        <f>('Gestión de abastecimiento'!A305)</f>
        <v>0</v>
      </c>
      <c r="ES13" s="19" t="str">
        <f>('Gestión de abastecimiento'!R305)</f>
        <v>0</v>
      </c>
      <c r="ET13" s="23" t="str">
        <f>('Gestión de abastecimiento'!R311)</f>
        <v>0</v>
      </c>
      <c r="EV13" s="11"/>
      <c r="EY13" s="11"/>
      <c r="FA13" s="32" t="str">
        <f>('Gestión de abastecimiento'!A305)</f>
        <v>0</v>
      </c>
      <c r="FB13" s="19" t="str">
        <f>('Gestión de abastecimiento'!S305)</f>
        <v>0</v>
      </c>
      <c r="FC13" s="23" t="str">
        <f>('Gestión de abastecimiento'!S311)</f>
        <v>0</v>
      </c>
      <c r="FE13" s="11"/>
    </row>
    <row r="14" spans="1:161">
      <c r="B14" s="11"/>
      <c r="D14" s="10" t="s">
        <v>356</v>
      </c>
      <c r="H14" s="11"/>
      <c r="K14" s="11"/>
      <c r="M14" s="10" t="s">
        <v>356</v>
      </c>
      <c r="Q14" s="11"/>
      <c r="T14" s="11"/>
      <c r="V14" s="10" t="s">
        <v>356</v>
      </c>
      <c r="Z14" s="11"/>
      <c r="AC14" s="11"/>
      <c r="AE14" s="10" t="s">
        <v>356</v>
      </c>
      <c r="AI14" s="11"/>
      <c r="AL14" s="11"/>
      <c r="AN14" s="10" t="s">
        <v>356</v>
      </c>
      <c r="AR14" s="11"/>
      <c r="AU14" s="11"/>
      <c r="AW14" s="10" t="s">
        <v>356</v>
      </c>
      <c r="BA14" s="11"/>
      <c r="BD14" s="11"/>
      <c r="BF14" s="10" t="s">
        <v>356</v>
      </c>
      <c r="BJ14" s="11"/>
      <c r="BM14" s="11"/>
      <c r="BO14" s="10" t="s">
        <v>356</v>
      </c>
      <c r="BS14" s="11"/>
      <c r="BV14" s="11"/>
      <c r="BX14" s="10" t="s">
        <v>356</v>
      </c>
      <c r="CB14" s="11"/>
      <c r="CE14" s="11"/>
      <c r="CG14" s="10" t="s">
        <v>356</v>
      </c>
      <c r="CK14" s="11"/>
      <c r="CN14" s="11"/>
      <c r="CP14" s="10" t="s">
        <v>356</v>
      </c>
      <c r="CT14" s="11"/>
      <c r="CW14" s="11"/>
      <c r="CY14" s="10" t="s">
        <v>356</v>
      </c>
      <c r="DC14" s="11"/>
      <c r="DF14" s="11"/>
      <c r="DH14" s="10" t="s">
        <v>356</v>
      </c>
      <c r="DL14" s="11"/>
      <c r="DO14" s="11"/>
      <c r="DQ14" s="10" t="s">
        <v>356</v>
      </c>
      <c r="DU14" s="11"/>
      <c r="DX14" s="11"/>
      <c r="DZ14" s="10" t="s">
        <v>356</v>
      </c>
      <c r="ED14" s="11"/>
      <c r="EG14" s="11"/>
      <c r="EI14" s="10" t="s">
        <v>356</v>
      </c>
      <c r="EM14" s="11"/>
      <c r="EP14" s="11"/>
      <c r="ER14" s="10" t="s">
        <v>356</v>
      </c>
      <c r="EV14" s="11"/>
      <c r="EY14" s="11"/>
      <c r="FA14" s="10" t="s">
        <v>356</v>
      </c>
      <c r="FE14" s="11"/>
    </row>
    <row r="15" spans="1:161">
      <c r="B15" s="11"/>
      <c r="D15" s="10" t="s">
        <v>355</v>
      </c>
      <c r="H15" s="11"/>
      <c r="K15" s="11"/>
      <c r="M15" s="10" t="s">
        <v>355</v>
      </c>
      <c r="Q15" s="11"/>
      <c r="T15" s="11"/>
      <c r="V15" s="10" t="s">
        <v>355</v>
      </c>
      <c r="Z15" s="11"/>
      <c r="AC15" s="11"/>
      <c r="AE15" s="10" t="s">
        <v>355</v>
      </c>
      <c r="AI15" s="11"/>
      <c r="AL15" s="11"/>
      <c r="AN15" s="10" t="s">
        <v>355</v>
      </c>
      <c r="AR15" s="11"/>
      <c r="AU15" s="11"/>
      <c r="AW15" s="10" t="s">
        <v>355</v>
      </c>
      <c r="BA15" s="11"/>
      <c r="BD15" s="11"/>
      <c r="BF15" s="10" t="s">
        <v>355</v>
      </c>
      <c r="BJ15" s="11"/>
      <c r="BM15" s="11"/>
      <c r="BO15" s="10" t="s">
        <v>355</v>
      </c>
      <c r="BS15" s="11"/>
      <c r="BV15" s="11"/>
      <c r="BX15" s="10" t="s">
        <v>355</v>
      </c>
      <c r="CB15" s="11"/>
      <c r="CE15" s="11"/>
      <c r="CG15" s="10" t="s">
        <v>355</v>
      </c>
      <c r="CK15" s="11"/>
      <c r="CN15" s="11"/>
      <c r="CP15" s="10" t="s">
        <v>355</v>
      </c>
      <c r="CT15" s="11"/>
      <c r="CW15" s="11"/>
      <c r="CY15" s="10" t="s">
        <v>355</v>
      </c>
      <c r="DC15" s="11"/>
      <c r="DF15" s="11"/>
      <c r="DH15" s="10" t="s">
        <v>355</v>
      </c>
      <c r="DL15" s="11"/>
      <c r="DO15" s="11"/>
      <c r="DQ15" s="10" t="s">
        <v>355</v>
      </c>
      <c r="DU15" s="11"/>
      <c r="DX15" s="11"/>
      <c r="DZ15" s="10" t="s">
        <v>355</v>
      </c>
      <c r="ED15" s="11"/>
      <c r="EG15" s="11"/>
      <c r="EI15" s="10" t="s">
        <v>355</v>
      </c>
      <c r="EM15" s="11"/>
      <c r="EP15" s="11"/>
      <c r="ER15" s="10" t="s">
        <v>355</v>
      </c>
      <c r="EV15" s="11"/>
      <c r="EY15" s="11"/>
      <c r="FA15" s="10" t="s">
        <v>355</v>
      </c>
      <c r="FE15" s="11"/>
    </row>
    <row r="16" spans="1:161">
      <c r="B16" s="11"/>
      <c r="H16" s="11"/>
      <c r="K16" s="11"/>
      <c r="Q16" s="11"/>
      <c r="T16" s="11"/>
      <c r="Z16" s="11"/>
      <c r="AC16" s="11"/>
      <c r="AI16" s="11"/>
      <c r="AL16" s="11"/>
      <c r="AR16" s="11"/>
      <c r="AU16" s="11"/>
      <c r="BA16" s="11"/>
      <c r="BD16" s="11"/>
      <c r="BJ16" s="11"/>
      <c r="BM16" s="11"/>
      <c r="BS16" s="11"/>
      <c r="BV16" s="11"/>
      <c r="CB16" s="11"/>
      <c r="CE16" s="11"/>
      <c r="CK16" s="11"/>
      <c r="CN16" s="11"/>
      <c r="CT16" s="11"/>
      <c r="CW16" s="11"/>
      <c r="DC16" s="11"/>
      <c r="DF16" s="11"/>
      <c r="DL16" s="11"/>
      <c r="DO16" s="11"/>
      <c r="DU16" s="11"/>
      <c r="DX16" s="11"/>
      <c r="ED16" s="11"/>
      <c r="EG16" s="11"/>
      <c r="EM16" s="11"/>
      <c r="EP16" s="11"/>
      <c r="EV16" s="11"/>
      <c r="EY16" s="11"/>
      <c r="FE16" s="11"/>
    </row>
    <row r="17" spans="1:161">
      <c r="B17" s="11"/>
      <c r="H17" s="11"/>
      <c r="K17" s="11"/>
      <c r="Q17" s="11"/>
      <c r="T17" s="11"/>
      <c r="Z17" s="11"/>
      <c r="AC17" s="11"/>
      <c r="AI17" s="11"/>
      <c r="AL17" s="11"/>
      <c r="AR17" s="11"/>
      <c r="AU17" s="11"/>
      <c r="BA17" s="11"/>
      <c r="BD17" s="11"/>
      <c r="BJ17" s="11"/>
      <c r="BM17" s="11"/>
      <c r="BS17" s="11"/>
      <c r="BV17" s="11"/>
      <c r="CB17" s="11"/>
      <c r="CE17" s="11"/>
      <c r="CK17" s="11"/>
      <c r="CN17" s="11"/>
      <c r="CT17" s="11"/>
      <c r="CW17" s="11"/>
      <c r="DC17" s="11"/>
      <c r="DF17" s="11"/>
      <c r="DL17" s="11"/>
      <c r="DO17" s="11"/>
      <c r="DU17" s="11"/>
      <c r="DX17" s="11"/>
      <c r="ED17" s="11"/>
      <c r="EG17" s="11"/>
      <c r="EM17" s="11"/>
      <c r="EP17" s="11"/>
      <c r="EV17" s="11"/>
      <c r="EY17" s="11"/>
      <c r="FE17" s="11"/>
    </row>
    <row r="18" spans="1:161">
      <c r="B18" s="11"/>
      <c r="H18" s="11"/>
      <c r="K18" s="11"/>
      <c r="Q18" s="11"/>
      <c r="T18" s="11"/>
      <c r="Z18" s="11"/>
      <c r="AC18" s="11"/>
      <c r="AI18" s="11"/>
      <c r="AL18" s="11"/>
      <c r="AR18" s="11"/>
      <c r="AU18" s="11"/>
      <c r="BA18" s="11"/>
      <c r="BD18" s="11"/>
      <c r="BJ18" s="11"/>
      <c r="BM18" s="11"/>
      <c r="BS18" s="11"/>
      <c r="BV18" s="11"/>
      <c r="CB18" s="11"/>
      <c r="CE18" s="11"/>
      <c r="CK18" s="11"/>
      <c r="CN18" s="11"/>
      <c r="CT18" s="11"/>
      <c r="CW18" s="11"/>
      <c r="DC18" s="11"/>
      <c r="DF18" s="11"/>
      <c r="DL18" s="11"/>
      <c r="DO18" s="11"/>
      <c r="DU18" s="11"/>
      <c r="DX18" s="11"/>
      <c r="ED18" s="11"/>
      <c r="EG18" s="11"/>
      <c r="EM18" s="11"/>
      <c r="EP18" s="11"/>
      <c r="EV18" s="11"/>
      <c r="EY18" s="11"/>
      <c r="FE18" s="11"/>
    </row>
    <row r="19" spans="1:161">
      <c r="B19" s="11"/>
      <c r="H19" s="11"/>
      <c r="K19" s="11"/>
      <c r="Q19" s="11"/>
      <c r="T19" s="11"/>
      <c r="Z19" s="11"/>
      <c r="AC19" s="11"/>
      <c r="AI19" s="11"/>
      <c r="AL19" s="11"/>
      <c r="AR19" s="11"/>
      <c r="AU19" s="11"/>
      <c r="BA19" s="11"/>
      <c r="BD19" s="11"/>
      <c r="BJ19" s="11"/>
      <c r="BM19" s="11"/>
      <c r="BS19" s="11"/>
      <c r="BV19" s="11"/>
      <c r="CB19" s="11"/>
      <c r="CE19" s="11"/>
      <c r="CK19" s="11"/>
      <c r="CN19" s="11"/>
      <c r="CT19" s="11"/>
      <c r="CW19" s="11"/>
      <c r="DC19" s="11"/>
      <c r="DF19" s="11"/>
      <c r="DL19" s="11"/>
      <c r="DO19" s="11"/>
      <c r="DU19" s="11"/>
      <c r="DX19" s="11"/>
      <c r="ED19" s="11"/>
      <c r="EG19" s="11"/>
      <c r="EM19" s="11"/>
      <c r="EP19" s="11"/>
      <c r="EV19" s="11"/>
      <c r="EY19" s="11"/>
      <c r="FE19" s="11"/>
    </row>
    <row r="20" spans="1:161">
      <c r="B20" s="11"/>
      <c r="H20" s="11"/>
      <c r="K20" s="11"/>
      <c r="Q20" s="11"/>
      <c r="T20" s="11"/>
      <c r="Z20" s="11"/>
      <c r="AC20" s="11"/>
      <c r="AI20" s="11"/>
      <c r="AL20" s="11"/>
      <c r="AR20" s="11"/>
      <c r="AU20" s="11"/>
      <c r="BA20" s="11"/>
      <c r="BD20" s="11"/>
      <c r="BJ20" s="11"/>
      <c r="BM20" s="11"/>
      <c r="BS20" s="11"/>
      <c r="BV20" s="11"/>
      <c r="CB20" s="11"/>
      <c r="CE20" s="11"/>
      <c r="CK20" s="11"/>
      <c r="CN20" s="11"/>
      <c r="CT20" s="11"/>
      <c r="CW20" s="11"/>
      <c r="DC20" s="11"/>
      <c r="DF20" s="11"/>
      <c r="DL20" s="11"/>
      <c r="DO20" s="11"/>
      <c r="DU20" s="11"/>
      <c r="DX20" s="11"/>
      <c r="ED20" s="11"/>
      <c r="EG20" s="11"/>
      <c r="EM20" s="11"/>
      <c r="EP20" s="11"/>
      <c r="EV20" s="11"/>
      <c r="EY20" s="11"/>
      <c r="FE20" s="11"/>
    </row>
    <row r="21" spans="1:161">
      <c r="B21" s="11"/>
      <c r="H21" s="11"/>
      <c r="K21" s="11"/>
      <c r="Q21" s="11"/>
      <c r="T21" s="11"/>
      <c r="Z21" s="11"/>
      <c r="AC21" s="11"/>
      <c r="AI21" s="11"/>
      <c r="AL21" s="11"/>
      <c r="AR21" s="11"/>
      <c r="AU21" s="11"/>
      <c r="BA21" s="11"/>
      <c r="BD21" s="11"/>
      <c r="BJ21" s="11"/>
      <c r="BM21" s="11"/>
      <c r="BS21" s="11"/>
      <c r="BV21" s="11"/>
      <c r="CB21" s="11"/>
      <c r="CE21" s="11"/>
      <c r="CK21" s="11"/>
      <c r="CN21" s="11"/>
      <c r="CT21" s="11"/>
      <c r="CW21" s="11"/>
      <c r="DC21" s="11"/>
      <c r="DF21" s="11"/>
      <c r="DL21" s="11"/>
      <c r="DO21" s="11"/>
      <c r="DU21" s="11"/>
      <c r="DX21" s="11"/>
      <c r="ED21" s="11"/>
      <c r="EG21" s="11"/>
      <c r="EM21" s="11"/>
      <c r="EP21" s="11"/>
      <c r="EV21" s="11"/>
      <c r="EY21" s="11"/>
      <c r="FE21" s="11"/>
    </row>
    <row r="22" spans="1:161">
      <c r="B22" s="11"/>
      <c r="H22" s="11"/>
      <c r="K22" s="11"/>
      <c r="Q22" s="11"/>
      <c r="T22" s="11"/>
      <c r="Z22" s="11"/>
      <c r="AC22" s="11"/>
      <c r="AI22" s="11"/>
      <c r="AL22" s="11"/>
      <c r="AR22" s="11"/>
      <c r="AU22" s="11"/>
      <c r="BA22" s="11"/>
      <c r="BD22" s="11"/>
      <c r="BJ22" s="11"/>
      <c r="BM22" s="11"/>
      <c r="BS22" s="11"/>
      <c r="BV22" s="11"/>
      <c r="CB22" s="11"/>
      <c r="CE22" s="11"/>
      <c r="CK22" s="11"/>
      <c r="CN22" s="11"/>
      <c r="CT22" s="11"/>
      <c r="CW22" s="11"/>
      <c r="DC22" s="11"/>
      <c r="DF22" s="11"/>
      <c r="DL22" s="11"/>
      <c r="DO22" s="11"/>
      <c r="DU22" s="11"/>
      <c r="DX22" s="11"/>
      <c r="ED22" s="11"/>
      <c r="EG22" s="11"/>
      <c r="EM22" s="11"/>
      <c r="EP22" s="11"/>
      <c r="EV22" s="11"/>
      <c r="EY22" s="11"/>
      <c r="FE22" s="11"/>
    </row>
    <row r="23" spans="1:161">
      <c r="B23" s="11"/>
      <c r="H23" s="11"/>
      <c r="K23" s="11"/>
      <c r="Q23" s="11"/>
      <c r="T23" s="11"/>
      <c r="Z23" s="11"/>
      <c r="AC23" s="11"/>
      <c r="AI23" s="11"/>
      <c r="AL23" s="11"/>
      <c r="AR23" s="11"/>
      <c r="AU23" s="11"/>
      <c r="BA23" s="11"/>
      <c r="BD23" s="11"/>
      <c r="BJ23" s="11"/>
      <c r="BM23" s="11"/>
      <c r="BS23" s="11"/>
      <c r="BV23" s="11"/>
      <c r="CB23" s="11"/>
      <c r="CE23" s="11"/>
      <c r="CK23" s="11"/>
      <c r="CN23" s="11"/>
      <c r="CT23" s="11"/>
      <c r="CW23" s="11"/>
      <c r="DC23" s="11"/>
      <c r="DF23" s="11"/>
      <c r="DL23" s="11"/>
      <c r="DO23" s="11"/>
      <c r="DU23" s="11"/>
      <c r="DX23" s="11"/>
      <c r="ED23" s="11"/>
      <c r="EG23" s="11"/>
      <c r="EM23" s="11"/>
      <c r="EP23" s="11"/>
      <c r="EV23" s="11"/>
      <c r="EY23" s="11"/>
      <c r="FE23" s="11"/>
    </row>
    <row r="24" spans="1:161">
      <c r="B24" s="11"/>
      <c r="H24" s="11"/>
      <c r="K24" s="11"/>
      <c r="Q24" s="11"/>
      <c r="T24" s="11"/>
      <c r="Z24" s="11"/>
      <c r="AC24" s="11"/>
      <c r="AI24" s="11"/>
      <c r="AL24" s="11"/>
      <c r="AR24" s="11"/>
      <c r="AU24" s="11"/>
      <c r="BA24" s="11"/>
      <c r="BD24" s="11"/>
      <c r="BJ24" s="11"/>
      <c r="BM24" s="11"/>
      <c r="BS24" s="11"/>
      <c r="BV24" s="11"/>
      <c r="CB24" s="11"/>
      <c r="CE24" s="11"/>
      <c r="CK24" s="11"/>
      <c r="CN24" s="11"/>
      <c r="CT24" s="11"/>
      <c r="CW24" s="11"/>
      <c r="DC24" s="11"/>
      <c r="DF24" s="11"/>
      <c r="DL24" s="11"/>
      <c r="DO24" s="11"/>
      <c r="DU24" s="11"/>
      <c r="DX24" s="11"/>
      <c r="ED24" s="11"/>
      <c r="EG24" s="11"/>
      <c r="EM24" s="11"/>
      <c r="EP24" s="11"/>
      <c r="EV24" s="11"/>
      <c r="EY24" s="11"/>
      <c r="FE24" s="11"/>
    </row>
    <row r="25" spans="1:161">
      <c r="B25" s="11"/>
      <c r="H25" s="11"/>
      <c r="K25" s="11"/>
      <c r="Q25" s="11"/>
      <c r="T25" s="11"/>
      <c r="Z25" s="11"/>
      <c r="AC25" s="11"/>
      <c r="AI25" s="11"/>
      <c r="AL25" s="11"/>
      <c r="AR25" s="11"/>
      <c r="AU25" s="11"/>
      <c r="BA25" s="11"/>
      <c r="BD25" s="11"/>
      <c r="BJ25" s="11"/>
      <c r="BM25" s="11"/>
      <c r="BS25" s="11"/>
      <c r="BV25" s="11"/>
      <c r="CB25" s="11"/>
      <c r="CE25" s="11"/>
      <c r="CK25" s="11"/>
      <c r="CN25" s="11"/>
      <c r="CT25" s="11"/>
      <c r="CW25" s="11"/>
      <c r="DC25" s="11"/>
      <c r="DF25" s="11"/>
      <c r="DL25" s="11"/>
      <c r="DO25" s="11"/>
      <c r="DU25" s="11"/>
      <c r="DX25" s="11"/>
      <c r="ED25" s="11"/>
      <c r="EG25" s="11"/>
      <c r="EM25" s="11"/>
      <c r="EP25" s="11"/>
      <c r="EV25" s="11"/>
      <c r="EY25" s="11"/>
      <c r="FE25" s="11"/>
    </row>
    <row r="26" spans="1:161">
      <c r="B26" s="11"/>
      <c r="H26" s="11"/>
      <c r="K26" s="11"/>
      <c r="Q26" s="11"/>
      <c r="T26" s="11"/>
      <c r="Z26" s="11"/>
      <c r="AC26" s="11"/>
      <c r="AI26" s="11"/>
      <c r="AL26" s="11"/>
      <c r="AR26" s="11"/>
      <c r="AU26" s="11"/>
      <c r="BA26" s="11"/>
      <c r="BD26" s="11"/>
      <c r="BJ26" s="11"/>
      <c r="BM26" s="11"/>
      <c r="BS26" s="11"/>
      <c r="BV26" s="11"/>
      <c r="CB26" s="11"/>
      <c r="CE26" s="11"/>
      <c r="CK26" s="11"/>
      <c r="CN26" s="11"/>
      <c r="CT26" s="11"/>
      <c r="CW26" s="11"/>
      <c r="DC26" s="11"/>
      <c r="DF26" s="11"/>
      <c r="DL26" s="11"/>
      <c r="DO26" s="11"/>
      <c r="DU26" s="11"/>
      <c r="DX26" s="11"/>
      <c r="ED26" s="11"/>
      <c r="EG26" s="11"/>
      <c r="EM26" s="11"/>
      <c r="EP26" s="11"/>
      <c r="EV26" s="11"/>
      <c r="EY26" s="11"/>
      <c r="FE26" s="11"/>
    </row>
    <row r="27" spans="1:161">
      <c r="B27" s="11"/>
      <c r="H27" s="11"/>
      <c r="K27" s="11"/>
      <c r="Q27" s="11"/>
      <c r="T27" s="11"/>
      <c r="Z27" s="11"/>
      <c r="AC27" s="11"/>
      <c r="AI27" s="11"/>
      <c r="AL27" s="11"/>
      <c r="AR27" s="11"/>
      <c r="AU27" s="11"/>
      <c r="BA27" s="11"/>
      <c r="BD27" s="11"/>
      <c r="BJ27" s="11"/>
      <c r="BM27" s="11"/>
      <c r="BS27" s="11"/>
      <c r="BV27" s="11"/>
      <c r="CB27" s="11"/>
      <c r="CE27" s="11"/>
      <c r="CK27" s="11"/>
      <c r="CN27" s="11"/>
      <c r="CT27" s="11"/>
      <c r="CW27" s="11"/>
      <c r="DC27" s="11"/>
      <c r="DF27" s="11"/>
      <c r="DL27" s="11"/>
      <c r="DO27" s="11"/>
      <c r="DU27" s="11"/>
      <c r="DX27" s="11"/>
      <c r="ED27" s="11"/>
      <c r="EG27" s="11"/>
      <c r="EM27" s="11"/>
      <c r="EP27" s="11"/>
      <c r="EV27" s="11"/>
      <c r="EY27" s="11"/>
      <c r="FE27" s="11"/>
    </row>
    <row r="28" spans="1:161">
      <c r="B28" s="11"/>
      <c r="H28" s="11"/>
      <c r="K28" s="11"/>
      <c r="Q28" s="11"/>
      <c r="T28" s="11"/>
      <c r="Z28" s="11"/>
      <c r="AC28" s="11"/>
      <c r="AI28" s="11"/>
      <c r="AL28" s="11"/>
      <c r="AR28" s="11"/>
      <c r="AU28" s="11"/>
      <c r="BA28" s="11"/>
      <c r="BD28" s="11"/>
      <c r="BJ28" s="11"/>
      <c r="BM28" s="11"/>
      <c r="BS28" s="11"/>
      <c r="BV28" s="11"/>
      <c r="CB28" s="11"/>
      <c r="CE28" s="11"/>
      <c r="CK28" s="11"/>
      <c r="CN28" s="11"/>
      <c r="CT28" s="11"/>
      <c r="CW28" s="11"/>
      <c r="DC28" s="11"/>
      <c r="DF28" s="11"/>
      <c r="DL28" s="11"/>
      <c r="DO28" s="11"/>
      <c r="DU28" s="11"/>
      <c r="DX28" s="11"/>
      <c r="ED28" s="11"/>
      <c r="EG28" s="11"/>
      <c r="EM28" s="11"/>
      <c r="EP28" s="11"/>
      <c r="EV28" s="11"/>
      <c r="EY28" s="11"/>
      <c r="FE28" s="11"/>
    </row>
    <row r="29" spans="1:161">
      <c r="B29" s="11"/>
      <c r="H29" s="11"/>
      <c r="K29" s="11"/>
      <c r="Q29" s="11"/>
      <c r="T29" s="11"/>
      <c r="Z29" s="11"/>
      <c r="AC29" s="11"/>
      <c r="AI29" s="11"/>
      <c r="AL29" s="11"/>
      <c r="AR29" s="11"/>
      <c r="AU29" s="11"/>
      <c r="BA29" s="11"/>
      <c r="BD29" s="11"/>
      <c r="BJ29" s="11"/>
      <c r="BM29" s="11"/>
      <c r="BS29" s="11"/>
      <c r="BV29" s="11"/>
      <c r="CB29" s="11"/>
      <c r="CE29" s="11"/>
      <c r="CK29" s="11"/>
      <c r="CN29" s="11"/>
      <c r="CT29" s="11"/>
      <c r="CW29" s="11"/>
      <c r="DC29" s="11"/>
      <c r="DF29" s="11"/>
      <c r="DL29" s="11"/>
      <c r="DO29" s="11"/>
      <c r="DU29" s="11"/>
      <c r="DX29" s="11"/>
      <c r="ED29" s="11"/>
      <c r="EG29" s="11"/>
      <c r="EM29" s="11"/>
      <c r="EP29" s="11"/>
      <c r="EV29" s="11"/>
      <c r="EY29" s="11"/>
      <c r="FE29" s="11"/>
    </row>
    <row r="30" spans="1:161">
      <c r="B30" s="11"/>
      <c r="H30" s="11"/>
      <c r="K30" s="11"/>
      <c r="Q30" s="11"/>
      <c r="T30" s="11"/>
      <c r="Z30" s="11"/>
      <c r="AC30" s="11"/>
      <c r="AI30" s="11"/>
      <c r="AL30" s="11"/>
      <c r="AR30" s="11"/>
      <c r="AU30" s="11"/>
      <c r="BA30" s="11"/>
      <c r="BD30" s="11"/>
      <c r="BJ30" s="11"/>
      <c r="BM30" s="11"/>
      <c r="BS30" s="11"/>
      <c r="BV30" s="11"/>
      <c r="CB30" s="11"/>
      <c r="CE30" s="11"/>
      <c r="CK30" s="11"/>
      <c r="CN30" s="11"/>
      <c r="CT30" s="11"/>
      <c r="CW30" s="11"/>
      <c r="DC30" s="11"/>
      <c r="DF30" s="11"/>
      <c r="DL30" s="11"/>
      <c r="DO30" s="11"/>
      <c r="DU30" s="11"/>
      <c r="DX30" s="11"/>
      <c r="ED30" s="11"/>
      <c r="EG30" s="11"/>
      <c r="EM30" s="11"/>
      <c r="EP30" s="11"/>
      <c r="EV30" s="11"/>
      <c r="EY30" s="11"/>
      <c r="FE30" s="11"/>
    </row>
    <row r="31" spans="1:161">
      <c r="B31" s="11"/>
      <c r="H31" s="11"/>
      <c r="K31" s="11"/>
      <c r="Q31" s="11"/>
      <c r="T31" s="11"/>
      <c r="Z31" s="11"/>
      <c r="AC31" s="11"/>
      <c r="AI31" s="11"/>
      <c r="AL31" s="11"/>
      <c r="AR31" s="11"/>
      <c r="AU31" s="11"/>
      <c r="BA31" s="11"/>
      <c r="BD31" s="11"/>
      <c r="BJ31" s="11"/>
      <c r="BM31" s="11"/>
      <c r="BS31" s="11"/>
      <c r="BV31" s="11"/>
      <c r="CB31" s="11"/>
      <c r="CE31" s="11"/>
      <c r="CK31" s="11"/>
      <c r="CN31" s="11"/>
      <c r="CT31" s="11"/>
      <c r="CW31" s="11"/>
      <c r="DC31" s="11"/>
      <c r="DF31" s="11"/>
      <c r="DL31" s="11"/>
      <c r="DO31" s="11"/>
      <c r="DU31" s="11"/>
      <c r="DX31" s="11"/>
      <c r="ED31" s="11"/>
      <c r="EG31" s="11"/>
      <c r="EM31" s="11"/>
      <c r="EP31" s="11"/>
      <c r="EV31" s="11"/>
      <c r="EY31" s="11"/>
      <c r="FE31" s="11"/>
    </row>
    <row r="32" spans="1:161">
      <c r="B32" s="11"/>
      <c r="H32" s="11"/>
      <c r="K32" s="11"/>
      <c r="Q32" s="11"/>
      <c r="T32" s="11"/>
      <c r="Z32" s="11"/>
      <c r="AC32" s="11"/>
      <c r="AI32" s="11"/>
      <c r="AL32" s="11"/>
      <c r="AR32" s="11"/>
      <c r="AU32" s="11"/>
      <c r="BA32" s="11"/>
      <c r="BD32" s="11"/>
      <c r="BJ32" s="11"/>
      <c r="BM32" s="11"/>
      <c r="BS32" s="11"/>
      <c r="BV32" s="11"/>
      <c r="CB32" s="11"/>
      <c r="CE32" s="11"/>
      <c r="CK32" s="11"/>
      <c r="CN32" s="11"/>
      <c r="CT32" s="11"/>
      <c r="CW32" s="11"/>
      <c r="DC32" s="11"/>
      <c r="DF32" s="11"/>
      <c r="DL32" s="11"/>
      <c r="DO32" s="11"/>
      <c r="DU32" s="11"/>
      <c r="DX32" s="11"/>
      <c r="ED32" s="11"/>
      <c r="EG32" s="11"/>
      <c r="EM32" s="11"/>
      <c r="EP32" s="11"/>
      <c r="EV32" s="11"/>
      <c r="EY32" s="11"/>
      <c r="FE32" s="11"/>
    </row>
    <row r="33" spans="1:161">
      <c r="B33" s="11"/>
      <c r="D33" s="10" t="s">
        <v>431</v>
      </c>
      <c r="H33" s="11"/>
      <c r="K33" s="11"/>
      <c r="M33" s="10" t="s">
        <v>432</v>
      </c>
      <c r="Q33" s="11"/>
      <c r="T33" s="11"/>
      <c r="V33" s="10" t="s">
        <v>433</v>
      </c>
      <c r="Z33" s="11"/>
      <c r="AC33" s="11"/>
      <c r="AE33" s="10" t="s">
        <v>434</v>
      </c>
      <c r="AI33" s="11"/>
      <c r="AL33" s="11"/>
      <c r="AN33" s="10" t="s">
        <v>435</v>
      </c>
      <c r="AR33" s="11"/>
      <c r="AU33" s="11"/>
      <c r="AW33" s="10" t="s">
        <v>436</v>
      </c>
      <c r="BA33" s="11"/>
      <c r="BD33" s="11"/>
      <c r="BF33" s="10" t="s">
        <v>437</v>
      </c>
      <c r="BJ33" s="11"/>
      <c r="BM33" s="11"/>
      <c r="BO33" s="10" t="s">
        <v>438</v>
      </c>
      <c r="BS33" s="11"/>
      <c r="BV33" s="11"/>
      <c r="BX33" s="10" t="s">
        <v>439</v>
      </c>
      <c r="CB33" s="11"/>
      <c r="CE33" s="11"/>
      <c r="CG33" s="10" t="s">
        <v>440</v>
      </c>
      <c r="CK33" s="11"/>
      <c r="CN33" s="11"/>
      <c r="CP33" s="10" t="s">
        <v>441</v>
      </c>
      <c r="CT33" s="11"/>
      <c r="CW33" s="11"/>
      <c r="CY33" s="10" t="s">
        <v>442</v>
      </c>
      <c r="DC33" s="11"/>
      <c r="DF33" s="11"/>
      <c r="DH33" s="10" t="s">
        <v>443</v>
      </c>
      <c r="DL33" s="11"/>
      <c r="DO33" s="11"/>
      <c r="DQ33" s="10" t="s">
        <v>444</v>
      </c>
      <c r="DU33" s="11"/>
      <c r="DX33" s="11"/>
      <c r="DZ33" s="10" t="s">
        <v>445</v>
      </c>
      <c r="ED33" s="11"/>
      <c r="EG33" s="11"/>
      <c r="EI33" s="10" t="s">
        <v>446</v>
      </c>
      <c r="EM33" s="11"/>
      <c r="EP33" s="11"/>
      <c r="ER33" s="10" t="s">
        <v>447</v>
      </c>
      <c r="EV33" s="11"/>
      <c r="EY33" s="11"/>
      <c r="FA33" s="10" t="s">
        <v>448</v>
      </c>
      <c r="FE33" s="11"/>
    </row>
    <row r="34" spans="1:161">
      <c r="B34" s="11"/>
      <c r="D34" s="10" t="s">
        <v>367</v>
      </c>
      <c r="H34" s="11"/>
      <c r="K34" s="11"/>
      <c r="M34" s="10" t="s">
        <v>367</v>
      </c>
      <c r="Q34" s="11"/>
      <c r="T34" s="11"/>
      <c r="V34" s="10" t="s">
        <v>367</v>
      </c>
      <c r="Z34" s="11"/>
      <c r="AC34" s="11"/>
      <c r="AE34" s="10" t="s">
        <v>367</v>
      </c>
      <c r="AI34" s="11"/>
      <c r="AL34" s="11"/>
      <c r="AN34" s="10"/>
      <c r="AR34" s="11"/>
      <c r="AU34" s="11"/>
      <c r="AW34" s="10" t="s">
        <v>367</v>
      </c>
      <c r="BA34" s="11"/>
      <c r="BD34" s="11"/>
      <c r="BF34" s="10" t="s">
        <v>367</v>
      </c>
      <c r="BJ34" s="11"/>
      <c r="BM34" s="11"/>
      <c r="BO34" s="10" t="s">
        <v>367</v>
      </c>
      <c r="BS34" s="11"/>
      <c r="BV34" s="11"/>
      <c r="BX34" s="10" t="s">
        <v>367</v>
      </c>
      <c r="CB34" s="11"/>
      <c r="CE34" s="11"/>
      <c r="CG34" s="10" t="s">
        <v>367</v>
      </c>
      <c r="CK34" s="11"/>
      <c r="CN34" s="11"/>
      <c r="CP34" s="10" t="s">
        <v>367</v>
      </c>
      <c r="CT34" s="11"/>
      <c r="CW34" s="11"/>
      <c r="CY34" s="10" t="s">
        <v>367</v>
      </c>
      <c r="DC34" s="11"/>
      <c r="DF34" s="11"/>
      <c r="DH34" s="10" t="s">
        <v>367</v>
      </c>
      <c r="DL34" s="11"/>
      <c r="DO34" s="11"/>
      <c r="DQ34" s="10" t="s">
        <v>367</v>
      </c>
      <c r="DU34" s="11"/>
      <c r="DX34" s="11"/>
      <c r="DZ34" s="10" t="s">
        <v>367</v>
      </c>
      <c r="ED34" s="11"/>
      <c r="EG34" s="11"/>
      <c r="EI34" s="10" t="s">
        <v>367</v>
      </c>
      <c r="EM34" s="11"/>
      <c r="EP34" s="11"/>
      <c r="ER34" s="10" t="s">
        <v>367</v>
      </c>
      <c r="EV34" s="11"/>
      <c r="EY34" s="11"/>
      <c r="FA34" s="10" t="s">
        <v>367</v>
      </c>
      <c r="FE34" s="11"/>
    </row>
    <row r="35" spans="1:161">
      <c r="B35" s="11"/>
      <c r="D35" s="27" t="str">
        <f>CONCATENATE("En ","la ",D5," y ",D33," se observa los resultados  del  ",D4," el cual aborda ",E1062,",en donde se demuestra que el ",ROUND(F8*100,0),"%"," de los ",D1045," tienen una percepción de ",G1046,", el ",ROUND(F9*100,0),"%"," ",G1047,", un ",ROUND(F10*100,0),"%"," ",G1048,",",IF(E1049&gt;0,CONCATENATE(" ademas el ",ROUND(F11*100,0),"%"," ",G1049,)," "),IF(E1049&gt;0,CONCATENATE(" y ",ROUND(F12*100,0),"%",", ",G1050,)," "),"en tal sentido la mayoría de los ",D1045," es decir el ",ROUND(E1053*100,0),"%"," tienen una percepción con una inclinación a un valor ",D1056,","," para ",E1062,".")</f>
        <v>0</v>
      </c>
      <c r="H35" s="11"/>
      <c r="K35" s="11"/>
      <c r="M35" s="27" t="str">
        <f>CONCATENATE("En ","la ",M5," y ",M33," se observa los resultados  del  ",M4," el cual aborda ",N1062,",en donde se demuestra que el ",ROUND(O8*100,0),"%"," de los ",M1045," tienen una percepción de ",P1046,", el ",ROUND(O9*100,0),"%"," ",P1047,", un ",ROUND(O10*100,0),"%"," ",P1048,",",IF(N1049&gt;0,CONCATENATE(" ademas el ",ROUND(O11*100,0),"%"," ",P1049,)," "),IF(N1049&gt;0,CONCATENATE(" y ",ROUND(O12*100,0),"%",", ",P1050,)," "),"en tal sentido la mayoría de los ",M1045," es decir el ",ROUND(N1053*100,0),"%"," tienen una percepción con una inclinación a un valor ",M1056,","," para ",N1062,".")</f>
        <v>0</v>
      </c>
      <c r="Q35" s="11"/>
      <c r="T35" s="11"/>
      <c r="V35" s="27" t="str">
        <f>CONCATENATE("En ","la ",V5," y ",V33," se observa los resultados  del  ",V4," el cual aborda ",W1062,",en donde se demuestra que el ",ROUND(X8*100,0),"%"," de los ",V1045," tienen una percepción de ",Y1046,", el ",ROUND(X9*100,0),"%"," ",Y1047,", un ",ROUND(X10*100,0),"%"," ",Y1048,",",IF(W1049&gt;0,CONCATENATE(" ademas el ",ROUND(X11*100,0),"%"," ",Y1049,)," "),IF(W1049&gt;0,CONCATENATE(" y ",ROUND(X12*100,0),"%",", ",Y1050,)," "),"en tal sentido la mayoría de los ",V1045," es decir el ",ROUND(W1053*100,0),"%"," tienen una percepción con una inclinación a un valor ",V1056,","," para ",W1062,".")</f>
        <v>0</v>
      </c>
      <c r="Z35" s="11"/>
      <c r="AC35" s="11"/>
      <c r="AE35" s="27" t="str">
        <f>CONCATENATE("En ","la ",AE5," y ",AE33," se observa los resultados  del  ",AE4," el cual aborda ",AF1062,",en donde se demuestra que el ",ROUND(AG8*100,0),"%"," de los ",AE1045," tienen una percepción de ",AH1046,", el ",ROUND(AG9*100,0),"%"," ",AH1047,", un ",ROUND(AG10*100,0),"%"," ",AH1048,",",IF(AF1049&gt;0,CONCATENATE(" ademas el ",ROUND(AG11*100,0),"%"," ",AH1049,)," "),IF(AF1049&gt;0,CONCATENATE(" y ",ROUND(AG12*100,0),"%",", ",AH1050,)," "),"en tal sentido la mayoría de los ",AE1045," es decir el ",ROUND(AF1053*100,0),"%"," tienen una percepción con una inclinación a un valor ",AE1056,","," para ",AF1062,".")</f>
        <v>0</v>
      </c>
      <c r="AI35" s="11"/>
      <c r="AL35" s="11"/>
      <c r="AN35" s="27" t="str">
        <f>CONCATENATE("En ","la ",AN5," y ",AN33," se observa los resultados  del  ",AN4," el cual aborda ",AO1062,",en donde se demuestra que el ",ROUND(AP8*100,0),"%"," de los ",AN1045," tienen una percepción de ",AQ1046,", el ",ROUND(AP9*100,0),"%"," ",AQ1047,", un ",ROUND(AP10*100,0),"%"," ",AQ1048,",",IF(AO1049&gt;0,CONCATENATE(" ademas el ",ROUND(AP11*100,0),"%"," ",AQ1049,)," "),IF(AO1049&gt;0,CONCATENATE(" y ",ROUND(AP12*100,0),"%",", ",AQ1050,)," "),"en tal sentido la mayoría de los ",AN1045," es decir el ",ROUND(AO1053*100,0),"%"," tienen una percepción con una inclinación a un valor ",AN1056,","," para ",AO1062,".")</f>
        <v>0</v>
      </c>
      <c r="AR35" s="11"/>
      <c r="AU35" s="11"/>
      <c r="AW35" s="27" t="str">
        <f>CONCATENATE("En ","la ",AW5," y ",AW33," se observa los resultados  del  ",AW4," el cual aborda ",AX1062,",en donde se demuestra que el ",ROUND(AY8*100,0),"%"," de los ",AW1045," tienen una percepción de ",AZ1046,", el ",ROUND(AY9*100,0),"%"," ",AZ1047,", un ",ROUND(AY10*100,0),"%"," ",AZ1048,",",IF(AX1049&gt;0,CONCATENATE(" ademas el ",ROUND(AY11*100,0),"%"," ",AZ1049,)," "),IF(AX1049&gt;0,CONCATENATE(" y ",ROUND(AY12*100,0),"%",", ",AZ1050,)," "),"en tal sentido la mayoría de los ",AW1045," es decir el ",ROUND(AX1053*100,0),"%"," tienen una percepción con una inclinación a un valor ",AW1056,","," para ",AX1062,".")</f>
        <v>0</v>
      </c>
      <c r="BA35" s="11"/>
      <c r="BD35" s="11"/>
      <c r="BF35" s="27" t="str">
        <f>CONCATENATE("En ","la ",BF5," y ",BF33," se observa los resultados  del  ",BF4," el cual aborda ",BG1062,",en donde se demuestra que el ",ROUND(BH8*100,0),"%"," de los ",BF1045," tienen una percepción de ",BI1046,", el ",ROUND(BH9*100,0),"%"," ",BI1047,", un ",ROUND(BH10*100,0),"%"," ",BI1048,",",IF(BG1049&gt;0,CONCATENATE(" ademas el ",ROUND(BH11*100,0),"%"," ",BI1049,)," "),IF(BG1049&gt;0,CONCATENATE(" y ",ROUND(BH12*100,0),"%",", ",BI1050,)," "),"en tal sentido la mayoría de los ",BF1045," es decir el ",ROUND(BG1053*100,0),"%"," tienen una percepción con una inclinación a un valor ",BF1056,","," para ",BG1062,".")</f>
        <v>0</v>
      </c>
      <c r="BJ35" s="11"/>
      <c r="BM35" s="11"/>
      <c r="BO35" s="27" t="str">
        <f>CONCATENATE("En ","la ",BO5," y ",BO33," se observa los resultados  del  ",BO4," el cual aborda ",BP1062,",en donde se demuestra que el ",ROUND(BQ8*100,0),"%"," de los ",BO1045," tienen una percepción de ",BR1046,", el ",ROUND(BQ9*100,0),"%"," ",BR1047,", un ",ROUND(BQ10*100,0),"%"," ",BR1048,",",IF(BP1049&gt;0,CONCATENATE(" ademas el ",ROUND(BQ11*100,0),"%"," ",BR1049,)," "),IF(BP1049&gt;0,CONCATENATE(" y ",ROUND(BQ12*100,0),"%",", ",BR1050,)," "),"en tal sentido la mayoría de los ",BO1045," es decir el ",ROUND(BP1053*100,0),"%"," tienen una percepción con una inclinación a un valor ",BO1056,","," para ",BP1062,".")</f>
        <v>0</v>
      </c>
      <c r="BS35" s="11"/>
      <c r="BV35" s="11"/>
      <c r="BX35" s="27" t="str">
        <f>CONCATENATE("En ","la ",BX5," y ",BX33," se observa los resultados  del  ",BX4," el cual aborda ",BY1062,",en donde se demuestra que el ",ROUND(BZ8*100,0),"%"," de los ",BX1045," tienen una percepción de ",CA1046,", el ",ROUND(BZ9*100,0),"%"," ",CA1047,", un ",ROUND(BZ10*100,0),"%"," ",CA1048,",",IF(BY1049&gt;0,CONCATENATE(" ademas el ",ROUND(BZ11*100,0),"%"," ",CA1049,)," "),IF(BY1049&gt;0,CONCATENATE(" y ",ROUND(BZ12*100,0),"%",", ",CA1050,)," "),"en tal sentido la mayoría de los ",BX1045," es decir el ",ROUND(BY1053*100,0),"%"," tienen una percepción con una inclinación a un valor ",BX1056,","," para ",BY1062,".")</f>
        <v>0</v>
      </c>
      <c r="CB35" s="11"/>
      <c r="CE35" s="11"/>
      <c r="CG35" s="27" t="str">
        <f>CONCATENATE("En ","la ",CG5," y ",CG33," se observa los resultados  del  ",CG4," el cual aborda ",CH1062,",en donde se demuestra que el ",ROUND(CI8*100,0),"%"," de los ",CG1045," tienen una percepción de ",CJ1046,", el ",ROUND(CI9*100,0),"%"," ",CJ1047,", un ",ROUND(CI10*100,0),"%"," ",CJ1048,",",IF(CH1049&gt;0,CONCATENATE(" ademas el ",ROUND(CI11*100,0),"%"," ",CJ1049,)," "),IF(CH1049&gt;0,CONCATENATE(" y ",ROUND(CI12*100,0),"%",", ",CJ1050,)," "),"en tal sentido la mayoría de los ",CG1045," es decir el ",ROUND(CH1053*100,0),"%"," tienen una percepción con una inclinación a un valor ",CG1056,","," para ",CH1062,".")</f>
        <v>0</v>
      </c>
      <c r="CK35" s="11"/>
      <c r="CN35" s="11"/>
      <c r="CP35" s="27" t="str">
        <f>CONCATENATE("En ","la ",CP5," y ",CP33," se observa los resultados  del  ",CP4," el cual aborda ",CQ1062,",en donde se demuestra que el ",ROUND(CR8*100,0),"%"," de los ",CP1045," tienen una percepción de ",CS1046,", el ",ROUND(CR9*100,0),"%"," ",CS1047,", un ",ROUND(CR10*100,0),"%"," ",CS1048,",",IF(CQ1049&gt;0,CONCATENATE(" ademas el ",ROUND(CR11*100,0),"%"," ",CS1049,)," "),IF(CQ1049&gt;0,CONCATENATE(" y ",ROUND(CR12*100,0),"%",", ",CS1050,)," "),"en tal sentido la mayoría de los ",CP1045," es decir el ",ROUND(CQ1053*100,0),"%"," tienen una percepción con una inclinación a un valor ",CP1056,","," para ",CQ1062,".")</f>
        <v>0</v>
      </c>
      <c r="CT35" s="11"/>
      <c r="CW35" s="11"/>
      <c r="CY35" s="27" t="str">
        <f>CONCATENATE("En ","la ",CY5," y ",CY33," se observa los resultados  del  ",CY4," el cual aborda ",CZ1062,",en donde se demuestra que el ",ROUND(DA8*100,0),"%"," de los ",CY1045," tienen una percepción de ",DB1046,", el ",ROUND(DA9*100,0),"%"," ",DB1047,", un ",ROUND(DA10*100,0),"%"," ",DB1048,",",IF(CZ1049&gt;0,CONCATENATE(" ademas el ",ROUND(DA11*100,0),"%"," ",DB1049,)," "),IF(CZ1049&gt;0,CONCATENATE(" y ",ROUND(DA12*100,0),"%",", ",DB1050,)," "),"en tal sentido la mayoría de los ",CY1045," es decir el ",ROUND(CZ1053*100,0),"%"," tienen una percepción con una inclinación a un valor ",CY1056,","," para ",CZ1062,".")</f>
        <v>0</v>
      </c>
      <c r="DC35" s="11"/>
      <c r="DF35" s="11"/>
      <c r="DH35" s="27" t="str">
        <f>CONCATENATE("En ","la ",DH5," y ",DH33," se observa los resultados  del  ",DH4," el cual aborda ",DI1062,",en donde se demuestra que el ",ROUND(DJ8*100,0),"%"," de los ",DH1045," tienen una percepción de ",DK1046,", el ",ROUND(DJ9*100,0),"%"," ",DK1047,", un ",ROUND(DJ10*100,0),"%"," ",DK1048,",",IF(DI1049&gt;0,CONCATENATE(" ademas el ",ROUND(DJ11*100,0),"%"," ",DK1049,)," "),IF(DI1049&gt;0,CONCATENATE(" y ",ROUND(DJ12*100,0),"%",", ",DK1050,)," "),"en tal sentido la mayoría de los ",DH1045," es decir el ",ROUND(DI1053*100,0),"%"," tienen una percepción con una inclinación a un valor ",DH1056,","," para ",DI1062,".")</f>
        <v>0</v>
      </c>
      <c r="DL35" s="11"/>
      <c r="DO35" s="11"/>
      <c r="DQ35" s="27" t="str">
        <f>CONCATENATE("En ","la ",DQ5," y ",DQ33," se observa los resultados  del  ",DQ4," el cual aborda ",DR1062,",en donde se demuestra que el ",ROUND(DS8*100,0),"%"," de los ",DQ1045," tienen una percepción de ",DT1046,", el ",ROUND(DS9*100,0),"%"," ",DT1047,", un ",ROUND(DS10*100,0),"%"," ",DT1048,",",IF(DR1049&gt;0,CONCATENATE(" ademas el ",ROUND(DS11*100,0),"%"," ",DT1049,)," "),IF(DR1049&gt;0,CONCATENATE(" y ",ROUND(DS12*100,0),"%",", ",DT1050,)," "),"en tal sentido la mayoría de los ",DQ1045," es decir el ",ROUND(DR1053*100,0),"%"," tienen una percepción con una inclinación a un valor ",DQ1056,","," para ",DR1062,".")</f>
        <v>0</v>
      </c>
      <c r="DU35" s="11"/>
      <c r="DX35" s="11"/>
      <c r="DZ35" s="27" t="str">
        <f>CONCATENATE("En ","la ",DZ5," y ",DZ33," se observa los resultados  del  ",DZ4," el cual aborda ",EA1062,",en donde se demuestra que el ",ROUND(EB8*100,0),"%"," de los ",DZ1045," tienen una percepción de ",EC1046,", el ",ROUND(EB9*100,0),"%"," ",EC1047,", un ",ROUND(EB10*100,0),"%"," ",EC1048,",",IF(EA1049&gt;0,CONCATENATE(" ademas el ",ROUND(EB11*100,0),"%"," ",EC1049,)," "),IF(EA1049&gt;0,CONCATENATE(" y ",ROUND(EB12*100,0),"%",", ",EC1050,)," "),"en tal sentido la mayoría de los ",DZ1045," es decir el ",ROUND(EA1053*100,0),"%"," tienen una percepción con una inclinación a un valor ",DZ1056,","," para ",EA1062,".")</f>
        <v>0</v>
      </c>
      <c r="ED35" s="11"/>
      <c r="EG35" s="11"/>
      <c r="EI35" s="27" t="str">
        <f>CONCATENATE("En ","la ",EI5," y ",EI33," se observa los resultados  del  ",EI4," el cual aborda ",EJ1062,",en donde se demuestra que el ",ROUND(EK8*100,0),"%"," de los ",EI1045," tienen una percepción de ",EL1046,", el ",ROUND(EK9*100,0),"%"," ",EL1047,", un ",ROUND(EK10*100,0),"%"," ",EL1048,",",IF(EJ1049&gt;0,CONCATENATE(" ademas el ",ROUND(EK11*100,0),"%"," ",EL1049,)," "),IF(EJ1049&gt;0,CONCATENATE(" y ",ROUND(EK12*100,0),"%",", ",EL1050,)," "),"en tal sentido la mayoría de los ",EI1045," es decir el ",ROUND(EJ1053*100,0),"%"," tienen una percepción con una inclinación a un valor ",EI1056,","," para ",EJ1062,".")</f>
        <v>0</v>
      </c>
      <c r="EM35" s="11"/>
      <c r="EP35" s="11"/>
      <c r="ER35" s="27" t="str">
        <f>CONCATENATE("En ","la ",ER5," y ",ER33," se observa los resultados  del  ",ER4," el cual aborda ",ES1062,",en donde se demuestra que el ",ROUND(ET8*100,0),"%"," de los ",ER1045," tienen una percepción de ",EU1046,", el ",ROUND(ET9*100,0),"%"," ",EU1047,", un ",ROUND(ET10*100,0),"%"," ",EU1048,",",IF(ES1049&gt;0,CONCATENATE(" ademas el ",ROUND(ET11*100,0),"%"," ",EU1049,)," "),IF(ES1049&gt;0,CONCATENATE(" y ",ROUND(ET12*100,0),"%",", ",EU1050,)," "),"en tal sentido la mayoría de los ",ER1045," es decir el ",ROUND(ES1053*100,0),"%"," tienen una percepción con una inclinación a un valor ",ER1056,","," para ",ES1062,".")</f>
        <v>0</v>
      </c>
      <c r="EV35" s="11"/>
      <c r="EY35" s="11"/>
      <c r="FA35" s="27" t="str">
        <f>CONCATENATE("En ","la ",FA5," y ",FA33," se observa los resultados  del  ",FA4," el cual aborda ",FB1062,",en donde se demuestra que el ",ROUND(FC8*100,0),"%"," de los ",FA1045," tienen una percepción de ",FD1046,", el ",ROUND(FC9*100,0),"%"," ",FD1047,", un ",ROUND(FC10*100,0),"%"," ",FD1048,",",IF(FB1049&gt;0,CONCATENATE(" ademas el ",ROUND(FC11*100,0),"%"," ",FD1049,)," "),IF(FB1049&gt;0,CONCATENATE(" y ",ROUND(FC12*100,0),"%",", ",FD1050,)," "),"en tal sentido la mayoría de los ",FA1045," es decir el ",ROUND(FB1053*100,0),"%"," tienen una percepción con una inclinación a un valor ",FA1056,","," para ",FB1062,".")</f>
        <v>0</v>
      </c>
      <c r="FE35" s="11"/>
    </row>
    <row r="36" spans="1:161">
      <c r="B36" s="11"/>
      <c r="H36" s="11"/>
      <c r="K36" s="11"/>
      <c r="Q36" s="11"/>
      <c r="T36" s="11"/>
      <c r="Z36" s="11"/>
      <c r="AC36" s="11"/>
      <c r="AI36" s="11"/>
      <c r="AL36" s="11"/>
      <c r="AR36" s="11"/>
      <c r="AU36" s="11"/>
      <c r="BA36" s="11"/>
      <c r="BD36" s="11"/>
      <c r="BJ36" s="11"/>
      <c r="BM36" s="11"/>
      <c r="BS36" s="11"/>
      <c r="BV36" s="11"/>
      <c r="CB36" s="11"/>
      <c r="CE36" s="11"/>
      <c r="CK36" s="11"/>
      <c r="CN36" s="11"/>
      <c r="CT36" s="11"/>
      <c r="CW36" s="11"/>
      <c r="DC36" s="11"/>
      <c r="DF36" s="11"/>
      <c r="DL36" s="11"/>
      <c r="DO36" s="11"/>
      <c r="DU36" s="11"/>
      <c r="DX36" s="11"/>
      <c r="ED36" s="11"/>
      <c r="EG36" s="11"/>
      <c r="EM36" s="11"/>
      <c r="EP36" s="11"/>
      <c r="EV36" s="11"/>
      <c r="EY36" s="11"/>
      <c r="FE36" s="11"/>
    </row>
    <row r="37" spans="1:161">
      <c r="B37" s="11"/>
      <c r="H37" s="11"/>
      <c r="K37" s="11"/>
      <c r="Q37" s="11"/>
      <c r="T37" s="11"/>
      <c r="Z37" s="11"/>
      <c r="AC37" s="11"/>
      <c r="AI37" s="11"/>
      <c r="AL37" s="11"/>
      <c r="AR37" s="11"/>
      <c r="AU37" s="11"/>
      <c r="BA37" s="11"/>
      <c r="BD37" s="11"/>
      <c r="BJ37" s="11"/>
      <c r="BM37" s="11"/>
      <c r="BS37" s="11"/>
      <c r="BV37" s="11"/>
      <c r="CB37" s="11"/>
      <c r="CE37" s="11"/>
      <c r="CK37" s="11"/>
      <c r="CN37" s="11"/>
      <c r="CT37" s="11"/>
      <c r="CW37" s="11"/>
      <c r="DC37" s="11"/>
      <c r="DF37" s="11"/>
      <c r="DL37" s="11"/>
      <c r="DO37" s="11"/>
      <c r="DU37" s="11"/>
      <c r="DX37" s="11"/>
      <c r="ED37" s="11"/>
      <c r="EG37" s="11"/>
      <c r="EM37" s="11"/>
      <c r="EP37" s="11"/>
      <c r="EV37" s="11"/>
      <c r="EY37" s="11"/>
      <c r="FE37" s="11"/>
    </row>
    <row r="38" spans="1:161">
      <c r="B38" s="11"/>
      <c r="H38" s="11"/>
      <c r="K38" s="11"/>
      <c r="Q38" s="11"/>
      <c r="T38" s="11"/>
      <c r="Z38" s="11"/>
      <c r="AC38" s="11"/>
      <c r="AI38" s="11"/>
      <c r="AL38" s="11"/>
      <c r="AR38" s="11"/>
      <c r="AU38" s="11"/>
      <c r="BA38" s="11"/>
      <c r="BD38" s="11"/>
      <c r="BJ38" s="11"/>
      <c r="BM38" s="11"/>
      <c r="BS38" s="11"/>
      <c r="BV38" s="11"/>
      <c r="CB38" s="11"/>
      <c r="CE38" s="11"/>
      <c r="CK38" s="11"/>
      <c r="CN38" s="11"/>
      <c r="CT38" s="11"/>
      <c r="CW38" s="11"/>
      <c r="DC38" s="11"/>
      <c r="DF38" s="11"/>
      <c r="DL38" s="11"/>
      <c r="DO38" s="11"/>
      <c r="DU38" s="11"/>
      <c r="DX38" s="11"/>
      <c r="ED38" s="11"/>
      <c r="EG38" s="11"/>
      <c r="EM38" s="11"/>
      <c r="EP38" s="11"/>
      <c r="EV38" s="11"/>
      <c r="EY38" s="11"/>
      <c r="FE38" s="11"/>
    </row>
    <row r="39" spans="1:161">
      <c r="B39" s="11"/>
      <c r="H39" s="11"/>
      <c r="K39" s="11"/>
      <c r="Q39" s="11"/>
      <c r="T39" s="11"/>
      <c r="Z39" s="11"/>
      <c r="AC39" s="11"/>
      <c r="AI39" s="11"/>
      <c r="AL39" s="11"/>
      <c r="AR39" s="11"/>
      <c r="AU39" s="11"/>
      <c r="BA39" s="11"/>
      <c r="BD39" s="11"/>
      <c r="BJ39" s="11"/>
      <c r="BM39" s="11"/>
      <c r="BS39" s="11"/>
      <c r="BV39" s="11"/>
      <c r="CB39" s="11"/>
      <c r="CE39" s="11"/>
      <c r="CK39" s="11"/>
      <c r="CN39" s="11"/>
      <c r="CT39" s="11"/>
      <c r="CW39" s="11"/>
      <c r="DC39" s="11"/>
      <c r="DF39" s="11"/>
      <c r="DL39" s="11"/>
      <c r="DO39" s="11"/>
      <c r="DU39" s="11"/>
      <c r="DX39" s="11"/>
      <c r="ED39" s="11"/>
      <c r="EG39" s="11"/>
      <c r="EM39" s="11"/>
      <c r="EP39" s="11"/>
      <c r="EV39" s="11"/>
      <c r="EY39" s="11"/>
      <c r="FE39" s="11"/>
    </row>
    <row r="1045" spans="1:161">
      <c r="D1045" s="33" t="s">
        <v>363</v>
      </c>
      <c r="E1045" s="33" t="s">
        <v>367</v>
      </c>
      <c r="M1045" s="33" t="s">
        <v>363</v>
      </c>
      <c r="N1045" s="33" t="s">
        <v>367</v>
      </c>
      <c r="V1045" s="33" t="s">
        <v>363</v>
      </c>
      <c r="W1045" s="33" t="s">
        <v>367</v>
      </c>
      <c r="AE1045" s="33" t="s">
        <v>363</v>
      </c>
      <c r="AF1045" s="33"/>
      <c r="AN1045" s="33" t="s">
        <v>363</v>
      </c>
      <c r="AO1045" s="33" t="s">
        <v>367</v>
      </c>
      <c r="AW1045" s="33" t="s">
        <v>363</v>
      </c>
      <c r="AX1045" s="33" t="s">
        <v>367</v>
      </c>
      <c r="BF1045" s="33" t="s">
        <v>363</v>
      </c>
      <c r="BG1045" s="33" t="s">
        <v>367</v>
      </c>
      <c r="BO1045" s="33" t="s">
        <v>363</v>
      </c>
      <c r="BP1045" s="33" t="s">
        <v>367</v>
      </c>
      <c r="BX1045" s="33" t="s">
        <v>363</v>
      </c>
      <c r="BY1045" s="33"/>
      <c r="CG1045" s="33" t="s">
        <v>363</v>
      </c>
      <c r="CH1045" s="33" t="s">
        <v>367</v>
      </c>
      <c r="CP1045" s="33" t="s">
        <v>363</v>
      </c>
      <c r="CQ1045" s="33" t="s">
        <v>367</v>
      </c>
      <c r="CY1045" s="33" t="s">
        <v>363</v>
      </c>
      <c r="CZ1045" s="33" t="s">
        <v>367</v>
      </c>
      <c r="DH1045" s="33" t="s">
        <v>363</v>
      </c>
      <c r="DI1045" s="33" t="s">
        <v>367</v>
      </c>
      <c r="DQ1045" s="33" t="s">
        <v>363</v>
      </c>
      <c r="DR1045" s="33" t="s">
        <v>367</v>
      </c>
      <c r="DZ1045" s="33" t="s">
        <v>363</v>
      </c>
      <c r="EA1045" s="33" t="s">
        <v>367</v>
      </c>
      <c r="EI1045" s="33" t="s">
        <v>363</v>
      </c>
      <c r="EJ1045" s="33" t="s">
        <v>367</v>
      </c>
      <c r="ER1045" s="33" t="s">
        <v>363</v>
      </c>
      <c r="ES1045" s="33" t="s">
        <v>367</v>
      </c>
      <c r="FA1045" s="33" t="s">
        <v>363</v>
      </c>
      <c r="FB1045" s="33" t="s">
        <v>367</v>
      </c>
    </row>
    <row r="1046" spans="1:161">
      <c r="C1046" s="33">
        <v>1</v>
      </c>
      <c r="D1046" s="33" t="str">
        <f>IF(E1046=F8,D8,IF(E1046=F9,D9,IF(E1046=F10,D10,IF(E1046=F11,D11,IF(E1046=F12,D12,"ALGO ESTA MAL")))))</f>
        <v>0</v>
      </c>
      <c r="E1046" s="34" t="str">
        <f>LARGE($F$8:$F$12,C1046)</f>
        <v>0</v>
      </c>
      <c r="F1046" s="34" t="str">
        <f>IF(E1046&gt;0.1%,E1046,"Algo Esta Mal")</f>
        <v>0</v>
      </c>
      <c r="G1046" s="33" t="str">
        <f>IF(F1046=E1046,D1046," ")</f>
        <v>0</v>
      </c>
      <c r="L1046" s="33">
        <v>1</v>
      </c>
      <c r="M1046" s="33" t="str">
        <f>IF(N1046=O8,M8,IF(N1046=O9,M9,IF(N1046=O10,M10,IF(N1046=O11,M11,IF(N1046=O12,M12,"ALGO ESTA MAL")))))</f>
        <v>0</v>
      </c>
      <c r="N1046" s="34" t="str">
        <f>LARGE($O$8:$O$12,L1046)</f>
        <v>0</v>
      </c>
      <c r="O1046" s="34" t="str">
        <f>IF(N1046&gt;0.1%,N1046,"Algo Esta Mal")</f>
        <v>0</v>
      </c>
      <c r="P1046" s="33" t="str">
        <f>IF(O1046=N1046,M1046," ")</f>
        <v>0</v>
      </c>
      <c r="U1046" s="33">
        <v>1</v>
      </c>
      <c r="V1046" s="33" t="str">
        <f>IF(W1046=X8,V8,IF(W1046=X9,V9,IF(W1046=X10,V10,IF(W1046=X11,V11,IF(W1046=X12,V12,"ALGO ESTA MAL")))))</f>
        <v>0</v>
      </c>
      <c r="W1046" s="34" t="str">
        <f>LARGE($X$8:$X$12,U1046)</f>
        <v>0</v>
      </c>
      <c r="X1046" s="34" t="str">
        <f>IF(W1046&gt;0.1%,W1046,"Algo Esta Mal")</f>
        <v>0</v>
      </c>
      <c r="Y1046" s="33" t="str">
        <f>IF(X1046=W1046,V1046," ")</f>
        <v>0</v>
      </c>
      <c r="AD1046" s="33">
        <v>1</v>
      </c>
      <c r="AE1046" s="33" t="str">
        <f>IF(AF1046=AG8,AE8,IF(AF1046=AG9,AE9,IF(AF1046=AG10,AE10,IF(AF1046=AG11,AE11,IF(AF1046=AG12,AE12,"ALGO ESTA MAL")))))</f>
        <v>0</v>
      </c>
      <c r="AF1046" s="34" t="str">
        <f>LARGE($AG$8:$AG$12,AD1046)</f>
        <v>0</v>
      </c>
      <c r="AG1046" s="34" t="str">
        <f>IF(AF1046&gt;0.1%,AF1046,"Algo Esta Mal")</f>
        <v>0</v>
      </c>
      <c r="AH1046" s="33" t="str">
        <f>IF(AG1046=AF1046,AE1046," ")</f>
        <v>0</v>
      </c>
      <c r="AM1046" s="33">
        <v>1</v>
      </c>
      <c r="AN1046" s="33" t="str">
        <f>IF(AO1046=AP8,AN8,IF(AO1046=AP9,AN9,IF(AO1046=AP10,AN10,IF(AO1046=AP11,AN11,IF(AO1046=AP12,AN12,"ALGO ESTA MAL")))))</f>
        <v>0</v>
      </c>
      <c r="AO1046" s="34" t="str">
        <f>LARGE($AP$8:$AP$12,AM1046)</f>
        <v>0</v>
      </c>
      <c r="AP1046" s="34" t="str">
        <f>IF(AO1046&gt;0.1%,AO1046,"Algo Esta Mal")</f>
        <v>0</v>
      </c>
      <c r="AQ1046" s="33" t="str">
        <f>IF(AP1046=AO1046,AN1046," ")</f>
        <v>0</v>
      </c>
      <c r="AV1046" s="33">
        <v>1</v>
      </c>
      <c r="AW1046" s="33" t="str">
        <f>IF(AX1046=AY8,AW8,IF(AX1046=AY9,AW9,IF(AX1046=AY10,AW10,IF(AX1046=AY11,AW11,IF(AX1046=AY12,AW12,"ALGO ESTA MAL")))))</f>
        <v>0</v>
      </c>
      <c r="AX1046" s="34" t="str">
        <f>LARGE($AY$8:$AY$12,AV1046)</f>
        <v>0</v>
      </c>
      <c r="AY1046" s="34" t="str">
        <f>IF(AX1046&gt;0.1%,AX1046,"Algo Esta Mal")</f>
        <v>0</v>
      </c>
      <c r="AZ1046" s="33" t="str">
        <f>IF(AY1046=AX1046,AW1046," ")</f>
        <v>0</v>
      </c>
      <c r="BE1046" s="33">
        <v>1</v>
      </c>
      <c r="BF1046" s="33" t="str">
        <f>IF(BG1046=BH8,BF8,IF(BG1046=BH9,BF9,IF(BG1046=BH10,BF10,IF(BG1046=BH11,BF11,IF(BG1046=BH12,BF12,"ALGO ESTA MAL")))))</f>
        <v>0</v>
      </c>
      <c r="BG1046" s="34" t="str">
        <f>LARGE($BH$8:$BH$12,BE1046)</f>
        <v>0</v>
      </c>
      <c r="BH1046" s="34" t="str">
        <f>IF(BG1046&gt;0.1%,BG1046,"Algo Esta Mal")</f>
        <v>0</v>
      </c>
      <c r="BI1046" s="33" t="str">
        <f>IF(BH1046=BG1046,BF1046," ")</f>
        <v>0</v>
      </c>
      <c r="BN1046" s="33">
        <v>1</v>
      </c>
      <c r="BO1046" s="33" t="str">
        <f>IF(BP1046=BQ8,BO8,IF(BP1046=BQ9,BO9,IF(BP1046=BQ10,BO10,IF(BP1046=BQ11,BO11,IF(BP1046=BQ12,BO12,"ALGO ESTA MAL")))))</f>
        <v>0</v>
      </c>
      <c r="BP1046" s="34" t="str">
        <f>LARGE($BQ$8:$BQ$12,BN1046)</f>
        <v>0</v>
      </c>
      <c r="BQ1046" s="34" t="str">
        <f>IF(BP1046&gt;0.1%,BP1046,"Algo Esta Mal")</f>
        <v>0</v>
      </c>
      <c r="BR1046" s="33" t="str">
        <f>IF(BQ1046=BP1046,BO1046," ")</f>
        <v>0</v>
      </c>
      <c r="BW1046" s="33">
        <v>1</v>
      </c>
      <c r="BX1046" s="33" t="str">
        <f>IF(BY1046=BZ8,BX8,IF(BY1046=BZ9,BX9,IF(BY1046=BZ10,BX10,IF(BY1046=BZ11,BX11,IF(BY1046=BZ12,BX12,"ALGO ESTA MAL")))))</f>
        <v>0</v>
      </c>
      <c r="BY1046" s="34" t="str">
        <f>LARGE($BZ$8:$BZ$12,BW1046)</f>
        <v>0</v>
      </c>
      <c r="BZ1046" s="34" t="str">
        <f>IF(BY1046&gt;0.1%,BY1046,"Algo Esta Mal")</f>
        <v>0</v>
      </c>
      <c r="CA1046" s="33" t="str">
        <f>IF(BZ1046=BY1046,BX1046," ")</f>
        <v>0</v>
      </c>
      <c r="CF1046" s="33">
        <v>1</v>
      </c>
      <c r="CG1046" s="33" t="str">
        <f>IF(CH1046=CI8,CG8,IF(CH1046=CI9,CG9,IF(CH1046=CI10,CG10,IF(CH1046=CI11,CG11,IF(CH1046=CI12,CG12,"ALGO ESTA MAL")))))</f>
        <v>0</v>
      </c>
      <c r="CH1046" s="34" t="str">
        <f>LARGE($CI$8:$CI$12,CF1046)</f>
        <v>0</v>
      </c>
      <c r="CI1046" s="34" t="str">
        <f>IF(CH1046&gt;0.1%,CH1046,"Algo Esta Mal")</f>
        <v>0</v>
      </c>
      <c r="CJ1046" s="33" t="str">
        <f>IF(CI1046=CH1046,CG1046," ")</f>
        <v>0</v>
      </c>
      <c r="CO1046" s="33">
        <v>1</v>
      </c>
      <c r="CP1046" s="33" t="str">
        <f>IF(CQ1046=CR8,CP8,IF(CQ1046=CR9,CP9,IF(CQ1046=CR10,CP10,IF(CQ1046=CR11,CP11,IF(CQ1046=CR12,CP12,"ALGO ESTA MAL")))))</f>
        <v>0</v>
      </c>
      <c r="CQ1046" s="34" t="str">
        <f>LARGE($CR$8:$CR$12,CO1046)</f>
        <v>0</v>
      </c>
      <c r="CR1046" s="34" t="str">
        <f>IF(CQ1046&gt;0.1%,CQ1046,"Algo Esta Mal")</f>
        <v>0</v>
      </c>
      <c r="CS1046" s="33" t="str">
        <f>IF(CR1046=CQ1046,CP1046," ")</f>
        <v>0</v>
      </c>
      <c r="CX1046" s="33">
        <v>1</v>
      </c>
      <c r="CY1046" s="33" t="str">
        <f>IF(CZ1046=DA8,CY8,IF(CZ1046=DA9,CY9,IF(CZ1046=DA10,CY10,IF(CZ1046=DA11,CY11,IF(CZ1046=DA12,CY12,"ALGO ESTA MAL")))))</f>
        <v>0</v>
      </c>
      <c r="CZ1046" s="34" t="str">
        <f>LARGE($DA$8:$DA$12,CX1046)</f>
        <v>0</v>
      </c>
      <c r="DA1046" s="34" t="str">
        <f>IF(CZ1046&gt;0.1%,CZ1046,"Algo Esta Mal")</f>
        <v>0</v>
      </c>
      <c r="DB1046" s="33" t="str">
        <f>IF(DA1046=CZ1046,CY1046," ")</f>
        <v>0</v>
      </c>
      <c r="DG1046" s="33">
        <v>1</v>
      </c>
      <c r="DH1046" s="33" t="str">
        <f>IF(DI1046=DJ8,DH8,IF(DI1046=DJ9,DH9,IF(DI1046=DJ10,DH10,IF(DI1046=DJ11,DH11,IF(DI1046=DJ12,DH12,"ALGO ESTA MAL")))))</f>
        <v>0</v>
      </c>
      <c r="DI1046" s="34" t="str">
        <f>LARGE($DJ$8:$DJ$12,DG1046)</f>
        <v>0</v>
      </c>
      <c r="DJ1046" s="34" t="str">
        <f>IF(DI1046&gt;0.1%,DI1046,"Algo Esta Mal")</f>
        <v>0</v>
      </c>
      <c r="DK1046" s="33" t="str">
        <f>IF(DJ1046=DI1046,DH1046," ")</f>
        <v>0</v>
      </c>
      <c r="DP1046" s="33">
        <v>1</v>
      </c>
      <c r="DQ1046" s="33" t="str">
        <f>IF(DR1046=DS8,DQ8,IF(DR1046=DS9,DQ9,IF(DR1046=DS10,DQ10,IF(DR1046=DS11,DQ11,IF(DR1046=DS12,DQ12,"ALGO ESTA MAL")))))</f>
        <v>0</v>
      </c>
      <c r="DR1046" s="34" t="str">
        <f>LARGE($DS$8:$DS$12,DP1046)</f>
        <v>0</v>
      </c>
      <c r="DS1046" s="34" t="str">
        <f>IF(DR1046&gt;0.1%,DR1046,"Algo Esta Mal")</f>
        <v>0</v>
      </c>
      <c r="DT1046" s="33" t="str">
        <f>IF(DS1046=DR1046,DQ1046," ")</f>
        <v>0</v>
      </c>
      <c r="DY1046" s="33">
        <v>1</v>
      </c>
      <c r="DZ1046" s="33" t="str">
        <f>IF(EA1046=EB8,DZ8,IF(EA1046=EB9,DZ9,IF(EA1046=EB10,DZ10,IF(EA1046=EB11,DZ11,IF(EA1046=EB12,DZ12,"ALGO ESTA MAL")))))</f>
        <v>0</v>
      </c>
      <c r="EA1046" s="34" t="str">
        <f>LARGE($EB$8:$EB$12,DY1046)</f>
        <v>0</v>
      </c>
      <c r="EB1046" s="34" t="str">
        <f>IF(EA1046&gt;0.1%,EA1046,"Algo Esta Mal")</f>
        <v>0</v>
      </c>
      <c r="EC1046" s="33" t="str">
        <f>IF(EB1046=EA1046,DZ1046," ")</f>
        <v>0</v>
      </c>
      <c r="EH1046" s="33">
        <v>1</v>
      </c>
      <c r="EI1046" s="33" t="str">
        <f>IF(EJ1046=EK8,EI8,IF(EJ1046=EK9,EI9,IF(EJ1046=EK10,EI10,IF(EJ1046=EK11,EI11,IF(EJ1046=EK12,EI12,"ALGO ESTA MAL")))))</f>
        <v>0</v>
      </c>
      <c r="EJ1046" s="34" t="str">
        <f>LARGE($EK$8:$EK$12,EH1046)</f>
        <v>0</v>
      </c>
      <c r="EK1046" s="34" t="str">
        <f>IF(EJ1046&gt;0.1%,EJ1046,"Algo Esta Mal")</f>
        <v>0</v>
      </c>
      <c r="EL1046" s="33" t="str">
        <f>IF(EK1046=EJ1046,EI1046," ")</f>
        <v>0</v>
      </c>
      <c r="EQ1046" s="33">
        <v>1</v>
      </c>
      <c r="ER1046" s="33" t="str">
        <f>IF(ES1046=ET8,ER8,IF(ES1046=ET9,ER9,IF(ES1046=ET10,ER10,IF(ES1046=ET11,ER11,IF(ES1046=ET12,ER12,"ALGO ESTA MAL")))))</f>
        <v>0</v>
      </c>
      <c r="ES1046" s="34" t="str">
        <f>LARGE($ET$8:$ET$12,EQ1046)</f>
        <v>0</v>
      </c>
      <c r="ET1046" s="34" t="str">
        <f>IF(ES1046&gt;0.1%,ES1046,"Algo Esta Mal")</f>
        <v>0</v>
      </c>
      <c r="EU1046" s="33" t="str">
        <f>IF(ET1046=ES1046,ER1046," ")</f>
        <v>0</v>
      </c>
      <c r="EZ1046" s="33">
        <v>1</v>
      </c>
      <c r="FA1046" s="33" t="str">
        <f>IF(FB1046=FC8,FA8,IF(FB1046=FC9,FA9,IF(FB1046=FC10,FA10,IF(FB1046=FC11,FA11,IF(FB1046=FC12,FA12,"ALGO ESTA MAL")))))</f>
        <v>0</v>
      </c>
      <c r="FB1046" s="34" t="str">
        <f>LARGE($FC$8:$FC$12,EZ1046)</f>
        <v>0</v>
      </c>
      <c r="FC1046" s="34" t="str">
        <f>IF(FB1046&gt;0.1%,FB1046,"Algo Esta Mal")</f>
        <v>0</v>
      </c>
      <c r="FD1046" s="33" t="str">
        <f>IF(FC1046=FB1046,FA1046," ")</f>
        <v>0</v>
      </c>
    </row>
    <row r="1047" spans="1:161">
      <c r="C1047" s="33">
        <v>2</v>
      </c>
      <c r="D1047" s="33" t="str">
        <f>IF(E1047=F8,D8,IF(E1047=F9,D9,IF(E1047=F10,D10,IF(E1047=F11,D11,IF(E1047=F12,D12,"ALGO ESTA MAL")))))</f>
        <v>0</v>
      </c>
      <c r="E1047" s="34" t="str">
        <f>LARGE($F$8:$F$12,C1047)</f>
        <v>0</v>
      </c>
      <c r="F1047" s="34" t="str">
        <f>IF(E1047&gt;0.1%,E1047,"Algo Esta Mal")</f>
        <v>0</v>
      </c>
      <c r="G1047" s="33" t="str">
        <f>IF(F1047=E1047,D1047," ")</f>
        <v>0</v>
      </c>
      <c r="L1047" s="33">
        <v>2</v>
      </c>
      <c r="M1047" s="33" t="str">
        <f>IF(N1047=O8,M8,IF(N1047=O9,M9,IF(N1047=O10,M10,IF(N1047=O11,M11,IF(N1047=O12,M12,"ALGO ESTA MAL")))))</f>
        <v>0</v>
      </c>
      <c r="N1047" s="34" t="str">
        <f>LARGE($O$8:$O$12,L1047)</f>
        <v>0</v>
      </c>
      <c r="O1047" s="34" t="str">
        <f>IF(N1047&gt;0.1%,N1047,"Algo Esta Mal")</f>
        <v>0</v>
      </c>
      <c r="P1047" s="33" t="str">
        <f>IF(O1047=N1047,M1047," ")</f>
        <v>0</v>
      </c>
      <c r="U1047" s="33">
        <v>2</v>
      </c>
      <c r="V1047" s="33" t="str">
        <f>IF(W1047=X8,V8,IF(W1047=X9,V9,IF(W1047=X10,V10,IF(W1047=X11,V11,IF(W1047=X12,V12,"ALGO ESTA MAL")))))</f>
        <v>0</v>
      </c>
      <c r="W1047" s="34" t="str">
        <f>LARGE($X$8:$X$12,U1047)</f>
        <v>0</v>
      </c>
      <c r="X1047" s="34" t="str">
        <f>IF(W1047&gt;0.1%,W1047,"Algo Esta Mal")</f>
        <v>0</v>
      </c>
      <c r="Y1047" s="33" t="str">
        <f>IF(X1047=W1047,V1047," ")</f>
        <v>0</v>
      </c>
      <c r="AD1047" s="33">
        <v>2</v>
      </c>
      <c r="AE1047" s="33" t="str">
        <f>IF(AF1047=AG8,AE8,IF(AF1047=AG9,AE9,IF(AF1047=AG10,AE10,IF(AF1047=AG11,AE11,IF(AF1047=AG12,AE12,"ALGO ESTA MAL")))))</f>
        <v>0</v>
      </c>
      <c r="AF1047" s="34" t="str">
        <f>LARGE($AG$8:$AG$12,AD1047)</f>
        <v>0</v>
      </c>
      <c r="AG1047" s="34" t="str">
        <f>IF(AF1047&gt;0.1%,AF1047,"Algo Esta Mal")</f>
        <v>0</v>
      </c>
      <c r="AH1047" s="33" t="str">
        <f>IF(AG1047=AF1047,AE1047," ")</f>
        <v>0</v>
      </c>
      <c r="AM1047" s="33">
        <v>2</v>
      </c>
      <c r="AN1047" s="33" t="str">
        <f>IF(AO1047=AP8,AN8,IF(AO1047=AP9,AN9,IF(AO1047=AP10,AN10,IF(AO1047=AP11,AN11,IF(AO1047=AP12,AN12,"ALGO ESTA MAL")))))</f>
        <v>0</v>
      </c>
      <c r="AO1047" s="34" t="str">
        <f>LARGE($AP$8:$AP$12,AM1047)</f>
        <v>0</v>
      </c>
      <c r="AP1047" s="34" t="str">
        <f>IF(AO1047&gt;0.1%,AO1047,"Algo Esta Mal")</f>
        <v>0</v>
      </c>
      <c r="AQ1047" s="33" t="str">
        <f>IF(AP1047=AO1047,AN1047," ")</f>
        <v>0</v>
      </c>
      <c r="AV1047" s="33">
        <v>2</v>
      </c>
      <c r="AW1047" s="33" t="str">
        <f>IF(AX1047=AY8,AW8,IF(AX1047=AY9,AW9,IF(AX1047=AY10,AW10,IF(AX1047=AY11,AW11,IF(AX1047=AY12,AW12,"ALGO ESTA MAL")))))</f>
        <v>0</v>
      </c>
      <c r="AX1047" s="34" t="str">
        <f>LARGE($AY$8:$AY$12,AV1047)</f>
        <v>0</v>
      </c>
      <c r="AY1047" s="34" t="str">
        <f>IF(AX1047&gt;0.1%,AX1047,"Algo Esta Mal")</f>
        <v>0</v>
      </c>
      <c r="AZ1047" s="33" t="str">
        <f>IF(AY1047=AX1047,AW1047," ")</f>
        <v>0</v>
      </c>
      <c r="BE1047" s="33">
        <v>2</v>
      </c>
      <c r="BF1047" s="33" t="str">
        <f>IF(BG1047=BH8,BF8,IF(BG1047=BH9,BF9,IF(BG1047=BH10,BF10,IF(BG1047=BH11,BF11,IF(BG1047=BH12,BF12,"ALGO ESTA MAL")))))</f>
        <v>0</v>
      </c>
      <c r="BG1047" s="34" t="str">
        <f>LARGE($BH$8:$BH$12,BE1047)</f>
        <v>0</v>
      </c>
      <c r="BH1047" s="34" t="str">
        <f>IF(BG1047&gt;0.1%,BG1047,"Algo Esta Mal")</f>
        <v>0</v>
      </c>
      <c r="BI1047" s="33" t="str">
        <f>IF(BH1047=BG1047,BF1047," ")</f>
        <v>0</v>
      </c>
      <c r="BN1047" s="33">
        <v>2</v>
      </c>
      <c r="BO1047" s="33" t="str">
        <f>IF(BP1047=BQ8,BO8,IF(BP1047=BQ9,BO9,IF(BP1047=BQ10,BO10,IF(BP1047=BQ11,BO11,IF(BP1047=BQ12,BO12,"ALGO ESTA MAL")))))</f>
        <v>0</v>
      </c>
      <c r="BP1047" s="34" t="str">
        <f>LARGE($BQ$8:$BQ$12,BN1047)</f>
        <v>0</v>
      </c>
      <c r="BQ1047" s="34" t="str">
        <f>IF(BP1047&gt;0.1%,BP1047,"Algo Esta Mal")</f>
        <v>0</v>
      </c>
      <c r="BR1047" s="33" t="str">
        <f>IF(BQ1047=BP1047,BO1047," ")</f>
        <v>0</v>
      </c>
      <c r="BW1047" s="33">
        <v>2</v>
      </c>
      <c r="BX1047" s="33" t="str">
        <f>IF(BY1047=BZ8,BX8,IF(BY1047=BZ9,BX9,IF(BY1047=BZ10,BX10,IF(BY1047=BZ11,BX11,IF(BY1047=BZ12,BX12,"ALGO ESTA MAL")))))</f>
        <v>0</v>
      </c>
      <c r="BY1047" s="34" t="str">
        <f>LARGE($BZ$8:$BZ$12,BW1047)</f>
        <v>0</v>
      </c>
      <c r="BZ1047" s="34" t="str">
        <f>IF(BY1047&gt;0.1%,BY1047,"Algo Esta Mal")</f>
        <v>0</v>
      </c>
      <c r="CA1047" s="33" t="str">
        <f>IF(BZ1047=BY1047,BX1047," ")</f>
        <v>0</v>
      </c>
      <c r="CF1047" s="33">
        <v>2</v>
      </c>
      <c r="CG1047" s="33" t="str">
        <f>IF(CH1047=CI8,CG8,IF(CH1047=CI9,CG9,IF(CH1047=CI10,CG10,IF(CH1047=CI11,CG11,IF(CH1047=CI12,CG12,"ALGO ESTA MAL")))))</f>
        <v>0</v>
      </c>
      <c r="CH1047" s="34" t="str">
        <f>LARGE($CI$8:$CI$12,CF1047)</f>
        <v>0</v>
      </c>
      <c r="CI1047" s="34" t="str">
        <f>IF(CH1047&gt;0.1%,CH1047,"Algo Esta Mal")</f>
        <v>0</v>
      </c>
      <c r="CJ1047" s="33" t="str">
        <f>IF(CI1047=CH1047,CG1047," ")</f>
        <v>0</v>
      </c>
      <c r="CO1047" s="33">
        <v>2</v>
      </c>
      <c r="CP1047" s="33" t="str">
        <f>IF(CQ1047=CR8,CP8,IF(CQ1047=CR9,CP9,IF(CQ1047=CR10,CP10,IF(CQ1047=CR11,CP11,IF(CQ1047=CR12,CP12,"ALGO ESTA MAL")))))</f>
        <v>0</v>
      </c>
      <c r="CQ1047" s="34" t="str">
        <f>LARGE($CR$8:$CR$12,CO1047)</f>
        <v>0</v>
      </c>
      <c r="CR1047" s="34" t="str">
        <f>IF(CQ1047&gt;0.1%,CQ1047,"Algo Esta Mal")</f>
        <v>0</v>
      </c>
      <c r="CS1047" s="33" t="str">
        <f>IF(CR1047=CQ1047,CP1047," ")</f>
        <v>0</v>
      </c>
      <c r="CX1047" s="33">
        <v>2</v>
      </c>
      <c r="CY1047" s="33" t="str">
        <f>IF(CZ1047=DA8,CY8,IF(CZ1047=DA9,CY9,IF(CZ1047=DA10,CY10,IF(CZ1047=DA11,CY11,IF(CZ1047=DA12,CY12,"ALGO ESTA MAL")))))</f>
        <v>0</v>
      </c>
      <c r="CZ1047" s="34" t="str">
        <f>LARGE($DA$8:$DA$12,CX1047)</f>
        <v>0</v>
      </c>
      <c r="DA1047" s="34" t="str">
        <f>IF(CZ1047&gt;0.1%,CZ1047,"Algo Esta Mal")</f>
        <v>0</v>
      </c>
      <c r="DB1047" s="33" t="str">
        <f>IF(DA1047=CZ1047,CY1047," ")</f>
        <v>0</v>
      </c>
      <c r="DG1047" s="33">
        <v>2</v>
      </c>
      <c r="DH1047" s="33" t="str">
        <f>IF(DI1047=DJ8,DH8,IF(DI1047=DJ9,DH9,IF(DI1047=DJ10,DH10,IF(DI1047=DJ11,DH11,IF(DI1047=DJ12,DH12,"ALGO ESTA MAL")))))</f>
        <v>0</v>
      </c>
      <c r="DI1047" s="34" t="str">
        <f>LARGE($DJ$8:$DJ$12,DG1047)</f>
        <v>0</v>
      </c>
      <c r="DJ1047" s="34" t="str">
        <f>IF(DI1047&gt;0.1%,DI1047,"Algo Esta Mal")</f>
        <v>0</v>
      </c>
      <c r="DK1047" s="33" t="str">
        <f>IF(DJ1047=DI1047,DH1047," ")</f>
        <v>0</v>
      </c>
      <c r="DP1047" s="33">
        <v>2</v>
      </c>
      <c r="DQ1047" s="33" t="str">
        <f>IF(DR1047=DS8,DQ8,IF(DR1047=DS9,DQ9,IF(DR1047=DS10,DQ10,IF(DR1047=DS11,DQ11,IF(DR1047=DS12,DQ12,"ALGO ESTA MAL")))))</f>
        <v>0</v>
      </c>
      <c r="DR1047" s="34" t="str">
        <f>LARGE($DS$8:$DS$12,DP1047)</f>
        <v>0</v>
      </c>
      <c r="DS1047" s="34" t="str">
        <f>IF(DR1047&gt;0.1%,DR1047,"Algo Esta Mal")</f>
        <v>0</v>
      </c>
      <c r="DT1047" s="33" t="str">
        <f>IF(DS1047=DR1047,DQ1047," ")</f>
        <v>0</v>
      </c>
      <c r="DY1047" s="33">
        <v>2</v>
      </c>
      <c r="DZ1047" s="33" t="str">
        <f>IF(EA1047=EB8,DZ8,IF(EA1047=EB9,DZ9,IF(EA1047=EB10,DZ10,IF(EA1047=EB11,DZ11,IF(EA1047=EB12,DZ12,"ALGO ESTA MAL")))))</f>
        <v>0</v>
      </c>
      <c r="EA1047" s="34" t="str">
        <f>LARGE($EB$8:$EB$12,DY1047)</f>
        <v>0</v>
      </c>
      <c r="EB1047" s="34" t="str">
        <f>IF(EA1047&gt;0.1%,EA1047,"Algo Esta Mal")</f>
        <v>0</v>
      </c>
      <c r="EC1047" s="33" t="str">
        <f>IF(EB1047=EA1047,DZ1047," ")</f>
        <v>0</v>
      </c>
      <c r="EH1047" s="33">
        <v>2</v>
      </c>
      <c r="EI1047" s="33" t="str">
        <f>IF(EJ1047=EK8,EI8,IF(EJ1047=EK9,EI9,IF(EJ1047=EK10,EI10,IF(EJ1047=EK11,EI11,IF(EJ1047=EK12,EI12,"ALGO ESTA MAL")))))</f>
        <v>0</v>
      </c>
      <c r="EJ1047" s="34" t="str">
        <f>LARGE($EK$8:$EK$12,EH1047)</f>
        <v>0</v>
      </c>
      <c r="EK1047" s="34" t="str">
        <f>IF(EJ1047&gt;0.1%,EJ1047,"Algo Esta Mal")</f>
        <v>0</v>
      </c>
      <c r="EL1047" s="33" t="str">
        <f>IF(EK1047=EJ1047,EI1047," ")</f>
        <v>0</v>
      </c>
      <c r="EQ1047" s="33">
        <v>2</v>
      </c>
      <c r="ER1047" s="33" t="str">
        <f>IF(ES1047=ET8,ER8,IF(ES1047=ET9,ER9,IF(ES1047=ET10,ER10,IF(ES1047=ET11,ER11,IF(ES1047=ET12,ER12,"ALGO ESTA MAL")))))</f>
        <v>0</v>
      </c>
      <c r="ES1047" s="34" t="str">
        <f>LARGE($ET$8:$ET$12,EQ1047)</f>
        <v>0</v>
      </c>
      <c r="ET1047" s="34" t="str">
        <f>IF(ES1047&gt;0.1%,ES1047,"Algo Esta Mal")</f>
        <v>0</v>
      </c>
      <c r="EU1047" s="33" t="str">
        <f>IF(ET1047=ES1047,ER1047," ")</f>
        <v>0</v>
      </c>
      <c r="EZ1047" s="33">
        <v>2</v>
      </c>
      <c r="FA1047" s="33" t="str">
        <f>IF(FB1047=FC8,FA8,IF(FB1047=FC9,FA9,IF(FB1047=FC10,FA10,IF(FB1047=FC11,FA11,IF(FB1047=FC12,FA12,"ALGO ESTA MAL")))))</f>
        <v>0</v>
      </c>
      <c r="FB1047" s="34" t="str">
        <f>LARGE($FC$8:$FC$12,EZ1047)</f>
        <v>0</v>
      </c>
      <c r="FC1047" s="34" t="str">
        <f>IF(FB1047&gt;0.1%,FB1047,"Algo Esta Mal")</f>
        <v>0</v>
      </c>
      <c r="FD1047" s="33" t="str">
        <f>IF(FC1047=FB1047,FA1047," ")</f>
        <v>0</v>
      </c>
    </row>
    <row r="1048" spans="1:161">
      <c r="C1048" s="33">
        <v>3</v>
      </c>
      <c r="D1048" s="33" t="str">
        <f>IF(E1048=F8,D8,IF(E1048=F9,D9,IF(E1048=F10,D10,IF(E1048=F11,D11,IF(E1048=F12,D12,"ALGO ESTA MAL")))))</f>
        <v>0</v>
      </c>
      <c r="E1048" s="34" t="str">
        <f>LARGE($F$8:$F$12,C1048)</f>
        <v>0</v>
      </c>
      <c r="F1048" s="34" t="str">
        <f>IF(E1048&gt;0.1%,E1048,"Algo Esta Mal")</f>
        <v>0</v>
      </c>
      <c r="G1048" s="33" t="str">
        <f>IF(F1048=E1048,D1048," ")</f>
        <v>0</v>
      </c>
      <c r="L1048" s="33">
        <v>3</v>
      </c>
      <c r="M1048" s="33" t="str">
        <f>IF(N1048=O8,M8,IF(N1048=O9,M9,IF(N1048=O10,M10,IF(N1048=O11,M11,IF(N1048=O12,M12,"ALGO ESTA MAL")))))</f>
        <v>0</v>
      </c>
      <c r="N1048" s="34" t="str">
        <f>LARGE($O$8:$O$12,L1048)</f>
        <v>0</v>
      </c>
      <c r="O1048" s="34" t="str">
        <f>IF(N1048&gt;0.1%,N1048,"Algo Esta Mal")</f>
        <v>0</v>
      </c>
      <c r="P1048" s="33" t="str">
        <f>IF(O1048=N1048,M1048," ")</f>
        <v>0</v>
      </c>
      <c r="U1048" s="33">
        <v>3</v>
      </c>
      <c r="V1048" s="33" t="str">
        <f>IF(W1048=X8,V8,IF(W1048=X9,V9,IF(W1048=X10,V10,IF(W1048=X11,V11,IF(W1048=X12,V12,"ALGO ESTA MAL")))))</f>
        <v>0</v>
      </c>
      <c r="W1048" s="34" t="str">
        <f>LARGE($X$8:$X$12,U1048)</f>
        <v>0</v>
      </c>
      <c r="X1048" s="34" t="str">
        <f>IF(W1048&gt;0.1%,W1048,"Algo Esta Mal")</f>
        <v>0</v>
      </c>
      <c r="Y1048" s="33" t="str">
        <f>IF(X1048=W1048,V1048," ")</f>
        <v>0</v>
      </c>
      <c r="AD1048" s="33">
        <v>3</v>
      </c>
      <c r="AE1048" s="33" t="str">
        <f>IF(AF1048=AG8,AE8,IF(AF1048=AG9,AE9,IF(AF1048=AG10,AE10,IF(AF1048=AG11,AE11,IF(AF1048=AG12,AE12,"ALGO ESTA MAL")))))</f>
        <v>0</v>
      </c>
      <c r="AF1048" s="34" t="str">
        <f>LARGE($AG$8:$AG$12,AD1048)</f>
        <v>0</v>
      </c>
      <c r="AG1048" s="34" t="str">
        <f>IF(AF1048&gt;0.1%,AF1048,"Algo Esta Mal")</f>
        <v>0</v>
      </c>
      <c r="AH1048" s="33" t="str">
        <f>IF(AG1048=AF1048,AE1048," ")</f>
        <v>0</v>
      </c>
      <c r="AM1048" s="33">
        <v>3</v>
      </c>
      <c r="AN1048" s="33" t="str">
        <f>IF(AO1048=AP8,AN8,IF(AO1048=AP9,AN9,IF(AO1048=AP10,AN10,IF(AO1048=AP11,AN11,IF(AO1048=AP12,AN12,"ALGO ESTA MAL")))))</f>
        <v>0</v>
      </c>
      <c r="AO1048" s="34" t="str">
        <f>LARGE($AP$8:$AP$12,AM1048)</f>
        <v>0</v>
      </c>
      <c r="AP1048" s="34" t="str">
        <f>IF(AO1048&gt;0.1%,AO1048,"Algo Esta Mal")</f>
        <v>0</v>
      </c>
      <c r="AQ1048" s="33" t="str">
        <f>IF(AP1048=AO1048,AN1048," ")</f>
        <v>0</v>
      </c>
      <c r="AV1048" s="33">
        <v>3</v>
      </c>
      <c r="AW1048" s="33" t="str">
        <f>IF(AX1048=AY8,AW8,IF(AX1048=AY9,AW9,IF(AX1048=AY10,AW10,IF(AX1048=AY11,AW11,IF(AX1048=AY12,AW12,"ALGO ESTA MAL")))))</f>
        <v>0</v>
      </c>
      <c r="AX1048" s="34" t="str">
        <f>LARGE($AY$8:$AY$12,AV1048)</f>
        <v>0</v>
      </c>
      <c r="AY1048" s="34" t="str">
        <f>IF(AX1048&gt;0.1%,AX1048,"Algo Esta Mal")</f>
        <v>0</v>
      </c>
      <c r="AZ1048" s="33" t="str">
        <f>IF(AY1048=AX1048,AW1048," ")</f>
        <v>0</v>
      </c>
      <c r="BE1048" s="33">
        <v>3</v>
      </c>
      <c r="BF1048" s="33" t="str">
        <f>IF(BG1048=BH8,BF8,IF(BG1048=BH9,BF9,IF(BG1048=BH10,BF10,IF(BG1048=BH11,BF11,IF(BG1048=BH12,BF12,"ALGO ESTA MAL")))))</f>
        <v>0</v>
      </c>
      <c r="BG1048" s="34" t="str">
        <f>LARGE($BH$8:$BH$12,BE1048)</f>
        <v>0</v>
      </c>
      <c r="BH1048" s="34" t="str">
        <f>IF(BG1048&gt;0.1%,BG1048,"Algo Esta Mal")</f>
        <v>0</v>
      </c>
      <c r="BI1048" s="33" t="str">
        <f>IF(BH1048=BG1048,BF1048," ")</f>
        <v>0</v>
      </c>
      <c r="BN1048" s="33">
        <v>3</v>
      </c>
      <c r="BO1048" s="33" t="str">
        <f>IF(BP1048=BQ8,BO8,IF(BP1048=BQ9,BO9,IF(BP1048=BQ10,BO10,IF(BP1048=BQ11,BO11,IF(BP1048=BQ12,BO12,"ALGO ESTA MAL")))))</f>
        <v>0</v>
      </c>
      <c r="BP1048" s="34" t="str">
        <f>LARGE($BQ$8:$BQ$12,BN1048)</f>
        <v>0</v>
      </c>
      <c r="BQ1048" s="34" t="str">
        <f>IF(BP1048&gt;0.1%,BP1048,"Algo Esta Mal")</f>
        <v>0</v>
      </c>
      <c r="BR1048" s="33" t="str">
        <f>IF(BQ1048=BP1048,BO1048," ")</f>
        <v>0</v>
      </c>
      <c r="BW1048" s="33">
        <v>3</v>
      </c>
      <c r="BX1048" s="33" t="str">
        <f>IF(BY1048=BZ8,BX8,IF(BY1048=BZ9,BX9,IF(BY1048=BZ10,BX10,IF(BY1048=BZ11,BX11,IF(BY1048=BZ12,BX12,"ALGO ESTA MAL")))))</f>
        <v>0</v>
      </c>
      <c r="BY1048" s="34" t="str">
        <f>LARGE($BZ$8:$BZ$12,BW1048)</f>
        <v>0</v>
      </c>
      <c r="BZ1048" s="34" t="str">
        <f>IF(BY1048&gt;0.1%,BY1048,"Algo Esta Mal")</f>
        <v>0</v>
      </c>
      <c r="CA1048" s="33" t="str">
        <f>IF(BZ1048=BY1048,BX1048," ")</f>
        <v>0</v>
      </c>
      <c r="CF1048" s="33">
        <v>3</v>
      </c>
      <c r="CG1048" s="33" t="str">
        <f>IF(CH1048=CI8,CG8,IF(CH1048=CI9,CG9,IF(CH1048=CI10,CG10,IF(CH1048=CI11,CG11,IF(CH1048=CI12,CG12,"ALGO ESTA MAL")))))</f>
        <v>0</v>
      </c>
      <c r="CH1048" s="34" t="str">
        <f>LARGE($CI$8:$CI$12,CF1048)</f>
        <v>0</v>
      </c>
      <c r="CI1048" s="34" t="str">
        <f>IF(CH1048&gt;0.1%,CH1048,"Algo Esta Mal")</f>
        <v>0</v>
      </c>
      <c r="CJ1048" s="33" t="str">
        <f>IF(CI1048=CH1048,CG1048," ")</f>
        <v>0</v>
      </c>
      <c r="CO1048" s="33">
        <v>3</v>
      </c>
      <c r="CP1048" s="33" t="str">
        <f>IF(CQ1048=CR8,CP8,IF(CQ1048=CR9,CP9,IF(CQ1048=CR10,CP10,IF(CQ1048=CR11,CP11,IF(CQ1048=CR12,CP12,"ALGO ESTA MAL")))))</f>
        <v>0</v>
      </c>
      <c r="CQ1048" s="34" t="str">
        <f>LARGE($CR$8:$CR$12,CO1048)</f>
        <v>0</v>
      </c>
      <c r="CR1048" s="34" t="str">
        <f>IF(CQ1048&gt;0.1%,CQ1048,"Algo Esta Mal")</f>
        <v>0</v>
      </c>
      <c r="CS1048" s="33" t="str">
        <f>IF(CR1048=CQ1048,CP1048," ")</f>
        <v>0</v>
      </c>
      <c r="CX1048" s="33">
        <v>3</v>
      </c>
      <c r="CY1048" s="33" t="str">
        <f>IF(CZ1048=DA8,CY8,IF(CZ1048=DA9,CY9,IF(CZ1048=DA10,CY10,IF(CZ1048=DA11,CY11,IF(CZ1048=DA12,CY12,"ALGO ESTA MAL")))))</f>
        <v>0</v>
      </c>
      <c r="CZ1048" s="34" t="str">
        <f>LARGE($DA$8:$DA$12,CX1048)</f>
        <v>0</v>
      </c>
      <c r="DA1048" s="34" t="str">
        <f>IF(CZ1048&gt;0.1%,CZ1048,"Algo Esta Mal")</f>
        <v>0</v>
      </c>
      <c r="DB1048" s="33" t="str">
        <f>IF(DA1048=CZ1048,CY1048," ")</f>
        <v>0</v>
      </c>
      <c r="DG1048" s="33">
        <v>3</v>
      </c>
      <c r="DH1048" s="33" t="str">
        <f>IF(DI1048=DJ8,DH8,IF(DI1048=DJ9,DH9,IF(DI1048=DJ10,DH10,IF(DI1048=DJ11,DH11,IF(DI1048=DJ12,DH12,"ALGO ESTA MAL")))))</f>
        <v>0</v>
      </c>
      <c r="DI1048" s="34" t="str">
        <f>LARGE($DJ$8:$DJ$12,DG1048)</f>
        <v>0</v>
      </c>
      <c r="DJ1048" s="34" t="str">
        <f>IF(DI1048&gt;0.1%,DI1048,"Algo Esta Mal")</f>
        <v>0</v>
      </c>
      <c r="DK1048" s="33" t="str">
        <f>IF(DJ1048=DI1048,DH1048," ")</f>
        <v>0</v>
      </c>
      <c r="DP1048" s="33">
        <v>3</v>
      </c>
      <c r="DQ1048" s="33" t="str">
        <f>IF(DR1048=DS8,DQ8,IF(DR1048=DS9,DQ9,IF(DR1048=DS10,DQ10,IF(DR1048=DS11,DQ11,IF(DR1048=DS12,DQ12,"ALGO ESTA MAL")))))</f>
        <v>0</v>
      </c>
      <c r="DR1048" s="34" t="str">
        <f>LARGE($DS$8:$DS$12,DP1048)</f>
        <v>0</v>
      </c>
      <c r="DS1048" s="34" t="str">
        <f>IF(DR1048&gt;0.1%,DR1048,"Algo Esta Mal")</f>
        <v>0</v>
      </c>
      <c r="DT1048" s="33" t="str">
        <f>IF(DS1048=DR1048,DQ1048," ")</f>
        <v>0</v>
      </c>
      <c r="DY1048" s="33">
        <v>3</v>
      </c>
      <c r="DZ1048" s="33" t="str">
        <f>IF(EA1048=EB8,DZ8,IF(EA1048=EB9,DZ9,IF(EA1048=EB10,DZ10,IF(EA1048=EB11,DZ11,IF(EA1048=EB12,DZ12,"ALGO ESTA MAL")))))</f>
        <v>0</v>
      </c>
      <c r="EA1048" s="34" t="str">
        <f>LARGE($EB$8:$EB$12,DY1048)</f>
        <v>0</v>
      </c>
      <c r="EB1048" s="34" t="str">
        <f>IF(EA1048&gt;0.1%,EA1048,"Algo Esta Mal")</f>
        <v>0</v>
      </c>
      <c r="EC1048" s="33" t="str">
        <f>IF(EB1048=EA1048,DZ1048," ")</f>
        <v>0</v>
      </c>
      <c r="EH1048" s="33">
        <v>3</v>
      </c>
      <c r="EI1048" s="33" t="str">
        <f>IF(EJ1048=EK8,EI8,IF(EJ1048=EK9,EI9,IF(EJ1048=EK10,EI10,IF(EJ1048=EK11,EI11,IF(EJ1048=EK12,EI12,"ALGO ESTA MAL")))))</f>
        <v>0</v>
      </c>
      <c r="EJ1048" s="34" t="str">
        <f>LARGE($EK$8:$EK$12,EH1048)</f>
        <v>0</v>
      </c>
      <c r="EK1048" s="34" t="str">
        <f>IF(EJ1048&gt;0.1%,EJ1048,"Algo Esta Mal")</f>
        <v>0</v>
      </c>
      <c r="EL1048" s="33" t="str">
        <f>IF(EK1048=EJ1048,EI1048," ")</f>
        <v>0</v>
      </c>
      <c r="EQ1048" s="33">
        <v>3</v>
      </c>
      <c r="ER1048" s="33" t="str">
        <f>IF(ES1048=ET8,ER8,IF(ES1048=ET9,ER9,IF(ES1048=ET10,ER10,IF(ES1048=ET11,ER11,IF(ES1048=ET12,ER12,"ALGO ESTA MAL")))))</f>
        <v>0</v>
      </c>
      <c r="ES1048" s="34" t="str">
        <f>LARGE($ET$8:$ET$12,EQ1048)</f>
        <v>0</v>
      </c>
      <c r="ET1048" s="34" t="str">
        <f>IF(ES1048&gt;0.1%,ES1048,"Algo Esta Mal")</f>
        <v>0</v>
      </c>
      <c r="EU1048" s="33" t="str">
        <f>IF(ET1048=ES1048,ER1048," ")</f>
        <v>0</v>
      </c>
      <c r="EZ1048" s="33">
        <v>3</v>
      </c>
      <c r="FA1048" s="33" t="str">
        <f>IF(FB1048=FC8,FA8,IF(FB1048=FC9,FA9,IF(FB1048=FC10,FA10,IF(FB1048=FC11,FA11,IF(FB1048=FC12,FA12,"ALGO ESTA MAL")))))</f>
        <v>0</v>
      </c>
      <c r="FB1048" s="34" t="str">
        <f>LARGE($FC$8:$FC$12,EZ1048)</f>
        <v>0</v>
      </c>
      <c r="FC1048" s="34" t="str">
        <f>IF(FB1048&gt;0.1%,FB1048,"Algo Esta Mal")</f>
        <v>0</v>
      </c>
      <c r="FD1048" s="33" t="str">
        <f>IF(FC1048=FB1048,FA1048," ")</f>
        <v>0</v>
      </c>
    </row>
    <row r="1049" spans="1:161">
      <c r="C1049" s="33">
        <v>4</v>
      </c>
      <c r="D1049" s="33" t="str">
        <f>IF(E1049=F8,D8,IF(E1049=F9,D9,IF(E1049=F10,D10,IF(E1049=F11,D11,IF(E1049=F12,D12,"ALGO ESTA MAL")))))</f>
        <v>0</v>
      </c>
      <c r="E1049" s="34" t="str">
        <f>LARGE($F$8:$F$12,C1049)</f>
        <v>0</v>
      </c>
      <c r="F1049" s="34" t="str">
        <f>IF(E1049&gt;0.1%,E1049,"Algo Esta Mal")</f>
        <v>0</v>
      </c>
      <c r="G1049" s="33" t="str">
        <f>IF(F1049=E1049,D1049," ")</f>
        <v>0</v>
      </c>
      <c r="L1049" s="33">
        <v>4</v>
      </c>
      <c r="M1049" s="33" t="str">
        <f>IF(N1049=O8,M8,IF(N1049=O9,M9,IF(N1049=O10,M10,IF(N1049=O11,M11,IF(N1049=O12,M12,"ALGO ESTA MAL")))))</f>
        <v>0</v>
      </c>
      <c r="N1049" s="34" t="str">
        <f>LARGE($O$8:$O$12,L1049)</f>
        <v>0</v>
      </c>
      <c r="O1049" s="34" t="str">
        <f>IF(N1049&gt;0.1%,N1049,"Algo Esta Mal")</f>
        <v>0</v>
      </c>
      <c r="P1049" s="33" t="str">
        <f>IF(O1049=N1049,M1049," ")</f>
        <v>0</v>
      </c>
      <c r="U1049" s="33">
        <v>4</v>
      </c>
      <c r="V1049" s="33" t="str">
        <f>IF(W1049=X8,V8,IF(W1049=X9,V9,IF(W1049=X10,V10,IF(W1049=X11,V11,IF(W1049=X12,V12,"ALGO ESTA MAL")))))</f>
        <v>0</v>
      </c>
      <c r="W1049" s="34" t="str">
        <f>LARGE($X$8:$X$12,U1049)</f>
        <v>0</v>
      </c>
      <c r="X1049" s="34" t="str">
        <f>IF(W1049&gt;0.1%,W1049,"Algo Esta Mal")</f>
        <v>0</v>
      </c>
      <c r="Y1049" s="33" t="str">
        <f>IF(X1049=W1049,V1049," ")</f>
        <v>0</v>
      </c>
      <c r="AD1049" s="33">
        <v>4</v>
      </c>
      <c r="AE1049" s="33" t="str">
        <f>IF(AF1049=AG8,AE8,IF(AF1049=AG9,AE9,IF(AF1049=AG10,AE10,IF(AF1049=AG11,AE11,IF(AF1049=AG12,AE12,"ALGO ESTA MAL")))))</f>
        <v>0</v>
      </c>
      <c r="AF1049" s="34" t="str">
        <f>LARGE($AG$8:$AG$12,AD1049)</f>
        <v>0</v>
      </c>
      <c r="AG1049" s="34" t="str">
        <f>IF(AF1049&gt;0.1%,AF1049,"Algo Esta Mal")</f>
        <v>0</v>
      </c>
      <c r="AH1049" s="33" t="str">
        <f>IF(AG1049=AF1049,AE1049," ")</f>
        <v>0</v>
      </c>
      <c r="AM1049" s="33">
        <v>4</v>
      </c>
      <c r="AN1049" s="33" t="str">
        <f>IF(AO1049=AP8,AN8,IF(AO1049=AP9,AN9,IF(AO1049=AP10,AN10,IF(AO1049=AP11,AN11,IF(AO1049=AP12,AN12,"ALGO ESTA MAL")))))</f>
        <v>0</v>
      </c>
      <c r="AO1049" s="34" t="str">
        <f>LARGE($AP$8:$AP$12,AM1049)</f>
        <v>0</v>
      </c>
      <c r="AP1049" s="34" t="str">
        <f>IF(AO1049&gt;0.1%,AO1049,"Algo Esta Mal")</f>
        <v>0</v>
      </c>
      <c r="AQ1049" s="33" t="str">
        <f>IF(AP1049=AO1049,AN1049," ")</f>
        <v>0</v>
      </c>
      <c r="AV1049" s="33">
        <v>4</v>
      </c>
      <c r="AW1049" s="33" t="str">
        <f>IF(AX1049=AY8,AW8,IF(AX1049=AY9,AW9,IF(AX1049=AY10,AW10,IF(AX1049=AY11,AW11,IF(AX1049=AY12,AW12,"ALGO ESTA MAL")))))</f>
        <v>0</v>
      </c>
      <c r="AX1049" s="34" t="str">
        <f>LARGE($AY$8:$AY$12,AV1049)</f>
        <v>0</v>
      </c>
      <c r="AY1049" s="34" t="str">
        <f>IF(AX1049&gt;0.1%,AX1049,"Algo Esta Mal")</f>
        <v>0</v>
      </c>
      <c r="AZ1049" s="33" t="str">
        <f>IF(AY1049=AX1049,AW1049," ")</f>
        <v>0</v>
      </c>
      <c r="BE1049" s="33">
        <v>4</v>
      </c>
      <c r="BF1049" s="33" t="str">
        <f>IF(BG1049=BH8,BF8,IF(BG1049=BH9,BF9,IF(BG1049=BH10,BF10,IF(BG1049=BH11,BF11,IF(BG1049=BH12,BF12,"ALGO ESTA MAL")))))</f>
        <v>0</v>
      </c>
      <c r="BG1049" s="34" t="str">
        <f>LARGE($BH$8:$BH$12,BE1049)</f>
        <v>0</v>
      </c>
      <c r="BH1049" s="34" t="str">
        <f>IF(BG1049&gt;0.1%,BG1049,"Algo Esta Mal")</f>
        <v>0</v>
      </c>
      <c r="BI1049" s="33" t="str">
        <f>IF(BH1049=BG1049,BF1049," ")</f>
        <v>0</v>
      </c>
      <c r="BN1049" s="33">
        <v>4</v>
      </c>
      <c r="BO1049" s="33" t="str">
        <f>IF(BP1049=BQ8,BO8,IF(BP1049=BQ9,BO9,IF(BP1049=BQ10,BO10,IF(BP1049=BQ11,BO11,IF(BP1049=BQ12,BO12,"ALGO ESTA MAL")))))</f>
        <v>0</v>
      </c>
      <c r="BP1049" s="34" t="str">
        <f>LARGE($BQ$8:$BQ$12,BN1049)</f>
        <v>0</v>
      </c>
      <c r="BQ1049" s="34" t="str">
        <f>IF(BP1049&gt;0.1%,BP1049,"Algo Esta Mal")</f>
        <v>0</v>
      </c>
      <c r="BR1049" s="33" t="str">
        <f>IF(BQ1049=BP1049,BO1049," ")</f>
        <v>0</v>
      </c>
      <c r="BW1049" s="33">
        <v>4</v>
      </c>
      <c r="BX1049" s="33" t="str">
        <f>IF(BY1049=BZ8,BX8,IF(BY1049=BZ9,BX9,IF(BY1049=BZ10,BX10,IF(BY1049=BZ11,BX11,IF(BY1049=BZ12,BX12,"ALGO ESTA MAL")))))</f>
        <v>0</v>
      </c>
      <c r="BY1049" s="34" t="str">
        <f>LARGE($BZ$8:$BZ$12,BW1049)</f>
        <v>0</v>
      </c>
      <c r="BZ1049" s="34" t="str">
        <f>IF(BY1049&gt;0.1%,BY1049,"Algo Esta Mal")</f>
        <v>0</v>
      </c>
      <c r="CA1049" s="33" t="str">
        <f>IF(BZ1049=BY1049,BX1049," ")</f>
        <v>0</v>
      </c>
      <c r="CF1049" s="33">
        <v>4</v>
      </c>
      <c r="CG1049" s="33" t="str">
        <f>IF(CH1049=CI8,CG8,IF(CH1049=CI9,CG9,IF(CH1049=CI10,CG10,IF(CH1049=CI11,CG11,IF(CH1049=CI12,CG12,"ALGO ESTA MAL")))))</f>
        <v>0</v>
      </c>
      <c r="CH1049" s="34" t="str">
        <f>LARGE($CI$8:$CI$12,CF1049)</f>
        <v>0</v>
      </c>
      <c r="CI1049" s="34" t="str">
        <f>IF(CH1049&gt;0.1%,CH1049,"Algo Esta Mal")</f>
        <v>0</v>
      </c>
      <c r="CJ1049" s="33" t="str">
        <f>IF(CI1049=CH1049,CG1049," ")</f>
        <v>0</v>
      </c>
      <c r="CO1049" s="33">
        <v>4</v>
      </c>
      <c r="CP1049" s="33" t="str">
        <f>IF(CQ1049=CR8,CP8,IF(CQ1049=CR9,CP9,IF(CQ1049=CR10,CP10,IF(CQ1049=CR11,CP11,IF(CQ1049=CR12,CP12,"ALGO ESTA MAL")))))</f>
        <v>0</v>
      </c>
      <c r="CQ1049" s="34" t="str">
        <f>LARGE($CR$8:$CR$12,CO1049)</f>
        <v>0</v>
      </c>
      <c r="CR1049" s="34" t="str">
        <f>IF(CQ1049&gt;0.1%,CQ1049,"Algo Esta Mal")</f>
        <v>0</v>
      </c>
      <c r="CS1049" s="33" t="str">
        <f>IF(CR1049=CQ1049,CP1049," ")</f>
        <v>0</v>
      </c>
      <c r="CX1049" s="33">
        <v>4</v>
      </c>
      <c r="CY1049" s="33" t="str">
        <f>IF(CZ1049=DA8,CY8,IF(CZ1049=DA9,CY9,IF(CZ1049=DA10,CY10,IF(CZ1049=DA11,CY11,IF(CZ1049=DA12,CY12,"ALGO ESTA MAL")))))</f>
        <v>0</v>
      </c>
      <c r="CZ1049" s="34" t="str">
        <f>LARGE($DA$8:$DA$12,CX1049)</f>
        <v>0</v>
      </c>
      <c r="DA1049" s="34" t="str">
        <f>IF(CZ1049&gt;0.1%,CZ1049,"Algo Esta Mal")</f>
        <v>0</v>
      </c>
      <c r="DB1049" s="33" t="str">
        <f>IF(DA1049=CZ1049,CY1049," ")</f>
        <v>0</v>
      </c>
      <c r="DG1049" s="33">
        <v>4</v>
      </c>
      <c r="DH1049" s="33" t="str">
        <f>IF(DI1049=DJ8,DH8,IF(DI1049=DJ9,DH9,IF(DI1049=DJ10,DH10,IF(DI1049=DJ11,DH11,IF(DI1049=DJ12,DH12,"ALGO ESTA MAL")))))</f>
        <v>0</v>
      </c>
      <c r="DI1049" s="34" t="str">
        <f>LARGE($DJ$8:$DJ$12,DG1049)</f>
        <v>0</v>
      </c>
      <c r="DJ1049" s="34" t="str">
        <f>IF(DI1049&gt;0.1%,DI1049,"Algo Esta Mal")</f>
        <v>0</v>
      </c>
      <c r="DK1049" s="33" t="str">
        <f>IF(DJ1049=DI1049,DH1049," ")</f>
        <v>0</v>
      </c>
      <c r="DP1049" s="33">
        <v>4</v>
      </c>
      <c r="DQ1049" s="33" t="str">
        <f>IF(DR1049=DS8,DQ8,IF(DR1049=DS9,DQ9,IF(DR1049=DS10,DQ10,IF(DR1049=DS11,DQ11,IF(DR1049=DS12,DQ12,"ALGO ESTA MAL")))))</f>
        <v>0</v>
      </c>
      <c r="DR1049" s="34" t="str">
        <f>LARGE($DS$8:$DS$12,DP1049)</f>
        <v>0</v>
      </c>
      <c r="DS1049" s="34" t="str">
        <f>IF(DR1049&gt;0.1%,DR1049,"Algo Esta Mal")</f>
        <v>0</v>
      </c>
      <c r="DT1049" s="33" t="str">
        <f>IF(DS1049=DR1049,DQ1049," ")</f>
        <v>0</v>
      </c>
      <c r="DY1049" s="33">
        <v>4</v>
      </c>
      <c r="DZ1049" s="33" t="str">
        <f>IF(EA1049=EB8,DZ8,IF(EA1049=EB9,DZ9,IF(EA1049=EB10,DZ10,IF(EA1049=EB11,DZ11,IF(EA1049=EB12,DZ12,"ALGO ESTA MAL")))))</f>
        <v>0</v>
      </c>
      <c r="EA1049" s="34" t="str">
        <f>LARGE($EB$8:$EB$12,DY1049)</f>
        <v>0</v>
      </c>
      <c r="EB1049" s="34" t="str">
        <f>IF(EA1049&gt;0.1%,EA1049,"Algo Esta Mal")</f>
        <v>0</v>
      </c>
      <c r="EC1049" s="33" t="str">
        <f>IF(EB1049=EA1049,DZ1049," ")</f>
        <v>0</v>
      </c>
      <c r="EH1049" s="33">
        <v>4</v>
      </c>
      <c r="EI1049" s="33" t="str">
        <f>IF(EJ1049=EK8,EI8,IF(EJ1049=EK9,EI9,IF(EJ1049=EK10,EI10,IF(EJ1049=EK11,EI11,IF(EJ1049=EK12,EI12,"ALGO ESTA MAL")))))</f>
        <v>0</v>
      </c>
      <c r="EJ1049" s="34" t="str">
        <f>LARGE($EK$8:$EK$12,EH1049)</f>
        <v>0</v>
      </c>
      <c r="EK1049" s="34" t="str">
        <f>IF(EJ1049&gt;0.1%,EJ1049,"Algo Esta Mal")</f>
        <v>0</v>
      </c>
      <c r="EL1049" s="33" t="str">
        <f>IF(EK1049=EJ1049,EI1049," ")</f>
        <v>0</v>
      </c>
      <c r="EQ1049" s="33">
        <v>4</v>
      </c>
      <c r="ER1049" s="33" t="str">
        <f>IF(ES1049=ET8,ER8,IF(ES1049=ET9,ER9,IF(ES1049=ET10,ER10,IF(ES1049=ET11,ER11,IF(ES1049=ET12,ER12,"ALGO ESTA MAL")))))</f>
        <v>0</v>
      </c>
      <c r="ES1049" s="34" t="str">
        <f>LARGE($ET$8:$ET$12,EQ1049)</f>
        <v>0</v>
      </c>
      <c r="ET1049" s="34" t="str">
        <f>IF(ES1049&gt;0.1%,ES1049,"Algo Esta Mal")</f>
        <v>0</v>
      </c>
      <c r="EU1049" s="33" t="str">
        <f>IF(ET1049=ES1049,ER1049," ")</f>
        <v>0</v>
      </c>
      <c r="EZ1049" s="33">
        <v>4</v>
      </c>
      <c r="FA1049" s="33" t="str">
        <f>IF(FB1049=FC8,FA8,IF(FB1049=FC9,FA9,IF(FB1049=FC10,FA10,IF(FB1049=FC11,FA11,IF(FB1049=FC12,FA12,"ALGO ESTA MAL")))))</f>
        <v>0</v>
      </c>
      <c r="FB1049" s="34" t="str">
        <f>LARGE($FC$8:$FC$12,EZ1049)</f>
        <v>0</v>
      </c>
      <c r="FC1049" s="34" t="str">
        <f>IF(FB1049&gt;0.1%,FB1049,"Algo Esta Mal")</f>
        <v>0</v>
      </c>
      <c r="FD1049" s="33" t="str">
        <f>IF(FC1049=FB1049,FA1049," ")</f>
        <v>0</v>
      </c>
    </row>
    <row r="1050" spans="1:161">
      <c r="C1050" s="33">
        <v>5</v>
      </c>
      <c r="D1050" s="33" t="str">
        <f>IF(E1050=F8,D8,IF(E1050=F9,D9,IF(E1050=F10,D10,IF(E1050=F11,D11,IF(E1050=F12,D12,"ALGO ESTA MAL")))))</f>
        <v>0</v>
      </c>
      <c r="E1050" s="34" t="str">
        <f>LARGE($F$8:$F$12,C1050)</f>
        <v>0</v>
      </c>
      <c r="F1050" s="34" t="str">
        <f>IF(E1050&gt;0.1%,E1050,"Algo Esta Mal")</f>
        <v>0</v>
      </c>
      <c r="G1050" s="33" t="str">
        <f>IF(F1050=E1050,D1050," ")</f>
        <v>0</v>
      </c>
      <c r="L1050" s="33">
        <v>5</v>
      </c>
      <c r="M1050" s="33" t="str">
        <f>IF(N1050=O8,M8,IF(N1050=O9,M9,IF(N1050=O10,M10,IF(N1050=O11,M11,IF(N1050=O12,M12,"ALGO ESTA MAL")))))</f>
        <v>0</v>
      </c>
      <c r="N1050" s="34" t="str">
        <f>LARGE($O$8:$O$12,L1050)</f>
        <v>0</v>
      </c>
      <c r="O1050" s="34" t="str">
        <f>IF(N1050&gt;0.1%,N1050,"Algo Esta Mal")</f>
        <v>0</v>
      </c>
      <c r="P1050" s="33" t="str">
        <f>IF(O1050=N1050,M1050," ")</f>
        <v>0</v>
      </c>
      <c r="U1050" s="33">
        <v>5</v>
      </c>
      <c r="V1050" s="33" t="str">
        <f>IF(W1050=X8,V8,IF(W1050=X9,V9,IF(W1050=X10,V10,IF(W1050=X11,V11,IF(W1050=X12,V12,"ALGO ESTA MAL")))))</f>
        <v>0</v>
      </c>
      <c r="W1050" s="34" t="str">
        <f>LARGE($X$8:$X$12,U1050)</f>
        <v>0</v>
      </c>
      <c r="X1050" s="34" t="str">
        <f>IF(W1050&gt;0.1%,W1050,"Algo Esta Mal")</f>
        <v>0</v>
      </c>
      <c r="Y1050" s="33" t="str">
        <f>IF(X1050=W1050,V1050," ")</f>
        <v>0</v>
      </c>
      <c r="AD1050" s="33">
        <v>5</v>
      </c>
      <c r="AE1050" s="33" t="str">
        <f>IF(AF1050=AG8,AE8,IF(AF1050=AG9,AE9,IF(AF1050=AG10,AE10,IF(AF1050=AG11,AE11,IF(AF1050=AG12,AE12,"ALGO ESTA MAL")))))</f>
        <v>0</v>
      </c>
      <c r="AF1050" s="34" t="str">
        <f>LARGE($AG$8:$AG$12,AD1050)</f>
        <v>0</v>
      </c>
      <c r="AG1050" s="34" t="str">
        <f>IF(AF1050&gt;0.1%,AF1050,"Algo Esta Mal")</f>
        <v>0</v>
      </c>
      <c r="AH1050" s="33" t="str">
        <f>IF(AG1050=AF1050,AE1050," ")</f>
        <v>0</v>
      </c>
      <c r="AM1050" s="33">
        <v>5</v>
      </c>
      <c r="AN1050" s="33" t="str">
        <f>IF(AO1050=AP8,AN8,IF(AO1050=AP9,AN9,IF(AO1050=AP10,AN10,IF(AO1050=AP11,AN11,IF(AO1050=AP12,AN12,"ALGO ESTA MAL")))))</f>
        <v>0</v>
      </c>
      <c r="AO1050" s="34" t="str">
        <f>LARGE($AP$8:$AP$12,AM1050)</f>
        <v>0</v>
      </c>
      <c r="AP1050" s="34" t="str">
        <f>IF(AO1050&gt;0.1%,AO1050,"Algo Esta Mal")</f>
        <v>0</v>
      </c>
      <c r="AQ1050" s="33" t="str">
        <f>IF(AP1050=AO1050,AN1050," ")</f>
        <v>0</v>
      </c>
      <c r="AV1050" s="33">
        <v>5</v>
      </c>
      <c r="AW1050" s="33" t="str">
        <f>IF(AX1050=AY8,AW8,IF(AX1050=AY9,AW9,IF(AX1050=AY10,AW10,IF(AX1050=AY11,AW11,IF(AX1050=AY12,AW12,"ALGO ESTA MAL")))))</f>
        <v>0</v>
      </c>
      <c r="AX1050" s="34" t="str">
        <f>LARGE($AY$8:$AY$12,AV1050)</f>
        <v>0</v>
      </c>
      <c r="AY1050" s="34" t="str">
        <f>IF(AX1050&gt;0.1%,AX1050,"Algo Esta Mal")</f>
        <v>0</v>
      </c>
      <c r="AZ1050" s="33" t="str">
        <f>IF(AY1050=AX1050,AW1050," ")</f>
        <v>0</v>
      </c>
      <c r="BE1050" s="33">
        <v>5</v>
      </c>
      <c r="BF1050" s="33" t="str">
        <f>IF(BG1050=BH8,BF8,IF(BG1050=BH9,BF9,IF(BG1050=BH10,BF10,IF(BG1050=BH11,BF11,IF(BG1050=BH12,BF12,"ALGO ESTA MAL")))))</f>
        <v>0</v>
      </c>
      <c r="BG1050" s="34" t="str">
        <f>LARGE($BH$8:$BH$12,BE1050)</f>
        <v>0</v>
      </c>
      <c r="BH1050" s="34" t="str">
        <f>IF(BG1050&gt;0.1%,BG1050,"Algo Esta Mal")</f>
        <v>0</v>
      </c>
      <c r="BI1050" s="33" t="str">
        <f>IF(BH1050=BG1050,BF1050," ")</f>
        <v>0</v>
      </c>
      <c r="BN1050" s="33">
        <v>5</v>
      </c>
      <c r="BO1050" s="33" t="str">
        <f>IF(BP1050=BQ8,BO8,IF(BP1050=BQ9,BO9,IF(BP1050=BQ10,BO10,IF(BP1050=BQ11,BO11,IF(BP1050=BQ12,BO12,"ALGO ESTA MAL")))))</f>
        <v>0</v>
      </c>
      <c r="BP1050" s="34" t="str">
        <f>LARGE($BQ$8:$BQ$12,BN1050)</f>
        <v>0</v>
      </c>
      <c r="BQ1050" s="34" t="str">
        <f>IF(BP1050&gt;0.1%,BP1050,"Algo Esta Mal")</f>
        <v>0</v>
      </c>
      <c r="BR1050" s="33" t="str">
        <f>IF(BQ1050=BP1050,BO1050," ")</f>
        <v>0</v>
      </c>
      <c r="BW1050" s="33">
        <v>5</v>
      </c>
      <c r="BX1050" s="33" t="str">
        <f>IF(BY1050=BZ8,BX8,IF(BY1050=BZ9,BX9,IF(BY1050=BZ10,BX10,IF(BY1050=BZ11,BX11,IF(BY1050=BZ12,BX12,"ALGO ESTA MAL")))))</f>
        <v>0</v>
      </c>
      <c r="BY1050" s="34" t="str">
        <f>LARGE($BZ$8:$BZ$12,BW1050)</f>
        <v>0</v>
      </c>
      <c r="BZ1050" s="34" t="str">
        <f>IF(BY1050&gt;0.1%,BY1050,"Algo Esta Mal")</f>
        <v>0</v>
      </c>
      <c r="CA1050" s="33" t="str">
        <f>IF(BZ1050=BY1050,BX1050," ")</f>
        <v>0</v>
      </c>
      <c r="CF1050" s="33">
        <v>5</v>
      </c>
      <c r="CG1050" s="33" t="str">
        <f>IF(CH1050=CI8,CG8,IF(CH1050=CI9,CG9,IF(CH1050=CI10,CG10,IF(CH1050=CI11,CG11,IF(CH1050=CI12,CG12,"ALGO ESTA MAL")))))</f>
        <v>0</v>
      </c>
      <c r="CH1050" s="34" t="str">
        <f>LARGE($CI$8:$CI$12,CF1050)</f>
        <v>0</v>
      </c>
      <c r="CI1050" s="34" t="str">
        <f>IF(CH1050&gt;0.1%,CH1050,"Algo Esta Mal")</f>
        <v>0</v>
      </c>
      <c r="CJ1050" s="33" t="str">
        <f>IF(CI1050=CH1050,CG1050," ")</f>
        <v>0</v>
      </c>
      <c r="CO1050" s="33">
        <v>5</v>
      </c>
      <c r="CP1050" s="33" t="str">
        <f>IF(CQ1050=CR8,CP8,IF(CQ1050=CR9,CP9,IF(CQ1050=CR10,CP10,IF(CQ1050=CR11,CP11,IF(CQ1050=CR12,CP12,"ALGO ESTA MAL")))))</f>
        <v>0</v>
      </c>
      <c r="CQ1050" s="34" t="str">
        <f>LARGE($CR$8:$CR$12,CO1050)</f>
        <v>0</v>
      </c>
      <c r="CR1050" s="34" t="str">
        <f>IF(CQ1050&gt;0.1%,CQ1050,"Algo Esta Mal")</f>
        <v>0</v>
      </c>
      <c r="CS1050" s="33" t="str">
        <f>IF(CR1050=CQ1050,CP1050," ")</f>
        <v>0</v>
      </c>
      <c r="CX1050" s="33">
        <v>5</v>
      </c>
      <c r="CY1050" s="33" t="str">
        <f>IF(CZ1050=DA8,CY8,IF(CZ1050=DA9,CY9,IF(CZ1050=DA10,CY10,IF(CZ1050=DA11,CY11,IF(CZ1050=DA12,CY12,"ALGO ESTA MAL")))))</f>
        <v>0</v>
      </c>
      <c r="CZ1050" s="34" t="str">
        <f>LARGE($DA$8:$DA$12,CX1050)</f>
        <v>0</v>
      </c>
      <c r="DA1050" s="34" t="str">
        <f>IF(CZ1050&gt;0.1%,CZ1050,"Algo Esta Mal")</f>
        <v>0</v>
      </c>
      <c r="DB1050" s="33" t="str">
        <f>IF(DA1050=CZ1050,CY1050," ")</f>
        <v>0</v>
      </c>
      <c r="DG1050" s="33">
        <v>5</v>
      </c>
      <c r="DH1050" s="33" t="str">
        <f>IF(DI1050=DJ8,DH8,IF(DI1050=DJ9,DH9,IF(DI1050=DJ10,DH10,IF(DI1050=DJ11,DH11,IF(DI1050=DJ12,DH12,"ALGO ESTA MAL")))))</f>
        <v>0</v>
      </c>
      <c r="DI1050" s="34" t="str">
        <f>LARGE($DJ$8:$DJ$12,DG1050)</f>
        <v>0</v>
      </c>
      <c r="DJ1050" s="34" t="str">
        <f>IF(DI1050&gt;0.1%,DI1050,"Algo Esta Mal")</f>
        <v>0</v>
      </c>
      <c r="DK1050" s="33" t="str">
        <f>IF(DJ1050=DI1050,DH1050," ")</f>
        <v>0</v>
      </c>
      <c r="DP1050" s="33">
        <v>5</v>
      </c>
      <c r="DQ1050" s="33" t="str">
        <f>IF(DR1050=DS8,DQ8,IF(DR1050=DS9,DQ9,IF(DR1050=DS10,DQ10,IF(DR1050=DS11,DQ11,IF(DR1050=DS12,DQ12,"ALGO ESTA MAL")))))</f>
        <v>0</v>
      </c>
      <c r="DR1050" s="34" t="str">
        <f>LARGE($DS$8:$DS$12,DP1050)</f>
        <v>0</v>
      </c>
      <c r="DS1050" s="34" t="str">
        <f>IF(DR1050&gt;0.1%,DR1050,"Algo Esta Mal")</f>
        <v>0</v>
      </c>
      <c r="DT1050" s="33" t="str">
        <f>IF(DS1050=DR1050,DQ1050," ")</f>
        <v>0</v>
      </c>
      <c r="DY1050" s="33">
        <v>5</v>
      </c>
      <c r="DZ1050" s="33" t="str">
        <f>IF(EA1050=EB8,DZ8,IF(EA1050=EB9,DZ9,IF(EA1050=EB10,DZ10,IF(EA1050=EB11,DZ11,IF(EA1050=EB12,DZ12,"ALGO ESTA MAL")))))</f>
        <v>0</v>
      </c>
      <c r="EA1050" s="34" t="str">
        <f>LARGE($EB$8:$EB$12,DY1050)</f>
        <v>0</v>
      </c>
      <c r="EB1050" s="34" t="str">
        <f>IF(EA1050&gt;0.1%,EA1050,"Algo Esta Mal")</f>
        <v>0</v>
      </c>
      <c r="EC1050" s="33" t="str">
        <f>IF(EB1050=EA1050,DZ1050," ")</f>
        <v>0</v>
      </c>
      <c r="EH1050" s="33">
        <v>5</v>
      </c>
      <c r="EI1050" s="33" t="str">
        <f>IF(EJ1050=EK8,EI8,IF(EJ1050=EK9,EI9,IF(EJ1050=EK10,EI10,IF(EJ1050=EK11,EI11,IF(EJ1050=EK12,EI12,"ALGO ESTA MAL")))))</f>
        <v>0</v>
      </c>
      <c r="EJ1050" s="34" t="str">
        <f>LARGE($EK$8:$EK$12,EH1050)</f>
        <v>0</v>
      </c>
      <c r="EK1050" s="34" t="str">
        <f>IF(EJ1050&gt;0.1%,EJ1050,"Algo Esta Mal")</f>
        <v>0</v>
      </c>
      <c r="EL1050" s="33" t="str">
        <f>IF(EK1050=EJ1050,EI1050," ")</f>
        <v>0</v>
      </c>
      <c r="EQ1050" s="33">
        <v>5</v>
      </c>
      <c r="ER1050" s="33" t="str">
        <f>IF(ES1050=ET8,ER8,IF(ES1050=ET9,ER9,IF(ES1050=ET10,ER10,IF(ES1050=ET11,ER11,IF(ES1050=ET12,ER12,"ALGO ESTA MAL")))))</f>
        <v>0</v>
      </c>
      <c r="ES1050" s="34" t="str">
        <f>LARGE($ET$8:$ET$12,EQ1050)</f>
        <v>0</v>
      </c>
      <c r="ET1050" s="34" t="str">
        <f>IF(ES1050&gt;0.1%,ES1050,"Algo Esta Mal")</f>
        <v>0</v>
      </c>
      <c r="EU1050" s="33" t="str">
        <f>IF(ET1050=ES1050,ER1050," ")</f>
        <v>0</v>
      </c>
      <c r="EZ1050" s="33">
        <v>5</v>
      </c>
      <c r="FA1050" s="33" t="str">
        <f>IF(FB1050=FC8,FA8,IF(FB1050=FC9,FA9,IF(FB1050=FC10,FA10,IF(FB1050=FC11,FA11,IF(FB1050=FC12,FA12,"ALGO ESTA MAL")))))</f>
        <v>0</v>
      </c>
      <c r="FB1050" s="34" t="str">
        <f>LARGE($FC$8:$FC$12,EZ1050)</f>
        <v>0</v>
      </c>
      <c r="FC1050" s="34" t="str">
        <f>IF(FB1050&gt;0.1%,FB1050,"Algo Esta Mal")</f>
        <v>0</v>
      </c>
      <c r="FD1050" s="33" t="str">
        <f>IF(FC1050=FB1050,FA1050," ")</f>
        <v>0</v>
      </c>
    </row>
    <row r="1052" spans="1:161">
      <c r="D1052" s="33" t="s">
        <v>449</v>
      </c>
      <c r="M1052" s="33" t="s">
        <v>449</v>
      </c>
      <c r="V1052" s="33" t="s">
        <v>449</v>
      </c>
      <c r="AE1052" s="33" t="s">
        <v>449</v>
      </c>
      <c r="AN1052" s="33" t="s">
        <v>449</v>
      </c>
      <c r="AW1052" s="33" t="s">
        <v>449</v>
      </c>
      <c r="BF1052" s="33" t="s">
        <v>449</v>
      </c>
      <c r="BO1052" s="33" t="s">
        <v>449</v>
      </c>
      <c r="BX1052" s="33" t="s">
        <v>449</v>
      </c>
      <c r="CG1052" s="33" t="s">
        <v>449</v>
      </c>
      <c r="CP1052" s="33" t="s">
        <v>449</v>
      </c>
      <c r="CY1052" s="33" t="s">
        <v>449</v>
      </c>
      <c r="DH1052" s="33" t="s">
        <v>449</v>
      </c>
      <c r="DQ1052" s="33" t="s">
        <v>449</v>
      </c>
      <c r="DZ1052" s="33" t="s">
        <v>449</v>
      </c>
      <c r="EI1052" s="33" t="s">
        <v>449</v>
      </c>
      <c r="ER1052" s="33" t="s">
        <v>449</v>
      </c>
      <c r="FA1052" s="33" t="s">
        <v>449</v>
      </c>
    </row>
    <row r="1053" spans="1:161">
      <c r="D1053" s="34" t="str">
        <f>SUM(F8:F10)</f>
        <v>0</v>
      </c>
      <c r="E1053" s="34" t="str">
        <f>MAX(D1053:D1054)</f>
        <v>0</v>
      </c>
      <c r="M1053" s="34" t="str">
        <f>SUM(O8:O10)</f>
        <v>0</v>
      </c>
      <c r="N1053" s="34" t="str">
        <f>MAX(M1053:M1054)</f>
        <v>0</v>
      </c>
      <c r="V1053" s="34" t="str">
        <f>SUM(X8:X10)</f>
        <v>0</v>
      </c>
      <c r="W1053" s="34" t="str">
        <f>MAX(V1053:V1054)</f>
        <v>0</v>
      </c>
      <c r="AE1053" s="34" t="str">
        <f>SUM(AG8:AG10)</f>
        <v>0</v>
      </c>
      <c r="AF1053" s="34" t="str">
        <f>MAX(AE1053:AE1054)</f>
        <v>0</v>
      </c>
      <c r="AN1053" s="34" t="str">
        <f>SUM(AP8:AP10)</f>
        <v>0</v>
      </c>
      <c r="AO1053" s="34" t="str">
        <f>MAX(AN1053:AN1054)</f>
        <v>0</v>
      </c>
      <c r="AW1053" s="34" t="str">
        <f>SUM(AY8:AY10)</f>
        <v>0</v>
      </c>
      <c r="AX1053" s="34" t="str">
        <f>MAX(AW1053:AW1054)</f>
        <v>0</v>
      </c>
      <c r="BF1053" s="34" t="str">
        <f>SUM(BH8:BH10)</f>
        <v>0</v>
      </c>
      <c r="BG1053" s="34" t="str">
        <f>MAX(BF1053:BF1054)</f>
        <v>0</v>
      </c>
      <c r="BO1053" s="34" t="str">
        <f>SUM(BQ8:BQ10)</f>
        <v>0</v>
      </c>
      <c r="BP1053" s="34" t="str">
        <f>MAX(BO1053:BO1054)</f>
        <v>0</v>
      </c>
      <c r="BX1053" s="34" t="str">
        <f>SUM(BZ8:BZ10)</f>
        <v>0</v>
      </c>
      <c r="BY1053" s="34" t="str">
        <f>MAX(BX1053:BX1054)</f>
        <v>0</v>
      </c>
      <c r="CG1053" s="34" t="str">
        <f>SUM(CI8:CI10)</f>
        <v>0</v>
      </c>
      <c r="CH1053" s="34" t="str">
        <f>MAX(CG1053:CG1054)</f>
        <v>0</v>
      </c>
      <c r="CP1053" s="34" t="str">
        <f>SUM(CR8:CR10)</f>
        <v>0</v>
      </c>
      <c r="CQ1053" s="34" t="str">
        <f>MAX(CP1053:CP1054)</f>
        <v>0</v>
      </c>
      <c r="CY1053" s="34" t="str">
        <f>SUM(DA8:DA10)</f>
        <v>0</v>
      </c>
      <c r="CZ1053" s="34" t="str">
        <f>MAX(CY1053:CY1054)</f>
        <v>0</v>
      </c>
      <c r="DH1053" s="34" t="str">
        <f>SUM(DJ8:DJ10)</f>
        <v>0</v>
      </c>
      <c r="DI1053" s="34" t="str">
        <f>MAX(DH1053:DH1054)</f>
        <v>0</v>
      </c>
      <c r="DQ1053" s="34" t="str">
        <f>SUM(DS8:DS10)</f>
        <v>0</v>
      </c>
      <c r="DR1053" s="34" t="str">
        <f>MAX(DQ1053:DQ1054)</f>
        <v>0</v>
      </c>
      <c r="DZ1053" s="34" t="str">
        <f>SUM(EB8:EB10)</f>
        <v>0</v>
      </c>
      <c r="EA1053" s="34" t="str">
        <f>MAX(DZ1053:DZ1054)</f>
        <v>0</v>
      </c>
      <c r="EI1053" s="34" t="str">
        <f>SUM(EK8:EK10)</f>
        <v>0</v>
      </c>
      <c r="EJ1053" s="34" t="str">
        <f>MAX(EI1053:EI1054)</f>
        <v>0</v>
      </c>
      <c r="ER1053" s="34" t="str">
        <f>SUM(ET8:ET10)</f>
        <v>0</v>
      </c>
      <c r="ES1053" s="34" t="str">
        <f>MAX(ER1053:ER1054)</f>
        <v>0</v>
      </c>
      <c r="FA1053" s="34" t="str">
        <f>SUM(FC8:FC10)</f>
        <v>0</v>
      </c>
      <c r="FB1053" s="34" t="str">
        <f>MAX(FA1053:FA1054)</f>
        <v>0</v>
      </c>
    </row>
    <row r="1054" spans="1:161">
      <c r="D1054" s="34" t="str">
        <f>SUM(F10:F12)</f>
        <v>0</v>
      </c>
      <c r="M1054" s="34" t="str">
        <f>SUM(O10:O12)</f>
        <v>0</v>
      </c>
      <c r="V1054" s="34" t="str">
        <f>SUM(X10:X12)</f>
        <v>0</v>
      </c>
      <c r="AE1054" s="34" t="str">
        <f>SUM(AG10:AG12)</f>
        <v>0</v>
      </c>
      <c r="AN1054" s="34" t="str">
        <f>SUM(AP10:AP12)</f>
        <v>0</v>
      </c>
      <c r="AW1054" s="34" t="str">
        <f>SUM(AY10:AY12)</f>
        <v>0</v>
      </c>
      <c r="BF1054" s="34" t="str">
        <f>SUM(BH10:BH12)</f>
        <v>0</v>
      </c>
      <c r="BO1054" s="34" t="str">
        <f>SUM(BQ10:BQ12)</f>
        <v>0</v>
      </c>
      <c r="BX1054" s="34" t="str">
        <f>SUM(BZ10:BZ12)</f>
        <v>0</v>
      </c>
      <c r="CG1054" s="34" t="str">
        <f>SUM(CI10:CI12)</f>
        <v>0</v>
      </c>
      <c r="CP1054" s="34" t="str">
        <f>SUM(CR10:CR12)</f>
        <v>0</v>
      </c>
      <c r="CY1054" s="34" t="str">
        <f>SUM(DA10:DA12)</f>
        <v>0</v>
      </c>
      <c r="DH1054" s="34" t="str">
        <f>SUM(DJ10:DJ12)</f>
        <v>0</v>
      </c>
      <c r="DQ1054" s="34" t="str">
        <f>SUM(DS10:DS12)</f>
        <v>0</v>
      </c>
      <c r="DZ1054" s="34" t="str">
        <f>SUM(EB10:EB12)</f>
        <v>0</v>
      </c>
      <c r="EI1054" s="34" t="str">
        <f>SUM(EK10:EK12)</f>
        <v>0</v>
      </c>
      <c r="ER1054" s="34" t="str">
        <f>SUM(ET10:ET12)</f>
        <v>0</v>
      </c>
      <c r="FA1054" s="34" t="str">
        <f>SUM(FC10:FC12)</f>
        <v>0</v>
      </c>
    </row>
    <row r="1056" spans="1:161">
      <c r="D1056" s="33" t="s">
        <v>352</v>
      </c>
      <c r="E1056" s="34" t="str">
        <f>SUM(F8:F9)</f>
        <v>0</v>
      </c>
      <c r="M1056" s="33" t="s">
        <v>352</v>
      </c>
      <c r="N1056" s="34" t="str">
        <f>SUM(O8:O9)</f>
        <v>0</v>
      </c>
      <c r="V1056" s="33" t="s">
        <v>352</v>
      </c>
      <c r="W1056" s="34" t="str">
        <f>SUM(X8:X9)</f>
        <v>0</v>
      </c>
      <c r="AE1056" s="33" t="s">
        <v>352</v>
      </c>
      <c r="AF1056" s="34" t="str">
        <f>SUM(AG8:AG9)</f>
        <v>0</v>
      </c>
      <c r="AN1056" s="33" t="s">
        <v>352</v>
      </c>
      <c r="AO1056" s="34" t="str">
        <f>SUM(AP8:AP9)</f>
        <v>0</v>
      </c>
      <c r="AW1056" s="33" t="s">
        <v>352</v>
      </c>
      <c r="AX1056" s="34" t="str">
        <f>SUM(AY8:AY9)</f>
        <v>0</v>
      </c>
      <c r="BF1056" s="33" t="s">
        <v>352</v>
      </c>
      <c r="BG1056" s="34" t="str">
        <f>SUM(BH8:BH9)</f>
        <v>0</v>
      </c>
      <c r="BO1056" s="33" t="s">
        <v>352</v>
      </c>
      <c r="BP1056" s="34" t="str">
        <f>SUM(BQ8:BQ9)</f>
        <v>0</v>
      </c>
      <c r="BX1056" s="33" t="s">
        <v>352</v>
      </c>
      <c r="BY1056" s="34" t="str">
        <f>SUM(BZ8:BZ9)</f>
        <v>0</v>
      </c>
      <c r="CG1056" s="33" t="s">
        <v>352</v>
      </c>
      <c r="CH1056" s="34" t="str">
        <f>SUM(CI8:CI9)</f>
        <v>0</v>
      </c>
      <c r="CP1056" s="33" t="s">
        <v>352</v>
      </c>
      <c r="CQ1056" s="34" t="str">
        <f>SUM(CR8:CR9)</f>
        <v>0</v>
      </c>
      <c r="CY1056" s="33" t="s">
        <v>352</v>
      </c>
      <c r="CZ1056" s="34" t="str">
        <f>SUM(DA8:DA9)</f>
        <v>0</v>
      </c>
      <c r="DH1056" s="33" t="s">
        <v>352</v>
      </c>
      <c r="DI1056" s="34" t="str">
        <f>SUM(DJ8:DJ9)</f>
        <v>0</v>
      </c>
      <c r="DQ1056" s="33" t="s">
        <v>352</v>
      </c>
      <c r="DR1056" s="34" t="str">
        <f>SUM(DS8:DS9)</f>
        <v>0</v>
      </c>
      <c r="DZ1056" s="33" t="s">
        <v>352</v>
      </c>
      <c r="EA1056" s="34" t="str">
        <f>SUM(EB8:EB9)</f>
        <v>0</v>
      </c>
      <c r="EI1056" s="33" t="s">
        <v>352</v>
      </c>
      <c r="EJ1056" s="34" t="str">
        <f>SUM(EK8:EK9)</f>
        <v>0</v>
      </c>
      <c r="ER1056" s="33" t="s">
        <v>352</v>
      </c>
      <c r="ES1056" s="34" t="str">
        <f>SUM(ET8:ET9)</f>
        <v>0</v>
      </c>
      <c r="FA1056" s="33" t="s">
        <v>352</v>
      </c>
      <c r="FB1056" s="34" t="str">
        <f>SUM(FC8:FC9)</f>
        <v>0</v>
      </c>
    </row>
    <row r="1057" spans="1:161">
      <c r="D1057" s="33" t="s">
        <v>353</v>
      </c>
      <c r="E1057" s="34" t="str">
        <f>SUM(F10)</f>
        <v>0</v>
      </c>
      <c r="M1057" s="33" t="s">
        <v>353</v>
      </c>
      <c r="N1057" s="34" t="str">
        <f>SUM(O10)</f>
        <v>0</v>
      </c>
      <c r="V1057" s="33" t="s">
        <v>353</v>
      </c>
      <c r="W1057" s="34" t="str">
        <f>SUM(X10)</f>
        <v>0</v>
      </c>
      <c r="AE1057" s="33" t="s">
        <v>353</v>
      </c>
      <c r="AF1057" s="34" t="str">
        <f>SUM(AG10)</f>
        <v>0</v>
      </c>
      <c r="AN1057" s="33" t="s">
        <v>353</v>
      </c>
      <c r="AO1057" s="34" t="str">
        <f>SUM(AP10)</f>
        <v>0</v>
      </c>
      <c r="AW1057" s="33" t="s">
        <v>353</v>
      </c>
      <c r="AX1057" s="34" t="str">
        <f>SUM(AY10)</f>
        <v>0</v>
      </c>
      <c r="BF1057" s="33" t="s">
        <v>353</v>
      </c>
      <c r="BG1057" s="34" t="str">
        <f>SUM(BH10)</f>
        <v>0</v>
      </c>
      <c r="BO1057" s="33" t="s">
        <v>353</v>
      </c>
      <c r="BP1057" s="34" t="str">
        <f>SUM(BQ10)</f>
        <v>0</v>
      </c>
      <c r="BX1057" s="33" t="s">
        <v>353</v>
      </c>
      <c r="BY1057" s="34" t="str">
        <f>SUM(BZ10)</f>
        <v>0</v>
      </c>
      <c r="CG1057" s="33" t="s">
        <v>353</v>
      </c>
      <c r="CH1057" s="34" t="str">
        <f>SUM(CI10)</f>
        <v>0</v>
      </c>
      <c r="CP1057" s="33" t="s">
        <v>353</v>
      </c>
      <c r="CQ1057" s="34" t="str">
        <f>SUM(CR10)</f>
        <v>0</v>
      </c>
      <c r="CY1057" s="33" t="s">
        <v>353</v>
      </c>
      <c r="CZ1057" s="34" t="str">
        <f>SUM(DA10)</f>
        <v>0</v>
      </c>
      <c r="DH1057" s="33" t="s">
        <v>353</v>
      </c>
      <c r="DI1057" s="34" t="str">
        <f>SUM(DJ10)</f>
        <v>0</v>
      </c>
      <c r="DQ1057" s="33" t="s">
        <v>353</v>
      </c>
      <c r="DR1057" s="34" t="str">
        <f>SUM(DS10)</f>
        <v>0</v>
      </c>
      <c r="DZ1057" s="33" t="s">
        <v>353</v>
      </c>
      <c r="EA1057" s="34" t="str">
        <f>SUM(EB10)</f>
        <v>0</v>
      </c>
      <c r="EI1057" s="33" t="s">
        <v>353</v>
      </c>
      <c r="EJ1057" s="34" t="str">
        <f>SUM(EK10)</f>
        <v>0</v>
      </c>
      <c r="ER1057" s="33" t="s">
        <v>353</v>
      </c>
      <c r="ES1057" s="34" t="str">
        <f>SUM(ET10)</f>
        <v>0</v>
      </c>
      <c r="FA1057" s="33" t="s">
        <v>353</v>
      </c>
      <c r="FB1057" s="34" t="str">
        <f>SUM(FC10)</f>
        <v>0</v>
      </c>
    </row>
    <row r="1058" spans="1:161">
      <c r="D1058" s="33" t="s">
        <v>354</v>
      </c>
      <c r="E1058" s="34" t="str">
        <f>SUM(F11:F12)</f>
        <v>0</v>
      </c>
      <c r="M1058" s="33" t="s">
        <v>354</v>
      </c>
      <c r="N1058" s="34" t="str">
        <f>SUM(O11:O12)</f>
        <v>0</v>
      </c>
      <c r="V1058" s="33" t="s">
        <v>354</v>
      </c>
      <c r="W1058" s="34" t="str">
        <f>SUM(X11:X12)</f>
        <v>0</v>
      </c>
      <c r="AE1058" s="33" t="s">
        <v>354</v>
      </c>
      <c r="AF1058" s="34" t="str">
        <f>SUM(AG11:AG12)</f>
        <v>0</v>
      </c>
      <c r="AN1058" s="33" t="s">
        <v>354</v>
      </c>
      <c r="AO1058" s="34" t="str">
        <f>SUM(AP11:AP12)</f>
        <v>0</v>
      </c>
      <c r="AW1058" s="33" t="s">
        <v>354</v>
      </c>
      <c r="AX1058" s="34" t="str">
        <f>SUM(AY11:AY12)</f>
        <v>0</v>
      </c>
      <c r="BF1058" s="33" t="s">
        <v>354</v>
      </c>
      <c r="BG1058" s="34" t="str">
        <f>SUM(BH11:BH12)</f>
        <v>0</v>
      </c>
      <c r="BO1058" s="33" t="s">
        <v>354</v>
      </c>
      <c r="BP1058" s="34" t="str">
        <f>SUM(BQ11:BQ12)</f>
        <v>0</v>
      </c>
      <c r="BX1058" s="33" t="s">
        <v>354</v>
      </c>
      <c r="BY1058" s="34" t="str">
        <f>SUM(BZ11:BZ12)</f>
        <v>0</v>
      </c>
      <c r="CG1058" s="33" t="s">
        <v>354</v>
      </c>
      <c r="CH1058" s="34" t="str">
        <f>SUM(CI11:CI12)</f>
        <v>0</v>
      </c>
      <c r="CP1058" s="33" t="s">
        <v>354</v>
      </c>
      <c r="CQ1058" s="34" t="str">
        <f>SUM(CR11:CR12)</f>
        <v>0</v>
      </c>
      <c r="CY1058" s="33" t="s">
        <v>354</v>
      </c>
      <c r="CZ1058" s="34" t="str">
        <f>SUM(DA11:DA12)</f>
        <v>0</v>
      </c>
      <c r="DH1058" s="33" t="s">
        <v>354</v>
      </c>
      <c r="DI1058" s="34" t="str">
        <f>SUM(DJ11:DJ12)</f>
        <v>0</v>
      </c>
      <c r="DQ1058" s="33" t="s">
        <v>354</v>
      </c>
      <c r="DR1058" s="34" t="str">
        <f>SUM(DS11:DS12)</f>
        <v>0</v>
      </c>
      <c r="DZ1058" s="33" t="s">
        <v>354</v>
      </c>
      <c r="EA1058" s="34" t="str">
        <f>SUM(EB11:EB12)</f>
        <v>0</v>
      </c>
      <c r="EI1058" s="33" t="s">
        <v>354</v>
      </c>
      <c r="EJ1058" s="34" t="str">
        <f>SUM(EK11:EK12)</f>
        <v>0</v>
      </c>
      <c r="ER1058" s="33" t="s">
        <v>354</v>
      </c>
      <c r="ES1058" s="34" t="str">
        <f>SUM(ET11:ET12)</f>
        <v>0</v>
      </c>
      <c r="FA1058" s="33" t="s">
        <v>354</v>
      </c>
      <c r="FB1058" s="34" t="str">
        <f>SUM(FC11:FC12)</f>
        <v>0</v>
      </c>
    </row>
    <row r="1060" spans="1:161">
      <c r="E1060" s="33" t="str">
        <f>IF(E1056&gt;=51%,D1056,IF(E1057&gt;=51%,D1057,IF(E1058&gt;=51%,D1058,IF(SUM(E1056:E1057)&gt;SUM(E1057:E1058),D1056,IF(SUM(E1056:E1057)&lt;SUM(E1057:E1058),D1058,"Algo esta Mal")))))</f>
        <v>0</v>
      </c>
      <c r="N1060" s="33" t="str">
        <f>IF(N1056&gt;=51%,M1056,IF(N1057&gt;=51%,M1057,IF(N1058&gt;=51%,M1058,IF(SUM(N1056:N1057)&gt;SUM(N1057:N1058),M1056,IF(SUM(N1056:N1057)&lt;SUM(N1057:N1058),M1058,"Algo esta Mal")))))</f>
        <v>0</v>
      </c>
      <c r="W1060" s="33" t="str">
        <f>IF(W1056&gt;=51%,V1056,IF(W1057&gt;=51%,V1057,IF(W1058&gt;=51%,V1058,IF(SUM(W1056:W1057)&gt;SUM(W1057:W1058),V1056,IF(SUM(W1056:W1057)&lt;SUM(W1057:W1058),V1058,"Algo esta Mal")))))</f>
        <v>0</v>
      </c>
      <c r="AF1060" s="33" t="str">
        <f>IF(AF1056&gt;=51%,AE1056,IF(AF1057&gt;=51%,AE1057,IF(AF1058&gt;=51%,AE1058,IF(SUM(AF1056:AF1057)&gt;SUM(AF1057:AF1058),AE1056,IF(SUM(AF1056:AF1057)&lt;SUM(AF1057:AF1058),AE1058,"Algo esta Mal")))))</f>
        <v>0</v>
      </c>
      <c r="AO1060" s="33" t="str">
        <f>IF(AO1056&gt;=51%,AN1056,IF(AO1057&gt;=51%,AN1057,IF(AO1058&gt;=51%,AN1058,IF(SUM(AO1056:AO1057)&gt;SUM(AO1057:AO1058),AN1056,IF(SUM(AO1056:AO1057)&lt;SUM(AO1057:AO1058),AN1058,"Algo esta Mal")))))</f>
        <v>0</v>
      </c>
      <c r="AX1060" s="33" t="str">
        <f>IF(AX1056&gt;=51%,AW1056,IF(AX1057&gt;=51%,AW1057,IF(AX1058&gt;=51%,AW1058,IF(SUM(AX1056:AX1057)&gt;SUM(AX1057:AX1058),AW1056,IF(SUM(AX1056:AX1057)&lt;SUM(AX1057:AX1058),AW1058,"Algo esta Mal")))))</f>
        <v>0</v>
      </c>
      <c r="BG1060" s="33" t="str">
        <f>IF(BG1056&gt;=51%,BF1056,IF(BG1057&gt;=51%,BF1057,IF(BG1058&gt;=51%,BF1058,IF(SUM(BG1056:BG1057)&gt;SUM(BG1057:BG1058),BF1056,IF(SUM(BG1056:BG1057)&lt;SUM(BG1057:BG1058),BF1058,"Algo esta Mal")))))</f>
        <v>0</v>
      </c>
      <c r="BP1060" s="33" t="str">
        <f>IF(BP1056&gt;=51%,BO1056,IF(BP1057&gt;=51%,BO1057,IF(BP1058&gt;=51%,BO1058,IF(SUM(BP1056:BP1057)&gt;SUM(BP1057:BP1058),BO1056,IF(SUM(BP1056:BP1057)&lt;SUM(BP1057:BP1058),BO1058,"Algo esta Mal")))))</f>
        <v>0</v>
      </c>
      <c r="BY1060" s="33" t="str">
        <f>IF(BY1056&gt;=51%,BX1056,IF(BY1057&gt;=51%,BX1057,IF(BY1058&gt;=51%,BX1058,IF(SUM(BY1056:BY1057)&gt;SUM(BY1057:BY1058),BX1056,IF(SUM(BY1056:BY1057)&lt;SUM(BY1057:BY1058),BX1058,"Algo esta Mal")))))</f>
        <v>0</v>
      </c>
      <c r="CH1060" s="33" t="str">
        <f>IF(CH1056&gt;=51%,CG1056,IF(CH1057&gt;=51%,CG1057,IF(CH1058&gt;=51%,CG1058,IF(SUM(CH1056:CH1057)&gt;SUM(CH1057:CH1058),CG1056,IF(SUM(CH1056:CH1057)&lt;SUM(CH1057:CH1058),CG1058,"Algo esta Mal")))))</f>
        <v>0</v>
      </c>
      <c r="CQ1060" s="33" t="str">
        <f>IF(CQ1056&gt;=51%,CP1056,IF(CQ1057&gt;=51%,CP1057,IF(CQ1058&gt;=51%,CP1058,IF(SUM(CQ1056:CQ1057)&gt;SUM(CQ1057:CQ1058),CP1056,IF(SUM(CQ1056:CQ1057)&lt;SUM(CQ1057:CQ1058),CP1058,"Algo esta Mal")))))</f>
        <v>0</v>
      </c>
      <c r="CZ1060" s="33" t="str">
        <f>IF(CZ1056&gt;=51%,CY1056,IF(CZ1057&gt;=51%,CY1057,IF(CZ1058&gt;=51%,CY1058,IF(SUM(CZ1056:CZ1057)&gt;SUM(CZ1057:CZ1058),CY1056,IF(SUM(CZ1056:CZ1057)&lt;SUM(CZ1057:CZ1058),CY1058,"Algo esta Mal")))))</f>
        <v>0</v>
      </c>
      <c r="DI1060" s="33" t="str">
        <f>IF(DI1056&gt;=51%,DH1056,IF(DI1057&gt;=51%,DH1057,IF(DI1058&gt;=51%,DH1058,IF(SUM(DI1056:DI1057)&gt;SUM(DI1057:DI1058),DH1056,IF(SUM(DI1056:DI1057)&lt;SUM(DI1057:DI1058),DH1058,"Algo esta Mal")))))</f>
        <v>0</v>
      </c>
      <c r="DR1060" s="33" t="str">
        <f>IF(DR1056&gt;=51%,DQ1056,IF(DR1057&gt;=51%,DQ1057,IF(DR1058&gt;=51%,DQ1058,IF(SUM(DR1056:DR1057)&gt;SUM(DR1057:DR1058),DQ1056,IF(SUM(DR1056:DR1057)&lt;SUM(DR1057:DR1058),DQ1058,"Algo esta Mal")))))</f>
        <v>0</v>
      </c>
      <c r="EA1060" s="33" t="str">
        <f>IF(EA1056&gt;=51%,DZ1056,IF(EA1057&gt;=51%,DZ1057,IF(EA1058&gt;=51%,DZ1058,IF(SUM(EA1056:EA1057)&gt;SUM(EA1057:EA1058),DZ1056,IF(SUM(EA1056:EA1057)&lt;SUM(EA1057:EA1058),DZ1058,"Algo esta Mal")))))</f>
        <v>0</v>
      </c>
      <c r="EJ1060" s="33" t="str">
        <f>IF(EJ1056&gt;=51%,EI1056,IF(EJ1057&gt;=51%,EI1057,IF(EJ1058&gt;=51%,EI1058,IF(SUM(EJ1056:EJ1057)&gt;SUM(EJ1057:EJ1058),EI1056,IF(SUM(EJ1056:EJ1057)&lt;SUM(EJ1057:EJ1058),EI1058,"Algo esta Mal")))))</f>
        <v>0</v>
      </c>
      <c r="ES1060" s="33" t="str">
        <f>IF(ES1056&gt;=51%,ER1056,IF(ES1057&gt;=51%,ER1057,IF(ES1058&gt;=51%,ER1058,IF(SUM(ES1056:ES1057)&gt;SUM(ES1057:ES1058),ER1056,IF(SUM(ES1056:ES1057)&lt;SUM(ES1057:ES1058),ER1058,"Algo esta Mal")))))</f>
        <v>0</v>
      </c>
      <c r="FB1060" s="33" t="str">
        <f>IF(FB1056&gt;=51%,FA1056,IF(FB1057&gt;=51%,FA1057,IF(FB1058&gt;=51%,FA1058,IF(SUM(FB1056:FB1057)&gt;SUM(FB1057:FB1058),FA1056,IF(SUM(FB1056:FB1057)&lt;SUM(FB1057:FB1058),FA1058,"Algo esta Mal")))))</f>
        <v>0</v>
      </c>
    </row>
    <row r="1062" spans="1:161">
      <c r="E1062" s="33" t="s">
        <v>367</v>
      </c>
      <c r="N1062" s="33" t="s">
        <v>367</v>
      </c>
      <c r="W1062" s="33" t="s">
        <v>367</v>
      </c>
      <c r="AF1062" s="33"/>
      <c r="AO1062" s="33" t="s">
        <v>367</v>
      </c>
      <c r="AX1062" s="33" t="s">
        <v>367</v>
      </c>
      <c r="BG1062" s="33" t="s">
        <v>367</v>
      </c>
      <c r="BP1062" s="33" t="s">
        <v>367</v>
      </c>
      <c r="BY1062" s="33"/>
      <c r="CH1062" s="33" t="s">
        <v>367</v>
      </c>
      <c r="CQ1062" s="33" t="s">
        <v>367</v>
      </c>
      <c r="CZ1062" s="33" t="s">
        <v>367</v>
      </c>
      <c r="DI1062" s="33" t="s">
        <v>367</v>
      </c>
      <c r="DR1062" s="33" t="s">
        <v>367</v>
      </c>
      <c r="EA1062" s="33" t="s">
        <v>367</v>
      </c>
      <c r="EJ1062" s="33" t="s">
        <v>367</v>
      </c>
      <c r="ES1062" s="33" t="s">
        <v>367</v>
      </c>
      <c r="FB1062" s="33" t="s">
        <v>367</v>
      </c>
    </row>
    <row r="2008" spans="1:161">
      <c r="D2008" s="26" t="str">
        <f>('Gestión de abastecimiento'!A1289)</f>
        <v>0</v>
      </c>
      <c r="E2008" s="15" t="str">
        <f>('Gestión de abastecimiento'!B1289)</f>
        <v>0</v>
      </c>
      <c r="F2008" s="31" t="str">
        <f>('Gestión de abastecimiento'!B1295)</f>
        <v>0</v>
      </c>
      <c r="M2008" s="26" t="str">
        <f>('Gestión de abastecimiento'!A1289)</f>
        <v>0</v>
      </c>
      <c r="N2008" s="15" t="str">
        <f>('Gestión de abastecimiento'!C1289)</f>
        <v>0</v>
      </c>
      <c r="O2008" s="31" t="str">
        <f>('Gestión de abastecimiento'!C1295)</f>
        <v>0</v>
      </c>
      <c r="V2008" s="26" t="str">
        <f>('Gestión de abastecimiento'!A1289)</f>
        <v>0</v>
      </c>
      <c r="W2008" s="15" t="str">
        <f>('Gestión de abastecimiento'!D1289)</f>
        <v>0</v>
      </c>
      <c r="X2008" s="31" t="str">
        <f>('Gestión de abastecimiento'!D1295)</f>
        <v>0</v>
      </c>
      <c r="AE2008" s="26" t="str">
        <f>('Gestión de abastecimiento'!A1289)</f>
        <v>0</v>
      </c>
      <c r="AF2008" s="15" t="str">
        <f>('Gestión de abastecimiento'!E1289)</f>
        <v>0</v>
      </c>
      <c r="AG2008" s="31" t="str">
        <f>('Gestión de abastecimiento'!E1295)</f>
        <v>0</v>
      </c>
      <c r="AN2008" s="26" t="str">
        <f>('Gestión de abastecimiento'!A1289)</f>
        <v>0</v>
      </c>
      <c r="AO2008" s="15" t="str">
        <f>('Gestión de abastecimiento'!F1289)</f>
        <v>0</v>
      </c>
      <c r="AP2008" s="31" t="str">
        <f>('Gestión de abastecimiento'!F1295)</f>
        <v>0</v>
      </c>
      <c r="AW2008" s="26" t="str">
        <f>('Gestión de abastecimiento'!A1289)</f>
        <v>0</v>
      </c>
      <c r="AX2008" s="15" t="str">
        <f>('Gestión de abastecimiento'!G1289)</f>
        <v>0</v>
      </c>
      <c r="AY2008" s="31" t="str">
        <f>('Gestión de abastecimiento'!G1295)</f>
        <v>0</v>
      </c>
      <c r="BF2008" s="26" t="str">
        <f>('Gestión de abastecimiento'!A1289)</f>
        <v>0</v>
      </c>
      <c r="BG2008" s="15" t="str">
        <f>('Gestión de abastecimiento'!H1289)</f>
        <v>0</v>
      </c>
      <c r="BH2008" s="31" t="str">
        <f>('Gestión de abastecimiento'!H1295)</f>
        <v>0</v>
      </c>
      <c r="BO2008" s="26" t="str">
        <f>('Gestión de abastecimiento'!A1289)</f>
        <v>0</v>
      </c>
      <c r="BP2008" s="15" t="str">
        <f>('Gestión de abastecimiento'!I1289)</f>
        <v>0</v>
      </c>
      <c r="BQ2008" s="31" t="str">
        <f>('Gestión de abastecimiento'!I1295)</f>
        <v>0</v>
      </c>
      <c r="BX2008" s="26" t="str">
        <f>('Gestión de abastecimiento'!A1289)</f>
        <v>0</v>
      </c>
      <c r="BY2008" s="15" t="str">
        <f>('Gestión de abastecimiento'!J1289)</f>
        <v>0</v>
      </c>
      <c r="BZ2008" s="31" t="str">
        <f>('Gestión de abastecimiento'!J1295)</f>
        <v>0</v>
      </c>
      <c r="CG2008" s="26" t="str">
        <f>('Gestión de abastecimiento'!A1289)</f>
        <v>0</v>
      </c>
      <c r="CH2008" s="15" t="str">
        <f>('Gestión de abastecimiento'!K1289)</f>
        <v>0</v>
      </c>
      <c r="CI2008" s="31" t="str">
        <f>('Gestión de abastecimiento'!K1295)</f>
        <v>0</v>
      </c>
      <c r="CP2008" s="26" t="str">
        <f>('Gestión de abastecimiento'!A1289)</f>
        <v>0</v>
      </c>
      <c r="CQ2008" s="15" t="str">
        <f>('Gestión de abastecimiento'!L1289)</f>
        <v>0</v>
      </c>
      <c r="CR2008" s="31" t="str">
        <f>('Gestión de abastecimiento'!L1295)</f>
        <v>0</v>
      </c>
      <c r="CY2008" s="26" t="str">
        <f>('Gestión de abastecimiento'!A1289)</f>
        <v>0</v>
      </c>
      <c r="CZ2008" s="15" t="str">
        <f>('Gestión de abastecimiento'!M1289)</f>
        <v>0</v>
      </c>
      <c r="DA2008" s="31" t="str">
        <f>('Gestión de abastecimiento'!M1295)</f>
        <v>0</v>
      </c>
      <c r="DH2008" s="26" t="str">
        <f>('Gestión de abastecimiento'!A1289)</f>
        <v>0</v>
      </c>
      <c r="DI2008" s="15" t="str">
        <f>('Gestión de abastecimiento'!N1289)</f>
        <v>0</v>
      </c>
      <c r="DJ2008" s="31" t="str">
        <f>('Gestión de abastecimiento'!N1295)</f>
        <v>0</v>
      </c>
      <c r="DQ2008" s="26" t="str">
        <f>('Gestión de abastecimiento'!A1289)</f>
        <v>0</v>
      </c>
      <c r="DR2008" s="15" t="str">
        <f>('Gestión de abastecimiento'!O1289)</f>
        <v>0</v>
      </c>
      <c r="DS2008" s="31" t="str">
        <f>('Gestión de abastecimiento'!O1295)</f>
        <v>0</v>
      </c>
      <c r="DZ2008" s="26" t="str">
        <f>('Gestión de abastecimiento'!A1289)</f>
        <v>0</v>
      </c>
      <c r="EA2008" s="15" t="str">
        <f>('Gestión de abastecimiento'!P1289)</f>
        <v>0</v>
      </c>
      <c r="EB2008" s="31" t="str">
        <f>('Gestión de abastecimiento'!P1295)</f>
        <v>0</v>
      </c>
      <c r="EI2008" s="26" t="str">
        <f>('Gestión de abastecimiento'!A1289)</f>
        <v>0</v>
      </c>
      <c r="EJ2008" s="15" t="str">
        <f>('Gestión de abastecimiento'!Q1289)</f>
        <v>0</v>
      </c>
      <c r="EK2008" s="31" t="str">
        <f>('Gestión de abastecimiento'!Q1295)</f>
        <v>0</v>
      </c>
      <c r="ER2008" s="26" t="str">
        <f>('Gestión de abastecimiento'!A1289)</f>
        <v>0</v>
      </c>
      <c r="ES2008" s="15" t="str">
        <f>('Gestión de abastecimiento'!R1289)</f>
        <v>0</v>
      </c>
      <c r="ET2008" s="31" t="str">
        <f>('Gestión de abastecimiento'!R1295)</f>
        <v>0</v>
      </c>
      <c r="FA2008" s="26" t="str">
        <f>('Gestión de abastecimiento'!A1289)</f>
        <v>0</v>
      </c>
      <c r="FB2008" s="15" t="str">
        <f>('Gestión de abastecimiento'!S1289)</f>
        <v>0</v>
      </c>
      <c r="FC2008" s="31" t="str">
        <f>('Gestión de abastecimiento'!S1295)</f>
        <v>0</v>
      </c>
    </row>
    <row r="2009" spans="1:161">
      <c r="D2009" s="26" t="str">
        <f>('Gestión de abastecimiento'!A1290)</f>
        <v>0</v>
      </c>
      <c r="E2009" s="15" t="str">
        <f>('Gestión de abastecimiento'!B1290)</f>
        <v>0</v>
      </c>
      <c r="F2009" s="31" t="str">
        <f>('Gestión de abastecimiento'!B1296)</f>
        <v>0</v>
      </c>
      <c r="M2009" s="26" t="str">
        <f>('Gestión de abastecimiento'!A1290)</f>
        <v>0</v>
      </c>
      <c r="N2009" s="15" t="str">
        <f>('Gestión de abastecimiento'!C1290)</f>
        <v>0</v>
      </c>
      <c r="O2009" s="31" t="str">
        <f>('Gestión de abastecimiento'!C1296)</f>
        <v>0</v>
      </c>
      <c r="V2009" s="26" t="str">
        <f>('Gestión de abastecimiento'!A1290)</f>
        <v>0</v>
      </c>
      <c r="W2009" s="15" t="str">
        <f>('Gestión de abastecimiento'!D1290)</f>
        <v>0</v>
      </c>
      <c r="X2009" s="31" t="str">
        <f>('Gestión de abastecimiento'!D1296)</f>
        <v>0</v>
      </c>
      <c r="AE2009" s="26" t="str">
        <f>('Gestión de abastecimiento'!A1290)</f>
        <v>0</v>
      </c>
      <c r="AF2009" s="15" t="str">
        <f>('Gestión de abastecimiento'!E1290)</f>
        <v>0</v>
      </c>
      <c r="AG2009" s="31" t="str">
        <f>('Gestión de abastecimiento'!E1296)</f>
        <v>0</v>
      </c>
      <c r="AN2009" s="26" t="str">
        <f>('Gestión de abastecimiento'!A1290)</f>
        <v>0</v>
      </c>
      <c r="AO2009" s="15" t="str">
        <f>('Gestión de abastecimiento'!F1290)</f>
        <v>0</v>
      </c>
      <c r="AP2009" s="31" t="str">
        <f>('Gestión de abastecimiento'!F1296)</f>
        <v>0</v>
      </c>
      <c r="AW2009" s="26" t="str">
        <f>('Gestión de abastecimiento'!A1290)</f>
        <v>0</v>
      </c>
      <c r="AX2009" s="15" t="str">
        <f>('Gestión de abastecimiento'!G1290)</f>
        <v>0</v>
      </c>
      <c r="AY2009" s="31" t="str">
        <f>('Gestión de abastecimiento'!G1296)</f>
        <v>0</v>
      </c>
      <c r="BF2009" s="26" t="str">
        <f>('Gestión de abastecimiento'!A1290)</f>
        <v>0</v>
      </c>
      <c r="BG2009" s="15" t="str">
        <f>('Gestión de abastecimiento'!H1290)</f>
        <v>0</v>
      </c>
      <c r="BH2009" s="31" t="str">
        <f>('Gestión de abastecimiento'!H1296)</f>
        <v>0</v>
      </c>
      <c r="BO2009" s="26" t="str">
        <f>('Gestión de abastecimiento'!A1290)</f>
        <v>0</v>
      </c>
      <c r="BP2009" s="15" t="str">
        <f>('Gestión de abastecimiento'!I1290)</f>
        <v>0</v>
      </c>
      <c r="BQ2009" s="31" t="str">
        <f>('Gestión de abastecimiento'!I1296)</f>
        <v>0</v>
      </c>
      <c r="BX2009" s="26" t="str">
        <f>('Gestión de abastecimiento'!A1290)</f>
        <v>0</v>
      </c>
      <c r="BY2009" s="15" t="str">
        <f>('Gestión de abastecimiento'!J1290)</f>
        <v>0</v>
      </c>
      <c r="BZ2009" s="31" t="str">
        <f>('Gestión de abastecimiento'!J1296)</f>
        <v>0</v>
      </c>
      <c r="CG2009" s="26" t="str">
        <f>('Gestión de abastecimiento'!A1290)</f>
        <v>0</v>
      </c>
      <c r="CH2009" s="15" t="str">
        <f>('Gestión de abastecimiento'!K1290)</f>
        <v>0</v>
      </c>
      <c r="CI2009" s="31" t="str">
        <f>('Gestión de abastecimiento'!K1296)</f>
        <v>0</v>
      </c>
      <c r="CP2009" s="26" t="str">
        <f>('Gestión de abastecimiento'!A1290)</f>
        <v>0</v>
      </c>
      <c r="CQ2009" s="15" t="str">
        <f>('Gestión de abastecimiento'!L1290)</f>
        <v>0</v>
      </c>
      <c r="CR2009" s="31" t="str">
        <f>('Gestión de abastecimiento'!L1296)</f>
        <v>0</v>
      </c>
      <c r="CY2009" s="26" t="str">
        <f>('Gestión de abastecimiento'!A1290)</f>
        <v>0</v>
      </c>
      <c r="CZ2009" s="15" t="str">
        <f>('Gestión de abastecimiento'!M1290)</f>
        <v>0</v>
      </c>
      <c r="DA2009" s="31" t="str">
        <f>('Gestión de abastecimiento'!M1296)</f>
        <v>0</v>
      </c>
      <c r="DH2009" s="26" t="str">
        <f>('Gestión de abastecimiento'!A1290)</f>
        <v>0</v>
      </c>
      <c r="DI2009" s="15" t="str">
        <f>('Gestión de abastecimiento'!N1290)</f>
        <v>0</v>
      </c>
      <c r="DJ2009" s="31" t="str">
        <f>('Gestión de abastecimiento'!N1296)</f>
        <v>0</v>
      </c>
      <c r="DQ2009" s="26" t="str">
        <f>('Gestión de abastecimiento'!A1290)</f>
        <v>0</v>
      </c>
      <c r="DR2009" s="15" t="str">
        <f>('Gestión de abastecimiento'!O1290)</f>
        <v>0</v>
      </c>
      <c r="DS2009" s="31" t="str">
        <f>('Gestión de abastecimiento'!O1296)</f>
        <v>0</v>
      </c>
      <c r="DZ2009" s="26" t="str">
        <f>('Gestión de abastecimiento'!A1290)</f>
        <v>0</v>
      </c>
      <c r="EA2009" s="15" t="str">
        <f>('Gestión de abastecimiento'!P1290)</f>
        <v>0</v>
      </c>
      <c r="EB2009" s="31" t="str">
        <f>('Gestión de abastecimiento'!P1296)</f>
        <v>0</v>
      </c>
      <c r="EI2009" s="26" t="str">
        <f>('Gestión de abastecimiento'!A1290)</f>
        <v>0</v>
      </c>
      <c r="EJ2009" s="15" t="str">
        <f>('Gestión de abastecimiento'!Q1290)</f>
        <v>0</v>
      </c>
      <c r="EK2009" s="31" t="str">
        <f>('Gestión de abastecimiento'!Q1296)</f>
        <v>0</v>
      </c>
      <c r="ER2009" s="26" t="str">
        <f>('Gestión de abastecimiento'!A1290)</f>
        <v>0</v>
      </c>
      <c r="ES2009" s="15" t="str">
        <f>('Gestión de abastecimiento'!R1290)</f>
        <v>0</v>
      </c>
      <c r="ET2009" s="31" t="str">
        <f>('Gestión de abastecimiento'!R1296)</f>
        <v>0</v>
      </c>
      <c r="FA2009" s="26" t="str">
        <f>('Gestión de abastecimiento'!A1290)</f>
        <v>0</v>
      </c>
      <c r="FB2009" s="15" t="str">
        <f>('Gestión de abastecimiento'!S1290)</f>
        <v>0</v>
      </c>
      <c r="FC2009" s="31" t="str">
        <f>('Gestión de abastecimiento'!S1296)</f>
        <v>0</v>
      </c>
    </row>
    <row r="2010" spans="1:161">
      <c r="D2010" s="26" t="str">
        <f>('Gestión de abastecimiento'!A1291)</f>
        <v>0</v>
      </c>
      <c r="E2010" s="15" t="str">
        <f>('Gestión de abastecimiento'!B1291)</f>
        <v>0</v>
      </c>
      <c r="F2010" s="31" t="str">
        <f>('Gestión de abastecimiento'!B1297)</f>
        <v>0</v>
      </c>
      <c r="M2010" s="26" t="str">
        <f>('Gestión de abastecimiento'!A1291)</f>
        <v>0</v>
      </c>
      <c r="N2010" s="15" t="str">
        <f>('Gestión de abastecimiento'!C1291)</f>
        <v>0</v>
      </c>
      <c r="O2010" s="31" t="str">
        <f>('Gestión de abastecimiento'!C1297)</f>
        <v>0</v>
      </c>
      <c r="V2010" s="26" t="str">
        <f>('Gestión de abastecimiento'!A1291)</f>
        <v>0</v>
      </c>
      <c r="W2010" s="15" t="str">
        <f>('Gestión de abastecimiento'!D1291)</f>
        <v>0</v>
      </c>
      <c r="X2010" s="31" t="str">
        <f>('Gestión de abastecimiento'!D1297)</f>
        <v>0</v>
      </c>
      <c r="AE2010" s="26" t="str">
        <f>('Gestión de abastecimiento'!A1291)</f>
        <v>0</v>
      </c>
      <c r="AF2010" s="15" t="str">
        <f>('Gestión de abastecimiento'!E1291)</f>
        <v>0</v>
      </c>
      <c r="AG2010" s="31" t="str">
        <f>('Gestión de abastecimiento'!E1297)</f>
        <v>0</v>
      </c>
      <c r="AN2010" s="26" t="str">
        <f>('Gestión de abastecimiento'!A1291)</f>
        <v>0</v>
      </c>
      <c r="AO2010" s="15" t="str">
        <f>('Gestión de abastecimiento'!F1291)</f>
        <v>0</v>
      </c>
      <c r="AP2010" s="31" t="str">
        <f>('Gestión de abastecimiento'!F1297)</f>
        <v>0</v>
      </c>
      <c r="AW2010" s="26" t="str">
        <f>('Gestión de abastecimiento'!A1291)</f>
        <v>0</v>
      </c>
      <c r="AX2010" s="15" t="str">
        <f>('Gestión de abastecimiento'!G1291)</f>
        <v>0</v>
      </c>
      <c r="AY2010" s="31" t="str">
        <f>('Gestión de abastecimiento'!G1297)</f>
        <v>0</v>
      </c>
      <c r="BF2010" s="26" t="str">
        <f>('Gestión de abastecimiento'!A1291)</f>
        <v>0</v>
      </c>
      <c r="BG2010" s="15" t="str">
        <f>('Gestión de abastecimiento'!H1291)</f>
        <v>0</v>
      </c>
      <c r="BH2010" s="31" t="str">
        <f>('Gestión de abastecimiento'!H1297)</f>
        <v>0</v>
      </c>
      <c r="BO2010" s="26" t="str">
        <f>('Gestión de abastecimiento'!A1291)</f>
        <v>0</v>
      </c>
      <c r="BP2010" s="15" t="str">
        <f>('Gestión de abastecimiento'!I1291)</f>
        <v>0</v>
      </c>
      <c r="BQ2010" s="31" t="str">
        <f>('Gestión de abastecimiento'!I1297)</f>
        <v>0</v>
      </c>
      <c r="BX2010" s="26" t="str">
        <f>('Gestión de abastecimiento'!A1291)</f>
        <v>0</v>
      </c>
      <c r="BY2010" s="15" t="str">
        <f>('Gestión de abastecimiento'!J1291)</f>
        <v>0</v>
      </c>
      <c r="BZ2010" s="31" t="str">
        <f>('Gestión de abastecimiento'!J1297)</f>
        <v>0</v>
      </c>
      <c r="CG2010" s="26" t="str">
        <f>('Gestión de abastecimiento'!A1291)</f>
        <v>0</v>
      </c>
      <c r="CH2010" s="15" t="str">
        <f>('Gestión de abastecimiento'!K1291)</f>
        <v>0</v>
      </c>
      <c r="CI2010" s="31" t="str">
        <f>('Gestión de abastecimiento'!K1297)</f>
        <v>0</v>
      </c>
      <c r="CP2010" s="26" t="str">
        <f>('Gestión de abastecimiento'!A1291)</f>
        <v>0</v>
      </c>
      <c r="CQ2010" s="15" t="str">
        <f>('Gestión de abastecimiento'!L1291)</f>
        <v>0</v>
      </c>
      <c r="CR2010" s="31" t="str">
        <f>('Gestión de abastecimiento'!L1297)</f>
        <v>0</v>
      </c>
      <c r="CY2010" s="26" t="str">
        <f>('Gestión de abastecimiento'!A1291)</f>
        <v>0</v>
      </c>
      <c r="CZ2010" s="15" t="str">
        <f>('Gestión de abastecimiento'!M1291)</f>
        <v>0</v>
      </c>
      <c r="DA2010" s="31" t="str">
        <f>('Gestión de abastecimiento'!M1297)</f>
        <v>0</v>
      </c>
      <c r="DH2010" s="26" t="str">
        <f>('Gestión de abastecimiento'!A1291)</f>
        <v>0</v>
      </c>
      <c r="DI2010" s="15" t="str">
        <f>('Gestión de abastecimiento'!N1291)</f>
        <v>0</v>
      </c>
      <c r="DJ2010" s="31" t="str">
        <f>('Gestión de abastecimiento'!N1297)</f>
        <v>0</v>
      </c>
      <c r="DQ2010" s="26" t="str">
        <f>('Gestión de abastecimiento'!A1291)</f>
        <v>0</v>
      </c>
      <c r="DR2010" s="15" t="str">
        <f>('Gestión de abastecimiento'!O1291)</f>
        <v>0</v>
      </c>
      <c r="DS2010" s="31" t="str">
        <f>('Gestión de abastecimiento'!O1297)</f>
        <v>0</v>
      </c>
      <c r="DZ2010" s="26" t="str">
        <f>('Gestión de abastecimiento'!A1291)</f>
        <v>0</v>
      </c>
      <c r="EA2010" s="15" t="str">
        <f>('Gestión de abastecimiento'!P1291)</f>
        <v>0</v>
      </c>
      <c r="EB2010" s="31" t="str">
        <f>('Gestión de abastecimiento'!P1297)</f>
        <v>0</v>
      </c>
      <c r="EI2010" s="26" t="str">
        <f>('Gestión de abastecimiento'!A1291)</f>
        <v>0</v>
      </c>
      <c r="EJ2010" s="15" t="str">
        <f>('Gestión de abastecimiento'!Q1291)</f>
        <v>0</v>
      </c>
      <c r="EK2010" s="31" t="str">
        <f>('Gestión de abastecimiento'!Q1297)</f>
        <v>0</v>
      </c>
      <c r="ER2010" s="26" t="str">
        <f>('Gestión de abastecimiento'!A1291)</f>
        <v>0</v>
      </c>
      <c r="ES2010" s="15" t="str">
        <f>('Gestión de abastecimiento'!R1291)</f>
        <v>0</v>
      </c>
      <c r="ET2010" s="31" t="str">
        <f>('Gestión de abastecimiento'!R1297)</f>
        <v>0</v>
      </c>
      <c r="FA2010" s="26" t="str">
        <f>('Gestión de abastecimiento'!A1291)</f>
        <v>0</v>
      </c>
      <c r="FB2010" s="15" t="str">
        <f>('Gestión de abastecimiento'!S1291)</f>
        <v>0</v>
      </c>
      <c r="FC2010" s="31" t="str">
        <f>('Gestión de abastecimiento'!S1297)</f>
        <v>0</v>
      </c>
    </row>
    <row r="2011" spans="1:161">
      <c r="D2011" s="26" t="str">
        <f>('Gestión de abastecimiento'!A1292)</f>
        <v>0</v>
      </c>
      <c r="E2011" s="15" t="str">
        <f>('Gestión de abastecimiento'!B1292)</f>
        <v>0</v>
      </c>
      <c r="F2011" s="31" t="str">
        <f>('Gestión de abastecimiento'!B1298)</f>
        <v>0</v>
      </c>
      <c r="M2011" s="26" t="str">
        <f>('Gestión de abastecimiento'!A1292)</f>
        <v>0</v>
      </c>
      <c r="N2011" s="15" t="str">
        <f>('Gestión de abastecimiento'!C1292)</f>
        <v>0</v>
      </c>
      <c r="O2011" s="31" t="str">
        <f>('Gestión de abastecimiento'!C1298)</f>
        <v>0</v>
      </c>
      <c r="V2011" s="26" t="str">
        <f>('Gestión de abastecimiento'!A1292)</f>
        <v>0</v>
      </c>
      <c r="W2011" s="15" t="str">
        <f>('Gestión de abastecimiento'!D1292)</f>
        <v>0</v>
      </c>
      <c r="X2011" s="31" t="str">
        <f>('Gestión de abastecimiento'!D1298)</f>
        <v>0</v>
      </c>
      <c r="AE2011" s="26" t="str">
        <f>('Gestión de abastecimiento'!A1292)</f>
        <v>0</v>
      </c>
      <c r="AF2011" s="15" t="str">
        <f>('Gestión de abastecimiento'!E1292)</f>
        <v>0</v>
      </c>
      <c r="AG2011" s="31" t="str">
        <f>('Gestión de abastecimiento'!E1298)</f>
        <v>0</v>
      </c>
      <c r="AN2011" s="26" t="str">
        <f>('Gestión de abastecimiento'!A1292)</f>
        <v>0</v>
      </c>
      <c r="AO2011" s="15" t="str">
        <f>('Gestión de abastecimiento'!F1292)</f>
        <v>0</v>
      </c>
      <c r="AP2011" s="31" t="str">
        <f>('Gestión de abastecimiento'!F1298)</f>
        <v>0</v>
      </c>
      <c r="AW2011" s="26" t="str">
        <f>('Gestión de abastecimiento'!A1292)</f>
        <v>0</v>
      </c>
      <c r="AX2011" s="15" t="str">
        <f>('Gestión de abastecimiento'!G1292)</f>
        <v>0</v>
      </c>
      <c r="AY2011" s="31" t="str">
        <f>('Gestión de abastecimiento'!G1298)</f>
        <v>0</v>
      </c>
      <c r="BF2011" s="26" t="str">
        <f>('Gestión de abastecimiento'!A1292)</f>
        <v>0</v>
      </c>
      <c r="BG2011" s="15" t="str">
        <f>('Gestión de abastecimiento'!H1292)</f>
        <v>0</v>
      </c>
      <c r="BH2011" s="31" t="str">
        <f>('Gestión de abastecimiento'!H1298)</f>
        <v>0</v>
      </c>
      <c r="BO2011" s="26" t="str">
        <f>('Gestión de abastecimiento'!A1292)</f>
        <v>0</v>
      </c>
      <c r="BP2011" s="15" t="str">
        <f>('Gestión de abastecimiento'!I1292)</f>
        <v>0</v>
      </c>
      <c r="BQ2011" s="31" t="str">
        <f>('Gestión de abastecimiento'!I1298)</f>
        <v>0</v>
      </c>
      <c r="BX2011" s="26" t="str">
        <f>('Gestión de abastecimiento'!A1292)</f>
        <v>0</v>
      </c>
      <c r="BY2011" s="15" t="str">
        <f>('Gestión de abastecimiento'!J1292)</f>
        <v>0</v>
      </c>
      <c r="BZ2011" s="31" t="str">
        <f>('Gestión de abastecimiento'!J1298)</f>
        <v>0</v>
      </c>
      <c r="CG2011" s="26" t="str">
        <f>('Gestión de abastecimiento'!A1292)</f>
        <v>0</v>
      </c>
      <c r="CH2011" s="15" t="str">
        <f>('Gestión de abastecimiento'!K1292)</f>
        <v>0</v>
      </c>
      <c r="CI2011" s="31" t="str">
        <f>('Gestión de abastecimiento'!K1298)</f>
        <v>0</v>
      </c>
      <c r="CP2011" s="26" t="str">
        <f>('Gestión de abastecimiento'!A1292)</f>
        <v>0</v>
      </c>
      <c r="CQ2011" s="15" t="str">
        <f>('Gestión de abastecimiento'!L1292)</f>
        <v>0</v>
      </c>
      <c r="CR2011" s="31" t="str">
        <f>('Gestión de abastecimiento'!L1298)</f>
        <v>0</v>
      </c>
      <c r="CY2011" s="26" t="str">
        <f>('Gestión de abastecimiento'!A1292)</f>
        <v>0</v>
      </c>
      <c r="CZ2011" s="15" t="str">
        <f>('Gestión de abastecimiento'!M1292)</f>
        <v>0</v>
      </c>
      <c r="DA2011" s="31" t="str">
        <f>('Gestión de abastecimiento'!M1298)</f>
        <v>0</v>
      </c>
      <c r="DH2011" s="26" t="str">
        <f>('Gestión de abastecimiento'!A1292)</f>
        <v>0</v>
      </c>
      <c r="DI2011" s="15" t="str">
        <f>('Gestión de abastecimiento'!N1292)</f>
        <v>0</v>
      </c>
      <c r="DJ2011" s="31" t="str">
        <f>('Gestión de abastecimiento'!N1298)</f>
        <v>0</v>
      </c>
      <c r="DQ2011" s="26" t="str">
        <f>('Gestión de abastecimiento'!A1292)</f>
        <v>0</v>
      </c>
      <c r="DR2011" s="15" t="str">
        <f>('Gestión de abastecimiento'!O1292)</f>
        <v>0</v>
      </c>
      <c r="DS2011" s="31" t="str">
        <f>('Gestión de abastecimiento'!O1298)</f>
        <v>0</v>
      </c>
      <c r="DZ2011" s="26" t="str">
        <f>('Gestión de abastecimiento'!A1292)</f>
        <v>0</v>
      </c>
      <c r="EA2011" s="15" t="str">
        <f>('Gestión de abastecimiento'!P1292)</f>
        <v>0</v>
      </c>
      <c r="EB2011" s="31" t="str">
        <f>('Gestión de abastecimiento'!P1298)</f>
        <v>0</v>
      </c>
      <c r="EI2011" s="26" t="str">
        <f>('Gestión de abastecimiento'!A1292)</f>
        <v>0</v>
      </c>
      <c r="EJ2011" s="15" t="str">
        <f>('Gestión de abastecimiento'!Q1292)</f>
        <v>0</v>
      </c>
      <c r="EK2011" s="31" t="str">
        <f>('Gestión de abastecimiento'!Q1298)</f>
        <v>0</v>
      </c>
      <c r="ER2011" s="26" t="str">
        <f>('Gestión de abastecimiento'!A1292)</f>
        <v>0</v>
      </c>
      <c r="ES2011" s="15" t="str">
        <f>('Gestión de abastecimiento'!R1292)</f>
        <v>0</v>
      </c>
      <c r="ET2011" s="31" t="str">
        <f>('Gestión de abastecimiento'!R1298)</f>
        <v>0</v>
      </c>
      <c r="FA2011" s="26" t="str">
        <f>('Gestión de abastecimiento'!A1292)</f>
        <v>0</v>
      </c>
      <c r="FB2011" s="15" t="str">
        <f>('Gestión de abastecimiento'!S1292)</f>
        <v>0</v>
      </c>
      <c r="FC2011" s="31" t="str">
        <f>('Gestión de abastecimiento'!S1298)</f>
        <v>0</v>
      </c>
    </row>
    <row r="2012" spans="1:161">
      <c r="D2012" s="26" t="str">
        <f>('Gestión de abastecimiento'!A1293)</f>
        <v>0</v>
      </c>
      <c r="E2012" s="15" t="str">
        <f>('Gestión de abastecimiento'!B1293)</f>
        <v>0</v>
      </c>
      <c r="F2012" s="31" t="str">
        <f>('Gestión de abastecimiento'!B1299)</f>
        <v>0</v>
      </c>
      <c r="M2012" s="26" t="str">
        <f>('Gestión de abastecimiento'!A1293)</f>
        <v>0</v>
      </c>
      <c r="N2012" s="15" t="str">
        <f>('Gestión de abastecimiento'!C1293)</f>
        <v>0</v>
      </c>
      <c r="O2012" s="31" t="str">
        <f>('Gestión de abastecimiento'!C1299)</f>
        <v>0</v>
      </c>
      <c r="V2012" s="26" t="str">
        <f>('Gestión de abastecimiento'!A1293)</f>
        <v>0</v>
      </c>
      <c r="W2012" s="15" t="str">
        <f>('Gestión de abastecimiento'!D1293)</f>
        <v>0</v>
      </c>
      <c r="X2012" s="31" t="str">
        <f>('Gestión de abastecimiento'!D1299)</f>
        <v>0</v>
      </c>
      <c r="AE2012" s="26" t="str">
        <f>('Gestión de abastecimiento'!A1293)</f>
        <v>0</v>
      </c>
      <c r="AF2012" s="15" t="str">
        <f>('Gestión de abastecimiento'!E1293)</f>
        <v>0</v>
      </c>
      <c r="AG2012" s="31" t="str">
        <f>('Gestión de abastecimiento'!E1299)</f>
        <v>0</v>
      </c>
      <c r="AN2012" s="26" t="str">
        <f>('Gestión de abastecimiento'!A1293)</f>
        <v>0</v>
      </c>
      <c r="AO2012" s="15" t="str">
        <f>('Gestión de abastecimiento'!F1293)</f>
        <v>0</v>
      </c>
      <c r="AP2012" s="31" t="str">
        <f>('Gestión de abastecimiento'!F1299)</f>
        <v>0</v>
      </c>
      <c r="AW2012" s="26" t="str">
        <f>('Gestión de abastecimiento'!A1293)</f>
        <v>0</v>
      </c>
      <c r="AX2012" s="15" t="str">
        <f>('Gestión de abastecimiento'!G1293)</f>
        <v>0</v>
      </c>
      <c r="AY2012" s="31" t="str">
        <f>('Gestión de abastecimiento'!G1299)</f>
        <v>0</v>
      </c>
      <c r="BF2012" s="26" t="str">
        <f>('Gestión de abastecimiento'!A1293)</f>
        <v>0</v>
      </c>
      <c r="BG2012" s="15" t="str">
        <f>('Gestión de abastecimiento'!H1293)</f>
        <v>0</v>
      </c>
      <c r="BH2012" s="31" t="str">
        <f>('Gestión de abastecimiento'!H1299)</f>
        <v>0</v>
      </c>
      <c r="BO2012" s="26" t="str">
        <f>('Gestión de abastecimiento'!A1293)</f>
        <v>0</v>
      </c>
      <c r="BP2012" s="15" t="str">
        <f>('Gestión de abastecimiento'!I1293)</f>
        <v>0</v>
      </c>
      <c r="BQ2012" s="31" t="str">
        <f>('Gestión de abastecimiento'!I1299)</f>
        <v>0</v>
      </c>
      <c r="BX2012" s="26" t="str">
        <f>('Gestión de abastecimiento'!A1293)</f>
        <v>0</v>
      </c>
      <c r="BY2012" s="15" t="str">
        <f>('Gestión de abastecimiento'!J1293)</f>
        <v>0</v>
      </c>
      <c r="BZ2012" s="31" t="str">
        <f>('Gestión de abastecimiento'!J1299)</f>
        <v>0</v>
      </c>
      <c r="CG2012" s="26" t="str">
        <f>('Gestión de abastecimiento'!A1293)</f>
        <v>0</v>
      </c>
      <c r="CH2012" s="15" t="str">
        <f>('Gestión de abastecimiento'!K1293)</f>
        <v>0</v>
      </c>
      <c r="CI2012" s="31" t="str">
        <f>('Gestión de abastecimiento'!K1299)</f>
        <v>0</v>
      </c>
      <c r="CP2012" s="26" t="str">
        <f>('Gestión de abastecimiento'!A1293)</f>
        <v>0</v>
      </c>
      <c r="CQ2012" s="15" t="str">
        <f>('Gestión de abastecimiento'!L1293)</f>
        <v>0</v>
      </c>
      <c r="CR2012" s="31" t="str">
        <f>('Gestión de abastecimiento'!L1299)</f>
        <v>0</v>
      </c>
      <c r="CY2012" s="26" t="str">
        <f>('Gestión de abastecimiento'!A1293)</f>
        <v>0</v>
      </c>
      <c r="CZ2012" s="15" t="str">
        <f>('Gestión de abastecimiento'!M1293)</f>
        <v>0</v>
      </c>
      <c r="DA2012" s="31" t="str">
        <f>('Gestión de abastecimiento'!M1299)</f>
        <v>0</v>
      </c>
      <c r="DH2012" s="26" t="str">
        <f>('Gestión de abastecimiento'!A1293)</f>
        <v>0</v>
      </c>
      <c r="DI2012" s="15" t="str">
        <f>('Gestión de abastecimiento'!N1293)</f>
        <v>0</v>
      </c>
      <c r="DJ2012" s="31" t="str">
        <f>('Gestión de abastecimiento'!N1299)</f>
        <v>0</v>
      </c>
      <c r="DQ2012" s="26" t="str">
        <f>('Gestión de abastecimiento'!A1293)</f>
        <v>0</v>
      </c>
      <c r="DR2012" s="15" t="str">
        <f>('Gestión de abastecimiento'!O1293)</f>
        <v>0</v>
      </c>
      <c r="DS2012" s="31" t="str">
        <f>('Gestión de abastecimiento'!O1299)</f>
        <v>0</v>
      </c>
      <c r="DZ2012" s="26" t="str">
        <f>('Gestión de abastecimiento'!A1293)</f>
        <v>0</v>
      </c>
      <c r="EA2012" s="15" t="str">
        <f>('Gestión de abastecimiento'!P1293)</f>
        <v>0</v>
      </c>
      <c r="EB2012" s="31" t="str">
        <f>('Gestión de abastecimiento'!P1299)</f>
        <v>0</v>
      </c>
      <c r="EI2012" s="26" t="str">
        <f>('Gestión de abastecimiento'!A1293)</f>
        <v>0</v>
      </c>
      <c r="EJ2012" s="15" t="str">
        <f>('Gestión de abastecimiento'!Q1293)</f>
        <v>0</v>
      </c>
      <c r="EK2012" s="31" t="str">
        <f>('Gestión de abastecimiento'!Q1299)</f>
        <v>0</v>
      </c>
      <c r="ER2012" s="26" t="str">
        <f>('Gestión de abastecimiento'!A1293)</f>
        <v>0</v>
      </c>
      <c r="ES2012" s="15" t="str">
        <f>('Gestión de abastecimiento'!R1293)</f>
        <v>0</v>
      </c>
      <c r="ET2012" s="31" t="str">
        <f>('Gestión de abastecimiento'!R1299)</f>
        <v>0</v>
      </c>
      <c r="FA2012" s="26" t="str">
        <f>('Gestión de abastecimiento'!A1293)</f>
        <v>0</v>
      </c>
      <c r="FB2012" s="15" t="str">
        <f>('Gestión de abastecimiento'!S1293)</f>
        <v>0</v>
      </c>
      <c r="FC2012" s="31" t="str">
        <f>('Gestión de abastecimiento'!S1299)</f>
        <v>0</v>
      </c>
    </row>
    <row r="2013" spans="1:161">
      <c r="D2013" s="26" t="str">
        <f>('Gestión de abastecimiento'!A1294)</f>
        <v>0</v>
      </c>
      <c r="E2013" s="15" t="str">
        <f>('Gestión de abastecimiento'!B1294)</f>
        <v>0</v>
      </c>
      <c r="F2013" s="31" t="str">
        <f>('Gestión de abastecimiento'!B1300)</f>
        <v>0</v>
      </c>
      <c r="M2013" s="26" t="str">
        <f>('Gestión de abastecimiento'!A1294)</f>
        <v>0</v>
      </c>
      <c r="N2013" s="15" t="str">
        <f>('Gestión de abastecimiento'!C1294)</f>
        <v>0</v>
      </c>
      <c r="O2013" s="31" t="str">
        <f>('Gestión de abastecimiento'!C1300)</f>
        <v>0</v>
      </c>
      <c r="V2013" s="26" t="str">
        <f>('Gestión de abastecimiento'!A1294)</f>
        <v>0</v>
      </c>
      <c r="W2013" s="15" t="str">
        <f>('Gestión de abastecimiento'!D1294)</f>
        <v>0</v>
      </c>
      <c r="X2013" s="31" t="str">
        <f>('Gestión de abastecimiento'!D1300)</f>
        <v>0</v>
      </c>
      <c r="AE2013" s="26" t="str">
        <f>('Gestión de abastecimiento'!A1294)</f>
        <v>0</v>
      </c>
      <c r="AF2013" s="15" t="str">
        <f>('Gestión de abastecimiento'!E1294)</f>
        <v>0</v>
      </c>
      <c r="AG2013" s="31" t="str">
        <f>('Gestión de abastecimiento'!E1300)</f>
        <v>0</v>
      </c>
      <c r="AN2013" s="26" t="str">
        <f>('Gestión de abastecimiento'!A1294)</f>
        <v>0</v>
      </c>
      <c r="AO2013" s="15" t="str">
        <f>('Gestión de abastecimiento'!F1294)</f>
        <v>0</v>
      </c>
      <c r="AP2013" s="31" t="str">
        <f>('Gestión de abastecimiento'!F1300)</f>
        <v>0</v>
      </c>
      <c r="AW2013" s="26" t="str">
        <f>('Gestión de abastecimiento'!A1294)</f>
        <v>0</v>
      </c>
      <c r="AX2013" s="15" t="str">
        <f>('Gestión de abastecimiento'!G1294)</f>
        <v>0</v>
      </c>
      <c r="AY2013" s="31" t="str">
        <f>('Gestión de abastecimiento'!G1300)</f>
        <v>0</v>
      </c>
      <c r="BF2013" s="26" t="str">
        <f>('Gestión de abastecimiento'!A1294)</f>
        <v>0</v>
      </c>
      <c r="BG2013" s="15" t="str">
        <f>('Gestión de abastecimiento'!H1294)</f>
        <v>0</v>
      </c>
      <c r="BH2013" s="31" t="str">
        <f>('Gestión de abastecimiento'!H1300)</f>
        <v>0</v>
      </c>
      <c r="BO2013" s="26" t="str">
        <f>('Gestión de abastecimiento'!A1294)</f>
        <v>0</v>
      </c>
      <c r="BP2013" s="15" t="str">
        <f>('Gestión de abastecimiento'!I1294)</f>
        <v>0</v>
      </c>
      <c r="BQ2013" s="31" t="str">
        <f>('Gestión de abastecimiento'!I1300)</f>
        <v>0</v>
      </c>
      <c r="BX2013" s="26" t="str">
        <f>('Gestión de abastecimiento'!A1294)</f>
        <v>0</v>
      </c>
      <c r="BY2013" s="15" t="str">
        <f>('Gestión de abastecimiento'!J1294)</f>
        <v>0</v>
      </c>
      <c r="BZ2013" s="31" t="str">
        <f>('Gestión de abastecimiento'!J1300)</f>
        <v>0</v>
      </c>
      <c r="CG2013" s="26" t="str">
        <f>('Gestión de abastecimiento'!A1294)</f>
        <v>0</v>
      </c>
      <c r="CH2013" s="15" t="str">
        <f>('Gestión de abastecimiento'!K1294)</f>
        <v>0</v>
      </c>
      <c r="CI2013" s="31" t="str">
        <f>('Gestión de abastecimiento'!K1300)</f>
        <v>0</v>
      </c>
      <c r="CP2013" s="26" t="str">
        <f>('Gestión de abastecimiento'!A1294)</f>
        <v>0</v>
      </c>
      <c r="CQ2013" s="15" t="str">
        <f>('Gestión de abastecimiento'!L1294)</f>
        <v>0</v>
      </c>
      <c r="CR2013" s="31" t="str">
        <f>('Gestión de abastecimiento'!L1300)</f>
        <v>0</v>
      </c>
      <c r="CY2013" s="26" t="str">
        <f>('Gestión de abastecimiento'!A1294)</f>
        <v>0</v>
      </c>
      <c r="CZ2013" s="15" t="str">
        <f>('Gestión de abastecimiento'!M1294)</f>
        <v>0</v>
      </c>
      <c r="DA2013" s="31" t="str">
        <f>('Gestión de abastecimiento'!M1300)</f>
        <v>0</v>
      </c>
      <c r="DH2013" s="26" t="str">
        <f>('Gestión de abastecimiento'!A1294)</f>
        <v>0</v>
      </c>
      <c r="DI2013" s="15" t="str">
        <f>('Gestión de abastecimiento'!N1294)</f>
        <v>0</v>
      </c>
      <c r="DJ2013" s="31" t="str">
        <f>('Gestión de abastecimiento'!N1300)</f>
        <v>0</v>
      </c>
      <c r="DQ2013" s="26" t="str">
        <f>('Gestión de abastecimiento'!A1294)</f>
        <v>0</v>
      </c>
      <c r="DR2013" s="15" t="str">
        <f>('Gestión de abastecimiento'!O1294)</f>
        <v>0</v>
      </c>
      <c r="DS2013" s="31" t="str">
        <f>('Gestión de abastecimiento'!O1300)</f>
        <v>0</v>
      </c>
      <c r="DZ2013" s="26" t="str">
        <f>('Gestión de abastecimiento'!A1294)</f>
        <v>0</v>
      </c>
      <c r="EA2013" s="15" t="str">
        <f>('Gestión de abastecimiento'!P1294)</f>
        <v>0</v>
      </c>
      <c r="EB2013" s="31" t="str">
        <f>('Gestión de abastecimiento'!P1300)</f>
        <v>0</v>
      </c>
      <c r="EI2013" s="26" t="str">
        <f>('Gestión de abastecimiento'!A1294)</f>
        <v>0</v>
      </c>
      <c r="EJ2013" s="15" t="str">
        <f>('Gestión de abastecimiento'!Q1294)</f>
        <v>0</v>
      </c>
      <c r="EK2013" s="31" t="str">
        <f>('Gestión de abastecimiento'!Q1300)</f>
        <v>0</v>
      </c>
      <c r="ER2013" s="26" t="str">
        <f>('Gestión de abastecimiento'!A1294)</f>
        <v>0</v>
      </c>
      <c r="ES2013" s="15" t="str">
        <f>('Gestión de abastecimiento'!R1294)</f>
        <v>0</v>
      </c>
      <c r="ET2013" s="31" t="str">
        <f>('Gestión de abastecimiento'!R1300)</f>
        <v>0</v>
      </c>
      <c r="FA2013" s="26" t="str">
        <f>('Gestión de abastecimiento'!A1294)</f>
        <v>0</v>
      </c>
      <c r="FB2013" s="15" t="str">
        <f>('Gestión de abastecimiento'!S1294)</f>
        <v>0</v>
      </c>
      <c r="FC2013" s="31" t="str">
        <f>('Gestión de abastecimiento'!S1300)</f>
        <v>0</v>
      </c>
    </row>
    <row r="2046" spans="1:161">
      <c r="D2046" t="str">
        <f>IF(E2046=F2008,D2008,IF(E2046=F2009,D2009,IF(E2046=F2010,D2010,IF(E2046=F2011,D2011,IF(E2046=F2012,D2012,"ALGO ESTA MAL")))))</f>
        <v>0</v>
      </c>
      <c r="E2046" s="34" t="str">
        <f>LARGE($F$2008:$F$2012,C1046)</f>
        <v>0</v>
      </c>
      <c r="F2046" s="34" t="str">
        <f>IF(E2046&gt;0.1%,E2046,"Algo Esta Mal")</f>
        <v>0</v>
      </c>
      <c r="G2046" s="33" t="str">
        <f>IF(F2046=E2046,D2046," ")</f>
        <v>0</v>
      </c>
      <c r="M2046" t="str">
        <f>IF(N2046=O2008,M2008,IF(N2046=O2009,M2009,IF(N2046=O2010,M2010,IF(N2046=O2011,M2011,IF(N2046=O2012,M2012,"ALGO ESTA MAL")))))</f>
        <v>0</v>
      </c>
      <c r="N2046" s="34" t="str">
        <f>LARGE($O$2008:$O$2012,L1046)</f>
        <v>0</v>
      </c>
      <c r="O2046" s="34" t="str">
        <f>IF(N2046&gt;0.1%,N2046,"Algo Esta Mal")</f>
        <v>0</v>
      </c>
      <c r="P2046" s="33" t="str">
        <f>IF(O2046=N2046,M2046," ")</f>
        <v>0</v>
      </c>
      <c r="V2046" t="str">
        <f>IF(W2046=X2008,V2008,IF(W2046=X2009,V2009,IF(W2046=X2010,V2010,IF(W2046=X2011,V2011,IF(W2046=X2012,V2012,"ALGO ESTA MAL")))))</f>
        <v>0</v>
      </c>
      <c r="W2046" s="34" t="str">
        <f>LARGE($X$2008:$X$2012,U1046)</f>
        <v>0</v>
      </c>
      <c r="X2046" s="34" t="str">
        <f>IF(W2046&gt;0.1%,W2046,"Algo Esta Mal")</f>
        <v>0</v>
      </c>
      <c r="Y2046" s="33" t="str">
        <f>IF(X2046=W2046,V2046," ")</f>
        <v>0</v>
      </c>
      <c r="AE2046" t="str">
        <f>IF(AF2046=AG2008,AE2008,IF(AF2046=AG2009,AE2009,IF(AF2046=AG2010,AE2010,IF(AF2046=AG2011,AE2011,IF(AF2046=AG2012,AE2012,"ALGO ESTA MAL")))))</f>
        <v>0</v>
      </c>
      <c r="AF2046" s="34" t="str">
        <f>LARGE($AG$2008:$AG$2012,AD1046)</f>
        <v>0</v>
      </c>
      <c r="AG2046" s="34" t="str">
        <f>IF(AF2046&gt;0.1%,AF2046,"Algo Esta Mal")</f>
        <v>0</v>
      </c>
      <c r="AH2046" s="33" t="str">
        <f>IF(AG2046=AF2046,AE2046," ")</f>
        <v>0</v>
      </c>
      <c r="AN2046" t="str">
        <f>IF(AO2046=AP2008,AN2008,IF(AO2046=AP2009,AN2009,IF(AO2046=AP2010,AN2010,IF(AO2046=AP2011,AN2011,IF(AO2046=AP2012,AN2012,"ALGO ESTA MAL")))))</f>
        <v>0</v>
      </c>
      <c r="AO2046" s="34" t="str">
        <f>LARGE($AP$2008:$AP$2012,AM1046)</f>
        <v>0</v>
      </c>
      <c r="AP2046" s="34" t="str">
        <f>IF(AO2046&gt;0.1%,AO2046,"Algo Esta Mal")</f>
        <v>0</v>
      </c>
      <c r="AQ2046" s="33" t="str">
        <f>IF(AP2046=AO2046,AN2046," ")</f>
        <v>0</v>
      </c>
      <c r="AW2046" t="str">
        <f>IF(AX2046=AY2008,AW2008,IF(AX2046=AY2009,AW2009,IF(AX2046=AY2010,AW2010,IF(AX2046=AY2011,AW2011,IF(AX2046=AY2012,AW2012,"ALGO ESTA MAL")))))</f>
        <v>0</v>
      </c>
      <c r="AX2046" s="34" t="str">
        <f>LARGE($AY$2008:$AY$2012,AV1046)</f>
        <v>0</v>
      </c>
      <c r="AY2046" s="34" t="str">
        <f>IF(AX2046&gt;0.1%,AX2046,"Algo Esta Mal")</f>
        <v>0</v>
      </c>
      <c r="AZ2046" s="33" t="str">
        <f>IF(AY2046=AX2046,AW2046," ")</f>
        <v>0</v>
      </c>
      <c r="BF2046" t="str">
        <f>IF(BG2046=BH2008,BF2008,IF(BG2046=BH2009,BF2009,IF(BG2046=BH2010,BF2010,IF(BG2046=BH2011,BF2011,IF(BG2046=BH2012,BF2012,"ALGO ESTA MAL")))))</f>
        <v>0</v>
      </c>
      <c r="BG2046" s="34" t="str">
        <f>LARGE($BH$2008:$BH$2012,BE1046)</f>
        <v>0</v>
      </c>
      <c r="BH2046" s="34" t="str">
        <f>IF(BG2046&gt;0.1%,BG2046,"Algo Esta Mal")</f>
        <v>0</v>
      </c>
      <c r="BI2046" s="33" t="str">
        <f>IF(BH2046=BG2046,BF2046," ")</f>
        <v>0</v>
      </c>
      <c r="BO2046" t="str">
        <f>IF(BP2046=BQ2008,BO2008,IF(BP2046=BQ2009,BO2009,IF(BP2046=BQ2010,BO2010,IF(BP2046=BQ2011,BO2011,IF(BP2046=BQ2012,BO2012,"ALGO ESTA MAL")))))</f>
        <v>0</v>
      </c>
      <c r="BP2046" s="34" t="str">
        <f>LARGE($BQ$2008:$BQ$2012,BN1046)</f>
        <v>0</v>
      </c>
      <c r="BQ2046" s="34" t="str">
        <f>IF(BP2046&gt;0.1%,BP2046,"Algo Esta Mal")</f>
        <v>0</v>
      </c>
      <c r="BR2046" s="33" t="str">
        <f>IF(BQ2046=BP2046,BO2046," ")</f>
        <v>0</v>
      </c>
      <c r="BX2046" t="str">
        <f>IF(BY2046=BZ2008,BX2008,IF(BY2046=BZ2009,BX2009,IF(BY2046=BZ2010,BX2010,IF(BY2046=BZ2011,BX2011,IF(BY2046=BZ2012,BX2012,"ALGO ESTA MAL")))))</f>
        <v>0</v>
      </c>
      <c r="BY2046" s="34" t="str">
        <f>LARGE($BZ$2008:$BZ$2012,BW1046)</f>
        <v>0</v>
      </c>
      <c r="BZ2046" s="34" t="str">
        <f>IF(BY2046&gt;0.1%,BY2046,"Algo Esta Mal")</f>
        <v>0</v>
      </c>
      <c r="CA2046" s="33" t="str">
        <f>IF(BZ2046=BY2046,BX2046," ")</f>
        <v>0</v>
      </c>
      <c r="CG2046" t="str">
        <f>IF(CH2046=CI2008,CG2008,IF(CH2046=CI2009,CG2009,IF(CH2046=CI2010,CG2010,IF(CH2046=CI2011,CG2011,IF(CH2046=CI2012,CG2012,"ALGO ESTA MAL")))))</f>
        <v>0</v>
      </c>
      <c r="CH2046" s="34" t="str">
        <f>LARGE($CI$2008:$CI$2012,CF1046)</f>
        <v>0</v>
      </c>
      <c r="CI2046" s="34" t="str">
        <f>IF(CH2046&gt;0.1%,CH2046,"Algo Esta Mal")</f>
        <v>0</v>
      </c>
      <c r="CJ2046" s="33" t="str">
        <f>IF(CI2046=CH2046,CG2046," ")</f>
        <v>0</v>
      </c>
      <c r="CP2046" t="str">
        <f>IF(CQ2046=CR2008,CP2008,IF(CQ2046=CR2009,CP2009,IF(CQ2046=CR2010,CP2010,IF(CQ2046=CR2011,CP2011,IF(CQ2046=CR2012,CP2012,"ALGO ESTA MAL")))))</f>
        <v>0</v>
      </c>
      <c r="CQ2046" s="34" t="str">
        <f>LARGE($CR$2008:$CR$2012,CO1046)</f>
        <v>0</v>
      </c>
      <c r="CR2046" s="34" t="str">
        <f>IF(CQ2046&gt;0.1%,CQ2046,"Algo Esta Mal")</f>
        <v>0</v>
      </c>
      <c r="CS2046" s="33" t="str">
        <f>IF(CR2046=CQ2046,CP2046," ")</f>
        <v>0</v>
      </c>
      <c r="CY2046" t="str">
        <f>IF(CZ2046=DA2008,CY2008,IF(CZ2046=DA2009,CY2009,IF(CZ2046=DA2010,CY2010,IF(CZ2046=DA2011,CY2011,IF(CZ2046=DA2012,CY2012,"ALGO ESTA MAL")))))</f>
        <v>0</v>
      </c>
      <c r="CZ2046" s="34" t="str">
        <f>LARGE($DA$2008:$DA$2012,CX1046)</f>
        <v>0</v>
      </c>
      <c r="DA2046" s="34" t="str">
        <f>IF(CZ2046&gt;0.1%,CZ2046,"Algo Esta Mal")</f>
        <v>0</v>
      </c>
      <c r="DB2046" s="33" t="str">
        <f>IF(DA2046=CZ2046,CY2046," ")</f>
        <v>0</v>
      </c>
      <c r="DH2046" t="str">
        <f>IF(DI2046=DJ2008,DH2008,IF(DI2046=DJ2009,DH2009,IF(DI2046=DJ2010,DH2010,IF(DI2046=DJ2011,DH2011,IF(DI2046=DJ2012,DH2012,"ALGO ESTA MAL")))))</f>
        <v>0</v>
      </c>
      <c r="DI2046" s="34" t="str">
        <f>LARGE($DJ$2008:$DJ$2012,DG1046)</f>
        <v>0</v>
      </c>
      <c r="DJ2046" s="34" t="str">
        <f>IF(DI2046&gt;0.1%,DI2046,"Algo Esta Mal")</f>
        <v>0</v>
      </c>
      <c r="DK2046" s="33" t="str">
        <f>IF(DJ2046=DI2046,DH2046," ")</f>
        <v>0</v>
      </c>
      <c r="DQ2046" t="str">
        <f>IF(DR2046=DS2008,DQ2008,IF(DR2046=DS2009,DQ2009,IF(DR2046=DS2010,DQ2010,IF(DR2046=DS2011,DQ2011,IF(DR2046=DS2012,DQ2012,"ALGO ESTA MAL")))))</f>
        <v>0</v>
      </c>
      <c r="DR2046" s="34" t="str">
        <f>LARGE($DS$2008:$DS$2012,DP1046)</f>
        <v>0</v>
      </c>
      <c r="DS2046" s="34" t="str">
        <f>IF(DR2046&gt;0.1%,DR2046,"Algo Esta Mal")</f>
        <v>0</v>
      </c>
      <c r="DT2046" s="33" t="str">
        <f>IF(DS2046=DR2046,DQ2046," ")</f>
        <v>0</v>
      </c>
      <c r="DZ2046" t="str">
        <f>IF(EA2046=EB2008,DZ2008,IF(EA2046=EB2009,DZ2009,IF(EA2046=EB2010,DZ2010,IF(EA2046=EB2011,DZ2011,IF(EA2046=EB2012,DZ2012,"ALGO ESTA MAL")))))</f>
        <v>0</v>
      </c>
      <c r="EA2046" s="34" t="str">
        <f>LARGE($EB$2008:$EB$2012,DY1046)</f>
        <v>0</v>
      </c>
      <c r="EB2046" s="34" t="str">
        <f>IF(EA2046&gt;0.1%,EA2046,"Algo Esta Mal")</f>
        <v>0</v>
      </c>
      <c r="EC2046" s="33" t="str">
        <f>IF(EB2046=EA2046,DZ2046," ")</f>
        <v>0</v>
      </c>
      <c r="EI2046" t="str">
        <f>IF(EJ2046=EK2008,EI2008,IF(EJ2046=EK2009,EI2009,IF(EJ2046=EK2010,EI2010,IF(EJ2046=EK2011,EI2011,IF(EJ2046=EK2012,EI2012,"ALGO ESTA MAL")))))</f>
        <v>0</v>
      </c>
      <c r="EJ2046" s="34" t="str">
        <f>LARGE($EK$2008:$EK$2012,EH1046)</f>
        <v>0</v>
      </c>
      <c r="EK2046" s="34" t="str">
        <f>IF(EJ2046&gt;0.1%,EJ2046,"Algo Esta Mal")</f>
        <v>0</v>
      </c>
      <c r="EL2046" s="33" t="str">
        <f>IF(EK2046=EJ2046,EI2046," ")</f>
        <v>0</v>
      </c>
      <c r="ER2046" t="str">
        <f>IF(ES2046=ET2008,ER2008,IF(ES2046=ET2009,ER2009,IF(ES2046=ET2010,ER2010,IF(ES2046=ET2011,ER2011,IF(ES2046=ET2012,ER2012,"ALGO ESTA MAL")))))</f>
        <v>0</v>
      </c>
      <c r="ES2046" s="34" t="str">
        <f>LARGE($ET$2008:$ET$2012,EQ1046)</f>
        <v>0</v>
      </c>
      <c r="ET2046" s="34" t="str">
        <f>IF(ES2046&gt;0.1%,ES2046,"Algo Esta Mal")</f>
        <v>0</v>
      </c>
      <c r="EU2046" s="33" t="str">
        <f>IF(ET2046=ES2046,ER2046," ")</f>
        <v>0</v>
      </c>
      <c r="FA2046" t="str">
        <f>IF(FB2046=FC2008,FA2008,IF(FB2046=FC2009,FA2009,IF(FB2046=FC2010,FA2010,IF(FB2046=FC2011,FA2011,IF(FB2046=FC2012,FA2012,"ALGO ESTA MAL")))))</f>
        <v>0</v>
      </c>
      <c r="FB2046" s="34" t="str">
        <f>LARGE($FC$2008:$FC$2012,EZ1046)</f>
        <v>0</v>
      </c>
      <c r="FC2046" s="34" t="str">
        <f>IF(FB2046&gt;0.1%,FB2046,"Algo Esta Mal")</f>
        <v>0</v>
      </c>
      <c r="FD2046" s="33" t="str">
        <f>IF(FC2046=FB2046,FA2046," ")</f>
        <v>0</v>
      </c>
    </row>
    <row r="2047" spans="1:161">
      <c r="D2047" t="str">
        <f>IF(E2047=F2008,D2008,IF(E2047=F2009,D2009,IF(E2047=F2010,D2010,IF(E2047=F2011,D2011,IF(E2047=F2012,D2012,"ALGO ESTA MAL")))))</f>
        <v>0</v>
      </c>
      <c r="E2047" s="34" t="str">
        <f>LARGE($F$2008:$F$2012,C1047)</f>
        <v>0</v>
      </c>
      <c r="F2047" s="34" t="str">
        <f>IF(E2047&gt;0.1%,E2047,"Algo Esta Mal")</f>
        <v>0</v>
      </c>
      <c r="G2047" s="33" t="str">
        <f>IF(F2047=E2047,D2047," ")</f>
        <v>0</v>
      </c>
      <c r="M2047" t="str">
        <f>IF(N2047=O2008,M2008,IF(N2047=O2009,M2009,IF(N2047=O2010,M2010,IF(N2047=O2011,M2011,IF(N2047=O2012,M2012,"ALGO ESTA MAL")))))</f>
        <v>0</v>
      </c>
      <c r="N2047" s="34" t="str">
        <f>LARGE($O$2008:$O$2012,L1047)</f>
        <v>0</v>
      </c>
      <c r="O2047" s="34" t="str">
        <f>IF(N2047&gt;0.1%,N2047,"Algo Esta Mal")</f>
        <v>0</v>
      </c>
      <c r="P2047" s="33" t="str">
        <f>IF(O2047=N2047,M2047," ")</f>
        <v>0</v>
      </c>
      <c r="V2047" t="str">
        <f>IF(W2047=X2008,V2008,IF(W2047=X2009,V2009,IF(W2047=X2010,V2010,IF(W2047=X2011,V2011,IF(W2047=X2012,V2012,"ALGO ESTA MAL")))))</f>
        <v>0</v>
      </c>
      <c r="W2047" s="34" t="str">
        <f>LARGE($X$2008:$X$2012,U1047)</f>
        <v>0</v>
      </c>
      <c r="X2047" s="34" t="str">
        <f>IF(W2047&gt;0.1%,W2047,"Algo Esta Mal")</f>
        <v>0</v>
      </c>
      <c r="Y2047" s="33" t="str">
        <f>IF(X2047=W2047,V2047," ")</f>
        <v>0</v>
      </c>
      <c r="AE2047" t="str">
        <f>IF(AF2047=AG2008,AE2008,IF(AF2047=AG2009,AE2009,IF(AF2047=AG2010,AE2010,IF(AF2047=AG2011,AE2011,IF(AF2047=AG2012,AE2012,"ALGO ESTA MAL")))))</f>
        <v>0</v>
      </c>
      <c r="AF2047" s="34" t="str">
        <f>LARGE($AG$2008:$AG$2012,AD1047)</f>
        <v>0</v>
      </c>
      <c r="AG2047" s="34" t="str">
        <f>IF(AF2047&gt;0.1%,AF2047,"Algo Esta Mal")</f>
        <v>0</v>
      </c>
      <c r="AH2047" s="33" t="str">
        <f>IF(AG2047=AF2047,AE2047," ")</f>
        <v>0</v>
      </c>
      <c r="AN2047" t="str">
        <f>IF(AO2047=AP2008,AN2008,IF(AO2047=AP2009,AN2009,IF(AO2047=AP2010,AN2010,IF(AO2047=AP2011,AN2011,IF(AO2047=AP2012,AN2012,"ALGO ESTA MAL")))))</f>
        <v>0</v>
      </c>
      <c r="AO2047" s="34" t="str">
        <f>LARGE($AP$2008:$AP$2012,AM1047)</f>
        <v>0</v>
      </c>
      <c r="AP2047" s="34" t="str">
        <f>IF(AO2047&gt;0.1%,AO2047,"Algo Esta Mal")</f>
        <v>0</v>
      </c>
      <c r="AQ2047" s="33" t="str">
        <f>IF(AP2047=AO2047,AN2047," ")</f>
        <v>0</v>
      </c>
      <c r="AW2047" t="str">
        <f>IF(AX2047=AY2008,AW2008,IF(AX2047=AY2009,AW2009,IF(AX2047=AY2010,AW2010,IF(AX2047=AY2011,AW2011,IF(AX2047=AY2012,AW2012,"ALGO ESTA MAL")))))</f>
        <v>0</v>
      </c>
      <c r="AX2047" s="34" t="str">
        <f>LARGE($AY$2008:$AY$2012,AV1047)</f>
        <v>0</v>
      </c>
      <c r="AY2047" s="34" t="str">
        <f>IF(AX2047&gt;0.1%,AX2047,"Algo Esta Mal")</f>
        <v>0</v>
      </c>
      <c r="AZ2047" s="33" t="str">
        <f>IF(AY2047=AX2047,AW2047," ")</f>
        <v>0</v>
      </c>
      <c r="BF2047" t="str">
        <f>IF(BG2047=BH2008,BF2008,IF(BG2047=BH2009,BF2009,IF(BG2047=BH2010,BF2010,IF(BG2047=BH2011,BF2011,IF(BG2047=BH2012,BF2012,"ALGO ESTA MAL")))))</f>
        <v>0</v>
      </c>
      <c r="BG2047" s="34" t="str">
        <f>LARGE($BH$2008:$BH$2012,BE1047)</f>
        <v>0</v>
      </c>
      <c r="BH2047" s="34" t="str">
        <f>IF(BG2047&gt;0.1%,BG2047,"Algo Esta Mal")</f>
        <v>0</v>
      </c>
      <c r="BI2047" s="33" t="str">
        <f>IF(BH2047=BG2047,BF2047," ")</f>
        <v>0</v>
      </c>
      <c r="BO2047" t="str">
        <f>IF(BP2047=BQ2008,BO2008,IF(BP2047=BQ2009,BO2009,IF(BP2047=BQ2010,BO2010,IF(BP2047=BQ2011,BO2011,IF(BP2047=BQ2012,BO2012,"ALGO ESTA MAL")))))</f>
        <v>0</v>
      </c>
      <c r="BP2047" s="34" t="str">
        <f>LARGE($BQ$2008:$BQ$2012,BN1047)</f>
        <v>0</v>
      </c>
      <c r="BQ2047" s="34" t="str">
        <f>IF(BP2047&gt;0.1%,BP2047,"Algo Esta Mal")</f>
        <v>0</v>
      </c>
      <c r="BR2047" s="33" t="str">
        <f>IF(BQ2047=BP2047,BO2047," ")</f>
        <v>0</v>
      </c>
      <c r="BX2047" t="str">
        <f>IF(BY2047=BZ2008,BX2008,IF(BY2047=BZ2009,BX2009,IF(BY2047=BZ2010,BX2010,IF(BY2047=BZ2011,BX2011,IF(BY2047=BZ2012,BX2012,"ALGO ESTA MAL")))))</f>
        <v>0</v>
      </c>
      <c r="BY2047" s="34" t="str">
        <f>LARGE($BZ$2008:$BZ$2012,BW1047)</f>
        <v>0</v>
      </c>
      <c r="BZ2047" s="34" t="str">
        <f>IF(BY2047&gt;0.1%,BY2047,"Algo Esta Mal")</f>
        <v>0</v>
      </c>
      <c r="CA2047" s="33" t="str">
        <f>IF(BZ2047=BY2047,BX2047," ")</f>
        <v>0</v>
      </c>
      <c r="CG2047" t="str">
        <f>IF(CH2047=CI2008,CG2008,IF(CH2047=CI2009,CG2009,IF(CH2047=CI2010,CG2010,IF(CH2047=CI2011,CG2011,IF(CH2047=CI2012,CG2012,"ALGO ESTA MAL")))))</f>
        <v>0</v>
      </c>
      <c r="CH2047" s="34" t="str">
        <f>LARGE($CI$2008:$CI$2012,CF1047)</f>
        <v>0</v>
      </c>
      <c r="CI2047" s="34" t="str">
        <f>IF(CH2047&gt;0.1%,CH2047,"Algo Esta Mal")</f>
        <v>0</v>
      </c>
      <c r="CJ2047" s="33" t="str">
        <f>IF(CI2047=CH2047,CG2047," ")</f>
        <v>0</v>
      </c>
      <c r="CP2047" t="str">
        <f>IF(CQ2047=CR2008,CP2008,IF(CQ2047=CR2009,CP2009,IF(CQ2047=CR2010,CP2010,IF(CQ2047=CR2011,CP2011,IF(CQ2047=CR2012,CP2012,"ALGO ESTA MAL")))))</f>
        <v>0</v>
      </c>
      <c r="CQ2047" s="34" t="str">
        <f>LARGE($CR$2008:$CR$2012,CO1047)</f>
        <v>0</v>
      </c>
      <c r="CR2047" s="34" t="str">
        <f>IF(CQ2047&gt;0.1%,CQ2047,"Algo Esta Mal")</f>
        <v>0</v>
      </c>
      <c r="CS2047" s="33" t="str">
        <f>IF(CR2047=CQ2047,CP2047," ")</f>
        <v>0</v>
      </c>
      <c r="CY2047" t="str">
        <f>IF(CZ2047=DA2008,CY2008,IF(CZ2047=DA2009,CY2009,IF(CZ2047=DA2010,CY2010,IF(CZ2047=DA2011,CY2011,IF(CZ2047=DA2012,CY2012,"ALGO ESTA MAL")))))</f>
        <v>0</v>
      </c>
      <c r="CZ2047" s="34" t="str">
        <f>LARGE($DA$2008:$DA$2012,CX1047)</f>
        <v>0</v>
      </c>
      <c r="DA2047" s="34" t="str">
        <f>IF(CZ2047&gt;0.1%,CZ2047,"Algo Esta Mal")</f>
        <v>0</v>
      </c>
      <c r="DB2047" s="33" t="str">
        <f>IF(DA2047=CZ2047,CY2047," ")</f>
        <v>0</v>
      </c>
      <c r="DH2047" t="str">
        <f>IF(DI2047=DJ2008,DH2008,IF(DI2047=DJ2009,DH2009,IF(DI2047=DJ2010,DH2010,IF(DI2047=DJ2011,DH2011,IF(DI2047=DJ2012,DH2012,"ALGO ESTA MAL")))))</f>
        <v>0</v>
      </c>
      <c r="DI2047" s="34" t="str">
        <f>LARGE($DJ$2008:$DJ$2012,DG1047)</f>
        <v>0</v>
      </c>
      <c r="DJ2047" s="34" t="str">
        <f>IF(DI2047&gt;0.1%,DI2047,"Algo Esta Mal")</f>
        <v>0</v>
      </c>
      <c r="DK2047" s="33" t="str">
        <f>IF(DJ2047=DI2047,DH2047," ")</f>
        <v>0</v>
      </c>
      <c r="DQ2047" t="str">
        <f>IF(DR2047=DS2008,DQ2008,IF(DR2047=DS2009,DQ2009,IF(DR2047=DS2010,DQ2010,IF(DR2047=DS2011,DQ2011,IF(DR2047=DS2012,DQ2012,"ALGO ESTA MAL")))))</f>
        <v>0</v>
      </c>
      <c r="DR2047" s="34" t="str">
        <f>LARGE($DS$2008:$DS$2012,DP1047)</f>
        <v>0</v>
      </c>
      <c r="DS2047" s="34" t="str">
        <f>IF(DR2047&gt;0.1%,DR2047,"Algo Esta Mal")</f>
        <v>0</v>
      </c>
      <c r="DT2047" s="33" t="str">
        <f>IF(DS2047=DR2047,DQ2047," ")</f>
        <v>0</v>
      </c>
      <c r="DZ2047" t="str">
        <f>IF(EA2047=EB2008,DZ2008,IF(EA2047=EB2009,DZ2009,IF(EA2047=EB2010,DZ2010,IF(EA2047=EB2011,DZ2011,IF(EA2047=EB2012,DZ2012,"ALGO ESTA MAL")))))</f>
        <v>0</v>
      </c>
      <c r="EA2047" s="34" t="str">
        <f>LARGE($EB$2008:$EB$2012,DY1047)</f>
        <v>0</v>
      </c>
      <c r="EB2047" s="34" t="str">
        <f>IF(EA2047&gt;0.1%,EA2047,"Algo Esta Mal")</f>
        <v>0</v>
      </c>
      <c r="EC2047" s="33" t="str">
        <f>IF(EB2047=EA2047,DZ2047," ")</f>
        <v>0</v>
      </c>
      <c r="EI2047" t="str">
        <f>IF(EJ2047=EK2008,EI2008,IF(EJ2047=EK2009,EI2009,IF(EJ2047=EK2010,EI2010,IF(EJ2047=EK2011,EI2011,IF(EJ2047=EK2012,EI2012,"ALGO ESTA MAL")))))</f>
        <v>0</v>
      </c>
      <c r="EJ2047" s="34" t="str">
        <f>LARGE($EK$2008:$EK$2012,EH1047)</f>
        <v>0</v>
      </c>
      <c r="EK2047" s="34" t="str">
        <f>IF(EJ2047&gt;0.1%,EJ2047,"Algo Esta Mal")</f>
        <v>0</v>
      </c>
      <c r="EL2047" s="33" t="str">
        <f>IF(EK2047=EJ2047,EI2047," ")</f>
        <v>0</v>
      </c>
      <c r="ER2047" t="str">
        <f>IF(ES2047=ET2008,ER2008,IF(ES2047=ET2009,ER2009,IF(ES2047=ET2010,ER2010,IF(ES2047=ET2011,ER2011,IF(ES2047=ET2012,ER2012,"ALGO ESTA MAL")))))</f>
        <v>0</v>
      </c>
      <c r="ES2047" s="34" t="str">
        <f>LARGE($ET$2008:$ET$2012,EQ1047)</f>
        <v>0</v>
      </c>
      <c r="ET2047" s="34" t="str">
        <f>IF(ES2047&gt;0.1%,ES2047,"Algo Esta Mal")</f>
        <v>0</v>
      </c>
      <c r="EU2047" s="33" t="str">
        <f>IF(ET2047=ES2047,ER2047," ")</f>
        <v>0</v>
      </c>
      <c r="FA2047" t="str">
        <f>IF(FB2047=FC2008,FA2008,IF(FB2047=FC2009,FA2009,IF(FB2047=FC2010,FA2010,IF(FB2047=FC2011,FA2011,IF(FB2047=FC2012,FA2012,"ALGO ESTA MAL")))))</f>
        <v>0</v>
      </c>
      <c r="FB2047" s="34" t="str">
        <f>LARGE($FC$2008:$FC$2012,EZ1047)</f>
        <v>0</v>
      </c>
      <c r="FC2047" s="34" t="str">
        <f>IF(FB2047&gt;0.1%,FB2047,"Algo Esta Mal")</f>
        <v>0</v>
      </c>
      <c r="FD2047" s="33" t="str">
        <f>IF(FC2047=FB2047,FA2047," ")</f>
        <v>0</v>
      </c>
    </row>
    <row r="2048" spans="1:161">
      <c r="D2048" t="str">
        <f>IF(E2048=F2008,D2008,IF(E2048=F2009,D2009,IF(E2048=F2010,D2010,IF(E2048=F2011,D2011,IF(E2048=F2012,D2012,"ALGO ESTA MAL")))))</f>
        <v>0</v>
      </c>
      <c r="E2048" s="34" t="str">
        <f>LARGE($F$2008:$F$2012,C1048)</f>
        <v>0</v>
      </c>
      <c r="F2048" s="34" t="str">
        <f>IF(E2048&gt;0.1%,E2048,"Algo Esta Mal")</f>
        <v>0</v>
      </c>
      <c r="G2048" s="33" t="str">
        <f>IF(F2048=E2048,D2048," ")</f>
        <v>0</v>
      </c>
      <c r="M2048" t="str">
        <f>IF(N2048=O2008,M2008,IF(N2048=O2009,M2009,IF(N2048=O2010,M2010,IF(N2048=O2011,M2011,IF(N2048=O2012,M2012,"ALGO ESTA MAL")))))</f>
        <v>0</v>
      </c>
      <c r="N2048" s="34" t="str">
        <f>LARGE($O$2008:$O$2012,L1048)</f>
        <v>0</v>
      </c>
      <c r="O2048" s="34" t="str">
        <f>IF(N2048&gt;0.1%,N2048,"Algo Esta Mal")</f>
        <v>0</v>
      </c>
      <c r="P2048" s="33" t="str">
        <f>IF(O2048=N2048,M2048," ")</f>
        <v>0</v>
      </c>
      <c r="V2048" t="str">
        <f>IF(W2048=X2008,V2008,IF(W2048=X2009,V2009,IF(W2048=X2010,V2010,IF(W2048=X2011,V2011,IF(W2048=X2012,V2012,"ALGO ESTA MAL")))))</f>
        <v>0</v>
      </c>
      <c r="W2048" s="34" t="str">
        <f>LARGE($X$2008:$X$2012,U1048)</f>
        <v>0</v>
      </c>
      <c r="X2048" s="34" t="str">
        <f>IF(W2048&gt;0.1%,W2048,"Algo Esta Mal")</f>
        <v>0</v>
      </c>
      <c r="Y2048" s="33" t="str">
        <f>IF(X2048=W2048,V2048," ")</f>
        <v>0</v>
      </c>
      <c r="AE2048" t="str">
        <f>IF(AF2048=AG2008,AE2008,IF(AF2048=AG2009,AE2009,IF(AF2048=AG2010,AE2010,IF(AF2048=AG2011,AE2011,IF(AF2048=AG2012,AE2012,"ALGO ESTA MAL")))))</f>
        <v>0</v>
      </c>
      <c r="AF2048" s="34" t="str">
        <f>LARGE($AG$2008:$AG$2012,AD1048)</f>
        <v>0</v>
      </c>
      <c r="AG2048" s="34" t="str">
        <f>IF(AF2048&gt;0.1%,AF2048,"Algo Esta Mal")</f>
        <v>0</v>
      </c>
      <c r="AH2048" s="33" t="str">
        <f>IF(AG2048=AF2048,AE2048," ")</f>
        <v>0</v>
      </c>
      <c r="AN2048" t="str">
        <f>IF(AO2048=AP2008,AN2008,IF(AO2048=AP2009,AN2009,IF(AO2048=AP2010,AN2010,IF(AO2048=AP2011,AN2011,IF(AO2048=AP2012,AN2012,"ALGO ESTA MAL")))))</f>
        <v>0</v>
      </c>
      <c r="AO2048" s="34" t="str">
        <f>LARGE($AP$2008:$AP$2012,AM1048)</f>
        <v>0</v>
      </c>
      <c r="AP2048" s="34" t="str">
        <f>IF(AO2048&gt;0.1%,AO2048,"Algo Esta Mal")</f>
        <v>0</v>
      </c>
      <c r="AQ2048" s="33" t="str">
        <f>IF(AP2048=AO2048,AN2048," ")</f>
        <v>0</v>
      </c>
      <c r="AW2048" t="str">
        <f>IF(AX2048=AY2008,AW2008,IF(AX2048=AY2009,AW2009,IF(AX2048=AY2010,AW2010,IF(AX2048=AY2011,AW2011,IF(AX2048=AY2012,AW2012,"ALGO ESTA MAL")))))</f>
        <v>0</v>
      </c>
      <c r="AX2048" s="34" t="str">
        <f>LARGE($AY$2008:$AY$2012,AV1048)</f>
        <v>0</v>
      </c>
      <c r="AY2048" s="34" t="str">
        <f>IF(AX2048&gt;0.1%,AX2048,"Algo Esta Mal")</f>
        <v>0</v>
      </c>
      <c r="AZ2048" s="33" t="str">
        <f>IF(AY2048=AX2048,AW2048," ")</f>
        <v>0</v>
      </c>
      <c r="BF2048" t="str">
        <f>IF(BG2048=BH2008,BF2008,IF(BG2048=BH2009,BF2009,IF(BG2048=BH2010,BF2010,IF(BG2048=BH2011,BF2011,IF(BG2048=BH2012,BF2012,"ALGO ESTA MAL")))))</f>
        <v>0</v>
      </c>
      <c r="BG2048" s="34" t="str">
        <f>LARGE($BH$2008:$BH$2012,BE1048)</f>
        <v>0</v>
      </c>
      <c r="BH2048" s="34" t="str">
        <f>IF(BG2048&gt;0.1%,BG2048,"Algo Esta Mal")</f>
        <v>0</v>
      </c>
      <c r="BI2048" s="33" t="str">
        <f>IF(BH2048=BG2048,BF2048," ")</f>
        <v>0</v>
      </c>
      <c r="BO2048" t="str">
        <f>IF(BP2048=BQ2008,BO2008,IF(BP2048=BQ2009,BO2009,IF(BP2048=BQ2010,BO2010,IF(BP2048=BQ2011,BO2011,IF(BP2048=BQ2012,BO2012,"ALGO ESTA MAL")))))</f>
        <v>0</v>
      </c>
      <c r="BP2048" s="34" t="str">
        <f>LARGE($BQ$2008:$BQ$2012,BN1048)</f>
        <v>0</v>
      </c>
      <c r="BQ2048" s="34" t="str">
        <f>IF(BP2048&gt;0.1%,BP2048,"Algo Esta Mal")</f>
        <v>0</v>
      </c>
      <c r="BR2048" s="33" t="str">
        <f>IF(BQ2048=BP2048,BO2048," ")</f>
        <v>0</v>
      </c>
      <c r="BX2048" t="str">
        <f>IF(BY2048=BZ2008,BX2008,IF(BY2048=BZ2009,BX2009,IF(BY2048=BZ2010,BX2010,IF(BY2048=BZ2011,BX2011,IF(BY2048=BZ2012,BX2012,"ALGO ESTA MAL")))))</f>
        <v>0</v>
      </c>
      <c r="BY2048" s="34" t="str">
        <f>LARGE($BZ$2008:$BZ$2012,BW1048)</f>
        <v>0</v>
      </c>
      <c r="BZ2048" s="34" t="str">
        <f>IF(BY2048&gt;0.1%,BY2048,"Algo Esta Mal")</f>
        <v>0</v>
      </c>
      <c r="CA2048" s="33" t="str">
        <f>IF(BZ2048=BY2048,BX2048," ")</f>
        <v>0</v>
      </c>
      <c r="CG2048" t="str">
        <f>IF(CH2048=CI2008,CG2008,IF(CH2048=CI2009,CG2009,IF(CH2048=CI2010,CG2010,IF(CH2048=CI2011,CG2011,IF(CH2048=CI2012,CG2012,"ALGO ESTA MAL")))))</f>
        <v>0</v>
      </c>
      <c r="CH2048" s="34" t="str">
        <f>LARGE($CI$2008:$CI$2012,CF1048)</f>
        <v>0</v>
      </c>
      <c r="CI2048" s="34" t="str">
        <f>IF(CH2048&gt;0.1%,CH2048,"Algo Esta Mal")</f>
        <v>0</v>
      </c>
      <c r="CJ2048" s="33" t="str">
        <f>IF(CI2048=CH2048,CG2048," ")</f>
        <v>0</v>
      </c>
      <c r="CP2048" t="str">
        <f>IF(CQ2048=CR2008,CP2008,IF(CQ2048=CR2009,CP2009,IF(CQ2048=CR2010,CP2010,IF(CQ2048=CR2011,CP2011,IF(CQ2048=CR2012,CP2012,"ALGO ESTA MAL")))))</f>
        <v>0</v>
      </c>
      <c r="CQ2048" s="34" t="str">
        <f>LARGE($CR$2008:$CR$2012,CO1048)</f>
        <v>0</v>
      </c>
      <c r="CR2048" s="34" t="str">
        <f>IF(CQ2048&gt;0.1%,CQ2048,"Algo Esta Mal")</f>
        <v>0</v>
      </c>
      <c r="CS2048" s="33" t="str">
        <f>IF(CR2048=CQ2048,CP2048," ")</f>
        <v>0</v>
      </c>
      <c r="CY2048" t="str">
        <f>IF(CZ2048=DA2008,CY2008,IF(CZ2048=DA2009,CY2009,IF(CZ2048=DA2010,CY2010,IF(CZ2048=DA2011,CY2011,IF(CZ2048=DA2012,CY2012,"ALGO ESTA MAL")))))</f>
        <v>0</v>
      </c>
      <c r="CZ2048" s="34" t="str">
        <f>LARGE($DA$2008:$DA$2012,CX1048)</f>
        <v>0</v>
      </c>
      <c r="DA2048" s="34" t="str">
        <f>IF(CZ2048&gt;0.1%,CZ2048,"Algo Esta Mal")</f>
        <v>0</v>
      </c>
      <c r="DB2048" s="33" t="str">
        <f>IF(DA2048=CZ2048,CY2048," ")</f>
        <v>0</v>
      </c>
      <c r="DH2048" t="str">
        <f>IF(DI2048=DJ2008,DH2008,IF(DI2048=DJ2009,DH2009,IF(DI2048=DJ2010,DH2010,IF(DI2048=DJ2011,DH2011,IF(DI2048=DJ2012,DH2012,"ALGO ESTA MAL")))))</f>
        <v>0</v>
      </c>
      <c r="DI2048" s="34" t="str">
        <f>LARGE($DJ$2008:$DJ$2012,DG1048)</f>
        <v>0</v>
      </c>
      <c r="DJ2048" s="34" t="str">
        <f>IF(DI2048&gt;0.1%,DI2048,"Algo Esta Mal")</f>
        <v>0</v>
      </c>
      <c r="DK2048" s="33" t="str">
        <f>IF(DJ2048=DI2048,DH2048," ")</f>
        <v>0</v>
      </c>
      <c r="DQ2048" t="str">
        <f>IF(DR2048=DS2008,DQ2008,IF(DR2048=DS2009,DQ2009,IF(DR2048=DS2010,DQ2010,IF(DR2048=DS2011,DQ2011,IF(DR2048=DS2012,DQ2012,"ALGO ESTA MAL")))))</f>
        <v>0</v>
      </c>
      <c r="DR2048" s="34" t="str">
        <f>LARGE($DS$2008:$DS$2012,DP1048)</f>
        <v>0</v>
      </c>
      <c r="DS2048" s="34" t="str">
        <f>IF(DR2048&gt;0.1%,DR2048,"Algo Esta Mal")</f>
        <v>0</v>
      </c>
      <c r="DT2048" s="33" t="str">
        <f>IF(DS2048=DR2048,DQ2048," ")</f>
        <v>0</v>
      </c>
      <c r="DZ2048" t="str">
        <f>IF(EA2048=EB2008,DZ2008,IF(EA2048=EB2009,DZ2009,IF(EA2048=EB2010,DZ2010,IF(EA2048=EB2011,DZ2011,IF(EA2048=EB2012,DZ2012,"ALGO ESTA MAL")))))</f>
        <v>0</v>
      </c>
      <c r="EA2048" s="34" t="str">
        <f>LARGE($EB$2008:$EB$2012,DY1048)</f>
        <v>0</v>
      </c>
      <c r="EB2048" s="34" t="str">
        <f>IF(EA2048&gt;0.1%,EA2048,"Algo Esta Mal")</f>
        <v>0</v>
      </c>
      <c r="EC2048" s="33" t="str">
        <f>IF(EB2048=EA2048,DZ2048," ")</f>
        <v>0</v>
      </c>
      <c r="EI2048" t="str">
        <f>IF(EJ2048=EK2008,EI2008,IF(EJ2048=EK2009,EI2009,IF(EJ2048=EK2010,EI2010,IF(EJ2048=EK2011,EI2011,IF(EJ2048=EK2012,EI2012,"ALGO ESTA MAL")))))</f>
        <v>0</v>
      </c>
      <c r="EJ2048" s="34" t="str">
        <f>LARGE($EK$2008:$EK$2012,EH1048)</f>
        <v>0</v>
      </c>
      <c r="EK2048" s="34" t="str">
        <f>IF(EJ2048&gt;0.1%,EJ2048,"Algo Esta Mal")</f>
        <v>0</v>
      </c>
      <c r="EL2048" s="33" t="str">
        <f>IF(EK2048=EJ2048,EI2048," ")</f>
        <v>0</v>
      </c>
      <c r="ER2048" t="str">
        <f>IF(ES2048=ET2008,ER2008,IF(ES2048=ET2009,ER2009,IF(ES2048=ET2010,ER2010,IF(ES2048=ET2011,ER2011,IF(ES2048=ET2012,ER2012,"ALGO ESTA MAL")))))</f>
        <v>0</v>
      </c>
      <c r="ES2048" s="34" t="str">
        <f>LARGE($ET$2008:$ET$2012,EQ1048)</f>
        <v>0</v>
      </c>
      <c r="ET2048" s="34" t="str">
        <f>IF(ES2048&gt;0.1%,ES2048,"Algo Esta Mal")</f>
        <v>0</v>
      </c>
      <c r="EU2048" s="33" t="str">
        <f>IF(ET2048=ES2048,ER2048," ")</f>
        <v>0</v>
      </c>
      <c r="FA2048" t="str">
        <f>IF(FB2048=FC2008,FA2008,IF(FB2048=FC2009,FA2009,IF(FB2048=FC2010,FA2010,IF(FB2048=FC2011,FA2011,IF(FB2048=FC2012,FA2012,"ALGO ESTA MAL")))))</f>
        <v>0</v>
      </c>
      <c r="FB2048" s="34" t="str">
        <f>LARGE($FC$2008:$FC$2012,EZ1048)</f>
        <v>0</v>
      </c>
      <c r="FC2048" s="34" t="str">
        <f>IF(FB2048&gt;0.1%,FB2048,"Algo Esta Mal")</f>
        <v>0</v>
      </c>
      <c r="FD2048" s="33" t="str">
        <f>IF(FC2048=FB2048,FA2048," ")</f>
        <v>0</v>
      </c>
    </row>
    <row r="2049" spans="1:161">
      <c r="D2049" t="str">
        <f>IF(E2049=F2008,D2008,IF(E2049=F2009,D2009,IF(E2049=F2010,D2010,IF(E2049=F2011,D2011,IF(E2049=F2012,D2012,"ALGO ESTA MAL")))))</f>
        <v>0</v>
      </c>
      <c r="E2049" s="34" t="str">
        <f>LARGE($F$2008:$F$2012,C1049)</f>
        <v>0</v>
      </c>
      <c r="F2049" s="34" t="str">
        <f>IF(E2049&gt;0.1%,E2049,"Algo Esta Mal")</f>
        <v>0</v>
      </c>
      <c r="G2049" s="33" t="str">
        <f>IF(F2049=E2049,D2049," ")</f>
        <v>0</v>
      </c>
      <c r="M2049" t="str">
        <f>IF(N2049=O2008,M2008,IF(N2049=O2009,M2009,IF(N2049=O2010,M2010,IF(N2049=O2011,M2011,IF(N2049=O2012,M2012,"ALGO ESTA MAL")))))</f>
        <v>0</v>
      </c>
      <c r="N2049" s="34" t="str">
        <f>LARGE($O$2008:$O$2012,L1049)</f>
        <v>0</v>
      </c>
      <c r="O2049" s="34" t="str">
        <f>IF(N2049&gt;0.1%,N2049,"Algo Esta Mal")</f>
        <v>0</v>
      </c>
      <c r="P2049" s="33" t="str">
        <f>IF(O2049=N2049,M2049," ")</f>
        <v>0</v>
      </c>
      <c r="V2049" t="str">
        <f>IF(W2049=X2008,V2008,IF(W2049=X2009,V2009,IF(W2049=X2010,V2010,IF(W2049=X2011,V2011,IF(W2049=X2012,V2012,"ALGO ESTA MAL")))))</f>
        <v>0</v>
      </c>
      <c r="W2049" s="34" t="str">
        <f>LARGE($X$2008:$X$2012,U1049)</f>
        <v>0</v>
      </c>
      <c r="X2049" s="34" t="str">
        <f>IF(W2049&gt;0.1%,W2049,"Algo Esta Mal")</f>
        <v>0</v>
      </c>
      <c r="Y2049" s="33" t="str">
        <f>IF(X2049=W2049,V2049," ")</f>
        <v>0</v>
      </c>
      <c r="AE2049" t="str">
        <f>IF(AF2049=AG2008,AE2008,IF(AF2049=AG2009,AE2009,IF(AF2049=AG2010,AE2010,IF(AF2049=AG2011,AE2011,IF(AF2049=AG2012,AE2012,"ALGO ESTA MAL")))))</f>
        <v>0</v>
      </c>
      <c r="AF2049" s="34" t="str">
        <f>LARGE($AG$2008:$AG$2012,AD1049)</f>
        <v>0</v>
      </c>
      <c r="AG2049" s="34" t="str">
        <f>IF(AF2049&gt;0.1%,AF2049,"Algo Esta Mal")</f>
        <v>0</v>
      </c>
      <c r="AH2049" s="33" t="str">
        <f>IF(AG2049=AF2049,AE2049," ")</f>
        <v>0</v>
      </c>
      <c r="AN2049" t="str">
        <f>IF(AO2049=AP2008,AN2008,IF(AO2049=AP2009,AN2009,IF(AO2049=AP2010,AN2010,IF(AO2049=AP2011,AN2011,IF(AO2049=AP2012,AN2012,"ALGO ESTA MAL")))))</f>
        <v>0</v>
      </c>
      <c r="AO2049" s="34" t="str">
        <f>LARGE($AP$2008:$AP$2012,AM1049)</f>
        <v>0</v>
      </c>
      <c r="AP2049" s="34" t="str">
        <f>IF(AO2049&gt;0.1%,AO2049,"Algo Esta Mal")</f>
        <v>0</v>
      </c>
      <c r="AQ2049" s="33" t="str">
        <f>IF(AP2049=AO2049,AN2049," ")</f>
        <v>0</v>
      </c>
      <c r="AW2049" t="str">
        <f>IF(AX2049=AY2008,AW2008,IF(AX2049=AY2009,AW2009,IF(AX2049=AY2010,AW2010,IF(AX2049=AY2011,AW2011,IF(AX2049=AY2012,AW2012,"ALGO ESTA MAL")))))</f>
        <v>0</v>
      </c>
      <c r="AX2049" s="34" t="str">
        <f>LARGE($AY$2008:$AY$2012,AV1049)</f>
        <v>0</v>
      </c>
      <c r="AY2049" s="34" t="str">
        <f>IF(AX2049&gt;0.1%,AX2049,"Algo Esta Mal")</f>
        <v>0</v>
      </c>
      <c r="AZ2049" s="33" t="str">
        <f>IF(AY2049=AX2049,AW2049," ")</f>
        <v>0</v>
      </c>
      <c r="BF2049" t="str">
        <f>IF(BG2049=BH2008,BF2008,IF(BG2049=BH2009,BF2009,IF(BG2049=BH2010,BF2010,IF(BG2049=BH2011,BF2011,IF(BG2049=BH2012,BF2012,"ALGO ESTA MAL")))))</f>
        <v>0</v>
      </c>
      <c r="BG2049" s="34" t="str">
        <f>LARGE($BH$2008:$BH$2012,BE1049)</f>
        <v>0</v>
      </c>
      <c r="BH2049" s="34" t="str">
        <f>IF(BG2049&gt;0.1%,BG2049,"Algo Esta Mal")</f>
        <v>0</v>
      </c>
      <c r="BI2049" s="33" t="str">
        <f>IF(BH2049=BG2049,BF2049," ")</f>
        <v>0</v>
      </c>
      <c r="BO2049" t="str">
        <f>IF(BP2049=BQ2008,BO2008,IF(BP2049=BQ2009,BO2009,IF(BP2049=BQ2010,BO2010,IF(BP2049=BQ2011,BO2011,IF(BP2049=BQ2012,BO2012,"ALGO ESTA MAL")))))</f>
        <v>0</v>
      </c>
      <c r="BP2049" s="34" t="str">
        <f>LARGE($BQ$2008:$BQ$2012,BN1049)</f>
        <v>0</v>
      </c>
      <c r="BQ2049" s="34" t="str">
        <f>IF(BP2049&gt;0.1%,BP2049,"Algo Esta Mal")</f>
        <v>0</v>
      </c>
      <c r="BR2049" s="33" t="str">
        <f>IF(BQ2049=BP2049,BO2049," ")</f>
        <v>0</v>
      </c>
      <c r="BX2049" t="str">
        <f>IF(BY2049=BZ2008,BX2008,IF(BY2049=BZ2009,BX2009,IF(BY2049=BZ2010,BX2010,IF(BY2049=BZ2011,BX2011,IF(BY2049=BZ2012,BX2012,"ALGO ESTA MAL")))))</f>
        <v>0</v>
      </c>
      <c r="BY2049" s="34" t="str">
        <f>LARGE($BZ$2008:$BZ$2012,BW1049)</f>
        <v>0</v>
      </c>
      <c r="BZ2049" s="34" t="str">
        <f>IF(BY2049&gt;0.1%,BY2049,"Algo Esta Mal")</f>
        <v>0</v>
      </c>
      <c r="CA2049" s="33" t="str">
        <f>IF(BZ2049=BY2049,BX2049," ")</f>
        <v>0</v>
      </c>
      <c r="CG2049" t="str">
        <f>IF(CH2049=CI2008,CG2008,IF(CH2049=CI2009,CG2009,IF(CH2049=CI2010,CG2010,IF(CH2049=CI2011,CG2011,IF(CH2049=CI2012,CG2012,"ALGO ESTA MAL")))))</f>
        <v>0</v>
      </c>
      <c r="CH2049" s="34" t="str">
        <f>LARGE($CI$2008:$CI$2012,CF1049)</f>
        <v>0</v>
      </c>
      <c r="CI2049" s="34" t="str">
        <f>IF(CH2049&gt;0.1%,CH2049,"Algo Esta Mal")</f>
        <v>0</v>
      </c>
      <c r="CJ2049" s="33" t="str">
        <f>IF(CI2049=CH2049,CG2049," ")</f>
        <v>0</v>
      </c>
      <c r="CP2049" t="str">
        <f>IF(CQ2049=CR2008,CP2008,IF(CQ2049=CR2009,CP2009,IF(CQ2049=CR2010,CP2010,IF(CQ2049=CR2011,CP2011,IF(CQ2049=CR2012,CP2012,"ALGO ESTA MAL")))))</f>
        <v>0</v>
      </c>
      <c r="CQ2049" s="34" t="str">
        <f>LARGE($CR$2008:$CR$2012,CO1049)</f>
        <v>0</v>
      </c>
      <c r="CR2049" s="34" t="str">
        <f>IF(CQ2049&gt;0.1%,CQ2049,"Algo Esta Mal")</f>
        <v>0</v>
      </c>
      <c r="CS2049" s="33" t="str">
        <f>IF(CR2049=CQ2049,CP2049," ")</f>
        <v>0</v>
      </c>
      <c r="CY2049" t="str">
        <f>IF(CZ2049=DA2008,CY2008,IF(CZ2049=DA2009,CY2009,IF(CZ2049=DA2010,CY2010,IF(CZ2049=DA2011,CY2011,IF(CZ2049=DA2012,CY2012,"ALGO ESTA MAL")))))</f>
        <v>0</v>
      </c>
      <c r="CZ2049" s="34" t="str">
        <f>LARGE($DA$2008:$DA$2012,CX1049)</f>
        <v>0</v>
      </c>
      <c r="DA2049" s="34" t="str">
        <f>IF(CZ2049&gt;0.1%,CZ2049,"Algo Esta Mal")</f>
        <v>0</v>
      </c>
      <c r="DB2049" s="33" t="str">
        <f>IF(DA2049=CZ2049,CY2049," ")</f>
        <v>0</v>
      </c>
      <c r="DH2049" t="str">
        <f>IF(DI2049=DJ2008,DH2008,IF(DI2049=DJ2009,DH2009,IF(DI2049=DJ2010,DH2010,IF(DI2049=DJ2011,DH2011,IF(DI2049=DJ2012,DH2012,"ALGO ESTA MAL")))))</f>
        <v>0</v>
      </c>
      <c r="DI2049" s="34" t="str">
        <f>LARGE($DJ$2008:$DJ$2012,DG1049)</f>
        <v>0</v>
      </c>
      <c r="DJ2049" s="34" t="str">
        <f>IF(DI2049&gt;0.1%,DI2049,"Algo Esta Mal")</f>
        <v>0</v>
      </c>
      <c r="DK2049" s="33" t="str">
        <f>IF(DJ2049=DI2049,DH2049," ")</f>
        <v>0</v>
      </c>
      <c r="DQ2049" t="str">
        <f>IF(DR2049=DS2008,DQ2008,IF(DR2049=DS2009,DQ2009,IF(DR2049=DS2010,DQ2010,IF(DR2049=DS2011,DQ2011,IF(DR2049=DS2012,DQ2012,"ALGO ESTA MAL")))))</f>
        <v>0</v>
      </c>
      <c r="DR2049" s="34" t="str">
        <f>LARGE($DS$2008:$DS$2012,DP1049)</f>
        <v>0</v>
      </c>
      <c r="DS2049" s="34" t="str">
        <f>IF(DR2049&gt;0.1%,DR2049,"Algo Esta Mal")</f>
        <v>0</v>
      </c>
      <c r="DT2049" s="33" t="str">
        <f>IF(DS2049=DR2049,DQ2049," ")</f>
        <v>0</v>
      </c>
      <c r="DZ2049" t="str">
        <f>IF(EA2049=EB2008,DZ2008,IF(EA2049=EB2009,DZ2009,IF(EA2049=EB2010,DZ2010,IF(EA2049=EB2011,DZ2011,IF(EA2049=EB2012,DZ2012,"ALGO ESTA MAL")))))</f>
        <v>0</v>
      </c>
      <c r="EA2049" s="34" t="str">
        <f>LARGE($EB$2008:$EB$2012,DY1049)</f>
        <v>0</v>
      </c>
      <c r="EB2049" s="34" t="str">
        <f>IF(EA2049&gt;0.1%,EA2049,"Algo Esta Mal")</f>
        <v>0</v>
      </c>
      <c r="EC2049" s="33" t="str">
        <f>IF(EB2049=EA2049,DZ2049," ")</f>
        <v>0</v>
      </c>
      <c r="EI2049" t="str">
        <f>IF(EJ2049=EK2008,EI2008,IF(EJ2049=EK2009,EI2009,IF(EJ2049=EK2010,EI2010,IF(EJ2049=EK2011,EI2011,IF(EJ2049=EK2012,EI2012,"ALGO ESTA MAL")))))</f>
        <v>0</v>
      </c>
      <c r="EJ2049" s="34" t="str">
        <f>LARGE($EK$2008:$EK$2012,EH1049)</f>
        <v>0</v>
      </c>
      <c r="EK2049" s="34" t="str">
        <f>IF(EJ2049&gt;0.1%,EJ2049,"Algo Esta Mal")</f>
        <v>0</v>
      </c>
      <c r="EL2049" s="33" t="str">
        <f>IF(EK2049=EJ2049,EI2049," ")</f>
        <v>0</v>
      </c>
      <c r="ER2049" t="str">
        <f>IF(ES2049=ET2008,ER2008,IF(ES2049=ET2009,ER2009,IF(ES2049=ET2010,ER2010,IF(ES2049=ET2011,ER2011,IF(ES2049=ET2012,ER2012,"ALGO ESTA MAL")))))</f>
        <v>0</v>
      </c>
      <c r="ES2049" s="34" t="str">
        <f>LARGE($ET$2008:$ET$2012,EQ1049)</f>
        <v>0</v>
      </c>
      <c r="ET2049" s="34" t="str">
        <f>IF(ES2049&gt;0.1%,ES2049,"Algo Esta Mal")</f>
        <v>0</v>
      </c>
      <c r="EU2049" s="33" t="str">
        <f>IF(ET2049=ES2049,ER2049," ")</f>
        <v>0</v>
      </c>
      <c r="FA2049" t="str">
        <f>IF(FB2049=FC2008,FA2008,IF(FB2049=FC2009,FA2009,IF(FB2049=FC2010,FA2010,IF(FB2049=FC2011,FA2011,IF(FB2049=FC2012,FA2012,"ALGO ESTA MAL")))))</f>
        <v>0</v>
      </c>
      <c r="FB2049" s="34" t="str">
        <f>LARGE($FC$2008:$FC$2012,EZ1049)</f>
        <v>0</v>
      </c>
      <c r="FC2049" s="34" t="str">
        <f>IF(FB2049&gt;0.1%,FB2049,"Algo Esta Mal")</f>
        <v>0</v>
      </c>
      <c r="FD2049" s="33" t="str">
        <f>IF(FC2049=FB2049,FA2049," ")</f>
        <v>0</v>
      </c>
    </row>
    <row r="2050" spans="1:161">
      <c r="D2050" t="str">
        <f>IF(E2050=F2008,D2008,IF(E2050=F2009,D2009,IF(E2050=F2010,D2010,IF(E2050=F2011,D2011,IF(E2050=F2012,D2012,"ALGO ESTA MAL")))))</f>
        <v>0</v>
      </c>
      <c r="E2050" s="34" t="str">
        <f>LARGE($F$2008:$F$2012,C1050)</f>
        <v>0</v>
      </c>
      <c r="F2050" s="34" t="str">
        <f>IF(E2050&gt;0.1%,E2050,"Algo Esta Mal")</f>
        <v>0</v>
      </c>
      <c r="G2050" s="33" t="str">
        <f>IF(F2050=E2050,D2050," ")</f>
        <v>0</v>
      </c>
      <c r="M2050" t="str">
        <f>IF(N2050=O2008,M2008,IF(N2050=O2009,M2009,IF(N2050=O2010,M2010,IF(N2050=O2011,M2011,IF(N2050=O2012,M2012,"ALGO ESTA MAL")))))</f>
        <v>0</v>
      </c>
      <c r="N2050" s="34" t="str">
        <f>LARGE($O$2008:$O$2012,L1050)</f>
        <v>0</v>
      </c>
      <c r="O2050" s="34" t="str">
        <f>IF(N2050&gt;0.1%,N2050,"Algo Esta Mal")</f>
        <v>0</v>
      </c>
      <c r="P2050" s="33" t="str">
        <f>IF(O2050=N2050,M2050," ")</f>
        <v>0</v>
      </c>
      <c r="V2050" t="str">
        <f>IF(W2050=X2008,V2008,IF(W2050=X2009,V2009,IF(W2050=X2010,V2010,IF(W2050=X2011,V2011,IF(W2050=X2012,V2012,"ALGO ESTA MAL")))))</f>
        <v>0</v>
      </c>
      <c r="W2050" s="34" t="str">
        <f>LARGE($X$2008:$X$2012,U1050)</f>
        <v>0</v>
      </c>
      <c r="X2050" s="34" t="str">
        <f>IF(W2050&gt;0.1%,W2050,"Algo Esta Mal")</f>
        <v>0</v>
      </c>
      <c r="Y2050" s="33" t="str">
        <f>IF(X2050=W2050,V2050," ")</f>
        <v>0</v>
      </c>
      <c r="AE2050" t="str">
        <f>IF(AF2050=AG2008,AE2008,IF(AF2050=AG2009,AE2009,IF(AF2050=AG2010,AE2010,IF(AF2050=AG2011,AE2011,IF(AF2050=AG2012,AE2012,"ALGO ESTA MAL")))))</f>
        <v>0</v>
      </c>
      <c r="AF2050" s="34" t="str">
        <f>LARGE($AG$2008:$AG$2012,AD1050)</f>
        <v>0</v>
      </c>
      <c r="AG2050" s="34" t="str">
        <f>IF(AF2050&gt;0.1%,AF2050,"Algo Esta Mal")</f>
        <v>0</v>
      </c>
      <c r="AH2050" s="33" t="str">
        <f>IF(AG2050=AF2050,AE2050," ")</f>
        <v>0</v>
      </c>
      <c r="AN2050" t="str">
        <f>IF(AO2050=AP2008,AN2008,IF(AO2050=AP2009,AN2009,IF(AO2050=AP2010,AN2010,IF(AO2050=AP2011,AN2011,IF(AO2050=AP2012,AN2012,"ALGO ESTA MAL")))))</f>
        <v>0</v>
      </c>
      <c r="AO2050" s="34" t="str">
        <f>LARGE($AP$2008:$AP$2012,AM1050)</f>
        <v>0</v>
      </c>
      <c r="AP2050" s="34" t="str">
        <f>IF(AO2050&gt;0.1%,AO2050,"Algo Esta Mal")</f>
        <v>0</v>
      </c>
      <c r="AQ2050" s="33" t="str">
        <f>IF(AP2050=AO2050,AN2050," ")</f>
        <v>0</v>
      </c>
      <c r="AW2050" t="str">
        <f>IF(AX2050=AY2008,AW2008,IF(AX2050=AY2009,AW2009,IF(AX2050=AY2010,AW2010,IF(AX2050=AY2011,AW2011,IF(AX2050=AY2012,AW2012,"ALGO ESTA MAL")))))</f>
        <v>0</v>
      </c>
      <c r="AX2050" s="34" t="str">
        <f>LARGE($AY$2008:$AY$2012,AV1050)</f>
        <v>0</v>
      </c>
      <c r="AY2050" s="34" t="str">
        <f>IF(AX2050&gt;0.1%,AX2050,"Algo Esta Mal")</f>
        <v>0</v>
      </c>
      <c r="AZ2050" s="33" t="str">
        <f>IF(AY2050=AX2050,AW2050," ")</f>
        <v>0</v>
      </c>
      <c r="BF2050" t="str">
        <f>IF(BG2050=BH2008,BF2008,IF(BG2050=BH2009,BF2009,IF(BG2050=BH2010,BF2010,IF(BG2050=BH2011,BF2011,IF(BG2050=BH2012,BF2012,"ALGO ESTA MAL")))))</f>
        <v>0</v>
      </c>
      <c r="BG2050" s="34" t="str">
        <f>LARGE($BH$2008:$BH$2012,BE1050)</f>
        <v>0</v>
      </c>
      <c r="BH2050" s="34" t="str">
        <f>IF(BG2050&gt;0.1%,BG2050,"Algo Esta Mal")</f>
        <v>0</v>
      </c>
      <c r="BI2050" s="33" t="str">
        <f>IF(BH2050=BG2050,BF2050," ")</f>
        <v>0</v>
      </c>
      <c r="BO2050" t="str">
        <f>IF(BP2050=BQ2008,BO2008,IF(BP2050=BQ2009,BO2009,IF(BP2050=BQ2010,BO2010,IF(BP2050=BQ2011,BO2011,IF(BP2050=BQ2012,BO2012,"ALGO ESTA MAL")))))</f>
        <v>0</v>
      </c>
      <c r="BP2050" s="34" t="str">
        <f>LARGE($BQ$2008:$BQ$2012,BN1050)</f>
        <v>0</v>
      </c>
      <c r="BQ2050" s="34" t="str">
        <f>IF(BP2050&gt;0.1%,BP2050,"Algo Esta Mal")</f>
        <v>0</v>
      </c>
      <c r="BR2050" s="33" t="str">
        <f>IF(BQ2050=BP2050,BO2050," ")</f>
        <v>0</v>
      </c>
      <c r="BX2050" t="str">
        <f>IF(BY2050=BZ2008,BX2008,IF(BY2050=BZ2009,BX2009,IF(BY2050=BZ2010,BX2010,IF(BY2050=BZ2011,BX2011,IF(BY2050=BZ2012,BX2012,"ALGO ESTA MAL")))))</f>
        <v>0</v>
      </c>
      <c r="BY2050" s="34" t="str">
        <f>LARGE($BZ$2008:$BZ$2012,BW1050)</f>
        <v>0</v>
      </c>
      <c r="BZ2050" s="34" t="str">
        <f>IF(BY2050&gt;0.1%,BY2050,"Algo Esta Mal")</f>
        <v>0</v>
      </c>
      <c r="CA2050" s="33" t="str">
        <f>IF(BZ2050=BY2050,BX2050," ")</f>
        <v>0</v>
      </c>
      <c r="CG2050" t="str">
        <f>IF(CH2050=CI2008,CG2008,IF(CH2050=CI2009,CG2009,IF(CH2050=CI2010,CG2010,IF(CH2050=CI2011,CG2011,IF(CH2050=CI2012,CG2012,"ALGO ESTA MAL")))))</f>
        <v>0</v>
      </c>
      <c r="CH2050" s="34" t="str">
        <f>LARGE($CI$2008:$CI$2012,CF1050)</f>
        <v>0</v>
      </c>
      <c r="CI2050" s="34" t="str">
        <f>IF(CH2050&gt;0.1%,CH2050,"Algo Esta Mal")</f>
        <v>0</v>
      </c>
      <c r="CJ2050" s="33" t="str">
        <f>IF(CI2050=CH2050,CG2050," ")</f>
        <v>0</v>
      </c>
      <c r="CP2050" t="str">
        <f>IF(CQ2050=CR2008,CP2008,IF(CQ2050=CR2009,CP2009,IF(CQ2050=CR2010,CP2010,IF(CQ2050=CR2011,CP2011,IF(CQ2050=CR2012,CP2012,"ALGO ESTA MAL")))))</f>
        <v>0</v>
      </c>
      <c r="CQ2050" s="34" t="str">
        <f>LARGE($CR$2008:$CR$2012,CO1050)</f>
        <v>0</v>
      </c>
      <c r="CR2050" s="34" t="str">
        <f>IF(CQ2050&gt;0.1%,CQ2050,"Algo Esta Mal")</f>
        <v>0</v>
      </c>
      <c r="CS2050" s="33" t="str">
        <f>IF(CR2050=CQ2050,CP2050," ")</f>
        <v>0</v>
      </c>
      <c r="CY2050" t="str">
        <f>IF(CZ2050=DA2008,CY2008,IF(CZ2050=DA2009,CY2009,IF(CZ2050=DA2010,CY2010,IF(CZ2050=DA2011,CY2011,IF(CZ2050=DA2012,CY2012,"ALGO ESTA MAL")))))</f>
        <v>0</v>
      </c>
      <c r="CZ2050" s="34" t="str">
        <f>LARGE($DA$2008:$DA$2012,CX1050)</f>
        <v>0</v>
      </c>
      <c r="DA2050" s="34" t="str">
        <f>IF(CZ2050&gt;0.1%,CZ2050,"Algo Esta Mal")</f>
        <v>0</v>
      </c>
      <c r="DB2050" s="33" t="str">
        <f>IF(DA2050=CZ2050,CY2050," ")</f>
        <v>0</v>
      </c>
      <c r="DH2050" t="str">
        <f>IF(DI2050=DJ2008,DH2008,IF(DI2050=DJ2009,DH2009,IF(DI2050=DJ2010,DH2010,IF(DI2050=DJ2011,DH2011,IF(DI2050=DJ2012,DH2012,"ALGO ESTA MAL")))))</f>
        <v>0</v>
      </c>
      <c r="DI2050" s="34" t="str">
        <f>LARGE($DJ$2008:$DJ$2012,DG1050)</f>
        <v>0</v>
      </c>
      <c r="DJ2050" s="34" t="str">
        <f>IF(DI2050&gt;0.1%,DI2050,"Algo Esta Mal")</f>
        <v>0</v>
      </c>
      <c r="DK2050" s="33" t="str">
        <f>IF(DJ2050=DI2050,DH2050," ")</f>
        <v>0</v>
      </c>
      <c r="DQ2050" t="str">
        <f>IF(DR2050=DS2008,DQ2008,IF(DR2050=DS2009,DQ2009,IF(DR2050=DS2010,DQ2010,IF(DR2050=DS2011,DQ2011,IF(DR2050=DS2012,DQ2012,"ALGO ESTA MAL")))))</f>
        <v>0</v>
      </c>
      <c r="DR2050" s="34" t="str">
        <f>LARGE($DS$2008:$DS$2012,DP1050)</f>
        <v>0</v>
      </c>
      <c r="DS2050" s="34" t="str">
        <f>IF(DR2050&gt;0.1%,DR2050,"Algo Esta Mal")</f>
        <v>0</v>
      </c>
      <c r="DT2050" s="33" t="str">
        <f>IF(DS2050=DR2050,DQ2050," ")</f>
        <v>0</v>
      </c>
      <c r="DZ2050" t="str">
        <f>IF(EA2050=EB2008,DZ2008,IF(EA2050=EB2009,DZ2009,IF(EA2050=EB2010,DZ2010,IF(EA2050=EB2011,DZ2011,IF(EA2050=EB2012,DZ2012,"ALGO ESTA MAL")))))</f>
        <v>0</v>
      </c>
      <c r="EA2050" s="34" t="str">
        <f>LARGE($EB$2008:$EB$2012,DY1050)</f>
        <v>0</v>
      </c>
      <c r="EB2050" s="34" t="str">
        <f>IF(EA2050&gt;0.1%,EA2050,"Algo Esta Mal")</f>
        <v>0</v>
      </c>
      <c r="EC2050" s="33" t="str">
        <f>IF(EB2050=EA2050,DZ2050," ")</f>
        <v>0</v>
      </c>
      <c r="EI2050" t="str">
        <f>IF(EJ2050=EK2008,EI2008,IF(EJ2050=EK2009,EI2009,IF(EJ2050=EK2010,EI2010,IF(EJ2050=EK2011,EI2011,IF(EJ2050=EK2012,EI2012,"ALGO ESTA MAL")))))</f>
        <v>0</v>
      </c>
      <c r="EJ2050" s="34" t="str">
        <f>LARGE($EK$2008:$EK$2012,EH1050)</f>
        <v>0</v>
      </c>
      <c r="EK2050" s="34" t="str">
        <f>IF(EJ2050&gt;0.1%,EJ2050,"Algo Esta Mal")</f>
        <v>0</v>
      </c>
      <c r="EL2050" s="33" t="str">
        <f>IF(EK2050=EJ2050,EI2050," ")</f>
        <v>0</v>
      </c>
      <c r="ER2050" t="str">
        <f>IF(ES2050=ET2008,ER2008,IF(ES2050=ET2009,ER2009,IF(ES2050=ET2010,ER2010,IF(ES2050=ET2011,ER2011,IF(ES2050=ET2012,ER2012,"ALGO ESTA MAL")))))</f>
        <v>0</v>
      </c>
      <c r="ES2050" s="34" t="str">
        <f>LARGE($ET$2008:$ET$2012,EQ1050)</f>
        <v>0</v>
      </c>
      <c r="ET2050" s="34" t="str">
        <f>IF(ES2050&gt;0.1%,ES2050,"Algo Esta Mal")</f>
        <v>0</v>
      </c>
      <c r="EU2050" s="33" t="str">
        <f>IF(ET2050=ES2050,ER2050," ")</f>
        <v>0</v>
      </c>
      <c r="FA2050" t="str">
        <f>IF(FB2050=FC2008,FA2008,IF(FB2050=FC2009,FA2009,IF(FB2050=FC2010,FA2010,IF(FB2050=FC2011,FA2011,IF(FB2050=FC2012,FA2012,"ALGO ESTA MAL")))))</f>
        <v>0</v>
      </c>
      <c r="FB2050" s="34" t="str">
        <f>LARGE($FC$2008:$FC$2012,EZ1050)</f>
        <v>0</v>
      </c>
      <c r="FC2050" s="34" t="str">
        <f>IF(FB2050&gt;0.1%,FB2050,"Algo Esta Mal")</f>
        <v>0</v>
      </c>
      <c r="FD2050" s="33" t="str">
        <f>IF(FC2050=FB2050,FA2050," ")</f>
        <v>0</v>
      </c>
    </row>
    <row r="2052" spans="1:161">
      <c r="D2052" s="33" t="s">
        <v>449</v>
      </c>
      <c r="M2052" s="33" t="s">
        <v>449</v>
      </c>
      <c r="V2052" s="33" t="s">
        <v>449</v>
      </c>
      <c r="AE2052" s="33" t="s">
        <v>449</v>
      </c>
      <c r="AN2052" s="33" t="s">
        <v>449</v>
      </c>
      <c r="AW2052" s="33" t="s">
        <v>449</v>
      </c>
      <c r="BF2052" s="33" t="s">
        <v>449</v>
      </c>
      <c r="BO2052" s="33" t="s">
        <v>449</v>
      </c>
      <c r="BX2052" s="33" t="s">
        <v>449</v>
      </c>
      <c r="CG2052" s="33" t="s">
        <v>449</v>
      </c>
      <c r="CP2052" s="33" t="s">
        <v>449</v>
      </c>
      <c r="CY2052" s="33" t="s">
        <v>449</v>
      </c>
      <c r="DH2052" s="33" t="s">
        <v>449</v>
      </c>
      <c r="DQ2052" s="33" t="s">
        <v>449</v>
      </c>
      <c r="DZ2052" s="33" t="s">
        <v>449</v>
      </c>
      <c r="EI2052" s="33" t="s">
        <v>449</v>
      </c>
      <c r="ER2052" s="33" t="s">
        <v>449</v>
      </c>
      <c r="FA2052" s="33" t="s">
        <v>449</v>
      </c>
    </row>
    <row r="2053" spans="1:161">
      <c r="D2053" s="34" t="str">
        <f>SUM(F2008:F2010)</f>
        <v>0</v>
      </c>
      <c r="E2053" s="34" t="str">
        <f>MAX(D2053:D2054)</f>
        <v>0</v>
      </c>
      <c r="M2053" s="34" t="str">
        <f>SUM(O2008:O2010)</f>
        <v>0</v>
      </c>
      <c r="N2053" s="34" t="str">
        <f>MAX(M2053:M2054)</f>
        <v>0</v>
      </c>
      <c r="V2053" s="34" t="str">
        <f>SUM(X2008:X2010)</f>
        <v>0</v>
      </c>
      <c r="W2053" s="34" t="str">
        <f>MAX(V2053:V2054)</f>
        <v>0</v>
      </c>
      <c r="AE2053" s="34" t="str">
        <f>SUM(AG2008:AG2010)</f>
        <v>0</v>
      </c>
      <c r="AF2053" s="34" t="str">
        <f>MAX(AE2053:AE2054)</f>
        <v>0</v>
      </c>
      <c r="AN2053" s="34" t="str">
        <f>SUM(AP2008:AP2010)</f>
        <v>0</v>
      </c>
      <c r="AO2053" s="34" t="str">
        <f>MAX(AN2053:AN2054)</f>
        <v>0</v>
      </c>
      <c r="AW2053" s="34" t="str">
        <f>SUM(AY2008:AY2010)</f>
        <v>0</v>
      </c>
      <c r="AX2053" s="34" t="str">
        <f>MAX(AW2053:AW2054)</f>
        <v>0</v>
      </c>
      <c r="BF2053" s="34" t="str">
        <f>SUM(BH2008:BH2010)</f>
        <v>0</v>
      </c>
      <c r="BG2053" s="34" t="str">
        <f>MAX(BF2053:BF2054)</f>
        <v>0</v>
      </c>
      <c r="BO2053" s="34" t="str">
        <f>SUM(BQ2008:BQ2010)</f>
        <v>0</v>
      </c>
      <c r="BP2053" s="34" t="str">
        <f>MAX(BO2053:BO2054)</f>
        <v>0</v>
      </c>
      <c r="BX2053" s="34" t="str">
        <f>SUM(BZ2008:BZ2010)</f>
        <v>0</v>
      </c>
      <c r="BY2053" s="34" t="str">
        <f>MAX(BX2053:BX2054)</f>
        <v>0</v>
      </c>
      <c r="CG2053" s="34" t="str">
        <f>SUM(CI2008:CI2010)</f>
        <v>0</v>
      </c>
      <c r="CH2053" s="34" t="str">
        <f>MAX(CG2053:CG2054)</f>
        <v>0</v>
      </c>
      <c r="CP2053" s="34" t="str">
        <f>SUM(CR2008:CR2010)</f>
        <v>0</v>
      </c>
      <c r="CQ2053" s="34" t="str">
        <f>MAX(CP2053:CP2054)</f>
        <v>0</v>
      </c>
      <c r="CY2053" s="34" t="str">
        <f>SUM(DA2008:DA2010)</f>
        <v>0</v>
      </c>
      <c r="CZ2053" s="34" t="str">
        <f>MAX(CY2053:CY2054)</f>
        <v>0</v>
      </c>
      <c r="DH2053" s="34" t="str">
        <f>SUM(DJ2008:DJ2010)</f>
        <v>0</v>
      </c>
      <c r="DI2053" s="34" t="str">
        <f>MAX(DH2053:DH2054)</f>
        <v>0</v>
      </c>
      <c r="DQ2053" s="34" t="str">
        <f>SUM(DS2008:DS2010)</f>
        <v>0</v>
      </c>
      <c r="DR2053" s="34" t="str">
        <f>MAX(DQ2053:DQ2054)</f>
        <v>0</v>
      </c>
      <c r="DZ2053" s="34" t="str">
        <f>SUM(EB2008:EB2010)</f>
        <v>0</v>
      </c>
      <c r="EA2053" s="34" t="str">
        <f>MAX(DZ2053:DZ2054)</f>
        <v>0</v>
      </c>
      <c r="EI2053" s="34" t="str">
        <f>SUM(EK2008:EK2010)</f>
        <v>0</v>
      </c>
      <c r="EJ2053" s="34" t="str">
        <f>MAX(EI2053:EI2054)</f>
        <v>0</v>
      </c>
      <c r="ER2053" s="34" t="str">
        <f>SUM(ET2008:ET2010)</f>
        <v>0</v>
      </c>
      <c r="ES2053" s="34" t="str">
        <f>MAX(ER2053:ER2054)</f>
        <v>0</v>
      </c>
      <c r="FA2053" s="34" t="str">
        <f>SUM(FC2008:FC2010)</f>
        <v>0</v>
      </c>
      <c r="FB2053" s="34" t="str">
        <f>MAX(FA2053:FA2054)</f>
        <v>0</v>
      </c>
    </row>
    <row r="2054" spans="1:161">
      <c r="D2054" s="34" t="str">
        <f>SUM(F2010:F2012)</f>
        <v>0</v>
      </c>
      <c r="M2054" s="34" t="str">
        <f>SUM(O2010:O2012)</f>
        <v>0</v>
      </c>
      <c r="V2054" s="34" t="str">
        <f>SUM(X2010:X2012)</f>
        <v>0</v>
      </c>
      <c r="AE2054" s="34" t="str">
        <f>SUM(AG2010:AG2012)</f>
        <v>0</v>
      </c>
      <c r="AN2054" s="34" t="str">
        <f>SUM(AP2010:AP2012)</f>
        <v>0</v>
      </c>
      <c r="AW2054" s="34" t="str">
        <f>SUM(AY2010:AY2012)</f>
        <v>0</v>
      </c>
      <c r="BF2054" s="34" t="str">
        <f>SUM(BH2010:BH2012)</f>
        <v>0</v>
      </c>
      <c r="BO2054" s="34" t="str">
        <f>SUM(BQ2010:BQ2012)</f>
        <v>0</v>
      </c>
      <c r="BX2054" s="34" t="str">
        <f>SUM(BZ2010:BZ2012)</f>
        <v>0</v>
      </c>
      <c r="CG2054" s="34" t="str">
        <f>SUM(CI2010:CI2012)</f>
        <v>0</v>
      </c>
      <c r="CP2054" s="34" t="str">
        <f>SUM(CR2010:CR2012)</f>
        <v>0</v>
      </c>
      <c r="CY2054" s="34" t="str">
        <f>SUM(DA2010:DA2012)</f>
        <v>0</v>
      </c>
      <c r="DH2054" s="34" t="str">
        <f>SUM(DJ2010:DJ2012)</f>
        <v>0</v>
      </c>
      <c r="DQ2054" s="34" t="str">
        <f>SUM(DS2010:DS2012)</f>
        <v>0</v>
      </c>
      <c r="DZ2054" s="34" t="str">
        <f>SUM(EB2010:EB2012)</f>
        <v>0</v>
      </c>
      <c r="EI2054" s="34" t="str">
        <f>SUM(EK2010:EK2012)</f>
        <v>0</v>
      </c>
      <c r="ER2054" s="34" t="str">
        <f>SUM(ET2010:ET2012)</f>
        <v>0</v>
      </c>
      <c r="FA2054" s="34" t="str">
        <f>SUM(FC2010:FC2012)</f>
        <v>0</v>
      </c>
    </row>
    <row r="2056" spans="1:161">
      <c r="E2056" s="34" t="str">
        <f>SUM(F2008:F2009)</f>
        <v>0</v>
      </c>
      <c r="N2056" s="34" t="str">
        <f>SUM(O2008:O2009)</f>
        <v>0</v>
      </c>
      <c r="W2056" s="34" t="str">
        <f>SUM(X2008:X2009)</f>
        <v>0</v>
      </c>
      <c r="AF2056" s="34" t="str">
        <f>SUM(AG2008:AG2009)</f>
        <v>0</v>
      </c>
      <c r="AO2056" s="34" t="str">
        <f>SUM(AP2008:AP2009)</f>
        <v>0</v>
      </c>
      <c r="AX2056" s="34" t="str">
        <f>SUM(AY2008:AY2009)</f>
        <v>0</v>
      </c>
      <c r="BG2056" s="34" t="str">
        <f>SUM(BH2008:BH2009)</f>
        <v>0</v>
      </c>
      <c r="BP2056" s="34" t="str">
        <f>SUM(BQ2008:BQ2009)</f>
        <v>0</v>
      </c>
      <c r="BY2056" s="34" t="str">
        <f>SUM(BZ2008:BZ2009)</f>
        <v>0</v>
      </c>
      <c r="CH2056" s="34" t="str">
        <f>SUM(CI2008:CI2009)</f>
        <v>0</v>
      </c>
      <c r="CQ2056" s="34" t="str">
        <f>SUM(CR2008:CR2009)</f>
        <v>0</v>
      </c>
      <c r="CZ2056" s="34" t="str">
        <f>SUM(DA2008:DA2009)</f>
        <v>0</v>
      </c>
      <c r="DI2056" s="34" t="str">
        <f>SUM(DJ2008:DJ2009)</f>
        <v>0</v>
      </c>
      <c r="DR2056" s="34" t="str">
        <f>SUM(DS2008:DS2009)</f>
        <v>0</v>
      </c>
      <c r="EA2056" s="34" t="str">
        <f>SUM(EB2008:EB2009)</f>
        <v>0</v>
      </c>
      <c r="EJ2056" s="34" t="str">
        <f>SUM(EK2008:EK2009)</f>
        <v>0</v>
      </c>
      <c r="ES2056" s="34" t="str">
        <f>SUM(ET2008:ET2009)</f>
        <v>0</v>
      </c>
      <c r="FB2056" s="34" t="str">
        <f>SUM(FC2008:FC2009)</f>
        <v>0</v>
      </c>
    </row>
    <row r="2057" spans="1:161">
      <c r="E2057" s="34" t="str">
        <f>SUM(F2010)</f>
        <v>0</v>
      </c>
      <c r="N2057" s="34" t="str">
        <f>SUM(O2010)</f>
        <v>0</v>
      </c>
      <c r="W2057" s="34" t="str">
        <f>SUM(X2010)</f>
        <v>0</v>
      </c>
      <c r="AF2057" s="34" t="str">
        <f>SUM(AG2010)</f>
        <v>0</v>
      </c>
      <c r="AO2057" s="34" t="str">
        <f>SUM(AP2010)</f>
        <v>0</v>
      </c>
      <c r="AX2057" s="34" t="str">
        <f>SUM(AY2010)</f>
        <v>0</v>
      </c>
      <c r="BG2057" s="34" t="str">
        <f>SUM(BH2010)</f>
        <v>0</v>
      </c>
      <c r="BP2057" s="34" t="str">
        <f>SUM(BQ2010)</f>
        <v>0</v>
      </c>
      <c r="BY2057" s="34" t="str">
        <f>SUM(BZ2010)</f>
        <v>0</v>
      </c>
      <c r="CH2057" s="34" t="str">
        <f>SUM(CI2010)</f>
        <v>0</v>
      </c>
      <c r="CQ2057" s="34" t="str">
        <f>SUM(CR2010)</f>
        <v>0</v>
      </c>
      <c r="CZ2057" s="34" t="str">
        <f>SUM(DA2010)</f>
        <v>0</v>
      </c>
      <c r="DI2057" s="34" t="str">
        <f>SUM(DJ2010)</f>
        <v>0</v>
      </c>
      <c r="DR2057" s="34" t="str">
        <f>SUM(DS2010)</f>
        <v>0</v>
      </c>
      <c r="EA2057" s="34" t="str">
        <f>SUM(EB2010)</f>
        <v>0</v>
      </c>
      <c r="EJ2057" s="34" t="str">
        <f>SUM(EK2010)</f>
        <v>0</v>
      </c>
      <c r="ES2057" s="34" t="str">
        <f>SUM(ET2010)</f>
        <v>0</v>
      </c>
      <c r="FB2057" s="34" t="str">
        <f>SUM(FC2010)</f>
        <v>0</v>
      </c>
    </row>
    <row r="2058" spans="1:161">
      <c r="E2058" s="34" t="str">
        <f>SUM(F2011:F2012)</f>
        <v>0</v>
      </c>
      <c r="N2058" s="34" t="str">
        <f>SUM(O2011:O2012)</f>
        <v>0</v>
      </c>
      <c r="W2058" s="34" t="str">
        <f>SUM(X2011:X2012)</f>
        <v>0</v>
      </c>
      <c r="AF2058" s="34" t="str">
        <f>SUM(AG2011:AG2012)</f>
        <v>0</v>
      </c>
      <c r="AO2058" s="34" t="str">
        <f>SUM(AP2011:AP2012)</f>
        <v>0</v>
      </c>
      <c r="AX2058" s="34" t="str">
        <f>SUM(AY2011:AY2012)</f>
        <v>0</v>
      </c>
      <c r="BG2058" s="34" t="str">
        <f>SUM(BH2011:BH2012)</f>
        <v>0</v>
      </c>
      <c r="BP2058" s="34" t="str">
        <f>SUM(BQ2011:BQ2012)</f>
        <v>0</v>
      </c>
      <c r="BY2058" s="34" t="str">
        <f>SUM(BZ2011:BZ2012)</f>
        <v>0</v>
      </c>
      <c r="CH2058" s="34" t="str">
        <f>SUM(CI2011:CI2012)</f>
        <v>0</v>
      </c>
      <c r="CQ2058" s="34" t="str">
        <f>SUM(CR2011:CR2012)</f>
        <v>0</v>
      </c>
      <c r="CZ2058" s="34" t="str">
        <f>SUM(DA2011:DA2012)</f>
        <v>0</v>
      </c>
      <c r="DI2058" s="34" t="str">
        <f>SUM(DJ2011:DJ2012)</f>
        <v>0</v>
      </c>
      <c r="DR2058" s="34" t="str">
        <f>SUM(DS2011:DS2012)</f>
        <v>0</v>
      </c>
      <c r="EA2058" s="34" t="str">
        <f>SUM(EB2011:EB2012)</f>
        <v>0</v>
      </c>
      <c r="EJ2058" s="34" t="str">
        <f>SUM(EK2011:EK2012)</f>
        <v>0</v>
      </c>
      <c r="ES2058" s="34" t="str">
        <f>SUM(ET2011:ET2012)</f>
        <v>0</v>
      </c>
      <c r="FB2058" s="34" t="str">
        <f>SUM(FC2011:FC2012)</f>
        <v>0</v>
      </c>
    </row>
    <row r="2060" spans="1:161">
      <c r="E2060" s="33" t="str">
        <f>IF(E2056&gt;=51%,D2056,IF(E2057&gt;=51%,D2057,IF(E2058&gt;=51%,D2058,IF(SUM(E2056:E2057)&gt;SUM(E2057:E2058),D2056,IF(SUM(E2056:E2057)&lt;SUM(E2057:E2058),D2058,"Algo esta Mal")))))</f>
        <v>0</v>
      </c>
      <c r="N2060" s="33" t="str">
        <f>IF(N2056&gt;=51%,M2056,IF(N2057&gt;=51%,M2057,IF(N2058&gt;=51%,M2058,IF(SUM(N2056:N2057)&gt;SUM(N2057:N2058),M2056,IF(SUM(N2056:N2057)&lt;SUM(N2057:N2058),M2058,"Algo esta Mal")))))</f>
        <v>0</v>
      </c>
      <c r="W2060" s="33" t="str">
        <f>IF(W2056&gt;=51%,V2056,IF(W2057&gt;=51%,V2057,IF(W2058&gt;=51%,V2058,IF(SUM(W2056:W2057)&gt;SUM(W2057:W2058),V2056,IF(SUM(W2056:W2057)&lt;SUM(W2057:W2058),V2058,"Algo esta Mal")))))</f>
        <v>0</v>
      </c>
      <c r="AF2060" s="33" t="str">
        <f>IF(AF2056&gt;=51%,AE2056,IF(AF2057&gt;=51%,AE2057,IF(AF2058&gt;=51%,AE2058,IF(SUM(AF2056:AF2057)&gt;SUM(AF2057:AF2058),AE2056,IF(SUM(AF2056:AF2057)&lt;SUM(AF2057:AF2058),AE2058,"Algo esta Mal")))))</f>
        <v>0</v>
      </c>
      <c r="AO2060" s="33" t="str">
        <f>IF(AO2056&gt;=51%,AN2056,IF(AO2057&gt;=51%,AN2057,IF(AO2058&gt;=51%,AN2058,IF(SUM(AO2056:AO2057)&gt;SUM(AO2057:AO2058),AN2056,IF(SUM(AO2056:AO2057)&lt;SUM(AO2057:AO2058),AN2058,"Algo esta Mal")))))</f>
        <v>0</v>
      </c>
      <c r="AX2060" s="33" t="str">
        <f>IF(AX2056&gt;=51%,AW2056,IF(AX2057&gt;=51%,AW2057,IF(AX2058&gt;=51%,AW2058,IF(SUM(AX2056:AX2057)&gt;SUM(AX2057:AX2058),AW2056,IF(SUM(AX2056:AX2057)&lt;SUM(AX2057:AX2058),AW2058,"Algo esta Mal")))))</f>
        <v>0</v>
      </c>
      <c r="BG2060" s="33" t="str">
        <f>IF(BG2056&gt;=51%,BF2056,IF(BG2057&gt;=51%,BF2057,IF(BG2058&gt;=51%,BF2058,IF(SUM(BG2056:BG2057)&gt;SUM(BG2057:BG2058),BF2056,IF(SUM(BG2056:BG2057)&lt;SUM(BG2057:BG2058),BF2058,"Algo esta Mal")))))</f>
        <v>0</v>
      </c>
      <c r="BP2060" s="33" t="str">
        <f>IF(BP2056&gt;=51%,BO2056,IF(BP2057&gt;=51%,BO2057,IF(BP2058&gt;=51%,BO2058,IF(SUM(BP2056:BP2057)&gt;SUM(BP2057:BP2058),BO2056,IF(SUM(BP2056:BP2057)&lt;SUM(BP2057:BP2058),BO2058,"Algo esta Mal")))))</f>
        <v>0</v>
      </c>
      <c r="BY2060" s="33" t="str">
        <f>IF(BY2056&gt;=51%,BX2056,IF(BY2057&gt;=51%,BX2057,IF(BY2058&gt;=51%,BX2058,IF(SUM(BY2056:BY2057)&gt;SUM(BY2057:BY2058),BX2056,IF(SUM(BY2056:BY2057)&lt;SUM(BY2057:BY2058),BX2058,"Algo esta Mal")))))</f>
        <v>0</v>
      </c>
      <c r="CH2060" s="33" t="str">
        <f>IF(CH2056&gt;=51%,CG2056,IF(CH2057&gt;=51%,CG2057,IF(CH2058&gt;=51%,CG2058,IF(SUM(CH2056:CH2057)&gt;SUM(CH2057:CH2058),CG2056,IF(SUM(CH2056:CH2057)&lt;SUM(CH2057:CH2058),CG2058,"Algo esta Mal")))))</f>
        <v>0</v>
      </c>
      <c r="CQ2060" s="33" t="str">
        <f>IF(CQ2056&gt;=51%,CP2056,IF(CQ2057&gt;=51%,CP2057,IF(CQ2058&gt;=51%,CP2058,IF(SUM(CQ2056:CQ2057)&gt;SUM(CQ2057:CQ2058),CP2056,IF(SUM(CQ2056:CQ2057)&lt;SUM(CQ2057:CQ2058),CP2058,"Algo esta Mal")))))</f>
        <v>0</v>
      </c>
      <c r="CZ2060" s="33" t="str">
        <f>IF(CZ2056&gt;=51%,CY2056,IF(CZ2057&gt;=51%,CY2057,IF(CZ2058&gt;=51%,CY2058,IF(SUM(CZ2056:CZ2057)&gt;SUM(CZ2057:CZ2058),CY2056,IF(SUM(CZ2056:CZ2057)&lt;SUM(CZ2057:CZ2058),CY2058,"Algo esta Mal")))))</f>
        <v>0</v>
      </c>
      <c r="DI2060" s="33" t="str">
        <f>IF(DI2056&gt;=51%,DH2056,IF(DI2057&gt;=51%,DH2057,IF(DI2058&gt;=51%,DH2058,IF(SUM(DI2056:DI2057)&gt;SUM(DI2057:DI2058),DH2056,IF(SUM(DI2056:DI2057)&lt;SUM(DI2057:DI2058),DH2058,"Algo esta Mal")))))</f>
        <v>0</v>
      </c>
      <c r="DR2060" s="33" t="str">
        <f>IF(DR2056&gt;=51%,DQ2056,IF(DR2057&gt;=51%,DQ2057,IF(DR2058&gt;=51%,DQ2058,IF(SUM(DR2056:DR2057)&gt;SUM(DR2057:DR2058),DQ2056,IF(SUM(DR2056:DR2057)&lt;SUM(DR2057:DR2058),DQ2058,"Algo esta Mal")))))</f>
        <v>0</v>
      </c>
      <c r="EA2060" s="33" t="str">
        <f>IF(EA2056&gt;=51%,DZ2056,IF(EA2057&gt;=51%,DZ2057,IF(EA2058&gt;=51%,DZ2058,IF(SUM(EA2056:EA2057)&gt;SUM(EA2057:EA2058),DZ2056,IF(SUM(EA2056:EA2057)&lt;SUM(EA2057:EA2058),DZ2058,"Algo esta Mal")))))</f>
        <v>0</v>
      </c>
      <c r="EJ2060" s="33" t="str">
        <f>IF(EJ2056&gt;=51%,EI2056,IF(EJ2057&gt;=51%,EI2057,IF(EJ2058&gt;=51%,EI2058,IF(SUM(EJ2056:EJ2057)&gt;SUM(EJ2057:EJ2058),EI2056,IF(SUM(EJ2056:EJ2057)&lt;SUM(EJ2057:EJ2058),EI2058,"Algo esta Mal")))))</f>
        <v>0</v>
      </c>
      <c r="ES2060" s="33" t="str">
        <f>IF(ES2056&gt;=51%,ER2056,IF(ES2057&gt;=51%,ER2057,IF(ES2058&gt;=51%,ER2058,IF(SUM(ES2056:ES2057)&gt;SUM(ES2057:ES2058),ER2056,IF(SUM(ES2056:ES2057)&lt;SUM(ES2057:ES2058),ER2058,"Algo esta Mal")))))</f>
        <v>0</v>
      </c>
      <c r="FB2060" s="33" t="str">
        <f>IF(FB2056&gt;=51%,FA2056,IF(FB2057&gt;=51%,FA2057,IF(FB2058&gt;=51%,FA2058,IF(SUM(FB2056:FB2057)&gt;SUM(FB2057:FB2058),FA2056,IF(SUM(FB2056:FB2057)&lt;SUM(FB2057:FB2058),FA2058,"Algo esta Mal")))))</f>
        <v>0</v>
      </c>
    </row>
    <row r="2062" spans="1:161">
      <c r="E2062" s="33" t="s">
        <v>367</v>
      </c>
      <c r="N2062" s="33" t="s">
        <v>367</v>
      </c>
      <c r="W2062" s="33" t="s">
        <v>367</v>
      </c>
      <c r="AF2062" s="33"/>
      <c r="AO2062" s="33" t="s">
        <v>367</v>
      </c>
      <c r="AX2062" s="33" t="s">
        <v>367</v>
      </c>
      <c r="BG2062" s="33" t="s">
        <v>367</v>
      </c>
      <c r="BP2062" s="33" t="s">
        <v>367</v>
      </c>
      <c r="BY2062" s="33"/>
      <c r="CH2062" s="33" t="s">
        <v>367</v>
      </c>
      <c r="CQ2062" s="33" t="s">
        <v>367</v>
      </c>
      <c r="CZ2062" s="33" t="s">
        <v>367</v>
      </c>
      <c r="DI2062" s="33" t="s">
        <v>367</v>
      </c>
      <c r="DR2062" s="33" t="s">
        <v>367</v>
      </c>
      <c r="EA2062" s="33" t="s">
        <v>367</v>
      </c>
      <c r="EJ2062" s="33" t="s">
        <v>367</v>
      </c>
      <c r="ES2062" s="33" t="s">
        <v>367</v>
      </c>
      <c r="FB2062" s="33" t="s">
        <v>367</v>
      </c>
    </row>
    <row r="2135" spans="1:161">
      <c r="D2135" s="27" t="str">
        <f>CONCATENATE("En ","la ",D5," y ",D33," se observa los resultados  del  ",D4," el cual aborda ",E2062,",en donde se demuestra que el ",ROUND(F2008*100,0),"%"," de los ",D1045," tienen una percepción de ",G2046,", el ",ROUND(F2009*100,0),"%"," ",G2047,", un ",ROUND(F2010*100,0),"%"," ",G2048,",",IF(E2049&gt;0,CONCATENATE(" ademas el ",ROUND(F2011*100,0),"%"," ",G2049,)," "),IF(E2049&gt;0,CONCATENATE(" y ",ROUND(F2012*100,0),"%",", ",G2050,)," "),"en tal sentido la mayoría de los ",D1045," es decir el ",ROUND(E2053*100,0),"%"," tienen una percepción con una inclinación a un valor ",D2056,","," para ",E2062,".")</f>
        <v>0</v>
      </c>
      <c r="M2135" s="27" t="str">
        <f>CONCATENATE("En ","la ",M5," y ",M33," se observa los resultados  del  ",M4," el cual aborda ",N2062,",en donde se demuestra que el ",ROUND(O2008*100,0),"%"," de los ",M1045," tienen una percepción de ",P2046,", el ",ROUND(O2009*100,0),"%"," ",P2047,", un ",ROUND(O2010*100,0),"%"," ",P2048,",",IF(N2049&gt;0,CONCATENATE(" ademas el ",ROUND(O2011*100,0),"%"," ",P2049,)," "),IF(N2049&gt;0,CONCATENATE(" y ",ROUND(O2012*100,0),"%",", ",P2050,)," "),"en tal sentido la mayoría de los ",M1045," es decir el ",ROUND(N2053*100,0),"%"," tienen una percepción con una inclinación a un valor ",M2056,","," para ",N2062,".")</f>
        <v>0</v>
      </c>
      <c r="V2135" s="27" t="str">
        <f>CONCATENATE("En ","la ",V5," y ",V33," se observa los resultados  del  ",V4," el cual aborda ",W2062,",en donde se demuestra que el ",ROUND(X2008*100,0),"%"," de los ",V1045," tienen una percepción de ",Y2046,", el ",ROUND(X2009*100,0),"%"," ",Y2047,", un ",ROUND(X2010*100,0),"%"," ",Y2048,",",IF(W2049&gt;0,CONCATENATE(" ademas el ",ROUND(X2011*100,0),"%"," ",Y2049,)," "),IF(W2049&gt;0,CONCATENATE(" y ",ROUND(X2012*100,0),"%",", ",Y2050,)," "),"en tal sentido la mayoría de los ",V1045," es decir el ",ROUND(W2053*100,0),"%"," tienen una percepción con una inclinación a un valor ",V2056,","," para ",W2062,".")</f>
        <v>0</v>
      </c>
      <c r="AE2135" s="27" t="str">
        <f>CONCATENATE("En ","la ",AE5," y ",AE33," se observa los resultados  del  ",AE4," el cual aborda ",AF2062,",en donde se demuestra que el ",ROUND(AG2008*100,0),"%"," de los ",AE1045," tienen una percepción de ",AH2046,", el ",ROUND(AG2009*100,0),"%"," ",AH2047,", un ",ROUND(AG2010*100,0),"%"," ",AH2048,",",IF(AF2049&gt;0,CONCATENATE(" ademas el ",ROUND(AG2011*100,0),"%"," ",AH2049,)," "),IF(AF2049&gt;0,CONCATENATE(" y ",ROUND(AG2012*100,0),"%",", ",AH2050,)," "),"en tal sentido la mayoría de los ",AE1045," es decir el ",ROUND(AF2053*100,0),"%"," tienen una percepción con una inclinación a un valor ",AE2056,","," para ",AF2062,".")</f>
        <v>0</v>
      </c>
      <c r="AN2135" s="27" t="str">
        <f>CONCATENATE("En ","la ",AN5," y ",AN33," se observa los resultados  del  ",AN4," el cual aborda ",AO2062,",en donde se demuestra que el ",ROUND(AP2008*100,0),"%"," de los ",AN1045," tienen una percepción de ",AQ2046,", el ",ROUND(AP2009*100,0),"%"," ",AQ2047,", un ",ROUND(AP2010*100,0),"%"," ",AQ2048,",",IF(AO2049&gt;0,CONCATENATE(" ademas el ",ROUND(AP2011*100,0),"%"," ",AQ2049,)," "),IF(AO2049&gt;0,CONCATENATE(" y ",ROUND(AP2012*100,0),"%",", ",AQ2050,)," "),"en tal sentido la mayoría de los ",AN1045," es decir el ",ROUND(AO2053*100,0),"%"," tienen una percepción con una inclinación a un valor ",AN2056,","," para ",AO2062,".")</f>
        <v>0</v>
      </c>
      <c r="AW2135" s="27" t="str">
        <f>CONCATENATE("En ","la ",AW5," y ",AW33," se observa los resultados  del  ",AW4," el cual aborda ",AX2062,",en donde se demuestra que el ",ROUND(AY2008*100,0),"%"," de los ",AW1045," tienen una percepción de ",AZ2046,", el ",ROUND(AY2009*100,0),"%"," ",AZ2047,", un ",ROUND(AY2010*100,0),"%"," ",AZ2048,",",IF(AX2049&gt;0,CONCATENATE(" ademas el ",ROUND(AY2011*100,0),"%"," ",AZ2049,)," "),IF(AX2049&gt;0,CONCATENATE(" y ",ROUND(AY2012*100,0),"%",", ",AZ2050,)," "),"en tal sentido la mayoría de los ",AW1045," es decir el ",ROUND(AX2053*100,0),"%"," tienen una percepción con una inclinación a un valor ",AW2056,","," para ",AX2062,".")</f>
        <v>0</v>
      </c>
      <c r="BF2135" s="27" t="str">
        <f>CONCATENATE("En ","la ",BF5," y ",BF33," se observa los resultados  del  ",BF4," el cual aborda ",BG2062,",en donde se demuestra que el ",ROUND(BH2008*100,0),"%"," de los ",BF1045," tienen una percepción de ",BI2046,", el ",ROUND(BH2009*100,0),"%"," ",BI2047,", un ",ROUND(BH2010*100,0),"%"," ",BI2048,",",IF(BG2049&gt;0,CONCATENATE(" ademas el ",ROUND(BH2011*100,0),"%"," ",BI2049,)," "),IF(BG2049&gt;0,CONCATENATE(" y ",ROUND(BH2012*100,0),"%",", ",BI2050,)," "),"en tal sentido la mayoría de los ",BF1045," es decir el ",ROUND(BG2053*100,0),"%"," tienen una percepción con una inclinación a un valor ",BF2056,","," para ",BG2062,".")</f>
        <v>0</v>
      </c>
      <c r="BO2135" s="27" t="str">
        <f>CONCATENATE("En ","la ",BO5," y ",BO33," se observa los resultados  del  ",BO4," el cual aborda ",BP2062,",en donde se demuestra que el ",ROUND(BQ2008*100,0),"%"," de los ",BO1045," tienen una percepción de ",BR2046,", el ",ROUND(BQ2009*100,0),"%"," ",BR2047,", un ",ROUND(BQ2010*100,0),"%"," ",BR2048,",",IF(BP2049&gt;0,CONCATENATE(" ademas el ",ROUND(BQ2011*100,0),"%"," ",BR2049,)," "),IF(BP2049&gt;0,CONCATENATE(" y ",ROUND(BQ2012*100,0),"%",", ",BR2050,)," "),"en tal sentido la mayoría de los ",BO1045," es decir el ",ROUND(BP2053*100,0),"%"," tienen una percepción con una inclinación a un valor ",BO2056,","," para ",BP2062,".")</f>
        <v>0</v>
      </c>
      <c r="BX2135" s="27" t="str">
        <f>CONCATENATE("En ","la ",BX5," y ",BX33," se observa los resultados  del  ",BX4," el cual aborda ",BY2062,",en donde se demuestra que el ",ROUND(BZ2008*100,0),"%"," de los ",BX1045," tienen una percepción de ",CA2046,", el ",ROUND(BZ2009*100,0),"%"," ",CA2047,", un ",ROUND(BZ2010*100,0),"%"," ",CA2048,",",IF(BY2049&gt;0,CONCATENATE(" ademas el ",ROUND(BZ2011*100,0),"%"," ",CA2049,)," "),IF(BY2049&gt;0,CONCATENATE(" y ",ROUND(BZ2012*100,0),"%",", ",CA2050,)," "),"en tal sentido la mayoría de los ",BX1045," es decir el ",ROUND(BY2053*100,0),"%"," tienen una percepción con una inclinación a un valor ",BX2056,","," para ",BY2062,".")</f>
        <v>0</v>
      </c>
      <c r="CG2135" s="27" t="str">
        <f>CONCATENATE("En ","la ",CG5," y ",CG33," se observa los resultados  del  ",CG4," el cual aborda ",CH2062,",en donde se demuestra que el ",ROUND(CI2008*100,0),"%"," de los ",CG1045," tienen una percepción de ",CJ2046,", el ",ROUND(CI2009*100,0),"%"," ",CJ2047,", un ",ROUND(CI2010*100,0),"%"," ",CJ2048,",",IF(CH2049&gt;0,CONCATENATE(" ademas el ",ROUND(CI2011*100,0),"%"," ",CJ2049,)," "),IF(CH2049&gt;0,CONCATENATE(" y ",ROUND(CI2012*100,0),"%",", ",CJ2050,)," "),"en tal sentido la mayoría de los ",CG1045," es decir el ",ROUND(CH2053*100,0),"%"," tienen una percepción con una inclinación a un valor ",CG2056,","," para ",CH2062,".")</f>
        <v>0</v>
      </c>
      <c r="CP2135" s="27" t="str">
        <f>CONCATENATE("En ","la ",CP5," y ",CP33," se observa los resultados  del  ",CP4," el cual aborda ",CQ2062,",en donde se demuestra que el ",ROUND(CR2008*100,0),"%"," de los ",CP1045," tienen una percepción de ",CS2046,", el ",ROUND(CR2009*100,0),"%"," ",CS2047,", un ",ROUND(CR2010*100,0),"%"," ",CS2048,",",IF(CQ2049&gt;0,CONCATENATE(" ademas el ",ROUND(CR2011*100,0),"%"," ",CS2049,)," "),IF(CQ2049&gt;0,CONCATENATE(" y ",ROUND(CR2012*100,0),"%",", ",CS2050,)," "),"en tal sentido la mayoría de los ",CP1045," es decir el ",ROUND(CQ2053*100,0),"%"," tienen una percepción con una inclinación a un valor ",CP2056,","," para ",CQ2062,".")</f>
        <v>0</v>
      </c>
      <c r="CY2135" s="27" t="str">
        <f>CONCATENATE("En ","la ",CY5," y ",CY33," se observa los resultados  del  ",CY4," el cual aborda ",CZ2062,",en donde se demuestra que el ",ROUND(DA2008*100,0),"%"," de los ",CY1045," tienen una percepción de ",DB2046,", el ",ROUND(DA2009*100,0),"%"," ",DB2047,", un ",ROUND(DA2010*100,0),"%"," ",DB2048,",",IF(CZ2049&gt;0,CONCATENATE(" ademas el ",ROUND(DA2011*100,0),"%"," ",DB2049,)," "),IF(CZ2049&gt;0,CONCATENATE(" y ",ROUND(DA2012*100,0),"%",", ",DB2050,)," "),"en tal sentido la mayoría de los ",CY1045," es decir el ",ROUND(CZ2053*100,0),"%"," tienen una percepción con una inclinación a un valor ",CY2056,","," para ",CZ2062,".")</f>
        <v>0</v>
      </c>
      <c r="DH2135" s="27" t="str">
        <f>CONCATENATE("En ","la ",DH5," y ",DH33," se observa los resultados  del  ",DH4," el cual aborda ",DI2062,",en donde se demuestra que el ",ROUND(DJ2008*100,0),"%"," de los ",DH1045," tienen una percepción de ",DK2046,", el ",ROUND(DJ2009*100,0),"%"," ",DK2047,", un ",ROUND(DJ2010*100,0),"%"," ",DK2048,",",IF(DI2049&gt;0,CONCATENATE(" ademas el ",ROUND(DJ2011*100,0),"%"," ",DK2049,)," "),IF(DI2049&gt;0,CONCATENATE(" y ",ROUND(DJ2012*100,0),"%",", ",DK2050,)," "),"en tal sentido la mayoría de los ",DH1045," es decir el ",ROUND(DI2053*100,0),"%"," tienen una percepción con una inclinación a un valor ",DH2056,","," para ",DI2062,".")</f>
        <v>0</v>
      </c>
      <c r="DQ2135" s="27" t="str">
        <f>CONCATENATE("En ","la ",DQ5," y ",DQ33," se observa los resultados  del  ",DQ4," el cual aborda ",DR2062,",en donde se demuestra que el ",ROUND(DS2008*100,0),"%"," de los ",DQ1045," tienen una percepción de ",DT2046,", el ",ROUND(DS2009*100,0),"%"," ",DT2047,", un ",ROUND(DS2010*100,0),"%"," ",DT2048,",",IF(DR2049&gt;0,CONCATENATE(" ademas el ",ROUND(DS2011*100,0),"%"," ",DT2049,)," "),IF(DR2049&gt;0,CONCATENATE(" y ",ROUND(DS2012*100,0),"%",", ",DT2050,)," "),"en tal sentido la mayoría de los ",DQ1045," es decir el ",ROUND(DR2053*100,0),"%"," tienen una percepción con una inclinación a un valor ",DQ2056,","," para ",DR2062,".")</f>
        <v>0</v>
      </c>
      <c r="DZ2135" s="27" t="str">
        <f>CONCATENATE("En ","la ",DZ5," y ",DZ33," se observa los resultados  del  ",DZ4," el cual aborda ",EA2062,",en donde se demuestra que el ",ROUND(EB2008*100,0),"%"," de los ",DZ1045," tienen una percepción de ",EC2046,", el ",ROUND(EB2009*100,0),"%"," ",EC2047,", un ",ROUND(EB2010*100,0),"%"," ",EC2048,",",IF(EA2049&gt;0,CONCATENATE(" ademas el ",ROUND(EB2011*100,0),"%"," ",EC2049,)," "),IF(EA2049&gt;0,CONCATENATE(" y ",ROUND(EB2012*100,0),"%",", ",EC2050,)," "),"en tal sentido la mayoría de los ",DZ1045," es decir el ",ROUND(EA2053*100,0),"%"," tienen una percepción con una inclinación a un valor ",DZ2056,","," para ",EA2062,".")</f>
        <v>0</v>
      </c>
      <c r="EI2135" s="27" t="str">
        <f>CONCATENATE("En ","la ",EI5," y ",EI33," se observa los resultados  del  ",EI4," el cual aborda ",EJ2062,",en donde se demuestra que el ",ROUND(EK2008*100,0),"%"," de los ",EI1045," tienen una percepción de ",EL2046,", el ",ROUND(EK2009*100,0),"%"," ",EL2047,", un ",ROUND(EK2010*100,0),"%"," ",EL2048,",",IF(EJ2049&gt;0,CONCATENATE(" ademas el ",ROUND(EK2011*100,0),"%"," ",EL2049,)," "),IF(EJ2049&gt;0,CONCATENATE(" y ",ROUND(EK2012*100,0),"%",", ",EL2050,)," "),"en tal sentido la mayoría de los ",EI1045," es decir el ",ROUND(EJ2053*100,0),"%"," tienen una percepción con una inclinación a un valor ",EI2056,","," para ",EJ2062,".")</f>
        <v>0</v>
      </c>
      <c r="ER2135" s="27" t="str">
        <f>CONCATENATE("En ","la ",ER5," y ",ER33," se observa los resultados  del  ",ER4," el cual aborda ",ES2062,",en donde se demuestra que el ",ROUND(ET2008*100,0),"%"," de los ",ER1045," tienen una percepción de ",EU2046,", el ",ROUND(ET2009*100,0),"%"," ",EU2047,", un ",ROUND(ET2010*100,0),"%"," ",EU2048,",",IF(ES2049&gt;0,CONCATENATE(" ademas el ",ROUND(ET2011*100,0),"%"," ",EU2049,)," "),IF(ES2049&gt;0,CONCATENATE(" y ",ROUND(ET2012*100,0),"%",", ",EU2050,)," "),"en tal sentido la mayoría de los ",ER1045," es decir el ",ROUND(ES2053*100,0),"%"," tienen una percepción con una inclinación a un valor ",ER2056,","," para ",ES2062,".")</f>
        <v>0</v>
      </c>
      <c r="FA2135" s="27" t="str">
        <f>CONCATENATE("En ","la ",FA5," y ",FA33," se observa los resultados  del  ",FA4," el cual aborda ",FB2062,",en donde se demuestra que el ",ROUND(FC2008*100,0),"%"," de los ",FA1045," tienen una percepción de ",FD2046,", el ",ROUND(FC2009*100,0),"%"," ",FD2047,", un ",ROUND(FC2010*100,0),"%"," ",FD2048,",",IF(FB2049&gt;0,CONCATENATE(" ademas el ",ROUND(FC2011*100,0),"%"," ",FD2049,)," "),IF(FB2049&gt;0,CONCATENATE(" y ",ROUND(FC2012*100,0),"%",", ",FD2050,)," "),"en tal sentido la mayoría de los ",FA1045," es decir el ",ROUND(FB2053*100,0),"%"," tienen una percepción con una inclinación a un valor ",FA2056,","," para ",FB2062,".")</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5:F43"/>
    <mergeCell ref="D2135:F2143"/>
    <mergeCell ref="M4:O4"/>
    <mergeCell ref="M35:O43"/>
    <mergeCell ref="M2135:O2143"/>
    <mergeCell ref="V4:X4"/>
    <mergeCell ref="V35:X43"/>
    <mergeCell ref="V2135:X2143"/>
    <mergeCell ref="AE4:AG4"/>
    <mergeCell ref="AE35:AG43"/>
    <mergeCell ref="AE2135:AG2143"/>
    <mergeCell ref="AN4:AP4"/>
    <mergeCell ref="AN35:AP43"/>
    <mergeCell ref="AN2135:AP2143"/>
    <mergeCell ref="AW4:AY4"/>
    <mergeCell ref="AW35:AY43"/>
    <mergeCell ref="AW2135:AY2143"/>
    <mergeCell ref="BF4:BH4"/>
    <mergeCell ref="BF35:BH43"/>
    <mergeCell ref="BF2135:BH2143"/>
    <mergeCell ref="BO4:BQ4"/>
    <mergeCell ref="BO35:BQ43"/>
    <mergeCell ref="BO2135:BQ2143"/>
    <mergeCell ref="BX4:BZ4"/>
    <mergeCell ref="BX35:BZ43"/>
    <mergeCell ref="BX2135:BZ2143"/>
    <mergeCell ref="CG4:CI4"/>
    <mergeCell ref="CG35:CI43"/>
    <mergeCell ref="CG2135:CI2143"/>
    <mergeCell ref="CP4:CR4"/>
    <mergeCell ref="CP35:CR43"/>
    <mergeCell ref="CP2135:CR2143"/>
    <mergeCell ref="CY4:DA4"/>
    <mergeCell ref="CY35:DA43"/>
    <mergeCell ref="CY2135:DA2143"/>
    <mergeCell ref="DH4:DJ4"/>
    <mergeCell ref="DH35:DJ43"/>
    <mergeCell ref="DH2135:DJ2143"/>
    <mergeCell ref="DQ4:DS4"/>
    <mergeCell ref="DQ35:DS43"/>
    <mergeCell ref="DQ2135:DS2143"/>
    <mergeCell ref="DZ4:EB4"/>
    <mergeCell ref="DZ35:EB43"/>
    <mergeCell ref="DZ2135:EB2143"/>
    <mergeCell ref="EI4:EK4"/>
    <mergeCell ref="EI35:EK43"/>
    <mergeCell ref="EI2135:EK2143"/>
    <mergeCell ref="ER4:ET4"/>
    <mergeCell ref="ER35:ET43"/>
    <mergeCell ref="ER2135:ET2143"/>
    <mergeCell ref="FA4:FC4"/>
    <mergeCell ref="FA35:FC43"/>
    <mergeCell ref="FA2135:FC214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BB2107"/>
  <sheetViews>
    <sheetView tabSelected="0" workbookViewId="0" showGridLines="true" showRowColHeaders="1">
      <selection activeCell="AE36" sqref="AE36"/>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 min="22" max="22" width="26" customWidth="true" style="0"/>
    <col min="23" max="23" width="26" customWidth="true" style="0"/>
    <col min="24" max="24" width="26" customWidth="true" style="0"/>
    <col min="31" max="31" width="26" customWidth="true" style="0"/>
    <col min="32" max="32" width="26" customWidth="true" style="0"/>
    <col min="33" max="33" width="26" customWidth="true" style="0"/>
  </cols>
  <sheetData>
    <row r="3" spans="1:54">
      <c r="B3" s="11"/>
      <c r="C3" s="11"/>
      <c r="D3" s="11"/>
      <c r="E3" s="11"/>
      <c r="F3" s="11"/>
      <c r="G3" s="11"/>
      <c r="H3" s="11"/>
      <c r="K3" s="11"/>
      <c r="L3" s="11"/>
      <c r="M3" s="11"/>
      <c r="N3" s="11"/>
      <c r="O3" s="11"/>
      <c r="P3" s="11"/>
      <c r="Q3" s="11"/>
      <c r="T3" s="11"/>
      <c r="U3" s="11"/>
      <c r="V3" s="11"/>
      <c r="W3" s="11"/>
      <c r="X3" s="11"/>
      <c r="Y3" s="11"/>
      <c r="Z3" s="11"/>
      <c r="AC3" s="28"/>
      <c r="AD3" s="28"/>
      <c r="AE3" s="28"/>
      <c r="AF3" s="28"/>
      <c r="AG3" s="28"/>
      <c r="AH3" s="28"/>
      <c r="AI3" s="28"/>
    </row>
    <row r="4" spans="1:54">
      <c r="B4" s="11"/>
      <c r="D4" s="30" t="s">
        <v>450</v>
      </c>
      <c r="E4" s="29"/>
      <c r="F4" s="29"/>
      <c r="H4" s="11"/>
      <c r="K4" s="11"/>
      <c r="M4" s="30" t="s">
        <v>451</v>
      </c>
      <c r="N4" s="29"/>
      <c r="O4" s="29"/>
      <c r="Q4" s="11"/>
      <c r="T4" s="11"/>
      <c r="V4" s="30" t="s">
        <v>452</v>
      </c>
      <c r="W4" s="29"/>
      <c r="X4" s="29"/>
      <c r="Z4" s="11"/>
      <c r="AC4" s="28"/>
      <c r="AE4" s="30" t="s">
        <v>453</v>
      </c>
      <c r="AF4" s="29"/>
      <c r="AG4" s="29"/>
      <c r="AI4" s="28"/>
    </row>
    <row r="5" spans="1:54">
      <c r="B5" s="11"/>
      <c r="D5" s="10" t="s">
        <v>343</v>
      </c>
      <c r="H5" s="11"/>
      <c r="K5" s="11"/>
      <c r="M5" s="10" t="s">
        <v>344</v>
      </c>
      <c r="Q5" s="11"/>
      <c r="T5" s="11"/>
      <c r="V5" s="10" t="s">
        <v>345</v>
      </c>
      <c r="Z5" s="11"/>
      <c r="AC5" s="28"/>
      <c r="AE5" s="10" t="s">
        <v>346</v>
      </c>
      <c r="AI5" s="28"/>
    </row>
    <row r="6" spans="1:54">
      <c r="B6" s="11"/>
      <c r="D6" s="10" t="s">
        <v>1</v>
      </c>
      <c r="H6" s="11"/>
      <c r="K6" s="11"/>
      <c r="M6" s="10" t="s">
        <v>2</v>
      </c>
      <c r="Q6" s="11"/>
      <c r="T6" s="11"/>
      <c r="V6" s="10" t="s">
        <v>3</v>
      </c>
      <c r="Z6" s="11"/>
      <c r="AC6" s="28"/>
      <c r="AE6" s="10" t="s">
        <v>331</v>
      </c>
      <c r="AI6" s="28"/>
    </row>
    <row r="7" spans="1:54">
      <c r="B7" s="11"/>
      <c r="D7" s="13"/>
      <c r="E7" s="19" t="s">
        <v>348</v>
      </c>
      <c r="F7" s="19" t="s">
        <v>349</v>
      </c>
      <c r="H7" s="11"/>
      <c r="K7" s="11"/>
      <c r="M7" s="13"/>
      <c r="N7" s="19" t="s">
        <v>348</v>
      </c>
      <c r="O7" s="19" t="s">
        <v>349</v>
      </c>
      <c r="Q7" s="11"/>
      <c r="T7" s="11"/>
      <c r="V7" s="13"/>
      <c r="W7" s="19" t="s">
        <v>348</v>
      </c>
      <c r="X7" s="19" t="s">
        <v>349</v>
      </c>
      <c r="Z7" s="11"/>
      <c r="AC7" s="28"/>
      <c r="AE7" s="13"/>
      <c r="AF7" s="19" t="s">
        <v>348</v>
      </c>
      <c r="AG7" s="19" t="s">
        <v>349</v>
      </c>
      <c r="AI7" s="28"/>
    </row>
    <row r="8" spans="1:54">
      <c r="B8" s="11"/>
      <c r="D8" s="26" t="str">
        <f>('Gestión de abastecimiento'!A300)</f>
        <v>0</v>
      </c>
      <c r="E8" s="18" t="str">
        <f>COUNTIF('Gestión de abastecimiento'!B5:G293,1)</f>
        <v>0</v>
      </c>
      <c r="F8" s="22" t="str">
        <f>(E8/E13)</f>
        <v>0</v>
      </c>
      <c r="H8" s="11"/>
      <c r="K8" s="11"/>
      <c r="M8" s="26" t="str">
        <f>('Gestión de abastecimiento'!A300)</f>
        <v>0</v>
      </c>
      <c r="N8" s="18" t="str">
        <f>COUNTIF('Gestión de abastecimiento'!H5:M293,1)</f>
        <v>0</v>
      </c>
      <c r="O8" s="22" t="str">
        <f>(N8/N13)</f>
        <v>0</v>
      </c>
      <c r="Q8" s="11"/>
      <c r="T8" s="11"/>
      <c r="V8" s="26" t="str">
        <f>('Gestión de abastecimiento'!A300)</f>
        <v>0</v>
      </c>
      <c r="W8" s="18" t="str">
        <f>COUNTIF('Gestión de abastecimiento'!N5:S293,1)</f>
        <v>0</v>
      </c>
      <c r="X8" s="22" t="str">
        <f>(W8/W13)</f>
        <v>0</v>
      </c>
      <c r="Z8" s="11"/>
      <c r="AC8" s="28"/>
      <c r="AE8" s="26" t="str">
        <f>('Gestión de abastecimiento'!A300)</f>
        <v>0</v>
      </c>
      <c r="AF8" s="18" t="str">
        <f>COUNTIF('Gestión de abastecimiento'!B5:S293,1)</f>
        <v>0</v>
      </c>
      <c r="AG8" s="22" t="str">
        <f>(AF8/AF13)</f>
        <v>0</v>
      </c>
      <c r="AI8" s="28"/>
    </row>
    <row r="9" spans="1:54">
      <c r="B9" s="11"/>
      <c r="D9" s="26" t="str">
        <f>('Gestión de abastecimiento'!A301)</f>
        <v>0</v>
      </c>
      <c r="E9" s="18" t="str">
        <f>COUNTIF('Gestión de abastecimiento'!B5:G293,2)</f>
        <v>0</v>
      </c>
      <c r="F9" s="22" t="str">
        <f>(E9/E13)</f>
        <v>0</v>
      </c>
      <c r="H9" s="11"/>
      <c r="K9" s="11"/>
      <c r="M9" s="26" t="str">
        <f>('Gestión de abastecimiento'!A301)</f>
        <v>0</v>
      </c>
      <c r="N9" s="18" t="str">
        <f>COUNTIF('Gestión de abastecimiento'!H5:M293,2)</f>
        <v>0</v>
      </c>
      <c r="O9" s="22" t="str">
        <f>(N9/N13)</f>
        <v>0</v>
      </c>
      <c r="Q9" s="11"/>
      <c r="T9" s="11"/>
      <c r="V9" s="26" t="str">
        <f>('Gestión de abastecimiento'!A301)</f>
        <v>0</v>
      </c>
      <c r="W9" s="18" t="str">
        <f>COUNTIF('Gestión de abastecimiento'!N5:S293,2)</f>
        <v>0</v>
      </c>
      <c r="X9" s="22" t="str">
        <f>(W9/W13)</f>
        <v>0</v>
      </c>
      <c r="Z9" s="11"/>
      <c r="AC9" s="28"/>
      <c r="AE9" s="26" t="str">
        <f>('Gestión de abastecimiento'!A301)</f>
        <v>0</v>
      </c>
      <c r="AF9" s="18" t="str">
        <f>COUNTIF('Gestión de abastecimiento'!B5:S293,2)</f>
        <v>0</v>
      </c>
      <c r="AG9" s="22" t="str">
        <f>(AF9/AF13)</f>
        <v>0</v>
      </c>
      <c r="AI9" s="28"/>
    </row>
    <row r="10" spans="1:54">
      <c r="B10" s="11"/>
      <c r="D10" s="26" t="str">
        <f>('Gestión de abastecimiento'!A302)</f>
        <v>0</v>
      </c>
      <c r="E10" s="18" t="str">
        <f>COUNTIF('Gestión de abastecimiento'!B5:G293,3)</f>
        <v>0</v>
      </c>
      <c r="F10" s="22" t="str">
        <f>(E10/E13)</f>
        <v>0</v>
      </c>
      <c r="H10" s="11"/>
      <c r="K10" s="11"/>
      <c r="M10" s="26" t="str">
        <f>('Gestión de abastecimiento'!A302)</f>
        <v>0</v>
      </c>
      <c r="N10" s="18" t="str">
        <f>COUNTIF('Gestión de abastecimiento'!H5:M293,3)</f>
        <v>0</v>
      </c>
      <c r="O10" s="22" t="str">
        <f>(N10/N13)</f>
        <v>0</v>
      </c>
      <c r="Q10" s="11"/>
      <c r="T10" s="11"/>
      <c r="V10" s="26" t="str">
        <f>('Gestión de abastecimiento'!A302)</f>
        <v>0</v>
      </c>
      <c r="W10" s="18" t="str">
        <f>COUNTIF('Gestión de abastecimiento'!N5:S293,3)</f>
        <v>0</v>
      </c>
      <c r="X10" s="22" t="str">
        <f>(W10/W13)</f>
        <v>0</v>
      </c>
      <c r="Z10" s="11"/>
      <c r="AC10" s="28"/>
      <c r="AE10" s="26" t="str">
        <f>('Gestión de abastecimiento'!A302)</f>
        <v>0</v>
      </c>
      <c r="AF10" s="18" t="str">
        <f>COUNTIF('Gestión de abastecimiento'!B5:S293,3)</f>
        <v>0</v>
      </c>
      <c r="AG10" s="22" t="str">
        <f>(AF10/AF13)</f>
        <v>0</v>
      </c>
      <c r="AI10" s="28"/>
    </row>
    <row r="11" spans="1:54">
      <c r="B11" s="11"/>
      <c r="D11" s="26" t="str">
        <f>('Gestión de abastecimiento'!A303)</f>
        <v>0</v>
      </c>
      <c r="E11" s="18" t="str">
        <f>COUNTIF('Gestión de abastecimiento'!B5:G293,4)</f>
        <v>0</v>
      </c>
      <c r="F11" s="22" t="str">
        <f>(E11/E13)</f>
        <v>0</v>
      </c>
      <c r="H11" s="11"/>
      <c r="K11" s="11"/>
      <c r="M11" s="26" t="str">
        <f>('Gestión de abastecimiento'!A303)</f>
        <v>0</v>
      </c>
      <c r="N11" s="18" t="str">
        <f>COUNTIF('Gestión de abastecimiento'!H5:M293,4)</f>
        <v>0</v>
      </c>
      <c r="O11" s="22" t="str">
        <f>(N11/N13)</f>
        <v>0</v>
      </c>
      <c r="Q11" s="11"/>
      <c r="T11" s="11"/>
      <c r="V11" s="26" t="str">
        <f>('Gestión de abastecimiento'!A303)</f>
        <v>0</v>
      </c>
      <c r="W11" s="18" t="str">
        <f>COUNTIF('Gestión de abastecimiento'!N5:S293,4)</f>
        <v>0</v>
      </c>
      <c r="X11" s="22" t="str">
        <f>(W11/W13)</f>
        <v>0</v>
      </c>
      <c r="Z11" s="11"/>
      <c r="AC11" s="28"/>
      <c r="AE11" s="26" t="str">
        <f>('Gestión de abastecimiento'!A303)</f>
        <v>0</v>
      </c>
      <c r="AF11" s="18" t="str">
        <f>COUNTIF('Gestión de abastecimiento'!B5:S293,4)</f>
        <v>0</v>
      </c>
      <c r="AG11" s="22" t="str">
        <f>(AF11/AF13)</f>
        <v>0</v>
      </c>
      <c r="AI11" s="28"/>
    </row>
    <row r="12" spans="1:54">
      <c r="B12" s="11"/>
      <c r="D12" s="26" t="str">
        <f>('Gestión de abastecimiento'!A304)</f>
        <v>0</v>
      </c>
      <c r="E12" s="18" t="str">
        <f>COUNTIF('Gestión de abastecimiento'!B5:G293,5)</f>
        <v>0</v>
      </c>
      <c r="F12" s="22" t="str">
        <f>(E12/E13)</f>
        <v>0</v>
      </c>
      <c r="H12" s="11"/>
      <c r="K12" s="11"/>
      <c r="M12" s="26" t="str">
        <f>('Gestión de abastecimiento'!A304)</f>
        <v>0</v>
      </c>
      <c r="N12" s="18" t="str">
        <f>COUNTIF('Gestión de abastecimiento'!H5:M293,5)</f>
        <v>0</v>
      </c>
      <c r="O12" s="22" t="str">
        <f>(N12/N13)</f>
        <v>0</v>
      </c>
      <c r="Q12" s="11"/>
      <c r="T12" s="11"/>
      <c r="V12" s="26" t="str">
        <f>('Gestión de abastecimiento'!A304)</f>
        <v>0</v>
      </c>
      <c r="W12" s="18" t="str">
        <f>COUNTIF('Gestión de abastecimiento'!N5:S293,5)</f>
        <v>0</v>
      </c>
      <c r="X12" s="22" t="str">
        <f>(W12/W13)</f>
        <v>0</v>
      </c>
      <c r="Z12" s="11"/>
      <c r="AC12" s="28"/>
      <c r="AE12" s="26" t="str">
        <f>('Gestión de abastecimiento'!A304)</f>
        <v>0</v>
      </c>
      <c r="AF12" s="18" t="str">
        <f>COUNTIF('Gestión de abastecimiento'!B5:S293,5)</f>
        <v>0</v>
      </c>
      <c r="AG12" s="22" t="str">
        <f>(AF12/AF13)</f>
        <v>0</v>
      </c>
      <c r="AI12" s="28"/>
    </row>
    <row r="13" spans="1:54">
      <c r="B13" s="11"/>
      <c r="D13" s="32" t="str">
        <f>('Gestión de abastecimiento'!A305)</f>
        <v>0</v>
      </c>
      <c r="E13" s="19" t="str">
        <f>SUM(E8:E12)</f>
        <v>0</v>
      </c>
      <c r="F13" s="23" t="str">
        <f>SUM(F8:F12)</f>
        <v>0</v>
      </c>
      <c r="H13" s="11"/>
      <c r="K13" s="11"/>
      <c r="M13" s="32" t="str">
        <f>('Gestión de abastecimiento'!A305)</f>
        <v>0</v>
      </c>
      <c r="N13" s="19" t="str">
        <f>SUM(N8:N12)</f>
        <v>0</v>
      </c>
      <c r="O13" s="23" t="str">
        <f>SUM(O8:O12)</f>
        <v>0</v>
      </c>
      <c r="Q13" s="11"/>
      <c r="T13" s="11"/>
      <c r="V13" s="32" t="str">
        <f>('Gestión de abastecimiento'!A305)</f>
        <v>0</v>
      </c>
      <c r="W13" s="19" t="str">
        <f>SUM(W8:W12)</f>
        <v>0</v>
      </c>
      <c r="X13" s="23" t="str">
        <f>SUM(X8:X12)</f>
        <v>0</v>
      </c>
      <c r="Z13" s="11"/>
      <c r="AC13" s="28"/>
      <c r="AE13" s="32" t="str">
        <f>('Gestión de abastecimiento'!A305)</f>
        <v>0</v>
      </c>
      <c r="AF13" s="19" t="str">
        <f>SUM(AF8:AF12)</f>
        <v>0</v>
      </c>
      <c r="AG13" s="23" t="str">
        <f>SUM(AG8:AG12)</f>
        <v>0</v>
      </c>
      <c r="AI13" s="28"/>
    </row>
    <row r="14" spans="1:54">
      <c r="B14" s="11"/>
      <c r="D14" s="10" t="s">
        <v>356</v>
      </c>
      <c r="H14" s="11"/>
      <c r="K14" s="11"/>
      <c r="M14" s="10" t="s">
        <v>356</v>
      </c>
      <c r="Q14" s="11"/>
      <c r="T14" s="11"/>
      <c r="V14" s="10" t="s">
        <v>356</v>
      </c>
      <c r="Z14" s="11"/>
      <c r="AC14" s="28"/>
      <c r="AE14" s="10" t="s">
        <v>356</v>
      </c>
      <c r="AI14" s="28"/>
    </row>
    <row r="15" spans="1:54">
      <c r="B15" s="11"/>
      <c r="D15" s="10" t="s">
        <v>355</v>
      </c>
      <c r="H15" s="11"/>
      <c r="K15" s="11"/>
      <c r="M15" s="10" t="s">
        <v>355</v>
      </c>
      <c r="Q15" s="11"/>
      <c r="T15" s="11"/>
      <c r="V15" s="10" t="s">
        <v>355</v>
      </c>
      <c r="Z15" s="11"/>
      <c r="AC15" s="28"/>
      <c r="AE15" s="10" t="s">
        <v>355</v>
      </c>
      <c r="AI15" s="28"/>
    </row>
    <row r="16" spans="1:54">
      <c r="B16" s="11"/>
      <c r="H16" s="11"/>
      <c r="K16" s="11"/>
      <c r="Q16" s="11"/>
      <c r="T16" s="11"/>
      <c r="Z16" s="11"/>
      <c r="AC16" s="28"/>
      <c r="AI16" s="28"/>
    </row>
    <row r="17" spans="1:54">
      <c r="B17" s="11"/>
      <c r="H17" s="11"/>
      <c r="K17" s="11"/>
      <c r="Q17" s="11"/>
      <c r="T17" s="11"/>
      <c r="Z17" s="11"/>
      <c r="AC17" s="28"/>
      <c r="AI17" s="28"/>
    </row>
    <row r="18" spans="1:54">
      <c r="B18" s="11"/>
      <c r="H18" s="11"/>
      <c r="K18" s="11"/>
      <c r="Q18" s="11"/>
      <c r="T18" s="11"/>
      <c r="Z18" s="11"/>
      <c r="AC18" s="28"/>
      <c r="AI18" s="28"/>
    </row>
    <row r="19" spans="1:54">
      <c r="B19" s="11"/>
      <c r="H19" s="11"/>
      <c r="K19" s="11"/>
      <c r="Q19" s="11"/>
      <c r="T19" s="11"/>
      <c r="Z19" s="11"/>
      <c r="AC19" s="28"/>
      <c r="AI19" s="28"/>
    </row>
    <row r="20" spans="1:54">
      <c r="B20" s="11"/>
      <c r="H20" s="11"/>
      <c r="K20" s="11"/>
      <c r="Q20" s="11"/>
      <c r="T20" s="11"/>
      <c r="Z20" s="11"/>
      <c r="AC20" s="28"/>
      <c r="AI20" s="28"/>
    </row>
    <row r="21" spans="1:54">
      <c r="B21" s="11"/>
      <c r="H21" s="11"/>
      <c r="K21" s="11"/>
      <c r="Q21" s="11"/>
      <c r="T21" s="11"/>
      <c r="Z21" s="11"/>
      <c r="AC21" s="28"/>
      <c r="AI21" s="28"/>
    </row>
    <row r="22" spans="1:54">
      <c r="B22" s="11"/>
      <c r="H22" s="11"/>
      <c r="K22" s="11"/>
      <c r="Q22" s="11"/>
      <c r="T22" s="11"/>
      <c r="Z22" s="11"/>
      <c r="AC22" s="28"/>
      <c r="AI22" s="28"/>
    </row>
    <row r="23" spans="1:54">
      <c r="B23" s="11"/>
      <c r="H23" s="11"/>
      <c r="K23" s="11"/>
      <c r="Q23" s="11"/>
      <c r="T23" s="11"/>
      <c r="Z23" s="11"/>
      <c r="AC23" s="28"/>
      <c r="AI23" s="28"/>
    </row>
    <row r="24" spans="1:54">
      <c r="B24" s="11"/>
      <c r="H24" s="11"/>
      <c r="K24" s="11"/>
      <c r="Q24" s="11"/>
      <c r="T24" s="11"/>
      <c r="Z24" s="11"/>
      <c r="AC24" s="28"/>
      <c r="AI24" s="28"/>
    </row>
    <row r="25" spans="1:54">
      <c r="B25" s="11"/>
      <c r="H25" s="11"/>
      <c r="K25" s="11"/>
      <c r="Q25" s="11"/>
      <c r="T25" s="11"/>
      <c r="Z25" s="11"/>
      <c r="AC25" s="28"/>
      <c r="AI25" s="28"/>
    </row>
    <row r="26" spans="1:54">
      <c r="B26" s="11"/>
      <c r="H26" s="11"/>
      <c r="K26" s="11"/>
      <c r="Q26" s="11"/>
      <c r="T26" s="11"/>
      <c r="Z26" s="11"/>
      <c r="AC26" s="28"/>
      <c r="AI26" s="28"/>
    </row>
    <row r="27" spans="1:54">
      <c r="B27" s="11"/>
      <c r="H27" s="11"/>
      <c r="K27" s="11"/>
      <c r="Q27" s="11"/>
      <c r="T27" s="11"/>
      <c r="Z27" s="11"/>
      <c r="AC27" s="28"/>
      <c r="AI27" s="28"/>
    </row>
    <row r="28" spans="1:54">
      <c r="B28" s="11"/>
      <c r="H28" s="11"/>
      <c r="K28" s="11"/>
      <c r="Q28" s="11"/>
      <c r="T28" s="11"/>
      <c r="Z28" s="11"/>
      <c r="AC28" s="28"/>
      <c r="AI28" s="28"/>
    </row>
    <row r="29" spans="1:54">
      <c r="B29" s="11"/>
      <c r="H29" s="11"/>
      <c r="K29" s="11"/>
      <c r="Q29" s="11"/>
      <c r="T29" s="11"/>
      <c r="Z29" s="11"/>
      <c r="AC29" s="28"/>
      <c r="AI29" s="28"/>
    </row>
    <row r="30" spans="1:54">
      <c r="B30" s="11"/>
      <c r="H30" s="11"/>
      <c r="K30" s="11"/>
      <c r="Q30" s="11"/>
      <c r="T30" s="11"/>
      <c r="Z30" s="11"/>
      <c r="AC30" s="28"/>
      <c r="AI30" s="28"/>
    </row>
    <row r="31" spans="1:54">
      <c r="B31" s="11"/>
      <c r="H31" s="11"/>
      <c r="K31" s="11"/>
      <c r="Q31" s="11"/>
      <c r="T31" s="11"/>
      <c r="Z31" s="11"/>
      <c r="AC31" s="28"/>
      <c r="AI31" s="28"/>
    </row>
    <row r="32" spans="1:54">
      <c r="B32" s="11"/>
      <c r="H32" s="11"/>
      <c r="K32" s="11"/>
      <c r="Q32" s="11"/>
      <c r="T32" s="11"/>
      <c r="Z32" s="11"/>
      <c r="AC32" s="28"/>
      <c r="AI32" s="28"/>
    </row>
    <row r="33" spans="1:54">
      <c r="B33" s="11"/>
      <c r="D33" s="10" t="s">
        <v>357</v>
      </c>
      <c r="H33" s="11"/>
      <c r="K33" s="11"/>
      <c r="M33" s="10" t="s">
        <v>358</v>
      </c>
      <c r="Q33" s="11"/>
      <c r="T33" s="11"/>
      <c r="V33" s="10" t="s">
        <v>359</v>
      </c>
      <c r="Z33" s="11"/>
      <c r="AC33" s="28"/>
      <c r="AE33" s="10" t="s">
        <v>360</v>
      </c>
      <c r="AI33" s="28"/>
    </row>
    <row r="34" spans="1:54">
      <c r="B34" s="11"/>
      <c r="D34" s="10" t="s">
        <v>1</v>
      </c>
      <c r="H34" s="11"/>
      <c r="K34" s="11"/>
      <c r="M34" s="10" t="s">
        <v>2</v>
      </c>
      <c r="Q34" s="11"/>
      <c r="T34" s="11"/>
      <c r="V34" s="10" t="s">
        <v>3</v>
      </c>
      <c r="Z34" s="11"/>
      <c r="AC34" s="28"/>
      <c r="AE34" s="10" t="s">
        <v>331</v>
      </c>
      <c r="AI34" s="28"/>
    </row>
    <row r="35" spans="1:54">
      <c r="B35" s="11"/>
      <c r="H35" s="11"/>
      <c r="K35" s="11"/>
      <c r="Q35" s="11"/>
      <c r="T35" s="11"/>
      <c r="Z35" s="11"/>
      <c r="AC35" s="28"/>
      <c r="AI35" s="28"/>
    </row>
    <row r="36" spans="1:54">
      <c r="B36" s="11"/>
      <c r="D36" s="27" t="str">
        <f>CONCATENATE("En la ",D5," y ",D33," se puede observar que la variable ",E1001," en base a su dimensión ",E1002," es calificado como ",E1008," ya que el ",ROUND(D1006*100,0),"% de los resultados lo califican como ",D1005,", el ",ROUND(E1006*100,0),"% ",E1005," y el ",ROUND(F1006*100,0),"% lo califico como ",F1005," estos resultados son originados debido a que, ",D1011," ",E1011,",","asi mismo ",D1012," ",E1012,", por su parte ",D1013," ",E1013,", con motivo ",D1014," ",E1014,", incluso ",D1015," ",E1015, ", ","asi mismo ",D1016," ",E1016,","," por todas estas razones, es que la variable ",E1001," basado en su dimensión ",E1002," y calificado por los ",E1003," es considerado como ",E1008,".")</f>
        <v>0</v>
      </c>
      <c r="E36" s="35"/>
      <c r="F36" s="35"/>
      <c r="G36" s="35"/>
      <c r="H36" s="36"/>
      <c r="I36" s="35"/>
      <c r="J36" s="35"/>
      <c r="K36" s="11"/>
      <c r="L36" s="35"/>
      <c r="M36" s="27" t="str">
        <f>CONCATENATE("En la ",M5," y ",M33," se puede observar que la variable ",N1001," en base a su dimensión ",N1002," es calificado como ",N1008," ya que el ",ROUND(M1006*100,0),"% de los resultados lo califican como ",M1005,", el ",ROUND(N1006*100,0),"% ",N1005," y el ",ROUND(O1006*100,0),"% lo califico como ",O1005," estos resultados son originados debido a que, ",M1011," ",N1011,",","asi mismo ",M1012," ",N1012,", en cambio ",M1013," ",N1013,", mismo ",M1014," ",N1014,", con motivo ",M1015," ",N1015, ", ","asi mismo ",M1016," ",N1016,","," por todas estas razones, es que la variable ",N1001," basado en su dimensión ",N1002," y calificado por los ",N1003," es considerado como ",N1008,".")</f>
        <v>0</v>
      </c>
      <c r="N36" s="35"/>
      <c r="O36" s="35"/>
      <c r="P36" s="35"/>
      <c r="Q36" s="36"/>
      <c r="R36" s="35"/>
      <c r="S36" s="35"/>
      <c r="T36" s="11"/>
      <c r="U36" s="35"/>
      <c r="V36" s="27" t="str">
        <f>CONCATENATE("En la ",V5," y ",V33," se puede observar que la variable ",W1001," en base a su dimensión ",W1002," es calificado como ",W1008," ya que el ",ROUND(V1006*100,0),"% de los resultados lo califican como ",V1005,", el ",ROUND(W1006*100,0),"% ",W1005," y el ",ROUND(X1006*100,0),"% lo califico como ",X1005," estos resultados son originados debido a que, ",V1011," ",W1011,",","asi mismo ",V1012," ",W1012,", no obstante ",V1013," ",W1013,", de modo que ",V1014," ",W1014,", sin embargo ",V1015," ",W1015, ", ","asi mismo ",V1016," ",W1016,","," por todas estas razones, es que la variable ",W1001," basado en su dimensión ",W1002," y calificado por los ",W1003," es considerado como ",W1008,".")</f>
        <v>0</v>
      </c>
      <c r="W36" s="35"/>
      <c r="X36" s="35"/>
      <c r="Y36" s="35"/>
      <c r="Z36" s="36"/>
      <c r="AA36" s="35"/>
      <c r="AB36" s="35"/>
      <c r="AC36" s="28"/>
      <c r="AD36" s="35"/>
      <c r="AE36" s="27" t="str">
        <f>CONCATENATE("En la ",AE5," y ",AE33," se puede observar que la variable ",AF1001," tiene una calificación de ",AF1008,","," ello debido a que el ",ROUND(AF1006*100,0),"% de los resultados estan en las categorias de ",AE1005," mientras que el ",ROUND(AF1006*100,0),"% ",AF1005," y el ",ROUND(AG1006*100,0),"% ",AG1005," en tal sentido se puede observar que la mayoria de los resultados es decir el ",ROUND(AH1007*100,0),"% tiene una calificación inclinada para un valor ",AF1008," estos resultados se originaron debido a que ",AP1016," ",AP1017," ",AP1018,", finalmente dentro de las dimensiones evaluadas la que cuenta con mayor deficiencia es la dimensión ",AD1076,)</f>
        <v>0</v>
      </c>
      <c r="AF36" s="35"/>
      <c r="AG36" s="35"/>
      <c r="AH36" s="35"/>
      <c r="AI36" s="37"/>
      <c r="AJ36" s="35"/>
      <c r="AK36" s="35"/>
      <c r="AL36" s="35"/>
      <c r="AM36" s="35"/>
      <c r="AN36" s="35"/>
      <c r="AO36" s="35"/>
      <c r="AP36" s="35"/>
      <c r="AQ36" s="35"/>
      <c r="AR36" s="35"/>
      <c r="AS36" s="35"/>
      <c r="AT36" s="35"/>
      <c r="AU36" s="35"/>
      <c r="AV36" s="35"/>
      <c r="AW36" s="35"/>
    </row>
    <row r="37" spans="1:54">
      <c r="B37" s="11"/>
      <c r="H37" s="11"/>
      <c r="K37" s="11"/>
      <c r="Q37" s="11"/>
      <c r="T37" s="11"/>
      <c r="Z37" s="11"/>
      <c r="AC37" s="28"/>
      <c r="AI37" s="28"/>
    </row>
    <row r="38" spans="1:54">
      <c r="B38" s="11"/>
      <c r="H38" s="11"/>
      <c r="K38" s="11"/>
      <c r="Q38" s="11"/>
      <c r="T38" s="11"/>
      <c r="Z38" s="11"/>
      <c r="AC38" s="28"/>
      <c r="AI38" s="28"/>
    </row>
    <row r="39" spans="1:54">
      <c r="B39" s="11"/>
      <c r="H39" s="11"/>
      <c r="K39" s="11"/>
      <c r="Q39" s="11"/>
      <c r="T39" s="11"/>
      <c r="Z39" s="11"/>
      <c r="AC39" s="28"/>
      <c r="AI39" s="28"/>
    </row>
    <row r="1001" spans="1:54">
      <c r="D1001" s="10" t="s">
        <v>333</v>
      </c>
      <c r="E1001" s="10" t="str">
        <f>(AE6)</f>
        <v>0</v>
      </c>
      <c r="M1001" s="10" t="s">
        <v>333</v>
      </c>
      <c r="N1001" s="10" t="str">
        <f>(AE6)</f>
        <v>0</v>
      </c>
      <c r="V1001" s="10" t="s">
        <v>333</v>
      </c>
      <c r="W1001" s="10" t="str">
        <f>(AE6)</f>
        <v>0</v>
      </c>
      <c r="AE1001" s="10" t="s">
        <v>333</v>
      </c>
      <c r="AF1001" s="10" t="str">
        <f>(AE6)</f>
        <v>0</v>
      </c>
    </row>
    <row r="1002" spans="1:54">
      <c r="D1002" s="10" t="s">
        <v>362</v>
      </c>
      <c r="E1002" s="10" t="str">
        <f>(D6)</f>
        <v>0</v>
      </c>
      <c r="M1002" s="10" t="s">
        <v>362</v>
      </c>
      <c r="N1002" s="10" t="str">
        <f>(M6)</f>
        <v>0</v>
      </c>
      <c r="V1002" s="10" t="s">
        <v>362</v>
      </c>
      <c r="W1002" s="10" t="str">
        <f>(V6)</f>
        <v>0</v>
      </c>
      <c r="AE1002" s="10" t="s">
        <v>362</v>
      </c>
      <c r="AF1002" s="10" t="str">
        <f>(AE6)</f>
        <v>0</v>
      </c>
    </row>
    <row r="1003" spans="1:54">
      <c r="D1003" s="10" t="s">
        <v>454</v>
      </c>
      <c r="E1003" s="10" t="s">
        <v>363</v>
      </c>
      <c r="M1003" s="10" t="s">
        <v>454</v>
      </c>
      <c r="N1003" s="10" t="s">
        <v>363</v>
      </c>
      <c r="V1003" s="10" t="s">
        <v>454</v>
      </c>
      <c r="W1003" s="10" t="s">
        <v>363</v>
      </c>
      <c r="AE1003" s="10" t="s">
        <v>454</v>
      </c>
      <c r="AF1003" s="10" t="s">
        <v>363</v>
      </c>
    </row>
    <row r="1004" spans="1:54">
      <c r="C1004" s="10" t="s">
        <v>369</v>
      </c>
      <c r="D1004" s="10" t="s">
        <v>352</v>
      </c>
      <c r="E1004" s="10" t="s">
        <v>353</v>
      </c>
      <c r="F1004" s="10" t="s">
        <v>354</v>
      </c>
      <c r="L1004" s="10" t="s">
        <v>369</v>
      </c>
      <c r="M1004" s="10" t="s">
        <v>352</v>
      </c>
      <c r="N1004" s="10" t="s">
        <v>353</v>
      </c>
      <c r="O1004" s="10" t="s">
        <v>354</v>
      </c>
      <c r="U1004" s="10" t="s">
        <v>369</v>
      </c>
      <c r="V1004" s="10" t="s">
        <v>352</v>
      </c>
      <c r="W1004" s="10" t="s">
        <v>353</v>
      </c>
      <c r="X1004" s="10" t="s">
        <v>354</v>
      </c>
      <c r="AD1004" s="10" t="s">
        <v>369</v>
      </c>
      <c r="AE1004" s="10" t="s">
        <v>352</v>
      </c>
      <c r="AF1004" s="10" t="s">
        <v>353</v>
      </c>
      <c r="AG1004" s="10" t="s">
        <v>354</v>
      </c>
    </row>
    <row r="1005" spans="1:54">
      <c r="C1005" s="10" t="s">
        <v>347</v>
      </c>
      <c r="D1005" s="10" t="str">
        <f>CONCATENATE(D8," y ",D9)</f>
        <v>0</v>
      </c>
      <c r="E1005" s="10" t="str">
        <f>D10</f>
        <v>0</v>
      </c>
      <c r="F1005" s="10" t="str">
        <f>CONCATENATE(D11," y ",D12)</f>
        <v>0</v>
      </c>
      <c r="L1005" s="10" t="s">
        <v>347</v>
      </c>
      <c r="M1005" s="10" t="str">
        <f>CONCATENATE(M8," y ",M9)</f>
        <v>0</v>
      </c>
      <c r="N1005" s="10" t="str">
        <f>M10</f>
        <v>0</v>
      </c>
      <c r="O1005" s="10" t="str">
        <f>CONCATENATE(M11," y ",M12)</f>
        <v>0</v>
      </c>
      <c r="U1005" s="10" t="s">
        <v>347</v>
      </c>
      <c r="V1005" s="10" t="str">
        <f>CONCATENATE(V8," y ",V9)</f>
        <v>0</v>
      </c>
      <c r="W1005" s="10" t="str">
        <f>V10</f>
        <v>0</v>
      </c>
      <c r="X1005" s="10" t="str">
        <f>CONCATENATE(V11," y ",V12)</f>
        <v>0</v>
      </c>
      <c r="AD1005" s="10" t="s">
        <v>347</v>
      </c>
      <c r="AE1005" s="10" t="str">
        <f>CONCATENATE(AE8," y ",AE9)</f>
        <v>0</v>
      </c>
      <c r="AF1005" s="10" t="str">
        <f>AE10</f>
        <v>0</v>
      </c>
      <c r="AG1005" s="10" t="str">
        <f>CONCATENATE(AE11," y ",AE12)</f>
        <v>0</v>
      </c>
    </row>
    <row r="1006" spans="1:54">
      <c r="D1006" s="14" t="str">
        <f>SUM(F8:F9)</f>
        <v>0</v>
      </c>
      <c r="E1006" s="14" t="str">
        <f>F10</f>
        <v>0</v>
      </c>
      <c r="F1006" s="14" t="str">
        <f>SUM(F11:F12)</f>
        <v>0</v>
      </c>
      <c r="M1006" s="14" t="str">
        <f>SUM(O8:O9)</f>
        <v>0</v>
      </c>
      <c r="N1006" s="14" t="str">
        <f>O10</f>
        <v>0</v>
      </c>
      <c r="O1006" s="14" t="str">
        <f>SUM(O11:O12)</f>
        <v>0</v>
      </c>
      <c r="V1006" s="14" t="str">
        <f>SUM(X8:X9)</f>
        <v>0</v>
      </c>
      <c r="W1006" s="14" t="str">
        <f>X10</f>
        <v>0</v>
      </c>
      <c r="X1006" s="14" t="str">
        <f>SUM(X11:X12)</f>
        <v>0</v>
      </c>
      <c r="AE1006" s="14" t="str">
        <f>SUM(AG8:AG9)</f>
        <v>0</v>
      </c>
      <c r="AF1006" s="14" t="str">
        <f>AG10</f>
        <v>0</v>
      </c>
      <c r="AG1006" s="14" t="str">
        <f>SUM(AG11:AG12)</f>
        <v>0</v>
      </c>
    </row>
    <row r="1007" spans="1:54">
      <c r="C1007" s="10" t="s">
        <v>455</v>
      </c>
      <c r="D1007" s="14" t="str">
        <f>SUM(D1006:E1006)</f>
        <v>0</v>
      </c>
      <c r="E1007" s="14" t="str">
        <f>SUM(E1006:F1006)</f>
        <v>0</v>
      </c>
      <c r="F1007" s="14" t="str">
        <f>(D1007-E1007)</f>
        <v>0</v>
      </c>
      <c r="L1007" s="10" t="s">
        <v>455</v>
      </c>
      <c r="M1007" s="14" t="str">
        <f>SUM(M1006:N1006)</f>
        <v>0</v>
      </c>
      <c r="N1007" s="14" t="str">
        <f>SUM(N1006:O1006)</f>
        <v>0</v>
      </c>
      <c r="O1007" s="14" t="str">
        <f>(M1007-N1007)</f>
        <v>0</v>
      </c>
      <c r="U1007" s="10" t="s">
        <v>455</v>
      </c>
      <c r="V1007" s="14" t="str">
        <f>SUM(V1006:W1006)</f>
        <v>0</v>
      </c>
      <c r="W1007" s="14" t="str">
        <f>SUM(W1006:X1006)</f>
        <v>0</v>
      </c>
      <c r="X1007" s="14" t="str">
        <f>(V1007-W1007)</f>
        <v>0</v>
      </c>
      <c r="AD1007" s="10" t="s">
        <v>455</v>
      </c>
      <c r="AE1007" s="14" t="str">
        <f>SUM(AE1006:AF1006)</f>
        <v>0</v>
      </c>
      <c r="AF1007" s="14" t="str">
        <f>SUM(AF1006:AG1006)</f>
        <v>0</v>
      </c>
      <c r="AG1007" s="14" t="str">
        <f>(AE1007-AF1007)</f>
        <v>0</v>
      </c>
      <c r="AH1007" s="14" t="str">
        <f>MAX(AE1007:AF1007)</f>
        <v>0</v>
      </c>
    </row>
    <row r="1008" spans="1:54">
      <c r="D1008" s="10" t="s">
        <v>456</v>
      </c>
      <c r="E1008" t="str">
        <f>IF(AND(F1007&gt;=-5%,F1007&lt;=5%),E1004,IF(F1007&gt;=6%,D1004,IF(F1007&lt;=-5%,F1004,E1004)))</f>
        <v>0</v>
      </c>
      <c r="M1008" s="10" t="s">
        <v>456</v>
      </c>
      <c r="N1008" t="str">
        <f>IF(AND(O1007&gt;=-5%,O1007&lt;=5%),N1004,IF(O1007&gt;=6%,M1004,IF(O1007&lt;=-5%,O1004,N1004)))</f>
        <v>0</v>
      </c>
      <c r="V1008" s="10" t="s">
        <v>456</v>
      </c>
      <c r="W1008" t="str">
        <f>IF(AND(X1007&gt;=-5%,X1007&lt;=5%),W1004,IF(X1007&gt;=6%,V1004,IF(X1007&lt;=-5%,X1004,W1004)))</f>
        <v>0</v>
      </c>
      <c r="AE1008" s="10" t="s">
        <v>456</v>
      </c>
      <c r="AF1008" t="str">
        <f>IF(AND(AG1007&gt;=-5%,AG1007&lt;=5%),AF1004,IF(AG1007&gt;=6%,AE1004,IF(AG1007&lt;=-5%,AG1004,AF1004)))</f>
        <v>0</v>
      </c>
    </row>
    <row r="1011" spans="1:54">
      <c r="D1011" s="10" t="str">
        <f>'Por Valoracion (3) Dimension'!U1016</f>
        <v>0</v>
      </c>
      <c r="E1011" s="10" t="str">
        <f>'Por Valoracion (3) Dimension'!M1016</f>
        <v>0</v>
      </c>
      <c r="M1011" s="10" t="str">
        <f>'Por Valoracion (3) Dimension'!AG1016</f>
        <v>0</v>
      </c>
      <c r="N1011" s="10" t="str">
        <f>'Por Valoracion (3) Dimension'!Y1016</f>
        <v>0</v>
      </c>
      <c r="V1011" s="10" t="str">
        <f>'Por Valoracion (3) Dimension'!AS1016</f>
        <v>0</v>
      </c>
      <c r="W1011" s="10" t="str">
        <f>'Por Valoracion (3) Dimension'!AK1016</f>
        <v>0</v>
      </c>
    </row>
    <row r="1012" spans="1:54">
      <c r="D1012" s="10" t="str">
        <f>'Por Valoracion (3) Dimension'!U1017</f>
        <v>0</v>
      </c>
      <c r="E1012" s="10" t="str">
        <f>'Por Valoracion (3) Dimension'!M1017</f>
        <v>0</v>
      </c>
      <c r="M1012" s="10" t="str">
        <f>'Por Valoracion (3) Dimension'!AG1017</f>
        <v>0</v>
      </c>
      <c r="N1012" s="10" t="str">
        <f>'Por Valoracion (3) Dimension'!Y1017</f>
        <v>0</v>
      </c>
      <c r="V1012" s="10" t="str">
        <f>'Por Valoracion (3) Dimension'!AS1017</f>
        <v>0</v>
      </c>
      <c r="W1012" s="10" t="str">
        <f>'Por Valoracion (3) Dimension'!AK1017</f>
        <v>0</v>
      </c>
    </row>
    <row r="1013" spans="1:54">
      <c r="D1013" s="10" t="str">
        <f>'Por Valoracion (3) Dimension'!U1018</f>
        <v>0</v>
      </c>
      <c r="E1013" s="10" t="str">
        <f>'Por Valoracion (3) Dimension'!M1018</f>
        <v>0</v>
      </c>
      <c r="M1013" s="10" t="str">
        <f>'Por Valoracion (3) Dimension'!AG1018</f>
        <v>0</v>
      </c>
      <c r="N1013" s="10" t="str">
        <f>'Por Valoracion (3) Dimension'!Y1018</f>
        <v>0</v>
      </c>
      <c r="V1013" s="10" t="str">
        <f>'Por Valoracion (3) Dimension'!AS1018</f>
        <v>0</v>
      </c>
      <c r="W1013" s="10" t="str">
        <f>'Por Valoracion (3) Dimension'!AK1018</f>
        <v>0</v>
      </c>
    </row>
    <row r="1014" spans="1:54">
      <c r="D1014" s="10" t="str">
        <f>'Por Valoracion (3) Dimension'!U1019</f>
        <v>0</v>
      </c>
      <c r="E1014" s="10" t="str">
        <f>'Por Valoracion (3) Dimension'!M1019</f>
        <v>0</v>
      </c>
      <c r="M1014" s="10" t="str">
        <f>'Por Valoracion (3) Dimension'!AG1019</f>
        <v>0</v>
      </c>
      <c r="N1014" s="10" t="str">
        <f>'Por Valoracion (3) Dimension'!Y1019</f>
        <v>0</v>
      </c>
      <c r="V1014" s="10" t="str">
        <f>'Por Valoracion (3) Dimension'!AS1019</f>
        <v>0</v>
      </c>
      <c r="W1014" s="10" t="str">
        <f>'Por Valoracion (3) Dimension'!AK1019</f>
        <v>0</v>
      </c>
    </row>
    <row r="1015" spans="1:54">
      <c r="D1015" s="10" t="str">
        <f>'Por Valoracion (3) Dimension'!U1020</f>
        <v>0</v>
      </c>
      <c r="E1015" s="10" t="str">
        <f>'Por Valoracion (3) Dimension'!M1020</f>
        <v>0</v>
      </c>
      <c r="M1015" s="10" t="str">
        <f>'Por Valoracion (3) Dimension'!AG1020</f>
        <v>0</v>
      </c>
      <c r="N1015" s="10" t="str">
        <f>'Por Valoracion (3) Dimension'!Y1020</f>
        <v>0</v>
      </c>
      <c r="V1015" s="10" t="str">
        <f>'Por Valoracion (3) Dimension'!AS1020</f>
        <v>0</v>
      </c>
      <c r="W1015" s="10" t="str">
        <f>'Por Valoracion (3) Dimension'!AK1020</f>
        <v>0</v>
      </c>
      <c r="AD1015" s="10" t="s">
        <v>373</v>
      </c>
      <c r="AE1015" s="10" t="str">
        <f>AE1005</f>
        <v>0</v>
      </c>
      <c r="AF1015" s="10" t="str">
        <f>AF1005</f>
        <v>0</v>
      </c>
      <c r="AG1015" s="10" t="str">
        <f>AG1005</f>
        <v>0</v>
      </c>
      <c r="AH1015" s="10" t="s">
        <v>457</v>
      </c>
      <c r="AI1015" s="10" t="s">
        <v>374</v>
      </c>
      <c r="AJ1015" s="10" t="s">
        <v>375</v>
      </c>
      <c r="AK1015" s="10" t="s">
        <v>376</v>
      </c>
      <c r="AL1015" s="10" t="s">
        <v>377</v>
      </c>
      <c r="AM1015" s="10" t="s">
        <v>378</v>
      </c>
      <c r="AN1015" s="10" t="s">
        <v>379</v>
      </c>
      <c r="AO1015" s="10" t="s">
        <v>380</v>
      </c>
      <c r="AP1015" s="10" t="s">
        <v>372</v>
      </c>
      <c r="AQ1015" s="10"/>
      <c r="AR1015" s="10"/>
      <c r="AS1015" s="10"/>
      <c r="AT1015" s="10"/>
      <c r="AU1015" s="10"/>
      <c r="AV1015" s="10"/>
      <c r="AW1015" s="10"/>
      <c r="AX1015" s="10"/>
      <c r="AY1015" s="10"/>
      <c r="AZ1015" s="10"/>
      <c r="BA1015" s="10"/>
      <c r="BB1015" s="10"/>
    </row>
    <row r="1016" spans="1:54">
      <c r="D1016" s="10" t="str">
        <f>'Por Valoracion (3) Dimension'!U1021</f>
        <v>0</v>
      </c>
      <c r="E1016" s="10" t="str">
        <f>'Por Valoracion (3) Dimension'!M1021</f>
        <v>0</v>
      </c>
      <c r="M1016" s="10" t="str">
        <f>'Por Valoracion (3) Dimension'!AG1021</f>
        <v>0</v>
      </c>
      <c r="N1016" s="10" t="str">
        <f>'Por Valoracion (3) Dimension'!Y1021</f>
        <v>0</v>
      </c>
      <c r="V1016" s="10" t="str">
        <f>'Por Valoracion (3) Dimension'!AS1021</f>
        <v>0</v>
      </c>
      <c r="W1016" s="10" t="str">
        <f>'Por Valoracion (3) Dimension'!AK1021</f>
        <v>0</v>
      </c>
      <c r="AD1016" s="10" t="str">
        <f>(D6)</f>
        <v>0</v>
      </c>
      <c r="AE1016" s="14" t="str">
        <f>(D1006)</f>
        <v>0</v>
      </c>
      <c r="AF1016" s="14" t="str">
        <f>(E1006)</f>
        <v>0</v>
      </c>
      <c r="AG1016" s="14" t="str">
        <f>(F1006)</f>
        <v>0</v>
      </c>
      <c r="AH1016" s="14" t="str">
        <f>MAX(AE1016:AG1016)</f>
        <v>0</v>
      </c>
      <c r="AI1016" s="10" t="str">
        <f>IF(AH1016=AE1016,$AE$1015,IF(AH1016=AF1016,$AF$1015,IF(AH1016=AG1016,$AG$1015,"algo esta mal")))</f>
        <v>0</v>
      </c>
      <c r="AJ1016" s="10" t="str">
        <f> RANDBETWEEN(1,10)</f>
        <v>0</v>
      </c>
      <c r="AK1016" s="10" t="str">
        <f>IF(AJ1016='Por Valoracion (3) Dimension'!$BD$1100,'Por Valoracion (3) Dimension'!$BE$1100,IF(AJ1016='Por Valoracion (3) Dimension'!$BD$1101,'Por Valoracion (3) Dimension'!$BE$1101,IF(AJ1016='Por Valoracion (3) Dimension'!$BD$1102,'Por Valoracion (3) Dimension'!$BE$1102,IF(AJ1016='Por Valoracion (3) Dimension'!$BD$1103,'Por Valoracion (3) Dimension'!$BE$1103,IF(AJ1016='Por Valoracion (3) Dimension'!$BD$1104,'Por Valoracion (3) Dimension'!$BE$1104,IF(AJ1016='Por Valoracion (3) Dimension'!$BD$1105,'Por Valoracion (3) Dimension'!$BE$1105,IF(AJ1016='Por Valoracion (3) Dimension'!$BD$1106,'Por Valoracion (3) Dimension'!$BE$1106,IF(AJ1016='Por Valoracion (3) Dimension'!$BD$1107,'Por Valoracion (3) Dimension'!$BE$1107,IF(AJ1016='Por Valoracion (3) Dimension'!$BD$1108,'Por Valoracion (3) Dimension'!$BE$1108,IF(AJ1016='Por Valoracion (3) Dimension'!$BD$1109,'Por Valoracion (3) Dimension'!$BE$1109, A4000))))))))))</f>
        <v>0</v>
      </c>
      <c r="AL1016" s="10" t="str">
        <f> RANDBETWEEN(1,7)</f>
        <v>0</v>
      </c>
      <c r="AM1016" s="10" t="str">
        <f>IF(AL1016='Por Valoracion (3) Dimension'!$BD$1110,'Por Valoracion (3) Dimension'!$BE$1110,IF(AL1016='Por Valoracion (3) Dimension'!$BD$1111,'Por Valoracion (3) Dimension'!$BE$1111,IF(AL1016='Por Valoracion (3) Dimension'!$BD$1112,'Por Valoracion (3) Dimension'!$BE$1112,IF(AL1016='Por Valoracion (3) Dimension'!$BD$1113,'Por Valoracion (3) Dimension'!$BE$1113,IF(AL1016='Por Valoracion (3) Dimension'!$BD$1114,'Por Valoracion (3) Dimension'!$BE$1114,IF(AL1016='Por Valoracion (3) Dimension'!$BD$1115,'Por Valoracion (3) Dimension'!$BE$1115,IF(AL1016='Por Valoracion (3) Dimension'!$BD$1116,'Por Valoracion (3) Dimension'!$BE$1116,IF(AL1016='Por Valoracion (3) Dimension'!$BD$1117,'Por Valoracion (3) Dimension'!$BE$1117,IF(AL1016='Por Valoracion (3) Dimension'!$BD$1118,'Por Valoracion (3) Dimension'!$BE$1118,IF(AL1016='Por Valoracion (3) Dimension'!$BD$1119,'Por Valoracion (3) Dimension'!$BE$1119, A4000))))))))))</f>
        <v>0</v>
      </c>
      <c r="AN1016" s="10" t="str">
        <f> RANDBETWEEN(1,2)</f>
        <v>0</v>
      </c>
      <c r="AO1016" s="10" t="str">
        <f>IF(AN1016='Por Valoracion (3) Dimension'!$BD$1120,'Por Valoracion (3) Dimension'!$BE$1120,IF(AN1016='Por Valoracion (3) Dimension'!$BD$1121,'Por Valoracion (3) Dimension'!$BE$1121,A4000))</f>
        <v>0</v>
      </c>
      <c r="AP1016" s="10" t="str">
        <f>CONCATENATE("el ",ROUND(AH1016*100,0),"% de los ",AO1016," ",AK1016," a la dimensión ",AD1016," como ",AI1016,", ",AM1016)</f>
        <v>0</v>
      </c>
    </row>
    <row r="1017" spans="1:54">
      <c r="AD1017" s="10" t="str">
        <f>(M6)</f>
        <v>0</v>
      </c>
      <c r="AE1017" s="14" t="str">
        <f>(M1006)</f>
        <v>0</v>
      </c>
      <c r="AF1017" s="14" t="str">
        <f>(N1006)</f>
        <v>0</v>
      </c>
      <c r="AG1017" s="14" t="str">
        <f>(O1006)</f>
        <v>0</v>
      </c>
      <c r="AH1017" s="14" t="str">
        <f>MAX(AE1017:AG1017)</f>
        <v>0</v>
      </c>
      <c r="AI1017" s="10" t="str">
        <f>IF(AH1017=AE1017,$AE$1015,IF(AH1017=AF1017,$AF$1015,IF(AH1017=AG1017,$AG$1015,"algo esta mal")))</f>
        <v>0</v>
      </c>
      <c r="AJ1017" s="10" t="str">
        <f> RANDBETWEEN(1,10)</f>
        <v>0</v>
      </c>
      <c r="AK1017" s="10" t="str">
        <f>IF(AJ1017='Por Valoracion (3) Dimension'!$BD$1100,'Por Valoracion (3) Dimension'!$BE$1100,IF(AJ1017='Por Valoracion (3) Dimension'!$BD$1101,'Por Valoracion (3) Dimension'!$BE$1101,IF(AJ1017='Por Valoracion (3) Dimension'!$BD$1102,'Por Valoracion (3) Dimension'!$BE$1102,IF(AJ1017='Por Valoracion (3) Dimension'!$BD$1103,'Por Valoracion (3) Dimension'!$BE$1103,IF(AJ1017='Por Valoracion (3) Dimension'!$BD$1104,'Por Valoracion (3) Dimension'!$BE$1104,IF(AJ1017='Por Valoracion (3) Dimension'!$BD$1105,'Por Valoracion (3) Dimension'!$BE$1105,IF(AJ1017='Por Valoracion (3) Dimension'!$BD$1106,'Por Valoracion (3) Dimension'!$BE$1106,IF(AJ1017='Por Valoracion (3) Dimension'!$BD$1107,'Por Valoracion (3) Dimension'!$BE$1107,IF(AJ1017='Por Valoracion (3) Dimension'!$BD$1108,'Por Valoracion (3) Dimension'!$BE$1108,IF(AJ1017='Por Valoracion (3) Dimension'!$BD$1109,'Por Valoracion (3) Dimension'!$BE$1109, A4000))))))))))</f>
        <v>0</v>
      </c>
      <c r="AL1017" s="10" t="str">
        <f> RANDBETWEEN(1,7)</f>
        <v>0</v>
      </c>
      <c r="AM1017" s="10" t="str">
        <f>IF(AL1017='Por Valoracion (3) Dimension'!$BD$1110,'Por Valoracion (3) Dimension'!$BE$1110,IF(AL1017='Por Valoracion (3) Dimension'!$BD$1111,'Por Valoracion (3) Dimension'!$BE$1111,IF(AL1017='Por Valoracion (3) Dimension'!$BD$1112,'Por Valoracion (3) Dimension'!$BE$1112,IF(AL1017='Por Valoracion (3) Dimension'!$BD$1113,'Por Valoracion (3) Dimension'!$BE$1113,IF(AL1017='Por Valoracion (3) Dimension'!$BD$1114,'Por Valoracion (3) Dimension'!$BE$1114,IF(AL1017='Por Valoracion (3) Dimension'!$BD$1115,'Por Valoracion (3) Dimension'!$BE$1115,IF(AL1017='Por Valoracion (3) Dimension'!$BD$1116,'Por Valoracion (3) Dimension'!$BE$1116,IF(AL1017='Por Valoracion (3) Dimension'!$BD$1117,'Por Valoracion (3) Dimension'!$BE$1117,IF(AL1017='Por Valoracion (3) Dimension'!$BD$1118,'Por Valoracion (3) Dimension'!$BE$1118,IF(AL1017='Por Valoracion (3) Dimension'!$BD$1119,'Por Valoracion (3) Dimension'!$BE$1119, A4000))))))))))</f>
        <v>0</v>
      </c>
      <c r="AN1017" s="10" t="str">
        <f> RANDBETWEEN(1,2)</f>
        <v>0</v>
      </c>
      <c r="AO1017" s="10" t="str">
        <f>IF(AN1017='Por Valoracion (3) Dimension'!$BD$1120,'Por Valoracion (3) Dimension'!$BE$1120,IF(AN1017='Por Valoracion (3) Dimension'!$BD$1121,'Por Valoracion (3) Dimension'!$BE$1121,A4000))</f>
        <v>0</v>
      </c>
      <c r="AP1017" s="10" t="str">
        <f>CONCATENATE("el ",ROUND(AH1017*100,0),"% de los ",AO1017," ",AK1017," a la dimensión ",AD1017," como ",AI1017,", ",AM1017)</f>
        <v>0</v>
      </c>
    </row>
    <row r="1018" spans="1:54">
      <c r="AD1018" s="10" t="str">
        <f>(V6)</f>
        <v>0</v>
      </c>
      <c r="AE1018" s="14" t="str">
        <f>(V1006)</f>
        <v>0</v>
      </c>
      <c r="AF1018" s="14" t="str">
        <f>(W1006)</f>
        <v>0</v>
      </c>
      <c r="AG1018" s="14" t="str">
        <f>(X1006)</f>
        <v>0</v>
      </c>
      <c r="AH1018" s="14" t="str">
        <f>MAX(AE1018:AG1018)</f>
        <v>0</v>
      </c>
      <c r="AI1018" s="10" t="str">
        <f>IF(AH1018=AE1018,$AE$1015,IF(AH1018=AF1018,$AF$1015,IF(AH1018=AG1018,$AG$1015,"algo esta mal")))</f>
        <v>0</v>
      </c>
      <c r="AJ1018" s="10" t="str">
        <f> RANDBETWEEN(1,10)</f>
        <v>0</v>
      </c>
      <c r="AK1018" s="10" t="str">
        <f>IF(AJ1018='Por Valoracion (3) Dimension'!$BD$1100,'Por Valoracion (3) Dimension'!$BE$1100,IF(AJ1018='Por Valoracion (3) Dimension'!$BD$1101,'Por Valoracion (3) Dimension'!$BE$1101,IF(AJ1018='Por Valoracion (3) Dimension'!$BD$1102,'Por Valoracion (3) Dimension'!$BE$1102,IF(AJ1018='Por Valoracion (3) Dimension'!$BD$1103,'Por Valoracion (3) Dimension'!$BE$1103,IF(AJ1018='Por Valoracion (3) Dimension'!$BD$1104,'Por Valoracion (3) Dimension'!$BE$1104,IF(AJ1018='Por Valoracion (3) Dimension'!$BD$1105,'Por Valoracion (3) Dimension'!$BE$1105,IF(AJ1018='Por Valoracion (3) Dimension'!$BD$1106,'Por Valoracion (3) Dimension'!$BE$1106,IF(AJ1018='Por Valoracion (3) Dimension'!$BD$1107,'Por Valoracion (3) Dimension'!$BE$1107,IF(AJ1018='Por Valoracion (3) Dimension'!$BD$1108,'Por Valoracion (3) Dimension'!$BE$1108,IF(AJ1018='Por Valoracion (3) Dimension'!$BD$1109,'Por Valoracion (3) Dimension'!$BE$1109, A4000))))))))))</f>
        <v>0</v>
      </c>
      <c r="AL1018" s="10" t="str">
        <f> RANDBETWEEN(1,7)</f>
        <v>0</v>
      </c>
      <c r="AM1018" s="10" t="str">
        <f>IF(AL1018='Por Valoracion (3) Dimension'!$BD$1110,'Por Valoracion (3) Dimension'!$BE$1110,IF(AL1018='Por Valoracion (3) Dimension'!$BD$1111,'Por Valoracion (3) Dimension'!$BE$1111,IF(AL1018='Por Valoracion (3) Dimension'!$BD$1112,'Por Valoracion (3) Dimension'!$BE$1112,IF(AL1018='Por Valoracion (3) Dimension'!$BD$1113,'Por Valoracion (3) Dimension'!$BE$1113,IF(AL1018='Por Valoracion (3) Dimension'!$BD$1114,'Por Valoracion (3) Dimension'!$BE$1114,IF(AL1018='Por Valoracion (3) Dimension'!$BD$1115,'Por Valoracion (3) Dimension'!$BE$1115,IF(AL1018='Por Valoracion (3) Dimension'!$BD$1116,'Por Valoracion (3) Dimension'!$BE$1116,IF(AL1018='Por Valoracion (3) Dimension'!$BD$1117,'Por Valoracion (3) Dimension'!$BE$1117,IF(AL1018='Por Valoracion (3) Dimension'!$BD$1118,'Por Valoracion (3) Dimension'!$BE$1118,IF(AL1018='Por Valoracion (3) Dimension'!$BD$1119,'Por Valoracion (3) Dimension'!$BE$1119, A4000))))))))))</f>
        <v>0</v>
      </c>
      <c r="AN1018" s="10" t="str">
        <f> RANDBETWEEN(1,2)</f>
        <v>0</v>
      </c>
      <c r="AO1018" s="10" t="str">
        <f>IF(AN1018='Por Valoracion (3) Dimension'!$BD$1120,'Por Valoracion (3) Dimension'!$BE$1120,IF(AN1018='Por Valoracion (3) Dimension'!$BD$1121,'Por Valoracion (3) Dimension'!$BE$1121,A4000))</f>
        <v>0</v>
      </c>
      <c r="AP1018" s="10" t="str">
        <f>CONCATENATE("el ",ROUND(AH1018*100,0),"% de los ",AO1018," ",AK1018," a la dimensión ",AD1018," como ",AI1018)</f>
        <v>0</v>
      </c>
    </row>
    <row r="1076" spans="1:54">
      <c r="AD1076" s="10" t="str">
        <f>IF(AE1076=AE1016,AD1016,IF(AE1076=AE1017,AD1017,IF(AE1076=AE1018,AD1018)))</f>
        <v>0</v>
      </c>
      <c r="AE1076" s="14" t="str">
        <f>MAX(AE1016:AE1018)</f>
        <v>0</v>
      </c>
    </row>
    <row r="2008" spans="1:54">
      <c r="E2008" s="10"/>
      <c r="N2008" s="10"/>
      <c r="W2008" s="10"/>
      <c r="AF2008" s="10"/>
    </row>
    <row r="2009" spans="1:54">
      <c r="E2009" s="10"/>
      <c r="N2009" s="10"/>
      <c r="W2009" s="10"/>
      <c r="AF2009" s="10"/>
    </row>
    <row r="2010" spans="1:54">
      <c r="E2010" s="10"/>
      <c r="N2010" s="10"/>
      <c r="W2010" s="10"/>
      <c r="AF2010" s="10"/>
    </row>
    <row r="2011" spans="1:54">
      <c r="E2011" s="10"/>
      <c r="N2011" s="10"/>
      <c r="W2011" s="10"/>
      <c r="AF2011" s="10"/>
    </row>
    <row r="2012" spans="1:54">
      <c r="E2012" s="10"/>
      <c r="N2012" s="10"/>
      <c r="W2012" s="10"/>
      <c r="AF2012" s="10"/>
    </row>
    <row r="2013" spans="1:54">
      <c r="E2013" s="18" t="str">
        <f>SUM(E2008:E2012)</f>
        <v>0</v>
      </c>
      <c r="F2013" s="22" t="str">
        <f>SUM(F2008:F2012)</f>
        <v>0</v>
      </c>
      <c r="N2013" s="18" t="str">
        <f>SUM(N2008:N2012)</f>
        <v>0</v>
      </c>
      <c r="O2013" s="22" t="str">
        <f>SUM(O2008:O2012)</f>
        <v>0</v>
      </c>
      <c r="W2013" s="18" t="str">
        <f>SUM(W2008:W2012)</f>
        <v>0</v>
      </c>
      <c r="X2013" s="22" t="str">
        <f>SUM(X2008:X2012)</f>
        <v>0</v>
      </c>
      <c r="AF2013" s="18" t="str">
        <f>SUM(AF2008:AF2012)</f>
        <v>0</v>
      </c>
      <c r="AG2013" s="22" t="str">
        <f>SUM(AG2008:AG2012)</f>
        <v>0</v>
      </c>
    </row>
    <row r="2101" spans="1:54">
      <c r="D2101" s="10" t="s">
        <v>333</v>
      </c>
      <c r="E2101" s="10" t="str">
        <f>(AE6)</f>
        <v>0</v>
      </c>
      <c r="M2101" s="10" t="s">
        <v>333</v>
      </c>
      <c r="N2101" s="10" t="str">
        <f>(AE6)</f>
        <v>0</v>
      </c>
      <c r="V2101" s="10" t="s">
        <v>333</v>
      </c>
      <c r="W2101" s="10" t="str">
        <f>(AE6)</f>
        <v>0</v>
      </c>
      <c r="AE2101" s="10" t="s">
        <v>333</v>
      </c>
      <c r="AF2101" s="10" t="str">
        <f>(AE6)</f>
        <v>0</v>
      </c>
    </row>
    <row r="2102" spans="1:54">
      <c r="D2102" s="10" t="s">
        <v>362</v>
      </c>
      <c r="E2102" s="10" t="str">
        <f>(D6)</f>
        <v>0</v>
      </c>
      <c r="M2102" s="10" t="s">
        <v>362</v>
      </c>
      <c r="N2102" s="10" t="str">
        <f>(M6)</f>
        <v>0</v>
      </c>
      <c r="V2102" s="10" t="s">
        <v>362</v>
      </c>
      <c r="W2102" s="10" t="str">
        <f>(V6)</f>
        <v>0</v>
      </c>
      <c r="AE2102" s="10" t="s">
        <v>362</v>
      </c>
      <c r="AF2102" s="10" t="str">
        <f>(AE6)</f>
        <v>0</v>
      </c>
    </row>
    <row r="2103" spans="1:54">
      <c r="D2103" s="10" t="s">
        <v>454</v>
      </c>
      <c r="E2103" s="10" t="s">
        <v>363</v>
      </c>
      <c r="M2103" s="10" t="s">
        <v>454</v>
      </c>
      <c r="N2103" s="10" t="s">
        <v>363</v>
      </c>
      <c r="V2103" s="10" t="s">
        <v>454</v>
      </c>
      <c r="W2103" s="10" t="s">
        <v>363</v>
      </c>
      <c r="AE2103" s="10" t="s">
        <v>454</v>
      </c>
      <c r="AF2103" s="10" t="s">
        <v>363</v>
      </c>
    </row>
    <row r="2104" spans="1:54">
      <c r="C2104" s="10" t="s">
        <v>369</v>
      </c>
      <c r="D2104" s="10" t="s">
        <v>352</v>
      </c>
      <c r="E2104" s="10" t="s">
        <v>353</v>
      </c>
      <c r="F2104" s="10" t="s">
        <v>354</v>
      </c>
      <c r="L2104" s="10" t="s">
        <v>369</v>
      </c>
      <c r="M2104" s="10" t="s">
        <v>352</v>
      </c>
      <c r="N2104" s="10" t="s">
        <v>353</v>
      </c>
      <c r="O2104" s="10" t="s">
        <v>354</v>
      </c>
      <c r="U2104" s="10" t="s">
        <v>369</v>
      </c>
      <c r="V2104" s="10" t="s">
        <v>352</v>
      </c>
      <c r="W2104" s="10" t="s">
        <v>353</v>
      </c>
      <c r="X2104" s="10" t="s">
        <v>354</v>
      </c>
      <c r="AD2104" s="10" t="s">
        <v>369</v>
      </c>
      <c r="AE2104" s="10" t="s">
        <v>352</v>
      </c>
      <c r="AF2104" s="10" t="s">
        <v>353</v>
      </c>
      <c r="AG2104" s="10" t="s">
        <v>354</v>
      </c>
    </row>
    <row r="2105" spans="1:54">
      <c r="C2105" s="10" t="s">
        <v>347</v>
      </c>
      <c r="L2105" s="10" t="s">
        <v>347</v>
      </c>
      <c r="U2105" s="10" t="s">
        <v>347</v>
      </c>
      <c r="AD2105" s="10" t="s">
        <v>347</v>
      </c>
    </row>
    <row r="2107" spans="1:54">
      <c r="C2107" s="10" t="s">
        <v>455</v>
      </c>
      <c r="L2107" s="10" t="s">
        <v>455</v>
      </c>
      <c r="U2107" s="10" t="s">
        <v>455</v>
      </c>
      <c r="AD2107" s="10" t="s">
        <v>455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6:F47"/>
    <mergeCell ref="M4:O4"/>
    <mergeCell ref="M36:O47"/>
    <mergeCell ref="V4:X4"/>
    <mergeCell ref="V36:X47"/>
    <mergeCell ref="AE4:AG4"/>
    <mergeCell ref="AE36:AG4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L311"/>
  <sheetViews>
    <sheetView tabSelected="0" workbookViewId="0" showGridLines="true" showRowColHeaders="1">
      <selection activeCell="J311" sqref="J311"/>
    </sheetView>
  </sheetViews>
  <sheetFormatPr defaultRowHeight="14.4" outlineLevelRow="0" outlineLevelCol="0"/>
  <sheetData>
    <row r="1" spans="1:12">
      <c r="A1" s="1" t="s">
        <v>0</v>
      </c>
      <c r="B1" s="1"/>
      <c r="C1" s="1"/>
      <c r="D1" s="1"/>
      <c r="E1" s="1"/>
      <c r="F1" s="1"/>
      <c r="G1" s="1"/>
      <c r="H1" s="1"/>
      <c r="I1" s="1"/>
      <c r="J1" s="1"/>
      <c r="K1" s="1"/>
      <c r="L1" s="1"/>
    </row>
    <row r="2" spans="1:12">
      <c r="A2" s="1"/>
      <c r="B2" s="1"/>
      <c r="C2" s="1"/>
      <c r="D2" s="1"/>
      <c r="E2" s="1"/>
      <c r="F2" s="1"/>
      <c r="G2" s="1"/>
      <c r="H2" s="1"/>
      <c r="I2" s="1"/>
      <c r="J2" s="1"/>
      <c r="K2" s="1"/>
      <c r="L2" s="1"/>
    </row>
    <row r="3" spans="1:12">
      <c r="B3" s="3" t="s">
        <v>458</v>
      </c>
      <c r="C3" s="3"/>
      <c r="D3" s="3"/>
      <c r="E3" s="3"/>
      <c r="F3" s="3"/>
      <c r="G3" s="3"/>
      <c r="H3" s="3"/>
      <c r="I3" s="3"/>
      <c r="J3" s="3"/>
      <c r="K3" s="3" t="s">
        <v>4</v>
      </c>
      <c r="L3" s="3" t="s">
        <v>5</v>
      </c>
    </row>
    <row r="4" spans="1:12">
      <c r="B4" s="2" t="s">
        <v>6</v>
      </c>
      <c r="C4" s="2" t="s">
        <v>7</v>
      </c>
      <c r="D4" s="2" t="s">
        <v>8</v>
      </c>
      <c r="E4" s="2" t="s">
        <v>9</v>
      </c>
      <c r="F4" s="2" t="s">
        <v>10</v>
      </c>
      <c r="G4" s="2" t="s">
        <v>11</v>
      </c>
      <c r="H4" s="2" t="s">
        <v>12</v>
      </c>
      <c r="I4" s="2" t="s">
        <v>13</v>
      </c>
      <c r="J4" s="2" t="s">
        <v>14</v>
      </c>
    </row>
    <row r="5" spans="1:12">
      <c r="A5" t="s">
        <v>24</v>
      </c>
      <c r="B5">
        <v>4</v>
      </c>
      <c r="C5">
        <v>4</v>
      </c>
      <c r="D5">
        <v>5</v>
      </c>
      <c r="E5">
        <v>5</v>
      </c>
      <c r="F5">
        <v>3</v>
      </c>
      <c r="G5">
        <v>5</v>
      </c>
      <c r="H5">
        <v>5</v>
      </c>
      <c r="I5">
        <v>4</v>
      </c>
      <c r="J5">
        <v>5</v>
      </c>
      <c r="K5" t="str">
        <f>SUM(B5:J5)</f>
        <v>0</v>
      </c>
    </row>
    <row r="6" spans="1:12">
      <c r="A6" t="s">
        <v>25</v>
      </c>
      <c r="B6">
        <v>5</v>
      </c>
      <c r="C6">
        <v>4</v>
      </c>
      <c r="D6">
        <v>4</v>
      </c>
      <c r="E6">
        <v>4</v>
      </c>
      <c r="F6">
        <v>4</v>
      </c>
      <c r="G6">
        <v>5</v>
      </c>
      <c r="H6">
        <v>4</v>
      </c>
      <c r="I6">
        <v>5</v>
      </c>
      <c r="J6">
        <v>5</v>
      </c>
      <c r="K6" t="str">
        <f>SUM(B6:J6)</f>
        <v>0</v>
      </c>
    </row>
    <row r="7" spans="1:12">
      <c r="A7" t="s">
        <v>26</v>
      </c>
      <c r="B7">
        <v>4</v>
      </c>
      <c r="C7">
        <v>3</v>
      </c>
      <c r="D7">
        <v>5</v>
      </c>
      <c r="E7">
        <v>5</v>
      </c>
      <c r="F7">
        <v>3</v>
      </c>
      <c r="G7">
        <v>5</v>
      </c>
      <c r="H7">
        <v>4</v>
      </c>
      <c r="I7">
        <v>3</v>
      </c>
      <c r="J7">
        <v>4</v>
      </c>
      <c r="K7" t="str">
        <f>SUM(B7:J7)</f>
        <v>0</v>
      </c>
    </row>
    <row r="8" spans="1:12">
      <c r="A8" t="s">
        <v>27</v>
      </c>
      <c r="B8">
        <v>5</v>
      </c>
      <c r="C8">
        <v>5</v>
      </c>
      <c r="D8">
        <v>4</v>
      </c>
      <c r="E8">
        <v>4</v>
      </c>
      <c r="F8">
        <v>5</v>
      </c>
      <c r="G8">
        <v>4</v>
      </c>
      <c r="H8">
        <v>5</v>
      </c>
      <c r="I8">
        <v>4</v>
      </c>
      <c r="J8">
        <v>4</v>
      </c>
      <c r="K8" t="str">
        <f>SUM(B8:J8)</f>
        <v>0</v>
      </c>
    </row>
    <row r="9" spans="1:12">
      <c r="A9" t="s">
        <v>28</v>
      </c>
      <c r="B9">
        <v>2</v>
      </c>
      <c r="C9">
        <v>1</v>
      </c>
      <c r="D9">
        <v>2</v>
      </c>
      <c r="E9">
        <v>2</v>
      </c>
      <c r="F9">
        <v>1</v>
      </c>
      <c r="G9">
        <v>2</v>
      </c>
      <c r="H9">
        <v>1</v>
      </c>
      <c r="I9">
        <v>2</v>
      </c>
      <c r="J9">
        <v>2</v>
      </c>
      <c r="K9" t="str">
        <f>SUM(B9:J9)</f>
        <v>0</v>
      </c>
    </row>
    <row r="10" spans="1:12">
      <c r="A10" t="s">
        <v>29</v>
      </c>
      <c r="B10">
        <v>2</v>
      </c>
      <c r="C10">
        <v>2</v>
      </c>
      <c r="D10">
        <v>2</v>
      </c>
      <c r="E10">
        <v>2</v>
      </c>
      <c r="F10">
        <v>2</v>
      </c>
      <c r="G10">
        <v>2</v>
      </c>
      <c r="H10">
        <v>2</v>
      </c>
      <c r="I10">
        <v>1</v>
      </c>
      <c r="J10">
        <v>2</v>
      </c>
      <c r="K10" t="str">
        <f>SUM(B10:J10)</f>
        <v>0</v>
      </c>
    </row>
    <row r="11" spans="1:12">
      <c r="A11" t="s">
        <v>30</v>
      </c>
      <c r="B11">
        <v>2</v>
      </c>
      <c r="C11">
        <v>2</v>
      </c>
      <c r="D11">
        <v>1</v>
      </c>
      <c r="E11">
        <v>2</v>
      </c>
      <c r="F11">
        <v>2</v>
      </c>
      <c r="G11">
        <v>2</v>
      </c>
      <c r="H11">
        <v>2</v>
      </c>
      <c r="I11">
        <v>2</v>
      </c>
      <c r="J11">
        <v>2</v>
      </c>
      <c r="K11" t="str">
        <f>SUM(B11:J11)</f>
        <v>0</v>
      </c>
    </row>
    <row r="12" spans="1:12">
      <c r="A12" t="s">
        <v>31</v>
      </c>
      <c r="B12">
        <v>1</v>
      </c>
      <c r="C12">
        <v>1</v>
      </c>
      <c r="D12">
        <v>1</v>
      </c>
      <c r="E12">
        <v>1</v>
      </c>
      <c r="F12">
        <v>1</v>
      </c>
      <c r="G12">
        <v>1</v>
      </c>
      <c r="H12">
        <v>1</v>
      </c>
      <c r="I12">
        <v>1</v>
      </c>
      <c r="J12">
        <v>1</v>
      </c>
      <c r="K12" t="str">
        <f>SUM(B12:J12)</f>
        <v>0</v>
      </c>
    </row>
    <row r="13" spans="1:12">
      <c r="A13" t="s">
        <v>32</v>
      </c>
      <c r="B13">
        <v>1</v>
      </c>
      <c r="C13">
        <v>2</v>
      </c>
      <c r="D13">
        <v>2</v>
      </c>
      <c r="E13">
        <v>2</v>
      </c>
      <c r="F13">
        <v>2</v>
      </c>
      <c r="G13">
        <v>2</v>
      </c>
      <c r="H13">
        <v>2</v>
      </c>
      <c r="I13">
        <v>2</v>
      </c>
      <c r="J13">
        <v>2</v>
      </c>
      <c r="K13" t="str">
        <f>SUM(B13:J13)</f>
        <v>0</v>
      </c>
    </row>
    <row r="14" spans="1:12">
      <c r="A14" t="s">
        <v>33</v>
      </c>
      <c r="B14">
        <v>1</v>
      </c>
      <c r="C14">
        <v>2</v>
      </c>
      <c r="D14">
        <v>2</v>
      </c>
      <c r="E14">
        <v>2</v>
      </c>
      <c r="F14">
        <v>2</v>
      </c>
      <c r="G14">
        <v>2</v>
      </c>
      <c r="H14">
        <v>2</v>
      </c>
      <c r="I14">
        <v>1</v>
      </c>
      <c r="J14">
        <v>2</v>
      </c>
      <c r="K14" t="str">
        <f>SUM(B14:J14)</f>
        <v>0</v>
      </c>
    </row>
    <row r="15" spans="1:12">
      <c r="A15" t="s">
        <v>34</v>
      </c>
      <c r="B15">
        <v>1</v>
      </c>
      <c r="C15">
        <v>1</v>
      </c>
      <c r="D15">
        <v>1</v>
      </c>
      <c r="E15">
        <v>1</v>
      </c>
      <c r="F15">
        <v>1</v>
      </c>
      <c r="G15">
        <v>1</v>
      </c>
      <c r="H15">
        <v>2</v>
      </c>
      <c r="I15">
        <v>1</v>
      </c>
      <c r="J15">
        <v>1</v>
      </c>
      <c r="K15" t="str">
        <f>SUM(B15:J15)</f>
        <v>0</v>
      </c>
    </row>
    <row r="16" spans="1:12">
      <c r="A16" t="s">
        <v>35</v>
      </c>
      <c r="B16">
        <v>1</v>
      </c>
      <c r="C16">
        <v>1</v>
      </c>
      <c r="D16">
        <v>1</v>
      </c>
      <c r="E16">
        <v>1</v>
      </c>
      <c r="F16">
        <v>1</v>
      </c>
      <c r="G16">
        <v>1</v>
      </c>
      <c r="H16">
        <v>1</v>
      </c>
      <c r="I16">
        <v>1</v>
      </c>
      <c r="J16">
        <v>1</v>
      </c>
      <c r="K16" t="str">
        <f>SUM(B16:J16)</f>
        <v>0</v>
      </c>
    </row>
    <row r="17" spans="1:12">
      <c r="A17" t="s">
        <v>36</v>
      </c>
      <c r="B17">
        <v>2</v>
      </c>
      <c r="C17">
        <v>1</v>
      </c>
      <c r="D17">
        <v>2</v>
      </c>
      <c r="E17">
        <v>2</v>
      </c>
      <c r="F17">
        <v>2</v>
      </c>
      <c r="G17">
        <v>2</v>
      </c>
      <c r="H17">
        <v>2</v>
      </c>
      <c r="I17">
        <v>1</v>
      </c>
      <c r="J17">
        <v>1</v>
      </c>
      <c r="K17" t="str">
        <f>SUM(B17:J17)</f>
        <v>0</v>
      </c>
    </row>
    <row r="18" spans="1:12">
      <c r="A18" t="s">
        <v>37</v>
      </c>
      <c r="B18">
        <v>1</v>
      </c>
      <c r="C18">
        <v>1</v>
      </c>
      <c r="D18">
        <v>2</v>
      </c>
      <c r="E18">
        <v>2</v>
      </c>
      <c r="F18">
        <v>1</v>
      </c>
      <c r="G18">
        <v>1</v>
      </c>
      <c r="H18">
        <v>2</v>
      </c>
      <c r="I18">
        <v>1</v>
      </c>
      <c r="J18">
        <v>1</v>
      </c>
      <c r="K18" t="str">
        <f>SUM(B18:J18)</f>
        <v>0</v>
      </c>
    </row>
    <row r="19" spans="1:12">
      <c r="A19" t="s">
        <v>38</v>
      </c>
      <c r="B19">
        <v>1</v>
      </c>
      <c r="C19">
        <v>1</v>
      </c>
      <c r="D19">
        <v>1</v>
      </c>
      <c r="E19">
        <v>1</v>
      </c>
      <c r="F19">
        <v>1</v>
      </c>
      <c r="G19">
        <v>1</v>
      </c>
      <c r="H19">
        <v>1</v>
      </c>
      <c r="I19">
        <v>1</v>
      </c>
      <c r="J19">
        <v>1</v>
      </c>
      <c r="K19" t="str">
        <f>SUM(B19:J19)</f>
        <v>0</v>
      </c>
    </row>
    <row r="20" spans="1:12">
      <c r="A20" t="s">
        <v>39</v>
      </c>
      <c r="B20">
        <v>1</v>
      </c>
      <c r="C20">
        <v>1</v>
      </c>
      <c r="D20">
        <v>1</v>
      </c>
      <c r="E20">
        <v>1</v>
      </c>
      <c r="F20">
        <v>1</v>
      </c>
      <c r="G20">
        <v>1</v>
      </c>
      <c r="H20">
        <v>1</v>
      </c>
      <c r="I20">
        <v>1</v>
      </c>
      <c r="J20">
        <v>1</v>
      </c>
      <c r="K20" t="str">
        <f>SUM(B20:J20)</f>
        <v>0</v>
      </c>
    </row>
    <row r="21" spans="1:12">
      <c r="A21" t="s">
        <v>40</v>
      </c>
      <c r="B21">
        <v>2</v>
      </c>
      <c r="C21">
        <v>1</v>
      </c>
      <c r="D21">
        <v>1</v>
      </c>
      <c r="E21">
        <v>2</v>
      </c>
      <c r="F21">
        <v>1</v>
      </c>
      <c r="G21">
        <v>1</v>
      </c>
      <c r="H21">
        <v>2</v>
      </c>
      <c r="I21">
        <v>2</v>
      </c>
      <c r="J21">
        <v>2</v>
      </c>
      <c r="K21" t="str">
        <f>SUM(B21:J21)</f>
        <v>0</v>
      </c>
    </row>
    <row r="22" spans="1:12">
      <c r="A22" t="s">
        <v>41</v>
      </c>
      <c r="B22">
        <v>5</v>
      </c>
      <c r="C22">
        <v>5</v>
      </c>
      <c r="D22">
        <v>5</v>
      </c>
      <c r="E22">
        <v>4</v>
      </c>
      <c r="F22">
        <v>4</v>
      </c>
      <c r="G22">
        <v>3</v>
      </c>
      <c r="H22">
        <v>5</v>
      </c>
      <c r="I22">
        <v>3</v>
      </c>
      <c r="J22">
        <v>3</v>
      </c>
      <c r="K22" t="str">
        <f>SUM(B22:J22)</f>
        <v>0</v>
      </c>
    </row>
    <row r="23" spans="1:12">
      <c r="A23" t="s">
        <v>42</v>
      </c>
      <c r="B23">
        <v>2</v>
      </c>
      <c r="C23">
        <v>3</v>
      </c>
      <c r="D23">
        <v>3</v>
      </c>
      <c r="E23">
        <v>2</v>
      </c>
      <c r="F23">
        <v>2</v>
      </c>
      <c r="G23">
        <v>2</v>
      </c>
      <c r="H23">
        <v>3</v>
      </c>
      <c r="I23">
        <v>2</v>
      </c>
      <c r="J23">
        <v>3</v>
      </c>
      <c r="K23" t="str">
        <f>SUM(B23:J23)</f>
        <v>0</v>
      </c>
    </row>
    <row r="24" spans="1:12">
      <c r="A24" t="s">
        <v>43</v>
      </c>
      <c r="B24">
        <v>3</v>
      </c>
      <c r="C24">
        <v>3</v>
      </c>
      <c r="D24">
        <v>4</v>
      </c>
      <c r="E24">
        <v>4</v>
      </c>
      <c r="F24">
        <v>2</v>
      </c>
      <c r="G24">
        <v>4</v>
      </c>
      <c r="H24">
        <v>4</v>
      </c>
      <c r="I24">
        <v>3</v>
      </c>
      <c r="J24">
        <v>3</v>
      </c>
      <c r="K24" t="str">
        <f>SUM(B24:J24)</f>
        <v>0</v>
      </c>
    </row>
    <row r="25" spans="1:12">
      <c r="A25" t="s">
        <v>44</v>
      </c>
      <c r="B25">
        <v>3</v>
      </c>
      <c r="C25">
        <v>2</v>
      </c>
      <c r="D25">
        <v>2</v>
      </c>
      <c r="E25">
        <v>3</v>
      </c>
      <c r="F25">
        <v>3</v>
      </c>
      <c r="G25">
        <v>2</v>
      </c>
      <c r="H25">
        <v>2</v>
      </c>
      <c r="I25">
        <v>3</v>
      </c>
      <c r="J25">
        <v>3</v>
      </c>
      <c r="K25" t="str">
        <f>SUM(B25:J25)</f>
        <v>0</v>
      </c>
    </row>
    <row r="26" spans="1:12">
      <c r="A26" t="s">
        <v>45</v>
      </c>
      <c r="B26">
        <v>2</v>
      </c>
      <c r="C26">
        <v>2</v>
      </c>
      <c r="D26">
        <v>2</v>
      </c>
      <c r="E26">
        <v>1</v>
      </c>
      <c r="F26">
        <v>1</v>
      </c>
      <c r="G26">
        <v>2</v>
      </c>
      <c r="H26">
        <v>1</v>
      </c>
      <c r="I26">
        <v>2</v>
      </c>
      <c r="J26">
        <v>2</v>
      </c>
      <c r="K26" t="str">
        <f>SUM(B26:J26)</f>
        <v>0</v>
      </c>
    </row>
    <row r="27" spans="1:12">
      <c r="A27" t="s">
        <v>46</v>
      </c>
      <c r="B27">
        <v>2</v>
      </c>
      <c r="C27">
        <v>3</v>
      </c>
      <c r="D27">
        <v>4</v>
      </c>
      <c r="E27">
        <v>3</v>
      </c>
      <c r="F27">
        <v>3</v>
      </c>
      <c r="G27">
        <v>3</v>
      </c>
      <c r="H27">
        <v>3</v>
      </c>
      <c r="I27">
        <v>2</v>
      </c>
      <c r="J27">
        <v>3</v>
      </c>
      <c r="K27" t="str">
        <f>SUM(B27:J27)</f>
        <v>0</v>
      </c>
    </row>
    <row r="28" spans="1:12">
      <c r="A28" t="s">
        <v>47</v>
      </c>
      <c r="B28">
        <v>2</v>
      </c>
      <c r="C28">
        <v>2</v>
      </c>
      <c r="D28">
        <v>3</v>
      </c>
      <c r="E28">
        <v>2</v>
      </c>
      <c r="F28">
        <v>2</v>
      </c>
      <c r="G28">
        <v>2</v>
      </c>
      <c r="H28">
        <v>2</v>
      </c>
      <c r="I28">
        <v>2</v>
      </c>
      <c r="J28">
        <v>2</v>
      </c>
      <c r="K28" t="str">
        <f>SUM(B28:J28)</f>
        <v>0</v>
      </c>
    </row>
    <row r="29" spans="1:12">
      <c r="A29" t="s">
        <v>48</v>
      </c>
      <c r="B29">
        <v>3</v>
      </c>
      <c r="C29">
        <v>3</v>
      </c>
      <c r="D29">
        <v>2</v>
      </c>
      <c r="E29">
        <v>3</v>
      </c>
      <c r="F29">
        <v>3</v>
      </c>
      <c r="G29">
        <v>2</v>
      </c>
      <c r="H29">
        <v>3</v>
      </c>
      <c r="I29">
        <v>3</v>
      </c>
      <c r="J29">
        <v>3</v>
      </c>
      <c r="K29" t="str">
        <f>SUM(B29:J29)</f>
        <v>0</v>
      </c>
    </row>
    <row r="30" spans="1:12">
      <c r="A30" t="s">
        <v>49</v>
      </c>
      <c r="B30">
        <v>5</v>
      </c>
      <c r="C30">
        <v>5</v>
      </c>
      <c r="D30">
        <v>4</v>
      </c>
      <c r="E30">
        <v>4</v>
      </c>
      <c r="F30">
        <v>5</v>
      </c>
      <c r="G30">
        <v>5</v>
      </c>
      <c r="H30">
        <v>5</v>
      </c>
      <c r="I30">
        <v>5</v>
      </c>
      <c r="J30">
        <v>3</v>
      </c>
      <c r="K30" t="str">
        <f>SUM(B30:J30)</f>
        <v>0</v>
      </c>
    </row>
    <row r="31" spans="1:12">
      <c r="A31" t="s">
        <v>50</v>
      </c>
      <c r="B31">
        <v>3</v>
      </c>
      <c r="C31">
        <v>3</v>
      </c>
      <c r="D31">
        <v>2</v>
      </c>
      <c r="E31">
        <v>3</v>
      </c>
      <c r="F31">
        <v>4</v>
      </c>
      <c r="G31">
        <v>4</v>
      </c>
      <c r="H31">
        <v>2</v>
      </c>
      <c r="I31">
        <v>3</v>
      </c>
      <c r="J31">
        <v>3</v>
      </c>
      <c r="K31" t="str">
        <f>SUM(B31:J31)</f>
        <v>0</v>
      </c>
    </row>
    <row r="32" spans="1:12">
      <c r="A32" t="s">
        <v>51</v>
      </c>
      <c r="B32">
        <v>5</v>
      </c>
      <c r="C32">
        <v>5</v>
      </c>
      <c r="D32">
        <v>4</v>
      </c>
      <c r="E32">
        <v>4</v>
      </c>
      <c r="F32">
        <v>4</v>
      </c>
      <c r="G32">
        <v>5</v>
      </c>
      <c r="H32">
        <v>5</v>
      </c>
      <c r="I32">
        <v>5</v>
      </c>
      <c r="J32">
        <v>5</v>
      </c>
      <c r="K32" t="str">
        <f>SUM(B32:J32)</f>
        <v>0</v>
      </c>
    </row>
    <row r="33" spans="1:12">
      <c r="A33" t="s">
        <v>52</v>
      </c>
      <c r="B33">
        <v>3</v>
      </c>
      <c r="C33">
        <v>3</v>
      </c>
      <c r="D33">
        <v>3</v>
      </c>
      <c r="E33">
        <v>3</v>
      </c>
      <c r="F33">
        <v>4</v>
      </c>
      <c r="G33">
        <v>3</v>
      </c>
      <c r="H33">
        <v>4</v>
      </c>
      <c r="I33">
        <v>4</v>
      </c>
      <c r="J33">
        <v>3</v>
      </c>
      <c r="K33" t="str">
        <f>SUM(B33:J33)</f>
        <v>0</v>
      </c>
    </row>
    <row r="34" spans="1:12">
      <c r="A34" t="s">
        <v>53</v>
      </c>
      <c r="B34">
        <v>4</v>
      </c>
      <c r="C34">
        <v>2</v>
      </c>
      <c r="D34">
        <v>3</v>
      </c>
      <c r="E34">
        <v>4</v>
      </c>
      <c r="F34">
        <v>3</v>
      </c>
      <c r="G34">
        <v>4</v>
      </c>
      <c r="H34">
        <v>3</v>
      </c>
      <c r="I34">
        <v>3</v>
      </c>
      <c r="J34">
        <v>4</v>
      </c>
      <c r="K34" t="str">
        <f>SUM(B34:J34)</f>
        <v>0</v>
      </c>
    </row>
    <row r="35" spans="1:12">
      <c r="A35" t="s">
        <v>54</v>
      </c>
      <c r="B35">
        <v>1</v>
      </c>
      <c r="C35">
        <v>1</v>
      </c>
      <c r="D35">
        <v>1</v>
      </c>
      <c r="E35">
        <v>1</v>
      </c>
      <c r="F35">
        <v>1</v>
      </c>
      <c r="G35">
        <v>1</v>
      </c>
      <c r="H35">
        <v>1</v>
      </c>
      <c r="I35">
        <v>1</v>
      </c>
      <c r="J35">
        <v>1</v>
      </c>
      <c r="K35" t="str">
        <f>SUM(B35:J35)</f>
        <v>0</v>
      </c>
    </row>
    <row r="36" spans="1:12">
      <c r="A36" t="s">
        <v>55</v>
      </c>
      <c r="B36">
        <v>4</v>
      </c>
      <c r="C36">
        <v>3</v>
      </c>
      <c r="D36">
        <v>4</v>
      </c>
      <c r="E36">
        <v>3</v>
      </c>
      <c r="F36">
        <v>4</v>
      </c>
      <c r="G36">
        <v>3</v>
      </c>
      <c r="H36">
        <v>4</v>
      </c>
      <c r="I36">
        <v>3</v>
      </c>
      <c r="J36">
        <v>5</v>
      </c>
      <c r="K36" t="str">
        <f>SUM(B36:J36)</f>
        <v>0</v>
      </c>
    </row>
    <row r="37" spans="1:12">
      <c r="A37" t="s">
        <v>56</v>
      </c>
      <c r="B37">
        <v>4</v>
      </c>
      <c r="C37">
        <v>5</v>
      </c>
      <c r="D37">
        <v>3</v>
      </c>
      <c r="E37">
        <v>4</v>
      </c>
      <c r="F37">
        <v>3</v>
      </c>
      <c r="G37">
        <v>4</v>
      </c>
      <c r="H37">
        <v>4</v>
      </c>
      <c r="I37">
        <v>4</v>
      </c>
      <c r="J37">
        <v>4</v>
      </c>
      <c r="K37" t="str">
        <f>SUM(B37:J37)</f>
        <v>0</v>
      </c>
    </row>
    <row r="38" spans="1:12">
      <c r="A38" t="s">
        <v>57</v>
      </c>
      <c r="B38">
        <v>2</v>
      </c>
      <c r="C38">
        <v>2</v>
      </c>
      <c r="D38">
        <v>1</v>
      </c>
      <c r="E38">
        <v>2</v>
      </c>
      <c r="F38">
        <v>1</v>
      </c>
      <c r="G38">
        <v>1</v>
      </c>
      <c r="H38">
        <v>1</v>
      </c>
      <c r="I38">
        <v>2</v>
      </c>
      <c r="J38">
        <v>2</v>
      </c>
      <c r="K38" t="str">
        <f>SUM(B38:J38)</f>
        <v>0</v>
      </c>
    </row>
    <row r="39" spans="1:12">
      <c r="A39" t="s">
        <v>58</v>
      </c>
      <c r="B39">
        <v>5</v>
      </c>
      <c r="C39">
        <v>4</v>
      </c>
      <c r="D39">
        <v>4</v>
      </c>
      <c r="E39">
        <v>4</v>
      </c>
      <c r="F39">
        <v>4</v>
      </c>
      <c r="G39">
        <v>4</v>
      </c>
      <c r="H39">
        <v>3</v>
      </c>
      <c r="I39">
        <v>4</v>
      </c>
      <c r="J39">
        <v>5</v>
      </c>
      <c r="K39" t="str">
        <f>SUM(B39:J39)</f>
        <v>0</v>
      </c>
    </row>
    <row r="40" spans="1:12">
      <c r="A40" t="s">
        <v>59</v>
      </c>
      <c r="B40">
        <v>2</v>
      </c>
      <c r="C40">
        <v>2</v>
      </c>
      <c r="D40">
        <v>2</v>
      </c>
      <c r="E40">
        <v>1</v>
      </c>
      <c r="F40">
        <v>2</v>
      </c>
      <c r="G40">
        <v>1</v>
      </c>
      <c r="H40">
        <v>2</v>
      </c>
      <c r="I40">
        <v>2</v>
      </c>
      <c r="J40">
        <v>2</v>
      </c>
      <c r="K40" t="str">
        <f>SUM(B40:J40)</f>
        <v>0</v>
      </c>
    </row>
    <row r="41" spans="1:12">
      <c r="A41" t="s">
        <v>60</v>
      </c>
      <c r="B41">
        <v>4</v>
      </c>
      <c r="C41">
        <v>3</v>
      </c>
      <c r="D41">
        <v>4</v>
      </c>
      <c r="E41">
        <v>4</v>
      </c>
      <c r="F41">
        <v>3</v>
      </c>
      <c r="G41">
        <v>3</v>
      </c>
      <c r="H41">
        <v>4</v>
      </c>
      <c r="I41">
        <v>3</v>
      </c>
      <c r="J41">
        <v>3</v>
      </c>
      <c r="K41" t="str">
        <f>SUM(B41:J41)</f>
        <v>0</v>
      </c>
    </row>
    <row r="42" spans="1:12">
      <c r="A42" t="s">
        <v>61</v>
      </c>
      <c r="B42">
        <v>3</v>
      </c>
      <c r="C42">
        <v>4</v>
      </c>
      <c r="D42">
        <v>4</v>
      </c>
      <c r="E42">
        <v>3</v>
      </c>
      <c r="F42">
        <v>3</v>
      </c>
      <c r="G42">
        <v>3</v>
      </c>
      <c r="H42">
        <v>3</v>
      </c>
      <c r="I42">
        <v>4</v>
      </c>
      <c r="J42">
        <v>4</v>
      </c>
      <c r="K42" t="str">
        <f>SUM(B42:J42)</f>
        <v>0</v>
      </c>
    </row>
    <row r="43" spans="1:12">
      <c r="A43" t="s">
        <v>62</v>
      </c>
      <c r="B43">
        <v>2</v>
      </c>
      <c r="C43">
        <v>2</v>
      </c>
      <c r="D43">
        <v>2</v>
      </c>
      <c r="E43">
        <v>2</v>
      </c>
      <c r="F43">
        <v>2</v>
      </c>
      <c r="G43">
        <v>2</v>
      </c>
      <c r="H43">
        <v>2</v>
      </c>
      <c r="I43">
        <v>2</v>
      </c>
      <c r="J43">
        <v>1</v>
      </c>
      <c r="K43" t="str">
        <f>SUM(B43:J43)</f>
        <v>0</v>
      </c>
    </row>
    <row r="44" spans="1:12">
      <c r="A44" t="s">
        <v>63</v>
      </c>
      <c r="B44">
        <v>3</v>
      </c>
      <c r="C44">
        <v>4</v>
      </c>
      <c r="D44">
        <v>3</v>
      </c>
      <c r="E44">
        <v>4</v>
      </c>
      <c r="F44">
        <v>4</v>
      </c>
      <c r="G44">
        <v>3</v>
      </c>
      <c r="H44">
        <v>3</v>
      </c>
      <c r="I44">
        <v>3</v>
      </c>
      <c r="J44">
        <v>3</v>
      </c>
      <c r="K44" t="str">
        <f>SUM(B44:J44)</f>
        <v>0</v>
      </c>
    </row>
    <row r="45" spans="1:12">
      <c r="A45" t="s">
        <v>64</v>
      </c>
      <c r="B45">
        <v>5</v>
      </c>
      <c r="C45">
        <v>4</v>
      </c>
      <c r="D45">
        <v>5</v>
      </c>
      <c r="E45">
        <v>3</v>
      </c>
      <c r="F45">
        <v>4</v>
      </c>
      <c r="G45">
        <v>4</v>
      </c>
      <c r="H45">
        <v>5</v>
      </c>
      <c r="I45">
        <v>4</v>
      </c>
      <c r="J45">
        <v>5</v>
      </c>
      <c r="K45" t="str">
        <f>SUM(B45:J45)</f>
        <v>0</v>
      </c>
    </row>
    <row r="46" spans="1:12">
      <c r="A46" t="s">
        <v>65</v>
      </c>
      <c r="B46">
        <v>5</v>
      </c>
      <c r="C46">
        <v>4</v>
      </c>
      <c r="D46">
        <v>4</v>
      </c>
      <c r="E46">
        <v>5</v>
      </c>
      <c r="F46">
        <v>4</v>
      </c>
      <c r="G46">
        <v>4</v>
      </c>
      <c r="H46">
        <v>4</v>
      </c>
      <c r="I46">
        <v>5</v>
      </c>
      <c r="J46">
        <v>4</v>
      </c>
      <c r="K46" t="str">
        <f>SUM(B46:J46)</f>
        <v>0</v>
      </c>
    </row>
    <row r="47" spans="1:12">
      <c r="A47" t="s">
        <v>66</v>
      </c>
      <c r="B47">
        <v>1</v>
      </c>
      <c r="C47">
        <v>1</v>
      </c>
      <c r="D47">
        <v>1</v>
      </c>
      <c r="E47">
        <v>1</v>
      </c>
      <c r="F47">
        <v>1</v>
      </c>
      <c r="G47">
        <v>1</v>
      </c>
      <c r="H47">
        <v>1</v>
      </c>
      <c r="I47">
        <v>1</v>
      </c>
      <c r="J47">
        <v>1</v>
      </c>
      <c r="K47" t="str">
        <f>SUM(B47:J47)</f>
        <v>0</v>
      </c>
    </row>
    <row r="48" spans="1:12">
      <c r="A48" t="s">
        <v>67</v>
      </c>
      <c r="B48">
        <v>5</v>
      </c>
      <c r="C48">
        <v>5</v>
      </c>
      <c r="D48">
        <v>5</v>
      </c>
      <c r="E48">
        <v>5</v>
      </c>
      <c r="F48">
        <v>4</v>
      </c>
      <c r="G48">
        <v>4</v>
      </c>
      <c r="H48">
        <v>5</v>
      </c>
      <c r="I48">
        <v>5</v>
      </c>
      <c r="J48">
        <v>3</v>
      </c>
      <c r="K48" t="str">
        <f>SUM(B48:J48)</f>
        <v>0</v>
      </c>
    </row>
    <row r="49" spans="1:12">
      <c r="A49" t="s">
        <v>68</v>
      </c>
      <c r="B49">
        <v>5</v>
      </c>
      <c r="C49">
        <v>5</v>
      </c>
      <c r="D49">
        <v>4</v>
      </c>
      <c r="E49">
        <v>5</v>
      </c>
      <c r="F49">
        <v>5</v>
      </c>
      <c r="G49">
        <v>4</v>
      </c>
      <c r="H49">
        <v>3</v>
      </c>
      <c r="I49">
        <v>5</v>
      </c>
      <c r="J49">
        <v>4</v>
      </c>
      <c r="K49" t="str">
        <f>SUM(B49:J49)</f>
        <v>0</v>
      </c>
    </row>
    <row r="50" spans="1:12">
      <c r="A50" t="s">
        <v>69</v>
      </c>
      <c r="B50">
        <v>3</v>
      </c>
      <c r="C50">
        <v>3</v>
      </c>
      <c r="D50">
        <v>2</v>
      </c>
      <c r="E50">
        <v>3</v>
      </c>
      <c r="F50">
        <v>3</v>
      </c>
      <c r="G50">
        <v>2</v>
      </c>
      <c r="H50">
        <v>3</v>
      </c>
      <c r="I50">
        <v>2</v>
      </c>
      <c r="J50">
        <v>3</v>
      </c>
      <c r="K50" t="str">
        <f>SUM(B50:J50)</f>
        <v>0</v>
      </c>
    </row>
    <row r="51" spans="1:12">
      <c r="A51" t="s">
        <v>70</v>
      </c>
      <c r="B51">
        <v>5</v>
      </c>
      <c r="C51">
        <v>4</v>
      </c>
      <c r="D51">
        <v>5</v>
      </c>
      <c r="E51">
        <v>5</v>
      </c>
      <c r="F51">
        <v>5</v>
      </c>
      <c r="G51">
        <v>5</v>
      </c>
      <c r="H51">
        <v>4</v>
      </c>
      <c r="I51">
        <v>5</v>
      </c>
      <c r="J51">
        <v>4</v>
      </c>
      <c r="K51" t="str">
        <f>SUM(B51:J51)</f>
        <v>0</v>
      </c>
    </row>
    <row r="52" spans="1:12">
      <c r="A52" t="s">
        <v>71</v>
      </c>
      <c r="B52">
        <v>3</v>
      </c>
      <c r="C52">
        <v>3</v>
      </c>
      <c r="D52">
        <v>3</v>
      </c>
      <c r="E52">
        <v>3</v>
      </c>
      <c r="F52">
        <v>2</v>
      </c>
      <c r="G52">
        <v>2</v>
      </c>
      <c r="H52">
        <v>2</v>
      </c>
      <c r="I52">
        <v>2</v>
      </c>
      <c r="J52">
        <v>3</v>
      </c>
      <c r="K52" t="str">
        <f>SUM(B52:J52)</f>
        <v>0</v>
      </c>
    </row>
    <row r="53" spans="1:12">
      <c r="A53" t="s">
        <v>72</v>
      </c>
      <c r="B53">
        <v>3</v>
      </c>
      <c r="C53">
        <v>3</v>
      </c>
      <c r="D53">
        <v>2</v>
      </c>
      <c r="E53">
        <v>2</v>
      </c>
      <c r="F53">
        <v>3</v>
      </c>
      <c r="G53">
        <v>2</v>
      </c>
      <c r="H53">
        <v>3</v>
      </c>
      <c r="I53">
        <v>2</v>
      </c>
      <c r="J53">
        <v>3</v>
      </c>
      <c r="K53" t="str">
        <f>SUM(B53:J53)</f>
        <v>0</v>
      </c>
    </row>
    <row r="54" spans="1:12">
      <c r="A54" t="s">
        <v>73</v>
      </c>
      <c r="B54">
        <v>4</v>
      </c>
      <c r="C54">
        <v>3</v>
      </c>
      <c r="D54">
        <v>2</v>
      </c>
      <c r="E54">
        <v>4</v>
      </c>
      <c r="F54">
        <v>3</v>
      </c>
      <c r="G54">
        <v>3</v>
      </c>
      <c r="H54">
        <v>3</v>
      </c>
      <c r="I54">
        <v>4</v>
      </c>
      <c r="J54">
        <v>3</v>
      </c>
      <c r="K54" t="str">
        <f>SUM(B54:J54)</f>
        <v>0</v>
      </c>
    </row>
    <row r="55" spans="1:12">
      <c r="A55" t="s">
        <v>74</v>
      </c>
      <c r="B55">
        <v>3</v>
      </c>
      <c r="C55">
        <v>4</v>
      </c>
      <c r="D55">
        <v>3</v>
      </c>
      <c r="E55">
        <v>3</v>
      </c>
      <c r="F55">
        <v>3</v>
      </c>
      <c r="G55">
        <v>3</v>
      </c>
      <c r="H55">
        <v>2</v>
      </c>
      <c r="I55">
        <v>3</v>
      </c>
      <c r="J55">
        <v>4</v>
      </c>
      <c r="K55" t="str">
        <f>SUM(B55:J55)</f>
        <v>0</v>
      </c>
    </row>
    <row r="56" spans="1:12">
      <c r="A56" t="s">
        <v>75</v>
      </c>
      <c r="B56">
        <v>3</v>
      </c>
      <c r="C56">
        <v>2</v>
      </c>
      <c r="D56">
        <v>3</v>
      </c>
      <c r="E56">
        <v>2</v>
      </c>
      <c r="F56">
        <v>3</v>
      </c>
      <c r="G56">
        <v>3</v>
      </c>
      <c r="H56">
        <v>2</v>
      </c>
      <c r="I56">
        <v>2</v>
      </c>
      <c r="J56">
        <v>2</v>
      </c>
      <c r="K56" t="str">
        <f>SUM(B56:J56)</f>
        <v>0</v>
      </c>
    </row>
    <row r="57" spans="1:12">
      <c r="A57" t="s">
        <v>76</v>
      </c>
      <c r="B57">
        <v>1</v>
      </c>
      <c r="C57">
        <v>1</v>
      </c>
      <c r="D57">
        <v>1</v>
      </c>
      <c r="E57">
        <v>2</v>
      </c>
      <c r="F57">
        <v>1</v>
      </c>
      <c r="G57">
        <v>2</v>
      </c>
      <c r="H57">
        <v>1</v>
      </c>
      <c r="I57">
        <v>1</v>
      </c>
      <c r="J57">
        <v>1</v>
      </c>
      <c r="K57" t="str">
        <f>SUM(B57:J57)</f>
        <v>0</v>
      </c>
    </row>
    <row r="58" spans="1:12">
      <c r="A58" t="s">
        <v>77</v>
      </c>
      <c r="B58">
        <v>3</v>
      </c>
      <c r="C58">
        <v>3</v>
      </c>
      <c r="D58">
        <v>3</v>
      </c>
      <c r="E58">
        <v>2</v>
      </c>
      <c r="F58">
        <v>3</v>
      </c>
      <c r="G58">
        <v>2</v>
      </c>
      <c r="H58">
        <v>2</v>
      </c>
      <c r="I58">
        <v>3</v>
      </c>
      <c r="J58">
        <v>2</v>
      </c>
      <c r="K58" t="str">
        <f>SUM(B58:J58)</f>
        <v>0</v>
      </c>
    </row>
    <row r="59" spans="1:12">
      <c r="A59" t="s">
        <v>78</v>
      </c>
      <c r="B59">
        <v>3</v>
      </c>
      <c r="C59">
        <v>3</v>
      </c>
      <c r="D59">
        <v>3</v>
      </c>
      <c r="E59">
        <v>2</v>
      </c>
      <c r="F59">
        <v>3</v>
      </c>
      <c r="G59">
        <v>3</v>
      </c>
      <c r="H59">
        <v>2</v>
      </c>
      <c r="I59">
        <v>2</v>
      </c>
      <c r="J59">
        <v>2</v>
      </c>
      <c r="K59" t="str">
        <f>SUM(B59:J59)</f>
        <v>0</v>
      </c>
    </row>
    <row r="60" spans="1:12">
      <c r="A60" t="s">
        <v>79</v>
      </c>
      <c r="B60">
        <v>2</v>
      </c>
      <c r="C60">
        <v>2</v>
      </c>
      <c r="D60">
        <v>1</v>
      </c>
      <c r="E60">
        <v>2</v>
      </c>
      <c r="F60">
        <v>2</v>
      </c>
      <c r="G60">
        <v>2</v>
      </c>
      <c r="H60">
        <v>2</v>
      </c>
      <c r="I60">
        <v>1</v>
      </c>
      <c r="J60">
        <v>3</v>
      </c>
      <c r="K60" t="str">
        <f>SUM(B60:J60)</f>
        <v>0</v>
      </c>
    </row>
    <row r="61" spans="1:12">
      <c r="A61" t="s">
        <v>80</v>
      </c>
      <c r="B61">
        <v>5</v>
      </c>
      <c r="C61">
        <v>5</v>
      </c>
      <c r="D61">
        <v>5</v>
      </c>
      <c r="E61">
        <v>5</v>
      </c>
      <c r="F61">
        <v>5</v>
      </c>
      <c r="G61">
        <v>5</v>
      </c>
      <c r="H61">
        <v>3</v>
      </c>
      <c r="I61">
        <v>4</v>
      </c>
      <c r="J61">
        <v>3</v>
      </c>
      <c r="K61" t="str">
        <f>SUM(B61:J61)</f>
        <v>0</v>
      </c>
    </row>
    <row r="62" spans="1:12">
      <c r="A62" t="s">
        <v>81</v>
      </c>
      <c r="B62">
        <v>3</v>
      </c>
      <c r="C62">
        <v>4</v>
      </c>
      <c r="D62">
        <v>3</v>
      </c>
      <c r="E62">
        <v>3</v>
      </c>
      <c r="F62">
        <v>2</v>
      </c>
      <c r="G62">
        <v>3</v>
      </c>
      <c r="H62">
        <v>4</v>
      </c>
      <c r="I62">
        <v>4</v>
      </c>
      <c r="J62">
        <v>3</v>
      </c>
      <c r="K62" t="str">
        <f>SUM(B62:J62)</f>
        <v>0</v>
      </c>
    </row>
    <row r="63" spans="1:12">
      <c r="A63" t="s">
        <v>82</v>
      </c>
      <c r="B63">
        <v>2</v>
      </c>
      <c r="C63">
        <v>3</v>
      </c>
      <c r="D63">
        <v>4</v>
      </c>
      <c r="E63">
        <v>3</v>
      </c>
      <c r="F63">
        <v>2</v>
      </c>
      <c r="G63">
        <v>2</v>
      </c>
      <c r="H63">
        <v>3</v>
      </c>
      <c r="I63">
        <v>4</v>
      </c>
      <c r="J63">
        <v>3</v>
      </c>
      <c r="K63" t="str">
        <f>SUM(B63:J63)</f>
        <v>0</v>
      </c>
    </row>
    <row r="64" spans="1:12">
      <c r="A64" t="s">
        <v>83</v>
      </c>
      <c r="B64">
        <v>4</v>
      </c>
      <c r="C64">
        <v>5</v>
      </c>
      <c r="D64">
        <v>5</v>
      </c>
      <c r="E64">
        <v>4</v>
      </c>
      <c r="F64">
        <v>5</v>
      </c>
      <c r="G64">
        <v>4</v>
      </c>
      <c r="H64">
        <v>5</v>
      </c>
      <c r="I64">
        <v>5</v>
      </c>
      <c r="J64">
        <v>4</v>
      </c>
      <c r="K64" t="str">
        <f>SUM(B64:J64)</f>
        <v>0</v>
      </c>
    </row>
    <row r="65" spans="1:12">
      <c r="A65" t="s">
        <v>84</v>
      </c>
      <c r="B65">
        <v>2</v>
      </c>
      <c r="C65">
        <v>4</v>
      </c>
      <c r="D65">
        <v>3</v>
      </c>
      <c r="E65">
        <v>4</v>
      </c>
      <c r="F65">
        <v>3</v>
      </c>
      <c r="G65">
        <v>4</v>
      </c>
      <c r="H65">
        <v>3</v>
      </c>
      <c r="I65">
        <v>2</v>
      </c>
      <c r="J65">
        <v>4</v>
      </c>
      <c r="K65" t="str">
        <f>SUM(B65:J65)</f>
        <v>0</v>
      </c>
    </row>
    <row r="66" spans="1:12">
      <c r="A66" t="s">
        <v>85</v>
      </c>
      <c r="B66">
        <v>4</v>
      </c>
      <c r="C66">
        <v>3</v>
      </c>
      <c r="D66">
        <v>4</v>
      </c>
      <c r="E66">
        <v>5</v>
      </c>
      <c r="F66">
        <v>5</v>
      </c>
      <c r="G66">
        <v>4</v>
      </c>
      <c r="H66">
        <v>5</v>
      </c>
      <c r="I66">
        <v>5</v>
      </c>
      <c r="J66">
        <v>3</v>
      </c>
      <c r="K66" t="str">
        <f>SUM(B66:J66)</f>
        <v>0</v>
      </c>
    </row>
    <row r="67" spans="1:12">
      <c r="A67" t="s">
        <v>86</v>
      </c>
      <c r="B67">
        <v>4</v>
      </c>
      <c r="C67">
        <v>2</v>
      </c>
      <c r="D67">
        <v>3</v>
      </c>
      <c r="E67">
        <v>3</v>
      </c>
      <c r="F67">
        <v>4</v>
      </c>
      <c r="G67">
        <v>3</v>
      </c>
      <c r="H67">
        <v>3</v>
      </c>
      <c r="I67">
        <v>4</v>
      </c>
      <c r="J67">
        <v>3</v>
      </c>
      <c r="K67" t="str">
        <f>SUM(B67:J67)</f>
        <v>0</v>
      </c>
    </row>
    <row r="68" spans="1:12">
      <c r="A68" t="s">
        <v>87</v>
      </c>
      <c r="B68">
        <v>3</v>
      </c>
      <c r="C68">
        <v>3</v>
      </c>
      <c r="D68">
        <v>2</v>
      </c>
      <c r="E68">
        <v>3</v>
      </c>
      <c r="F68">
        <v>3</v>
      </c>
      <c r="G68">
        <v>3</v>
      </c>
      <c r="H68">
        <v>3</v>
      </c>
      <c r="I68">
        <v>3</v>
      </c>
      <c r="J68">
        <v>3</v>
      </c>
      <c r="K68" t="str">
        <f>SUM(B68:J68)</f>
        <v>0</v>
      </c>
    </row>
    <row r="69" spans="1:12">
      <c r="A69" t="s">
        <v>88</v>
      </c>
      <c r="B69">
        <v>2</v>
      </c>
      <c r="C69">
        <v>2</v>
      </c>
      <c r="D69">
        <v>1</v>
      </c>
      <c r="E69">
        <v>2</v>
      </c>
      <c r="F69">
        <v>2</v>
      </c>
      <c r="G69">
        <v>2</v>
      </c>
      <c r="H69">
        <v>2</v>
      </c>
      <c r="I69">
        <v>2</v>
      </c>
      <c r="J69">
        <v>1</v>
      </c>
      <c r="K69" t="str">
        <f>SUM(B69:J69)</f>
        <v>0</v>
      </c>
    </row>
    <row r="70" spans="1:12">
      <c r="A70" t="s">
        <v>89</v>
      </c>
      <c r="B70">
        <v>3</v>
      </c>
      <c r="C70">
        <v>5</v>
      </c>
      <c r="D70">
        <v>5</v>
      </c>
      <c r="E70">
        <v>5</v>
      </c>
      <c r="F70">
        <v>4</v>
      </c>
      <c r="G70">
        <v>5</v>
      </c>
      <c r="H70">
        <v>5</v>
      </c>
      <c r="I70">
        <v>5</v>
      </c>
      <c r="J70">
        <v>5</v>
      </c>
      <c r="K70" t="str">
        <f>SUM(B70:J70)</f>
        <v>0</v>
      </c>
    </row>
    <row r="71" spans="1:12">
      <c r="A71" t="s">
        <v>90</v>
      </c>
      <c r="B71">
        <v>3</v>
      </c>
      <c r="C71">
        <v>3</v>
      </c>
      <c r="D71">
        <v>3</v>
      </c>
      <c r="E71">
        <v>2</v>
      </c>
      <c r="F71">
        <v>3</v>
      </c>
      <c r="G71">
        <v>3</v>
      </c>
      <c r="H71">
        <v>3</v>
      </c>
      <c r="I71">
        <v>2</v>
      </c>
      <c r="J71">
        <v>3</v>
      </c>
      <c r="K71" t="str">
        <f>SUM(B71:J71)</f>
        <v>0</v>
      </c>
    </row>
    <row r="72" spans="1:12">
      <c r="A72" t="s">
        <v>91</v>
      </c>
      <c r="B72">
        <v>5</v>
      </c>
      <c r="C72">
        <v>5</v>
      </c>
      <c r="D72">
        <v>4</v>
      </c>
      <c r="E72">
        <v>4</v>
      </c>
      <c r="F72">
        <v>5</v>
      </c>
      <c r="G72">
        <v>5</v>
      </c>
      <c r="H72">
        <v>5</v>
      </c>
      <c r="I72">
        <v>4</v>
      </c>
      <c r="J72">
        <v>5</v>
      </c>
      <c r="K72" t="str">
        <f>SUM(B72:J72)</f>
        <v>0</v>
      </c>
    </row>
    <row r="73" spans="1:12">
      <c r="A73" t="s">
        <v>92</v>
      </c>
      <c r="B73">
        <v>1</v>
      </c>
      <c r="C73">
        <v>1</v>
      </c>
      <c r="D73">
        <v>1</v>
      </c>
      <c r="E73">
        <v>1</v>
      </c>
      <c r="F73">
        <v>1</v>
      </c>
      <c r="G73">
        <v>1</v>
      </c>
      <c r="H73">
        <v>1</v>
      </c>
      <c r="I73">
        <v>1</v>
      </c>
      <c r="J73">
        <v>1</v>
      </c>
      <c r="K73" t="str">
        <f>SUM(B73:J73)</f>
        <v>0</v>
      </c>
    </row>
    <row r="74" spans="1:12">
      <c r="A74" t="s">
        <v>93</v>
      </c>
      <c r="B74">
        <v>4</v>
      </c>
      <c r="C74">
        <v>5</v>
      </c>
      <c r="D74">
        <v>3</v>
      </c>
      <c r="E74">
        <v>3</v>
      </c>
      <c r="F74">
        <v>4</v>
      </c>
      <c r="G74">
        <v>4</v>
      </c>
      <c r="H74">
        <v>5</v>
      </c>
      <c r="I74">
        <v>4</v>
      </c>
      <c r="J74">
        <v>4</v>
      </c>
      <c r="K74" t="str">
        <f>SUM(B74:J74)</f>
        <v>0</v>
      </c>
    </row>
    <row r="75" spans="1:12">
      <c r="A75" t="s">
        <v>94</v>
      </c>
      <c r="B75">
        <v>3</v>
      </c>
      <c r="C75">
        <v>3</v>
      </c>
      <c r="D75">
        <v>2</v>
      </c>
      <c r="E75">
        <v>2</v>
      </c>
      <c r="F75">
        <v>3</v>
      </c>
      <c r="G75">
        <v>3</v>
      </c>
      <c r="H75">
        <v>2</v>
      </c>
      <c r="I75">
        <v>3</v>
      </c>
      <c r="J75">
        <v>3</v>
      </c>
      <c r="K75" t="str">
        <f>SUM(B75:J75)</f>
        <v>0</v>
      </c>
    </row>
    <row r="76" spans="1:12">
      <c r="A76" t="s">
        <v>95</v>
      </c>
      <c r="B76">
        <v>5</v>
      </c>
      <c r="C76">
        <v>5</v>
      </c>
      <c r="D76">
        <v>4</v>
      </c>
      <c r="E76">
        <v>5</v>
      </c>
      <c r="F76">
        <v>4</v>
      </c>
      <c r="G76">
        <v>5</v>
      </c>
      <c r="H76">
        <v>5</v>
      </c>
      <c r="I76">
        <v>4</v>
      </c>
      <c r="J76">
        <v>5</v>
      </c>
      <c r="K76" t="str">
        <f>SUM(B76:J76)</f>
        <v>0</v>
      </c>
    </row>
    <row r="77" spans="1:12">
      <c r="A77" t="s">
        <v>96</v>
      </c>
      <c r="B77">
        <v>2</v>
      </c>
      <c r="C77">
        <v>3</v>
      </c>
      <c r="D77">
        <v>3</v>
      </c>
      <c r="E77">
        <v>4</v>
      </c>
      <c r="F77">
        <v>4</v>
      </c>
      <c r="G77">
        <v>4</v>
      </c>
      <c r="H77">
        <v>2</v>
      </c>
      <c r="I77">
        <v>4</v>
      </c>
      <c r="J77">
        <v>4</v>
      </c>
      <c r="K77" t="str">
        <f>SUM(B77:J77)</f>
        <v>0</v>
      </c>
    </row>
    <row r="78" spans="1:12">
      <c r="A78" t="s">
        <v>97</v>
      </c>
      <c r="B78">
        <v>3</v>
      </c>
      <c r="C78">
        <v>2</v>
      </c>
      <c r="D78">
        <v>3</v>
      </c>
      <c r="E78">
        <v>3</v>
      </c>
      <c r="F78">
        <v>2</v>
      </c>
      <c r="G78">
        <v>3</v>
      </c>
      <c r="H78">
        <v>2</v>
      </c>
      <c r="I78">
        <v>3</v>
      </c>
      <c r="J78">
        <v>4</v>
      </c>
      <c r="K78" t="str">
        <f>SUM(B78:J78)</f>
        <v>0</v>
      </c>
    </row>
    <row r="79" spans="1:12">
      <c r="A79" t="s">
        <v>98</v>
      </c>
      <c r="B79">
        <v>1</v>
      </c>
      <c r="C79">
        <v>1</v>
      </c>
      <c r="D79">
        <v>1</v>
      </c>
      <c r="E79">
        <v>1</v>
      </c>
      <c r="F79">
        <v>1</v>
      </c>
      <c r="G79">
        <v>2</v>
      </c>
      <c r="H79">
        <v>2</v>
      </c>
      <c r="I79">
        <v>1</v>
      </c>
      <c r="J79">
        <v>2</v>
      </c>
      <c r="K79" t="str">
        <f>SUM(B79:J79)</f>
        <v>0</v>
      </c>
    </row>
    <row r="80" spans="1:12">
      <c r="A80" t="s">
        <v>99</v>
      </c>
      <c r="B80">
        <v>4</v>
      </c>
      <c r="C80">
        <v>5</v>
      </c>
      <c r="D80">
        <v>5</v>
      </c>
      <c r="E80">
        <v>4</v>
      </c>
      <c r="F80">
        <v>5</v>
      </c>
      <c r="G80">
        <v>5</v>
      </c>
      <c r="H80">
        <v>5</v>
      </c>
      <c r="I80">
        <v>5</v>
      </c>
      <c r="J80">
        <v>5</v>
      </c>
      <c r="K80" t="str">
        <f>SUM(B80:J80)</f>
        <v>0</v>
      </c>
    </row>
    <row r="81" spans="1:12">
      <c r="A81" t="s">
        <v>100</v>
      </c>
      <c r="B81">
        <v>3</v>
      </c>
      <c r="C81">
        <v>3</v>
      </c>
      <c r="D81">
        <v>3</v>
      </c>
      <c r="E81">
        <v>2</v>
      </c>
      <c r="F81">
        <v>2</v>
      </c>
      <c r="G81">
        <v>3</v>
      </c>
      <c r="H81">
        <v>3</v>
      </c>
      <c r="I81">
        <v>3</v>
      </c>
      <c r="J81">
        <v>3</v>
      </c>
      <c r="K81" t="str">
        <f>SUM(B81:J81)</f>
        <v>0</v>
      </c>
    </row>
    <row r="82" spans="1:12">
      <c r="A82" t="s">
        <v>101</v>
      </c>
      <c r="B82">
        <v>4</v>
      </c>
      <c r="C82">
        <v>4</v>
      </c>
      <c r="D82">
        <v>4</v>
      </c>
      <c r="E82">
        <v>4</v>
      </c>
      <c r="F82">
        <v>4</v>
      </c>
      <c r="G82">
        <v>4</v>
      </c>
      <c r="H82">
        <v>3</v>
      </c>
      <c r="I82">
        <v>4</v>
      </c>
      <c r="J82">
        <v>4</v>
      </c>
      <c r="K82" t="str">
        <f>SUM(B82:J82)</f>
        <v>0</v>
      </c>
    </row>
    <row r="83" spans="1:12">
      <c r="A83" t="s">
        <v>102</v>
      </c>
      <c r="B83">
        <v>2</v>
      </c>
      <c r="C83">
        <v>3</v>
      </c>
      <c r="D83">
        <v>3</v>
      </c>
      <c r="E83">
        <v>3</v>
      </c>
      <c r="F83">
        <v>2</v>
      </c>
      <c r="G83">
        <v>2</v>
      </c>
      <c r="H83">
        <v>2</v>
      </c>
      <c r="I83">
        <v>3</v>
      </c>
      <c r="J83">
        <v>2</v>
      </c>
      <c r="K83" t="str">
        <f>SUM(B83:J83)</f>
        <v>0</v>
      </c>
    </row>
    <row r="84" spans="1:12">
      <c r="A84" t="s">
        <v>103</v>
      </c>
      <c r="B84">
        <v>2</v>
      </c>
      <c r="C84">
        <v>1</v>
      </c>
      <c r="D84">
        <v>1</v>
      </c>
      <c r="E84">
        <v>2</v>
      </c>
      <c r="F84">
        <v>1</v>
      </c>
      <c r="G84">
        <v>1</v>
      </c>
      <c r="H84">
        <v>1</v>
      </c>
      <c r="I84">
        <v>2</v>
      </c>
      <c r="J84">
        <v>2</v>
      </c>
      <c r="K84" t="str">
        <f>SUM(B84:J84)</f>
        <v>0</v>
      </c>
    </row>
    <row r="85" spans="1:12">
      <c r="A85" t="s">
        <v>104</v>
      </c>
      <c r="B85">
        <v>2</v>
      </c>
      <c r="C85">
        <v>3</v>
      </c>
      <c r="D85">
        <v>2</v>
      </c>
      <c r="E85">
        <v>3</v>
      </c>
      <c r="F85">
        <v>3</v>
      </c>
      <c r="G85">
        <v>2</v>
      </c>
      <c r="H85">
        <v>2</v>
      </c>
      <c r="I85">
        <v>3</v>
      </c>
      <c r="J85">
        <v>3</v>
      </c>
      <c r="K85" t="str">
        <f>SUM(B85:J85)</f>
        <v>0</v>
      </c>
    </row>
    <row r="86" spans="1:12">
      <c r="A86" t="s">
        <v>105</v>
      </c>
      <c r="B86">
        <v>3</v>
      </c>
      <c r="C86">
        <v>3</v>
      </c>
      <c r="D86">
        <v>2</v>
      </c>
      <c r="E86">
        <v>3</v>
      </c>
      <c r="F86">
        <v>2</v>
      </c>
      <c r="G86">
        <v>2</v>
      </c>
      <c r="H86">
        <v>2</v>
      </c>
      <c r="I86">
        <v>2</v>
      </c>
      <c r="J86">
        <v>4</v>
      </c>
      <c r="K86" t="str">
        <f>SUM(B86:J86)</f>
        <v>0</v>
      </c>
    </row>
    <row r="87" spans="1:12">
      <c r="A87" t="s">
        <v>106</v>
      </c>
      <c r="B87">
        <v>1</v>
      </c>
      <c r="C87">
        <v>1</v>
      </c>
      <c r="D87">
        <v>1</v>
      </c>
      <c r="E87">
        <v>2</v>
      </c>
      <c r="F87">
        <v>1</v>
      </c>
      <c r="G87">
        <v>1</v>
      </c>
      <c r="H87">
        <v>1</v>
      </c>
      <c r="I87">
        <v>1</v>
      </c>
      <c r="J87">
        <v>1</v>
      </c>
      <c r="K87" t="str">
        <f>SUM(B87:J87)</f>
        <v>0</v>
      </c>
    </row>
    <row r="88" spans="1:12">
      <c r="A88" t="s">
        <v>107</v>
      </c>
      <c r="B88">
        <v>4</v>
      </c>
      <c r="C88">
        <v>5</v>
      </c>
      <c r="D88">
        <v>4</v>
      </c>
      <c r="E88">
        <v>5</v>
      </c>
      <c r="F88">
        <v>5</v>
      </c>
      <c r="G88">
        <v>5</v>
      </c>
      <c r="H88">
        <v>5</v>
      </c>
      <c r="I88">
        <v>4</v>
      </c>
      <c r="J88">
        <v>5</v>
      </c>
      <c r="K88" t="str">
        <f>SUM(B88:J88)</f>
        <v>0</v>
      </c>
    </row>
    <row r="89" spans="1:12">
      <c r="A89" t="s">
        <v>108</v>
      </c>
      <c r="B89">
        <v>2</v>
      </c>
      <c r="C89">
        <v>3</v>
      </c>
      <c r="D89">
        <v>2</v>
      </c>
      <c r="E89">
        <v>2</v>
      </c>
      <c r="F89">
        <v>2</v>
      </c>
      <c r="G89">
        <v>3</v>
      </c>
      <c r="H89">
        <v>3</v>
      </c>
      <c r="I89">
        <v>3</v>
      </c>
      <c r="J89">
        <v>3</v>
      </c>
      <c r="K89" t="str">
        <f>SUM(B89:J89)</f>
        <v>0</v>
      </c>
    </row>
    <row r="90" spans="1:12">
      <c r="A90" t="s">
        <v>109</v>
      </c>
      <c r="B90">
        <v>2</v>
      </c>
      <c r="C90">
        <v>2</v>
      </c>
      <c r="D90">
        <v>3</v>
      </c>
      <c r="E90">
        <v>2</v>
      </c>
      <c r="F90">
        <v>2</v>
      </c>
      <c r="G90">
        <v>2</v>
      </c>
      <c r="H90">
        <v>3</v>
      </c>
      <c r="I90">
        <v>3</v>
      </c>
      <c r="J90">
        <v>3</v>
      </c>
      <c r="K90" t="str">
        <f>SUM(B90:J90)</f>
        <v>0</v>
      </c>
    </row>
    <row r="91" spans="1:12">
      <c r="A91" t="s">
        <v>110</v>
      </c>
      <c r="B91">
        <v>5</v>
      </c>
      <c r="C91">
        <v>5</v>
      </c>
      <c r="D91">
        <v>5</v>
      </c>
      <c r="E91">
        <v>5</v>
      </c>
      <c r="F91">
        <v>4</v>
      </c>
      <c r="G91">
        <v>4</v>
      </c>
      <c r="H91">
        <v>4</v>
      </c>
      <c r="I91">
        <v>4</v>
      </c>
      <c r="J91">
        <v>5</v>
      </c>
      <c r="K91" t="str">
        <f>SUM(B91:J91)</f>
        <v>0</v>
      </c>
    </row>
    <row r="92" spans="1:12">
      <c r="A92" t="s">
        <v>111</v>
      </c>
      <c r="B92">
        <v>3</v>
      </c>
      <c r="C92">
        <v>4</v>
      </c>
      <c r="D92">
        <v>2</v>
      </c>
      <c r="E92">
        <v>3</v>
      </c>
      <c r="F92">
        <v>3</v>
      </c>
      <c r="G92">
        <v>2</v>
      </c>
      <c r="H92">
        <v>2</v>
      </c>
      <c r="I92">
        <v>3</v>
      </c>
      <c r="J92">
        <v>3</v>
      </c>
      <c r="K92" t="str">
        <f>SUM(B92:J92)</f>
        <v>0</v>
      </c>
    </row>
    <row r="93" spans="1:12">
      <c r="A93" t="s">
        <v>112</v>
      </c>
      <c r="B93">
        <v>2</v>
      </c>
      <c r="C93">
        <v>1</v>
      </c>
      <c r="D93">
        <v>2</v>
      </c>
      <c r="E93">
        <v>2</v>
      </c>
      <c r="F93">
        <v>1</v>
      </c>
      <c r="G93">
        <v>1</v>
      </c>
      <c r="H93">
        <v>2</v>
      </c>
      <c r="I93">
        <v>1</v>
      </c>
      <c r="J93">
        <v>1</v>
      </c>
      <c r="K93" t="str">
        <f>SUM(B93:J93)</f>
        <v>0</v>
      </c>
    </row>
    <row r="94" spans="1:12">
      <c r="A94" t="s">
        <v>113</v>
      </c>
      <c r="B94">
        <v>3</v>
      </c>
      <c r="C94">
        <v>4</v>
      </c>
      <c r="D94">
        <v>5</v>
      </c>
      <c r="E94">
        <v>4</v>
      </c>
      <c r="F94">
        <v>5</v>
      </c>
      <c r="G94">
        <v>3</v>
      </c>
      <c r="H94">
        <v>4</v>
      </c>
      <c r="I94">
        <v>5</v>
      </c>
      <c r="J94">
        <v>5</v>
      </c>
      <c r="K94" t="str">
        <f>SUM(B94:J94)</f>
        <v>0</v>
      </c>
    </row>
    <row r="95" spans="1:12">
      <c r="A95" t="s">
        <v>114</v>
      </c>
      <c r="B95">
        <v>3</v>
      </c>
      <c r="C95">
        <v>3</v>
      </c>
      <c r="D95">
        <v>4</v>
      </c>
      <c r="E95">
        <v>4</v>
      </c>
      <c r="F95">
        <v>3</v>
      </c>
      <c r="G95">
        <v>3</v>
      </c>
      <c r="H95">
        <v>3</v>
      </c>
      <c r="I95">
        <v>3</v>
      </c>
      <c r="J95">
        <v>4</v>
      </c>
      <c r="K95" t="str">
        <f>SUM(B95:J95)</f>
        <v>0</v>
      </c>
    </row>
    <row r="96" spans="1:12">
      <c r="A96" t="s">
        <v>115</v>
      </c>
      <c r="B96">
        <v>3</v>
      </c>
      <c r="C96">
        <v>2</v>
      </c>
      <c r="D96">
        <v>2</v>
      </c>
      <c r="E96">
        <v>3</v>
      </c>
      <c r="F96">
        <v>2</v>
      </c>
      <c r="G96">
        <v>2</v>
      </c>
      <c r="H96">
        <v>4</v>
      </c>
      <c r="I96">
        <v>2</v>
      </c>
      <c r="J96">
        <v>4</v>
      </c>
      <c r="K96" t="str">
        <f>SUM(B96:J96)</f>
        <v>0</v>
      </c>
    </row>
    <row r="97" spans="1:12">
      <c r="A97" t="s">
        <v>116</v>
      </c>
      <c r="B97">
        <v>2</v>
      </c>
      <c r="C97">
        <v>2</v>
      </c>
      <c r="D97">
        <v>2</v>
      </c>
      <c r="E97">
        <v>3</v>
      </c>
      <c r="F97">
        <v>3</v>
      </c>
      <c r="G97">
        <v>4</v>
      </c>
      <c r="H97">
        <v>3</v>
      </c>
      <c r="I97">
        <v>2</v>
      </c>
      <c r="J97">
        <v>4</v>
      </c>
      <c r="K97" t="str">
        <f>SUM(B97:J97)</f>
        <v>0</v>
      </c>
    </row>
    <row r="98" spans="1:12">
      <c r="A98" t="s">
        <v>117</v>
      </c>
      <c r="B98">
        <v>4</v>
      </c>
      <c r="C98">
        <v>3</v>
      </c>
      <c r="D98">
        <v>3</v>
      </c>
      <c r="E98">
        <v>2</v>
      </c>
      <c r="F98">
        <v>2</v>
      </c>
      <c r="G98">
        <v>4</v>
      </c>
      <c r="H98">
        <v>3</v>
      </c>
      <c r="I98">
        <v>4</v>
      </c>
      <c r="J98">
        <v>3</v>
      </c>
      <c r="K98" t="str">
        <f>SUM(B98:J98)</f>
        <v>0</v>
      </c>
    </row>
    <row r="99" spans="1:12">
      <c r="A99" t="s">
        <v>118</v>
      </c>
      <c r="B99">
        <v>3</v>
      </c>
      <c r="C99">
        <v>4</v>
      </c>
      <c r="D99">
        <v>4</v>
      </c>
      <c r="E99">
        <v>4</v>
      </c>
      <c r="F99">
        <v>3</v>
      </c>
      <c r="G99">
        <v>4</v>
      </c>
      <c r="H99">
        <v>4</v>
      </c>
      <c r="I99">
        <v>3</v>
      </c>
      <c r="J99">
        <v>3</v>
      </c>
      <c r="K99" t="str">
        <f>SUM(B99:J99)</f>
        <v>0</v>
      </c>
    </row>
    <row r="100" spans="1:12">
      <c r="A100" t="s">
        <v>119</v>
      </c>
      <c r="B100">
        <v>5</v>
      </c>
      <c r="C100">
        <v>4</v>
      </c>
      <c r="D100">
        <v>5</v>
      </c>
      <c r="E100">
        <v>4</v>
      </c>
      <c r="F100">
        <v>4</v>
      </c>
      <c r="G100">
        <v>4</v>
      </c>
      <c r="H100">
        <v>5</v>
      </c>
      <c r="I100">
        <v>4</v>
      </c>
      <c r="J100">
        <v>4</v>
      </c>
      <c r="K100" t="str">
        <f>SUM(B100:J100)</f>
        <v>0</v>
      </c>
    </row>
    <row r="101" spans="1:12">
      <c r="A101" t="s">
        <v>120</v>
      </c>
      <c r="B101">
        <v>1</v>
      </c>
      <c r="C101">
        <v>2</v>
      </c>
      <c r="D101">
        <v>2</v>
      </c>
      <c r="E101">
        <v>2</v>
      </c>
      <c r="F101">
        <v>2</v>
      </c>
      <c r="G101">
        <v>2</v>
      </c>
      <c r="H101">
        <v>2</v>
      </c>
      <c r="I101">
        <v>2</v>
      </c>
      <c r="J101">
        <v>1</v>
      </c>
      <c r="K101" t="str">
        <f>SUM(B101:J101)</f>
        <v>0</v>
      </c>
    </row>
    <row r="102" spans="1:12">
      <c r="A102" t="s">
        <v>121</v>
      </c>
      <c r="B102">
        <v>5</v>
      </c>
      <c r="C102">
        <v>3</v>
      </c>
      <c r="D102">
        <v>4</v>
      </c>
      <c r="E102">
        <v>3</v>
      </c>
      <c r="F102">
        <v>3</v>
      </c>
      <c r="G102">
        <v>5</v>
      </c>
      <c r="H102">
        <v>5</v>
      </c>
      <c r="I102">
        <v>3</v>
      </c>
      <c r="J102">
        <v>5</v>
      </c>
      <c r="K102" t="str">
        <f>SUM(B102:J102)</f>
        <v>0</v>
      </c>
    </row>
    <row r="103" spans="1:12">
      <c r="A103" t="s">
        <v>122</v>
      </c>
      <c r="B103">
        <v>1</v>
      </c>
      <c r="C103">
        <v>1</v>
      </c>
      <c r="D103">
        <v>1</v>
      </c>
      <c r="E103">
        <v>1</v>
      </c>
      <c r="F103">
        <v>2</v>
      </c>
      <c r="G103">
        <v>1</v>
      </c>
      <c r="H103">
        <v>2</v>
      </c>
      <c r="I103">
        <v>1</v>
      </c>
      <c r="J103">
        <v>1</v>
      </c>
      <c r="K103" t="str">
        <f>SUM(B103:J103)</f>
        <v>0</v>
      </c>
    </row>
    <row r="104" spans="1:12">
      <c r="A104" t="s">
        <v>123</v>
      </c>
      <c r="B104">
        <v>2</v>
      </c>
      <c r="C104">
        <v>3</v>
      </c>
      <c r="D104">
        <v>4</v>
      </c>
      <c r="E104">
        <v>4</v>
      </c>
      <c r="F104">
        <v>4</v>
      </c>
      <c r="G104">
        <v>3</v>
      </c>
      <c r="H104">
        <v>2</v>
      </c>
      <c r="I104">
        <v>3</v>
      </c>
      <c r="J104">
        <v>3</v>
      </c>
      <c r="K104" t="str">
        <f>SUM(B104:J104)</f>
        <v>0</v>
      </c>
    </row>
    <row r="105" spans="1:12">
      <c r="A105" t="s">
        <v>124</v>
      </c>
      <c r="B105">
        <v>2</v>
      </c>
      <c r="C105">
        <v>2</v>
      </c>
      <c r="D105">
        <v>2</v>
      </c>
      <c r="E105">
        <v>4</v>
      </c>
      <c r="F105">
        <v>3</v>
      </c>
      <c r="G105">
        <v>4</v>
      </c>
      <c r="H105">
        <v>3</v>
      </c>
      <c r="I105">
        <v>4</v>
      </c>
      <c r="J105">
        <v>2</v>
      </c>
      <c r="K105" t="str">
        <f>SUM(B105:J105)</f>
        <v>0</v>
      </c>
    </row>
    <row r="106" spans="1:12">
      <c r="A106" t="s">
        <v>125</v>
      </c>
      <c r="B106">
        <v>5</v>
      </c>
      <c r="C106">
        <v>5</v>
      </c>
      <c r="D106">
        <v>3</v>
      </c>
      <c r="E106">
        <v>4</v>
      </c>
      <c r="F106">
        <v>5</v>
      </c>
      <c r="G106">
        <v>3</v>
      </c>
      <c r="H106">
        <v>5</v>
      </c>
      <c r="I106">
        <v>4</v>
      </c>
      <c r="J106">
        <v>3</v>
      </c>
      <c r="K106" t="str">
        <f>SUM(B106:J106)</f>
        <v>0</v>
      </c>
    </row>
    <row r="107" spans="1:12">
      <c r="A107" t="s">
        <v>126</v>
      </c>
      <c r="B107">
        <v>1</v>
      </c>
      <c r="C107">
        <v>1</v>
      </c>
      <c r="D107">
        <v>1</v>
      </c>
      <c r="E107">
        <v>1</v>
      </c>
      <c r="F107">
        <v>1</v>
      </c>
      <c r="G107">
        <v>1</v>
      </c>
      <c r="H107">
        <v>2</v>
      </c>
      <c r="I107">
        <v>1</v>
      </c>
      <c r="J107">
        <v>1</v>
      </c>
      <c r="K107" t="str">
        <f>SUM(B107:J107)</f>
        <v>0</v>
      </c>
    </row>
    <row r="108" spans="1:12">
      <c r="A108" t="s">
        <v>127</v>
      </c>
      <c r="B108">
        <v>5</v>
      </c>
      <c r="C108">
        <v>4</v>
      </c>
      <c r="D108">
        <v>4</v>
      </c>
      <c r="E108">
        <v>3</v>
      </c>
      <c r="F108">
        <v>4</v>
      </c>
      <c r="G108">
        <v>4</v>
      </c>
      <c r="H108">
        <v>4</v>
      </c>
      <c r="I108">
        <v>5</v>
      </c>
      <c r="J108">
        <v>3</v>
      </c>
      <c r="K108" t="str">
        <f>SUM(B108:J108)</f>
        <v>0</v>
      </c>
    </row>
    <row r="109" spans="1:12">
      <c r="A109" t="s">
        <v>128</v>
      </c>
      <c r="B109">
        <v>3</v>
      </c>
      <c r="C109">
        <v>4</v>
      </c>
      <c r="D109">
        <v>4</v>
      </c>
      <c r="E109">
        <v>5</v>
      </c>
      <c r="F109">
        <v>3</v>
      </c>
      <c r="G109">
        <v>4</v>
      </c>
      <c r="H109">
        <v>3</v>
      </c>
      <c r="I109">
        <v>5</v>
      </c>
      <c r="J109">
        <v>3</v>
      </c>
      <c r="K109" t="str">
        <f>SUM(B109:J109)</f>
        <v>0</v>
      </c>
    </row>
    <row r="110" spans="1:12">
      <c r="A110" t="s">
        <v>129</v>
      </c>
      <c r="B110">
        <v>2</v>
      </c>
      <c r="C110">
        <v>3</v>
      </c>
      <c r="D110">
        <v>3</v>
      </c>
      <c r="E110">
        <v>2</v>
      </c>
      <c r="F110">
        <v>2</v>
      </c>
      <c r="G110">
        <v>3</v>
      </c>
      <c r="H110">
        <v>2</v>
      </c>
      <c r="I110">
        <v>3</v>
      </c>
      <c r="J110">
        <v>3</v>
      </c>
      <c r="K110" t="str">
        <f>SUM(B110:J110)</f>
        <v>0</v>
      </c>
    </row>
    <row r="111" spans="1:12">
      <c r="A111" t="s">
        <v>130</v>
      </c>
      <c r="B111">
        <v>2</v>
      </c>
      <c r="C111">
        <v>3</v>
      </c>
      <c r="D111">
        <v>3</v>
      </c>
      <c r="E111">
        <v>2</v>
      </c>
      <c r="F111">
        <v>2</v>
      </c>
      <c r="G111">
        <v>2</v>
      </c>
      <c r="H111">
        <v>3</v>
      </c>
      <c r="I111">
        <v>2</v>
      </c>
      <c r="J111">
        <v>2</v>
      </c>
      <c r="K111" t="str">
        <f>SUM(B111:J111)</f>
        <v>0</v>
      </c>
    </row>
    <row r="112" spans="1:12">
      <c r="A112" t="s">
        <v>131</v>
      </c>
      <c r="B112">
        <v>1</v>
      </c>
      <c r="C112">
        <v>2</v>
      </c>
      <c r="D112">
        <v>1</v>
      </c>
      <c r="E112">
        <v>1</v>
      </c>
      <c r="F112">
        <v>2</v>
      </c>
      <c r="G112">
        <v>2</v>
      </c>
      <c r="H112">
        <v>1</v>
      </c>
      <c r="I112">
        <v>2</v>
      </c>
      <c r="J112">
        <v>2</v>
      </c>
      <c r="K112" t="str">
        <f>SUM(B112:J112)</f>
        <v>0</v>
      </c>
    </row>
    <row r="113" spans="1:12">
      <c r="A113" t="s">
        <v>132</v>
      </c>
      <c r="B113">
        <v>3</v>
      </c>
      <c r="C113">
        <v>3</v>
      </c>
      <c r="D113">
        <v>2</v>
      </c>
      <c r="E113">
        <v>3</v>
      </c>
      <c r="F113">
        <v>3</v>
      </c>
      <c r="G113">
        <v>3</v>
      </c>
      <c r="H113">
        <v>3</v>
      </c>
      <c r="I113">
        <v>3</v>
      </c>
      <c r="J113">
        <v>3</v>
      </c>
      <c r="K113" t="str">
        <f>SUM(B113:J113)</f>
        <v>0</v>
      </c>
    </row>
    <row r="114" spans="1:12">
      <c r="A114" t="s">
        <v>133</v>
      </c>
      <c r="B114">
        <v>2</v>
      </c>
      <c r="C114">
        <v>2</v>
      </c>
      <c r="D114">
        <v>2</v>
      </c>
      <c r="E114">
        <v>2</v>
      </c>
      <c r="F114">
        <v>3</v>
      </c>
      <c r="G114">
        <v>3</v>
      </c>
      <c r="H114">
        <v>3</v>
      </c>
      <c r="I114">
        <v>3</v>
      </c>
      <c r="J114">
        <v>2</v>
      </c>
      <c r="K114" t="str">
        <f>SUM(B114:J114)</f>
        <v>0</v>
      </c>
    </row>
    <row r="115" spans="1:12">
      <c r="A115" t="s">
        <v>134</v>
      </c>
      <c r="B115">
        <v>2</v>
      </c>
      <c r="C115">
        <v>2</v>
      </c>
      <c r="D115">
        <v>3</v>
      </c>
      <c r="E115">
        <v>3</v>
      </c>
      <c r="F115">
        <v>3</v>
      </c>
      <c r="G115">
        <v>4</v>
      </c>
      <c r="H115">
        <v>3</v>
      </c>
      <c r="I115">
        <v>3</v>
      </c>
      <c r="J115">
        <v>2</v>
      </c>
      <c r="K115" t="str">
        <f>SUM(B115:J115)</f>
        <v>0</v>
      </c>
    </row>
    <row r="116" spans="1:12">
      <c r="A116" t="s">
        <v>135</v>
      </c>
      <c r="B116">
        <v>1</v>
      </c>
      <c r="C116">
        <v>2</v>
      </c>
      <c r="D116">
        <v>2</v>
      </c>
      <c r="E116">
        <v>2</v>
      </c>
      <c r="F116">
        <v>2</v>
      </c>
      <c r="G116">
        <v>2</v>
      </c>
      <c r="H116">
        <v>2</v>
      </c>
      <c r="I116">
        <v>2</v>
      </c>
      <c r="J116">
        <v>2</v>
      </c>
      <c r="K116" t="str">
        <f>SUM(B116:J116)</f>
        <v>0</v>
      </c>
    </row>
    <row r="117" spans="1:12">
      <c r="A117" t="s">
        <v>136</v>
      </c>
      <c r="B117">
        <v>3</v>
      </c>
      <c r="C117">
        <v>3</v>
      </c>
      <c r="D117">
        <v>4</v>
      </c>
      <c r="E117">
        <v>4</v>
      </c>
      <c r="F117">
        <v>3</v>
      </c>
      <c r="G117">
        <v>4</v>
      </c>
      <c r="H117">
        <v>3</v>
      </c>
      <c r="I117">
        <v>3</v>
      </c>
      <c r="J117">
        <v>3</v>
      </c>
      <c r="K117" t="str">
        <f>SUM(B117:J117)</f>
        <v>0</v>
      </c>
    </row>
    <row r="118" spans="1:12">
      <c r="A118" t="s">
        <v>137</v>
      </c>
      <c r="B118">
        <v>2</v>
      </c>
      <c r="C118">
        <v>3</v>
      </c>
      <c r="D118">
        <v>3</v>
      </c>
      <c r="E118">
        <v>3</v>
      </c>
      <c r="F118">
        <v>4</v>
      </c>
      <c r="G118">
        <v>3</v>
      </c>
      <c r="H118">
        <v>4</v>
      </c>
      <c r="I118">
        <v>3</v>
      </c>
      <c r="J118">
        <v>4</v>
      </c>
      <c r="K118" t="str">
        <f>SUM(B118:J118)</f>
        <v>0</v>
      </c>
    </row>
    <row r="119" spans="1:12">
      <c r="A119" t="s">
        <v>138</v>
      </c>
      <c r="B119">
        <v>4</v>
      </c>
      <c r="C119">
        <v>3</v>
      </c>
      <c r="D119">
        <v>4</v>
      </c>
      <c r="E119">
        <v>3</v>
      </c>
      <c r="F119">
        <v>3</v>
      </c>
      <c r="G119">
        <v>3</v>
      </c>
      <c r="H119">
        <v>4</v>
      </c>
      <c r="I119">
        <v>3</v>
      </c>
      <c r="J119">
        <v>5</v>
      </c>
      <c r="K119" t="str">
        <f>SUM(B119:J119)</f>
        <v>0</v>
      </c>
    </row>
    <row r="120" spans="1:12">
      <c r="A120" t="s">
        <v>139</v>
      </c>
      <c r="B120">
        <v>4</v>
      </c>
      <c r="C120">
        <v>5</v>
      </c>
      <c r="D120">
        <v>5</v>
      </c>
      <c r="E120">
        <v>3</v>
      </c>
      <c r="F120">
        <v>4</v>
      </c>
      <c r="G120">
        <v>4</v>
      </c>
      <c r="H120">
        <v>4</v>
      </c>
      <c r="I120">
        <v>3</v>
      </c>
      <c r="J120">
        <v>5</v>
      </c>
      <c r="K120" t="str">
        <f>SUM(B120:J120)</f>
        <v>0</v>
      </c>
    </row>
    <row r="121" spans="1:12">
      <c r="A121" t="s">
        <v>140</v>
      </c>
      <c r="B121">
        <v>3</v>
      </c>
      <c r="C121">
        <v>3</v>
      </c>
      <c r="D121">
        <v>3</v>
      </c>
      <c r="E121">
        <v>2</v>
      </c>
      <c r="F121">
        <v>2</v>
      </c>
      <c r="G121">
        <v>3</v>
      </c>
      <c r="H121">
        <v>3</v>
      </c>
      <c r="I121">
        <v>2</v>
      </c>
      <c r="J121">
        <v>3</v>
      </c>
      <c r="K121" t="str">
        <f>SUM(B121:J121)</f>
        <v>0</v>
      </c>
    </row>
    <row r="122" spans="1:12">
      <c r="A122" t="s">
        <v>141</v>
      </c>
      <c r="B122">
        <v>3</v>
      </c>
      <c r="C122">
        <v>4</v>
      </c>
      <c r="D122">
        <v>3</v>
      </c>
      <c r="E122">
        <v>3</v>
      </c>
      <c r="F122">
        <v>3</v>
      </c>
      <c r="G122">
        <v>3</v>
      </c>
      <c r="H122">
        <v>3</v>
      </c>
      <c r="I122">
        <v>4</v>
      </c>
      <c r="J122">
        <v>3</v>
      </c>
      <c r="K122" t="str">
        <f>SUM(B122:J122)</f>
        <v>0</v>
      </c>
    </row>
    <row r="123" spans="1:12">
      <c r="A123" t="s">
        <v>142</v>
      </c>
      <c r="B123">
        <v>2</v>
      </c>
      <c r="C123">
        <v>2</v>
      </c>
      <c r="D123">
        <v>2</v>
      </c>
      <c r="E123">
        <v>2</v>
      </c>
      <c r="F123">
        <v>2</v>
      </c>
      <c r="G123">
        <v>2</v>
      </c>
      <c r="H123">
        <v>3</v>
      </c>
      <c r="I123">
        <v>2</v>
      </c>
      <c r="J123">
        <v>3</v>
      </c>
      <c r="K123" t="str">
        <f>SUM(B123:J123)</f>
        <v>0</v>
      </c>
    </row>
    <row r="124" spans="1:12">
      <c r="A124" t="s">
        <v>143</v>
      </c>
      <c r="B124">
        <v>3</v>
      </c>
      <c r="C124">
        <v>3</v>
      </c>
      <c r="D124">
        <v>4</v>
      </c>
      <c r="E124">
        <v>4</v>
      </c>
      <c r="F124">
        <v>5</v>
      </c>
      <c r="G124">
        <v>4</v>
      </c>
      <c r="H124">
        <v>5</v>
      </c>
      <c r="I124">
        <v>4</v>
      </c>
      <c r="J124">
        <v>5</v>
      </c>
      <c r="K124" t="str">
        <f>SUM(B124:J124)</f>
        <v>0</v>
      </c>
    </row>
    <row r="125" spans="1:12">
      <c r="A125" t="s">
        <v>144</v>
      </c>
      <c r="B125">
        <v>4</v>
      </c>
      <c r="C125">
        <v>3</v>
      </c>
      <c r="D125">
        <v>3</v>
      </c>
      <c r="E125">
        <v>4</v>
      </c>
      <c r="F125">
        <v>3</v>
      </c>
      <c r="G125">
        <v>5</v>
      </c>
      <c r="H125">
        <v>5</v>
      </c>
      <c r="I125">
        <v>3</v>
      </c>
      <c r="J125">
        <v>4</v>
      </c>
      <c r="K125" t="str">
        <f>SUM(B125:J125)</f>
        <v>0</v>
      </c>
    </row>
    <row r="126" spans="1:12">
      <c r="A126" t="s">
        <v>145</v>
      </c>
      <c r="B126">
        <v>2</v>
      </c>
      <c r="C126">
        <v>2</v>
      </c>
      <c r="D126">
        <v>2</v>
      </c>
      <c r="E126">
        <v>2</v>
      </c>
      <c r="F126">
        <v>2</v>
      </c>
      <c r="G126">
        <v>2</v>
      </c>
      <c r="H126">
        <v>3</v>
      </c>
      <c r="I126">
        <v>2</v>
      </c>
      <c r="J126">
        <v>2</v>
      </c>
      <c r="K126" t="str">
        <f>SUM(B126:J126)</f>
        <v>0</v>
      </c>
    </row>
    <row r="127" spans="1:12">
      <c r="A127" t="s">
        <v>146</v>
      </c>
      <c r="B127">
        <v>1</v>
      </c>
      <c r="C127">
        <v>2</v>
      </c>
      <c r="D127">
        <v>1</v>
      </c>
      <c r="E127">
        <v>1</v>
      </c>
      <c r="F127">
        <v>1</v>
      </c>
      <c r="G127">
        <v>1</v>
      </c>
      <c r="H127">
        <v>2</v>
      </c>
      <c r="I127">
        <v>1</v>
      </c>
      <c r="J127">
        <v>2</v>
      </c>
      <c r="K127" t="str">
        <f>SUM(B127:J127)</f>
        <v>0</v>
      </c>
    </row>
    <row r="128" spans="1:12">
      <c r="A128" t="s">
        <v>147</v>
      </c>
      <c r="B128">
        <v>2</v>
      </c>
      <c r="C128">
        <v>2</v>
      </c>
      <c r="D128">
        <v>2</v>
      </c>
      <c r="E128">
        <v>2</v>
      </c>
      <c r="F128">
        <v>2</v>
      </c>
      <c r="G128">
        <v>2</v>
      </c>
      <c r="H128">
        <v>3</v>
      </c>
      <c r="I128">
        <v>2</v>
      </c>
      <c r="J128">
        <v>3</v>
      </c>
      <c r="K128" t="str">
        <f>SUM(B128:J128)</f>
        <v>0</v>
      </c>
    </row>
    <row r="129" spans="1:12">
      <c r="A129" t="s">
        <v>148</v>
      </c>
      <c r="B129">
        <v>5</v>
      </c>
      <c r="C129">
        <v>5</v>
      </c>
      <c r="D129">
        <v>5</v>
      </c>
      <c r="E129">
        <v>4</v>
      </c>
      <c r="F129">
        <v>5</v>
      </c>
      <c r="G129">
        <v>4</v>
      </c>
      <c r="H129">
        <v>5</v>
      </c>
      <c r="I129">
        <v>4</v>
      </c>
      <c r="J129">
        <v>4</v>
      </c>
      <c r="K129" t="str">
        <f>SUM(B129:J129)</f>
        <v>0</v>
      </c>
    </row>
    <row r="130" spans="1:12">
      <c r="A130" t="s">
        <v>149</v>
      </c>
      <c r="B130">
        <v>3</v>
      </c>
      <c r="C130">
        <v>3</v>
      </c>
      <c r="D130">
        <v>2</v>
      </c>
      <c r="E130">
        <v>3</v>
      </c>
      <c r="F130">
        <v>3</v>
      </c>
      <c r="G130">
        <v>2</v>
      </c>
      <c r="H130">
        <v>3</v>
      </c>
      <c r="I130">
        <v>4</v>
      </c>
      <c r="J130">
        <v>2</v>
      </c>
      <c r="K130" t="str">
        <f>SUM(B130:J130)</f>
        <v>0</v>
      </c>
    </row>
    <row r="131" spans="1:12">
      <c r="A131" t="s">
        <v>150</v>
      </c>
      <c r="B131">
        <v>4</v>
      </c>
      <c r="C131">
        <v>4</v>
      </c>
      <c r="D131">
        <v>5</v>
      </c>
      <c r="E131">
        <v>4</v>
      </c>
      <c r="F131">
        <v>5</v>
      </c>
      <c r="G131">
        <v>5</v>
      </c>
      <c r="H131">
        <v>5</v>
      </c>
      <c r="I131">
        <v>5</v>
      </c>
      <c r="J131">
        <v>4</v>
      </c>
      <c r="K131" t="str">
        <f>SUM(B131:J131)</f>
        <v>0</v>
      </c>
    </row>
    <row r="132" spans="1:12">
      <c r="A132" t="s">
        <v>151</v>
      </c>
      <c r="B132">
        <v>5</v>
      </c>
      <c r="C132">
        <v>4</v>
      </c>
      <c r="D132">
        <v>4</v>
      </c>
      <c r="E132">
        <v>4</v>
      </c>
      <c r="F132">
        <v>5</v>
      </c>
      <c r="G132">
        <v>5</v>
      </c>
      <c r="H132">
        <v>3</v>
      </c>
      <c r="I132">
        <v>3</v>
      </c>
      <c r="J132">
        <v>4</v>
      </c>
      <c r="K132" t="str">
        <f>SUM(B132:J132)</f>
        <v>0</v>
      </c>
    </row>
    <row r="133" spans="1:12">
      <c r="A133" t="s">
        <v>152</v>
      </c>
      <c r="B133">
        <v>1</v>
      </c>
      <c r="C133">
        <v>1</v>
      </c>
      <c r="D133">
        <v>1</v>
      </c>
      <c r="E133">
        <v>1</v>
      </c>
      <c r="F133">
        <v>1</v>
      </c>
      <c r="G133">
        <v>1</v>
      </c>
      <c r="H133">
        <v>1</v>
      </c>
      <c r="I133">
        <v>1</v>
      </c>
      <c r="J133">
        <v>1</v>
      </c>
      <c r="K133" t="str">
        <f>SUM(B133:J133)</f>
        <v>0</v>
      </c>
    </row>
    <row r="134" spans="1:12">
      <c r="A134" t="s">
        <v>153</v>
      </c>
      <c r="B134">
        <v>2</v>
      </c>
      <c r="C134">
        <v>2</v>
      </c>
      <c r="D134">
        <v>1</v>
      </c>
      <c r="E134">
        <v>1</v>
      </c>
      <c r="F134">
        <v>1</v>
      </c>
      <c r="G134">
        <v>1</v>
      </c>
      <c r="H134">
        <v>1</v>
      </c>
      <c r="I134">
        <v>1</v>
      </c>
      <c r="J134">
        <v>1</v>
      </c>
      <c r="K134" t="str">
        <f>SUM(B134:J134)</f>
        <v>0</v>
      </c>
    </row>
    <row r="135" spans="1:12">
      <c r="A135" t="s">
        <v>154</v>
      </c>
      <c r="B135">
        <v>2</v>
      </c>
      <c r="C135">
        <v>2</v>
      </c>
      <c r="D135">
        <v>3</v>
      </c>
      <c r="E135">
        <v>3</v>
      </c>
      <c r="F135">
        <v>3</v>
      </c>
      <c r="G135">
        <v>3</v>
      </c>
      <c r="H135">
        <v>2</v>
      </c>
      <c r="I135">
        <v>2</v>
      </c>
      <c r="J135">
        <v>2</v>
      </c>
      <c r="K135" t="str">
        <f>SUM(B135:J135)</f>
        <v>0</v>
      </c>
    </row>
    <row r="136" spans="1:12">
      <c r="A136" t="s">
        <v>155</v>
      </c>
      <c r="B136">
        <v>3</v>
      </c>
      <c r="C136">
        <v>2</v>
      </c>
      <c r="D136">
        <v>3</v>
      </c>
      <c r="E136">
        <v>2</v>
      </c>
      <c r="F136">
        <v>3</v>
      </c>
      <c r="G136">
        <v>3</v>
      </c>
      <c r="H136">
        <v>4</v>
      </c>
      <c r="I136">
        <v>2</v>
      </c>
      <c r="J136">
        <v>3</v>
      </c>
      <c r="K136" t="str">
        <f>SUM(B136:J136)</f>
        <v>0</v>
      </c>
    </row>
    <row r="137" spans="1:12">
      <c r="A137" t="s">
        <v>156</v>
      </c>
      <c r="B137">
        <v>1</v>
      </c>
      <c r="C137">
        <v>1</v>
      </c>
      <c r="D137">
        <v>2</v>
      </c>
      <c r="E137">
        <v>1</v>
      </c>
      <c r="F137">
        <v>1</v>
      </c>
      <c r="G137">
        <v>1</v>
      </c>
      <c r="H137">
        <v>1</v>
      </c>
      <c r="I137">
        <v>2</v>
      </c>
      <c r="J137">
        <v>1</v>
      </c>
      <c r="K137" t="str">
        <f>SUM(B137:J137)</f>
        <v>0</v>
      </c>
    </row>
    <row r="138" spans="1:12">
      <c r="A138" t="s">
        <v>157</v>
      </c>
      <c r="B138">
        <v>3</v>
      </c>
      <c r="C138">
        <v>3</v>
      </c>
      <c r="D138">
        <v>2</v>
      </c>
      <c r="E138">
        <v>3</v>
      </c>
      <c r="F138">
        <v>2</v>
      </c>
      <c r="G138">
        <v>3</v>
      </c>
      <c r="H138">
        <v>2</v>
      </c>
      <c r="I138">
        <v>3</v>
      </c>
      <c r="J138">
        <v>2</v>
      </c>
      <c r="K138" t="str">
        <f>SUM(B138:J138)</f>
        <v>0</v>
      </c>
    </row>
    <row r="139" spans="1:12">
      <c r="A139" t="s">
        <v>158</v>
      </c>
      <c r="B139">
        <v>5</v>
      </c>
      <c r="C139">
        <v>5</v>
      </c>
      <c r="D139">
        <v>3</v>
      </c>
      <c r="E139">
        <v>5</v>
      </c>
      <c r="F139">
        <v>5</v>
      </c>
      <c r="G139">
        <v>4</v>
      </c>
      <c r="H139">
        <v>4</v>
      </c>
      <c r="I139">
        <v>5</v>
      </c>
      <c r="J139">
        <v>5</v>
      </c>
      <c r="K139" t="str">
        <f>SUM(B139:J139)</f>
        <v>0</v>
      </c>
    </row>
    <row r="140" spans="1:12">
      <c r="A140" t="s">
        <v>159</v>
      </c>
      <c r="B140">
        <v>4</v>
      </c>
      <c r="C140">
        <v>4</v>
      </c>
      <c r="D140">
        <v>5</v>
      </c>
      <c r="E140">
        <v>4</v>
      </c>
      <c r="F140">
        <v>3</v>
      </c>
      <c r="G140">
        <v>3</v>
      </c>
      <c r="H140">
        <v>5</v>
      </c>
      <c r="I140">
        <v>5</v>
      </c>
      <c r="J140">
        <v>3</v>
      </c>
      <c r="K140" t="str">
        <f>SUM(B140:J140)</f>
        <v>0</v>
      </c>
    </row>
    <row r="141" spans="1:12">
      <c r="A141" t="s">
        <v>160</v>
      </c>
      <c r="B141">
        <v>3</v>
      </c>
      <c r="C141">
        <v>2</v>
      </c>
      <c r="D141">
        <v>2</v>
      </c>
      <c r="E141">
        <v>2</v>
      </c>
      <c r="F141">
        <v>3</v>
      </c>
      <c r="G141">
        <v>2</v>
      </c>
      <c r="H141">
        <v>3</v>
      </c>
      <c r="I141">
        <v>2</v>
      </c>
      <c r="J141">
        <v>3</v>
      </c>
      <c r="K141" t="str">
        <f>SUM(B141:J141)</f>
        <v>0</v>
      </c>
    </row>
    <row r="142" spans="1:12">
      <c r="A142" t="s">
        <v>161</v>
      </c>
      <c r="B142">
        <v>2</v>
      </c>
      <c r="C142">
        <v>2</v>
      </c>
      <c r="D142">
        <v>2</v>
      </c>
      <c r="E142">
        <v>2</v>
      </c>
      <c r="F142">
        <v>2</v>
      </c>
      <c r="G142">
        <v>2</v>
      </c>
      <c r="H142">
        <v>2</v>
      </c>
      <c r="I142">
        <v>2</v>
      </c>
      <c r="J142">
        <v>2</v>
      </c>
      <c r="K142" t="str">
        <f>SUM(B142:J142)</f>
        <v>0</v>
      </c>
    </row>
    <row r="143" spans="1:12">
      <c r="A143" t="s">
        <v>162</v>
      </c>
      <c r="B143">
        <v>4</v>
      </c>
      <c r="C143">
        <v>5</v>
      </c>
      <c r="D143">
        <v>3</v>
      </c>
      <c r="E143">
        <v>4</v>
      </c>
      <c r="F143">
        <v>5</v>
      </c>
      <c r="G143">
        <v>5</v>
      </c>
      <c r="H143">
        <v>5</v>
      </c>
      <c r="I143">
        <v>3</v>
      </c>
      <c r="J143">
        <v>4</v>
      </c>
      <c r="K143" t="str">
        <f>SUM(B143:J143)</f>
        <v>0</v>
      </c>
    </row>
    <row r="144" spans="1:12">
      <c r="A144" t="s">
        <v>163</v>
      </c>
      <c r="B144">
        <v>1</v>
      </c>
      <c r="C144">
        <v>1</v>
      </c>
      <c r="D144">
        <v>1</v>
      </c>
      <c r="E144">
        <v>1</v>
      </c>
      <c r="F144">
        <v>1</v>
      </c>
      <c r="G144">
        <v>1</v>
      </c>
      <c r="H144">
        <v>1</v>
      </c>
      <c r="I144">
        <v>1</v>
      </c>
      <c r="J144">
        <v>1</v>
      </c>
      <c r="K144" t="str">
        <f>SUM(B144:J144)</f>
        <v>0</v>
      </c>
    </row>
    <row r="145" spans="1:12">
      <c r="A145" t="s">
        <v>164</v>
      </c>
      <c r="B145">
        <v>3</v>
      </c>
      <c r="C145">
        <v>3</v>
      </c>
      <c r="D145">
        <v>3</v>
      </c>
      <c r="E145">
        <v>3</v>
      </c>
      <c r="F145">
        <v>4</v>
      </c>
      <c r="G145">
        <v>5</v>
      </c>
      <c r="H145">
        <v>3</v>
      </c>
      <c r="I145">
        <v>3</v>
      </c>
      <c r="J145">
        <v>3</v>
      </c>
      <c r="K145" t="str">
        <f>SUM(B145:J145)</f>
        <v>0</v>
      </c>
    </row>
    <row r="146" spans="1:12">
      <c r="A146" t="s">
        <v>165</v>
      </c>
      <c r="B146">
        <v>4</v>
      </c>
      <c r="C146">
        <v>4</v>
      </c>
      <c r="D146">
        <v>2</v>
      </c>
      <c r="E146">
        <v>3</v>
      </c>
      <c r="F146">
        <v>4</v>
      </c>
      <c r="G146">
        <v>2</v>
      </c>
      <c r="H146">
        <v>3</v>
      </c>
      <c r="I146">
        <v>4</v>
      </c>
      <c r="J146">
        <v>3</v>
      </c>
      <c r="K146" t="str">
        <f>SUM(B146:J146)</f>
        <v>0</v>
      </c>
    </row>
    <row r="147" spans="1:12">
      <c r="A147" t="s">
        <v>166</v>
      </c>
      <c r="B147">
        <v>4</v>
      </c>
      <c r="C147">
        <v>3</v>
      </c>
      <c r="D147">
        <v>3</v>
      </c>
      <c r="E147">
        <v>2</v>
      </c>
      <c r="F147">
        <v>3</v>
      </c>
      <c r="G147">
        <v>3</v>
      </c>
      <c r="H147">
        <v>4</v>
      </c>
      <c r="I147">
        <v>2</v>
      </c>
      <c r="J147">
        <v>4</v>
      </c>
      <c r="K147" t="str">
        <f>SUM(B147:J147)</f>
        <v>0</v>
      </c>
    </row>
    <row r="148" spans="1:12">
      <c r="A148" t="s">
        <v>167</v>
      </c>
      <c r="B148">
        <v>2</v>
      </c>
      <c r="C148">
        <v>2</v>
      </c>
      <c r="D148">
        <v>1</v>
      </c>
      <c r="E148">
        <v>3</v>
      </c>
      <c r="F148">
        <v>3</v>
      </c>
      <c r="G148">
        <v>3</v>
      </c>
      <c r="H148">
        <v>2</v>
      </c>
      <c r="I148">
        <v>2</v>
      </c>
      <c r="J148">
        <v>2</v>
      </c>
      <c r="K148" t="str">
        <f>SUM(B148:J148)</f>
        <v>0</v>
      </c>
    </row>
    <row r="149" spans="1:12">
      <c r="A149" t="s">
        <v>168</v>
      </c>
      <c r="B149">
        <v>1</v>
      </c>
      <c r="C149">
        <v>2</v>
      </c>
      <c r="D149">
        <v>1</v>
      </c>
      <c r="E149">
        <v>1</v>
      </c>
      <c r="F149">
        <v>1</v>
      </c>
      <c r="G149">
        <v>1</v>
      </c>
      <c r="H149">
        <v>2</v>
      </c>
      <c r="I149">
        <v>1</v>
      </c>
      <c r="J149">
        <v>1</v>
      </c>
      <c r="K149" t="str">
        <f>SUM(B149:J149)</f>
        <v>0</v>
      </c>
    </row>
    <row r="150" spans="1:12">
      <c r="A150" t="s">
        <v>169</v>
      </c>
      <c r="B150">
        <v>4</v>
      </c>
      <c r="C150">
        <v>3</v>
      </c>
      <c r="D150">
        <v>3</v>
      </c>
      <c r="E150">
        <v>4</v>
      </c>
      <c r="F150">
        <v>3</v>
      </c>
      <c r="G150">
        <v>2</v>
      </c>
      <c r="H150">
        <v>4</v>
      </c>
      <c r="I150">
        <v>5</v>
      </c>
      <c r="J150">
        <v>3</v>
      </c>
      <c r="K150" t="str">
        <f>SUM(B150:J150)</f>
        <v>0</v>
      </c>
    </row>
    <row r="151" spans="1:12">
      <c r="A151" t="s">
        <v>170</v>
      </c>
      <c r="B151">
        <v>5</v>
      </c>
      <c r="C151">
        <v>5</v>
      </c>
      <c r="D151">
        <v>5</v>
      </c>
      <c r="E151">
        <v>4</v>
      </c>
      <c r="F151">
        <v>4</v>
      </c>
      <c r="G151">
        <v>4</v>
      </c>
      <c r="H151">
        <v>5</v>
      </c>
      <c r="I151">
        <v>5</v>
      </c>
      <c r="J151">
        <v>4</v>
      </c>
      <c r="K151" t="str">
        <f>SUM(B151:J151)</f>
        <v>0</v>
      </c>
    </row>
    <row r="152" spans="1:12">
      <c r="A152" t="s">
        <v>171</v>
      </c>
      <c r="B152">
        <v>4</v>
      </c>
      <c r="C152">
        <v>4</v>
      </c>
      <c r="D152">
        <v>3</v>
      </c>
      <c r="E152">
        <v>4</v>
      </c>
      <c r="F152">
        <v>2</v>
      </c>
      <c r="G152">
        <v>4</v>
      </c>
      <c r="H152">
        <v>3</v>
      </c>
      <c r="I152">
        <v>4</v>
      </c>
      <c r="J152">
        <v>4</v>
      </c>
      <c r="K152" t="str">
        <f>SUM(B152:J152)</f>
        <v>0</v>
      </c>
    </row>
    <row r="153" spans="1:12">
      <c r="A153" t="s">
        <v>172</v>
      </c>
      <c r="B153">
        <v>5</v>
      </c>
      <c r="C153">
        <v>4</v>
      </c>
      <c r="D153">
        <v>4</v>
      </c>
      <c r="E153">
        <v>4</v>
      </c>
      <c r="F153">
        <v>4</v>
      </c>
      <c r="G153">
        <v>4</v>
      </c>
      <c r="H153">
        <v>4</v>
      </c>
      <c r="I153">
        <v>4</v>
      </c>
      <c r="J153">
        <v>5</v>
      </c>
      <c r="K153" t="str">
        <f>SUM(B153:J153)</f>
        <v>0</v>
      </c>
    </row>
    <row r="154" spans="1:12">
      <c r="A154" t="s">
        <v>173</v>
      </c>
      <c r="B154">
        <v>4</v>
      </c>
      <c r="C154">
        <v>2</v>
      </c>
      <c r="D154">
        <v>2</v>
      </c>
      <c r="E154">
        <v>4</v>
      </c>
      <c r="F154">
        <v>3</v>
      </c>
      <c r="G154">
        <v>2</v>
      </c>
      <c r="H154">
        <v>4</v>
      </c>
      <c r="I154">
        <v>3</v>
      </c>
      <c r="J154">
        <v>3</v>
      </c>
      <c r="K154" t="str">
        <f>SUM(B154:J154)</f>
        <v>0</v>
      </c>
    </row>
    <row r="155" spans="1:12">
      <c r="A155" t="s">
        <v>174</v>
      </c>
      <c r="B155">
        <v>2</v>
      </c>
      <c r="C155">
        <v>2</v>
      </c>
      <c r="D155">
        <v>4</v>
      </c>
      <c r="E155">
        <v>4</v>
      </c>
      <c r="F155">
        <v>3</v>
      </c>
      <c r="G155">
        <v>3</v>
      </c>
      <c r="H155">
        <v>3</v>
      </c>
      <c r="I155">
        <v>3</v>
      </c>
      <c r="J155">
        <v>4</v>
      </c>
      <c r="K155" t="str">
        <f>SUM(B155:J155)</f>
        <v>0</v>
      </c>
    </row>
    <row r="156" spans="1:12">
      <c r="A156" t="s">
        <v>175</v>
      </c>
      <c r="B156">
        <v>4</v>
      </c>
      <c r="C156">
        <v>4</v>
      </c>
      <c r="D156">
        <v>4</v>
      </c>
      <c r="E156">
        <v>4</v>
      </c>
      <c r="F156">
        <v>5</v>
      </c>
      <c r="G156">
        <v>4</v>
      </c>
      <c r="H156">
        <v>5</v>
      </c>
      <c r="I156">
        <v>5</v>
      </c>
      <c r="J156">
        <v>5</v>
      </c>
      <c r="K156" t="str">
        <f>SUM(B156:J156)</f>
        <v>0</v>
      </c>
    </row>
    <row r="157" spans="1:12">
      <c r="A157" t="s">
        <v>176</v>
      </c>
      <c r="B157">
        <v>3</v>
      </c>
      <c r="C157">
        <v>2</v>
      </c>
      <c r="D157">
        <v>3</v>
      </c>
      <c r="E157">
        <v>2</v>
      </c>
      <c r="F157">
        <v>3</v>
      </c>
      <c r="G157">
        <v>3</v>
      </c>
      <c r="H157">
        <v>2</v>
      </c>
      <c r="I157">
        <v>3</v>
      </c>
      <c r="J157">
        <v>3</v>
      </c>
      <c r="K157" t="str">
        <f>SUM(B157:J157)</f>
        <v>0</v>
      </c>
    </row>
    <row r="158" spans="1:12">
      <c r="A158" t="s">
        <v>177</v>
      </c>
      <c r="B158">
        <v>5</v>
      </c>
      <c r="C158">
        <v>5</v>
      </c>
      <c r="D158">
        <v>4</v>
      </c>
      <c r="E158">
        <v>5</v>
      </c>
      <c r="F158">
        <v>5</v>
      </c>
      <c r="G158">
        <v>3</v>
      </c>
      <c r="H158">
        <v>4</v>
      </c>
      <c r="I158">
        <v>4</v>
      </c>
      <c r="J158">
        <v>5</v>
      </c>
      <c r="K158" t="str">
        <f>SUM(B158:J158)</f>
        <v>0</v>
      </c>
    </row>
    <row r="159" spans="1:12">
      <c r="A159" t="s">
        <v>178</v>
      </c>
      <c r="B159">
        <v>4</v>
      </c>
      <c r="C159">
        <v>3</v>
      </c>
      <c r="D159">
        <v>3</v>
      </c>
      <c r="E159">
        <v>3</v>
      </c>
      <c r="F159">
        <v>4</v>
      </c>
      <c r="G159">
        <v>3</v>
      </c>
      <c r="H159">
        <v>5</v>
      </c>
      <c r="I159">
        <v>4</v>
      </c>
      <c r="J159">
        <v>5</v>
      </c>
      <c r="K159" t="str">
        <f>SUM(B159:J159)</f>
        <v>0</v>
      </c>
    </row>
    <row r="160" spans="1:12">
      <c r="A160" t="s">
        <v>179</v>
      </c>
      <c r="B160">
        <v>3</v>
      </c>
      <c r="C160">
        <v>3</v>
      </c>
      <c r="D160">
        <v>3</v>
      </c>
      <c r="E160">
        <v>2</v>
      </c>
      <c r="F160">
        <v>4</v>
      </c>
      <c r="G160">
        <v>4</v>
      </c>
      <c r="H160">
        <v>4</v>
      </c>
      <c r="I160">
        <v>3</v>
      </c>
      <c r="J160">
        <v>4</v>
      </c>
      <c r="K160" t="str">
        <f>SUM(B160:J160)</f>
        <v>0</v>
      </c>
    </row>
    <row r="161" spans="1:12">
      <c r="A161" t="s">
        <v>180</v>
      </c>
      <c r="B161">
        <v>2</v>
      </c>
      <c r="C161">
        <v>1</v>
      </c>
      <c r="D161">
        <v>1</v>
      </c>
      <c r="E161">
        <v>2</v>
      </c>
      <c r="F161">
        <v>2</v>
      </c>
      <c r="G161">
        <v>2</v>
      </c>
      <c r="H161">
        <v>2</v>
      </c>
      <c r="I161">
        <v>2</v>
      </c>
      <c r="J161">
        <v>2</v>
      </c>
      <c r="K161" t="str">
        <f>SUM(B161:J161)</f>
        <v>0</v>
      </c>
    </row>
    <row r="162" spans="1:12">
      <c r="A162" t="s">
        <v>181</v>
      </c>
      <c r="B162">
        <v>5</v>
      </c>
      <c r="C162">
        <v>4</v>
      </c>
      <c r="D162">
        <v>5</v>
      </c>
      <c r="E162">
        <v>5</v>
      </c>
      <c r="F162">
        <v>4</v>
      </c>
      <c r="G162">
        <v>4</v>
      </c>
      <c r="H162">
        <v>4</v>
      </c>
      <c r="I162">
        <v>5</v>
      </c>
      <c r="J162">
        <v>4</v>
      </c>
      <c r="K162" t="str">
        <f>SUM(B162:J162)</f>
        <v>0</v>
      </c>
    </row>
    <row r="163" spans="1:12">
      <c r="A163" t="s">
        <v>182</v>
      </c>
      <c r="B163">
        <v>3</v>
      </c>
      <c r="C163">
        <v>3</v>
      </c>
      <c r="D163">
        <v>3</v>
      </c>
      <c r="E163">
        <v>3</v>
      </c>
      <c r="F163">
        <v>3</v>
      </c>
      <c r="G163">
        <v>3</v>
      </c>
      <c r="H163">
        <v>3</v>
      </c>
      <c r="I163">
        <v>3</v>
      </c>
      <c r="J163">
        <v>3</v>
      </c>
      <c r="K163" t="str">
        <f>SUM(B163:J163)</f>
        <v>0</v>
      </c>
    </row>
    <row r="164" spans="1:12">
      <c r="A164" t="s">
        <v>183</v>
      </c>
      <c r="B164">
        <v>2</v>
      </c>
      <c r="C164">
        <v>1</v>
      </c>
      <c r="D164">
        <v>2</v>
      </c>
      <c r="E164">
        <v>2</v>
      </c>
      <c r="F164">
        <v>2</v>
      </c>
      <c r="G164">
        <v>1</v>
      </c>
      <c r="H164">
        <v>1</v>
      </c>
      <c r="I164">
        <v>2</v>
      </c>
      <c r="J164">
        <v>2</v>
      </c>
      <c r="K164" t="str">
        <f>SUM(B164:J164)</f>
        <v>0</v>
      </c>
    </row>
    <row r="165" spans="1:12">
      <c r="A165" t="s">
        <v>184</v>
      </c>
      <c r="B165">
        <v>5</v>
      </c>
      <c r="C165">
        <v>4</v>
      </c>
      <c r="D165">
        <v>5</v>
      </c>
      <c r="E165">
        <v>3</v>
      </c>
      <c r="F165">
        <v>5</v>
      </c>
      <c r="G165">
        <v>4</v>
      </c>
      <c r="H165">
        <v>4</v>
      </c>
      <c r="I165">
        <v>4</v>
      </c>
      <c r="J165">
        <v>5</v>
      </c>
      <c r="K165" t="str">
        <f>SUM(B165:J165)</f>
        <v>0</v>
      </c>
    </row>
    <row r="166" spans="1:12">
      <c r="A166" t="s">
        <v>185</v>
      </c>
      <c r="B166">
        <v>2</v>
      </c>
      <c r="C166">
        <v>3</v>
      </c>
      <c r="D166">
        <v>3</v>
      </c>
      <c r="E166">
        <v>3</v>
      </c>
      <c r="F166">
        <v>2</v>
      </c>
      <c r="G166">
        <v>3</v>
      </c>
      <c r="H166">
        <v>2</v>
      </c>
      <c r="I166">
        <v>3</v>
      </c>
      <c r="J166">
        <v>3</v>
      </c>
      <c r="K166" t="str">
        <f>SUM(B166:J166)</f>
        <v>0</v>
      </c>
    </row>
    <row r="167" spans="1:12">
      <c r="A167" t="s">
        <v>186</v>
      </c>
      <c r="B167">
        <v>3</v>
      </c>
      <c r="C167">
        <v>2</v>
      </c>
      <c r="D167">
        <v>2</v>
      </c>
      <c r="E167">
        <v>3</v>
      </c>
      <c r="F167">
        <v>3</v>
      </c>
      <c r="G167">
        <v>3</v>
      </c>
      <c r="H167">
        <v>2</v>
      </c>
      <c r="I167">
        <v>3</v>
      </c>
      <c r="J167">
        <v>2</v>
      </c>
      <c r="K167" t="str">
        <f>SUM(B167:J167)</f>
        <v>0</v>
      </c>
    </row>
    <row r="168" spans="1:12">
      <c r="A168" t="s">
        <v>187</v>
      </c>
      <c r="B168">
        <v>3</v>
      </c>
      <c r="C168">
        <v>4</v>
      </c>
      <c r="D168">
        <v>2</v>
      </c>
      <c r="E168">
        <v>4</v>
      </c>
      <c r="F168">
        <v>3</v>
      </c>
      <c r="G168">
        <v>3</v>
      </c>
      <c r="H168">
        <v>4</v>
      </c>
      <c r="I168">
        <v>3</v>
      </c>
      <c r="J168">
        <v>3</v>
      </c>
      <c r="K168" t="str">
        <f>SUM(B168:J168)</f>
        <v>0</v>
      </c>
    </row>
    <row r="169" spans="1:12">
      <c r="A169" t="s">
        <v>188</v>
      </c>
      <c r="B169">
        <v>2</v>
      </c>
      <c r="C169">
        <v>3</v>
      </c>
      <c r="D169">
        <v>2</v>
      </c>
      <c r="E169">
        <v>2</v>
      </c>
      <c r="F169">
        <v>3</v>
      </c>
      <c r="G169">
        <v>2</v>
      </c>
      <c r="H169">
        <v>3</v>
      </c>
      <c r="I169">
        <v>3</v>
      </c>
      <c r="J169">
        <v>2</v>
      </c>
      <c r="K169" t="str">
        <f>SUM(B169:J169)</f>
        <v>0</v>
      </c>
    </row>
    <row r="170" spans="1:12">
      <c r="A170" t="s">
        <v>189</v>
      </c>
      <c r="B170">
        <v>3</v>
      </c>
      <c r="C170">
        <v>2</v>
      </c>
      <c r="D170">
        <v>3</v>
      </c>
      <c r="E170">
        <v>3</v>
      </c>
      <c r="F170">
        <v>3</v>
      </c>
      <c r="G170">
        <v>2</v>
      </c>
      <c r="H170">
        <v>2</v>
      </c>
      <c r="I170">
        <v>3</v>
      </c>
      <c r="J170">
        <v>2</v>
      </c>
      <c r="K170" t="str">
        <f>SUM(B170:J170)</f>
        <v>0</v>
      </c>
    </row>
    <row r="171" spans="1:12">
      <c r="A171" t="s">
        <v>190</v>
      </c>
      <c r="B171">
        <v>2</v>
      </c>
      <c r="C171">
        <v>3</v>
      </c>
      <c r="D171">
        <v>3</v>
      </c>
      <c r="E171">
        <v>2</v>
      </c>
      <c r="F171">
        <v>2</v>
      </c>
      <c r="G171">
        <v>2</v>
      </c>
      <c r="H171">
        <v>3</v>
      </c>
      <c r="I171">
        <v>2</v>
      </c>
      <c r="J171">
        <v>3</v>
      </c>
      <c r="K171" t="str">
        <f>SUM(B171:J171)</f>
        <v>0</v>
      </c>
    </row>
    <row r="172" spans="1:12">
      <c r="A172" t="s">
        <v>191</v>
      </c>
      <c r="B172">
        <v>5</v>
      </c>
      <c r="C172">
        <v>5</v>
      </c>
      <c r="D172">
        <v>3</v>
      </c>
      <c r="E172">
        <v>4</v>
      </c>
      <c r="F172">
        <v>3</v>
      </c>
      <c r="G172">
        <v>4</v>
      </c>
      <c r="H172">
        <v>4</v>
      </c>
      <c r="I172">
        <v>3</v>
      </c>
      <c r="J172">
        <v>4</v>
      </c>
      <c r="K172" t="str">
        <f>SUM(B172:J172)</f>
        <v>0</v>
      </c>
    </row>
    <row r="173" spans="1:12">
      <c r="A173" t="s">
        <v>192</v>
      </c>
      <c r="B173">
        <v>2</v>
      </c>
      <c r="C173">
        <v>2</v>
      </c>
      <c r="D173">
        <v>2</v>
      </c>
      <c r="E173">
        <v>3</v>
      </c>
      <c r="F173">
        <v>2</v>
      </c>
      <c r="G173">
        <v>3</v>
      </c>
      <c r="H173">
        <v>2</v>
      </c>
      <c r="I173">
        <v>3</v>
      </c>
      <c r="J173">
        <v>3</v>
      </c>
      <c r="K173" t="str">
        <f>SUM(B173:J173)</f>
        <v>0</v>
      </c>
    </row>
    <row r="174" spans="1:12">
      <c r="A174" t="s">
        <v>193</v>
      </c>
      <c r="B174">
        <v>1</v>
      </c>
      <c r="C174">
        <v>1</v>
      </c>
      <c r="D174">
        <v>1</v>
      </c>
      <c r="E174">
        <v>2</v>
      </c>
      <c r="F174">
        <v>2</v>
      </c>
      <c r="G174">
        <v>1</v>
      </c>
      <c r="H174">
        <v>1</v>
      </c>
      <c r="I174">
        <v>1</v>
      </c>
      <c r="J174">
        <v>2</v>
      </c>
      <c r="K174" t="str">
        <f>SUM(B174:J174)</f>
        <v>0</v>
      </c>
    </row>
    <row r="175" spans="1:12">
      <c r="A175" t="s">
        <v>194</v>
      </c>
      <c r="B175">
        <v>2</v>
      </c>
      <c r="C175">
        <v>4</v>
      </c>
      <c r="D175">
        <v>4</v>
      </c>
      <c r="E175">
        <v>3</v>
      </c>
      <c r="F175">
        <v>3</v>
      </c>
      <c r="G175">
        <v>3</v>
      </c>
      <c r="H175">
        <v>3</v>
      </c>
      <c r="I175">
        <v>2</v>
      </c>
      <c r="J175">
        <v>3</v>
      </c>
      <c r="K175" t="str">
        <f>SUM(B175:J175)</f>
        <v>0</v>
      </c>
    </row>
    <row r="176" spans="1:12">
      <c r="A176" t="s">
        <v>195</v>
      </c>
      <c r="B176">
        <v>2</v>
      </c>
      <c r="C176">
        <v>3</v>
      </c>
      <c r="D176">
        <v>2</v>
      </c>
      <c r="E176">
        <v>3</v>
      </c>
      <c r="F176">
        <v>3</v>
      </c>
      <c r="G176">
        <v>3</v>
      </c>
      <c r="H176">
        <v>3</v>
      </c>
      <c r="I176">
        <v>3</v>
      </c>
      <c r="J176">
        <v>2</v>
      </c>
      <c r="K176" t="str">
        <f>SUM(B176:J176)</f>
        <v>0</v>
      </c>
    </row>
    <row r="177" spans="1:12">
      <c r="A177" t="s">
        <v>196</v>
      </c>
      <c r="B177">
        <v>3</v>
      </c>
      <c r="C177">
        <v>3</v>
      </c>
      <c r="D177">
        <v>3</v>
      </c>
      <c r="E177">
        <v>2</v>
      </c>
      <c r="F177">
        <v>4</v>
      </c>
      <c r="G177">
        <v>3</v>
      </c>
      <c r="H177">
        <v>3</v>
      </c>
      <c r="I177">
        <v>3</v>
      </c>
      <c r="J177">
        <v>3</v>
      </c>
      <c r="K177" t="str">
        <f>SUM(B177:J177)</f>
        <v>0</v>
      </c>
    </row>
    <row r="178" spans="1:12">
      <c r="A178" t="s">
        <v>197</v>
      </c>
      <c r="B178">
        <v>4</v>
      </c>
      <c r="C178">
        <v>4</v>
      </c>
      <c r="D178">
        <v>5</v>
      </c>
      <c r="E178">
        <v>5</v>
      </c>
      <c r="F178">
        <v>3</v>
      </c>
      <c r="G178">
        <v>5</v>
      </c>
      <c r="H178">
        <v>4</v>
      </c>
      <c r="I178">
        <v>5</v>
      </c>
      <c r="J178">
        <v>4</v>
      </c>
      <c r="K178" t="str">
        <f>SUM(B178:J178)</f>
        <v>0</v>
      </c>
    </row>
    <row r="179" spans="1:12">
      <c r="A179" t="s">
        <v>198</v>
      </c>
      <c r="B179">
        <v>3</v>
      </c>
      <c r="C179">
        <v>2</v>
      </c>
      <c r="D179">
        <v>3</v>
      </c>
      <c r="E179">
        <v>3</v>
      </c>
      <c r="F179">
        <v>3</v>
      </c>
      <c r="G179">
        <v>3</v>
      </c>
      <c r="H179">
        <v>2</v>
      </c>
      <c r="I179">
        <v>2</v>
      </c>
      <c r="J179">
        <v>2</v>
      </c>
      <c r="K179" t="str">
        <f>SUM(B179:J179)</f>
        <v>0</v>
      </c>
    </row>
    <row r="180" spans="1:12">
      <c r="A180" t="s">
        <v>199</v>
      </c>
      <c r="B180">
        <v>2</v>
      </c>
      <c r="C180">
        <v>2</v>
      </c>
      <c r="D180">
        <v>2</v>
      </c>
      <c r="E180">
        <v>2</v>
      </c>
      <c r="F180">
        <v>1</v>
      </c>
      <c r="G180">
        <v>2</v>
      </c>
      <c r="H180">
        <v>1</v>
      </c>
      <c r="I180">
        <v>1</v>
      </c>
      <c r="J180">
        <v>2</v>
      </c>
      <c r="K180" t="str">
        <f>SUM(B180:J180)</f>
        <v>0</v>
      </c>
    </row>
    <row r="181" spans="1:12">
      <c r="A181" t="s">
        <v>200</v>
      </c>
      <c r="B181">
        <v>3</v>
      </c>
      <c r="C181">
        <v>5</v>
      </c>
      <c r="D181">
        <v>5</v>
      </c>
      <c r="E181">
        <v>5</v>
      </c>
      <c r="F181">
        <v>4</v>
      </c>
      <c r="G181">
        <v>4</v>
      </c>
      <c r="H181">
        <v>4</v>
      </c>
      <c r="I181">
        <v>5</v>
      </c>
      <c r="J181">
        <v>4</v>
      </c>
      <c r="K181" t="str">
        <f>SUM(B181:J181)</f>
        <v>0</v>
      </c>
    </row>
    <row r="182" spans="1:12">
      <c r="A182" t="s">
        <v>201</v>
      </c>
      <c r="B182">
        <v>3</v>
      </c>
      <c r="C182">
        <v>4</v>
      </c>
      <c r="D182">
        <v>3</v>
      </c>
      <c r="E182">
        <v>3</v>
      </c>
      <c r="F182">
        <v>4</v>
      </c>
      <c r="G182">
        <v>2</v>
      </c>
      <c r="H182">
        <v>3</v>
      </c>
      <c r="I182">
        <v>3</v>
      </c>
      <c r="J182">
        <v>3</v>
      </c>
      <c r="K182" t="str">
        <f>SUM(B182:J182)</f>
        <v>0</v>
      </c>
    </row>
    <row r="183" spans="1:12">
      <c r="A183" t="s">
        <v>202</v>
      </c>
      <c r="B183">
        <v>3</v>
      </c>
      <c r="C183">
        <v>2</v>
      </c>
      <c r="D183">
        <v>2</v>
      </c>
      <c r="E183">
        <v>2</v>
      </c>
      <c r="F183">
        <v>2</v>
      </c>
      <c r="G183">
        <v>2</v>
      </c>
      <c r="H183">
        <v>3</v>
      </c>
      <c r="I183">
        <v>3</v>
      </c>
      <c r="J183">
        <v>2</v>
      </c>
      <c r="K183" t="str">
        <f>SUM(B183:J183)</f>
        <v>0</v>
      </c>
    </row>
    <row r="184" spans="1:12">
      <c r="A184" t="s">
        <v>203</v>
      </c>
      <c r="B184">
        <v>2</v>
      </c>
      <c r="C184">
        <v>3</v>
      </c>
      <c r="D184">
        <v>3</v>
      </c>
      <c r="E184">
        <v>2</v>
      </c>
      <c r="F184">
        <v>2</v>
      </c>
      <c r="G184">
        <v>2</v>
      </c>
      <c r="H184">
        <v>2</v>
      </c>
      <c r="I184">
        <v>2</v>
      </c>
      <c r="J184">
        <v>3</v>
      </c>
      <c r="K184" t="str">
        <f>SUM(B184:J184)</f>
        <v>0</v>
      </c>
    </row>
    <row r="185" spans="1:12">
      <c r="A185" t="s">
        <v>204</v>
      </c>
      <c r="B185">
        <v>3</v>
      </c>
      <c r="C185">
        <v>2</v>
      </c>
      <c r="D185">
        <v>3</v>
      </c>
      <c r="E185">
        <v>3</v>
      </c>
      <c r="F185">
        <v>4</v>
      </c>
      <c r="G185">
        <v>3</v>
      </c>
      <c r="H185">
        <v>2</v>
      </c>
      <c r="I185">
        <v>2</v>
      </c>
      <c r="J185">
        <v>3</v>
      </c>
      <c r="K185" t="str">
        <f>SUM(B185:J185)</f>
        <v>0</v>
      </c>
    </row>
    <row r="186" spans="1:12">
      <c r="A186" t="s">
        <v>205</v>
      </c>
      <c r="B186">
        <v>3</v>
      </c>
      <c r="C186">
        <v>3</v>
      </c>
      <c r="D186">
        <v>2</v>
      </c>
      <c r="E186">
        <v>3</v>
      </c>
      <c r="F186">
        <v>2</v>
      </c>
      <c r="G186">
        <v>3</v>
      </c>
      <c r="H186">
        <v>3</v>
      </c>
      <c r="I186">
        <v>2</v>
      </c>
      <c r="J186">
        <v>2</v>
      </c>
      <c r="K186" t="str">
        <f>SUM(B186:J186)</f>
        <v>0</v>
      </c>
    </row>
    <row r="187" spans="1:12">
      <c r="A187" t="s">
        <v>206</v>
      </c>
      <c r="B187">
        <v>5</v>
      </c>
      <c r="C187">
        <v>5</v>
      </c>
      <c r="D187">
        <v>4</v>
      </c>
      <c r="E187">
        <v>4</v>
      </c>
      <c r="F187">
        <v>5</v>
      </c>
      <c r="G187">
        <v>5</v>
      </c>
      <c r="H187">
        <v>3</v>
      </c>
      <c r="I187">
        <v>5</v>
      </c>
      <c r="J187">
        <v>3</v>
      </c>
      <c r="K187" t="str">
        <f>SUM(B187:J187)</f>
        <v>0</v>
      </c>
    </row>
    <row r="188" spans="1:12">
      <c r="A188" t="s">
        <v>207</v>
      </c>
      <c r="B188">
        <v>3</v>
      </c>
      <c r="C188">
        <v>4</v>
      </c>
      <c r="D188">
        <v>4</v>
      </c>
      <c r="E188">
        <v>3</v>
      </c>
      <c r="F188">
        <v>3</v>
      </c>
      <c r="G188">
        <v>3</v>
      </c>
      <c r="H188">
        <v>3</v>
      </c>
      <c r="I188">
        <v>3</v>
      </c>
      <c r="J188">
        <v>3</v>
      </c>
      <c r="K188" t="str">
        <f>SUM(B188:J188)</f>
        <v>0</v>
      </c>
    </row>
    <row r="189" spans="1:12">
      <c r="A189" t="s">
        <v>208</v>
      </c>
      <c r="B189">
        <v>5</v>
      </c>
      <c r="C189">
        <v>4</v>
      </c>
      <c r="D189">
        <v>4</v>
      </c>
      <c r="E189">
        <v>4</v>
      </c>
      <c r="F189">
        <v>3</v>
      </c>
      <c r="G189">
        <v>3</v>
      </c>
      <c r="H189">
        <v>3</v>
      </c>
      <c r="I189">
        <v>3</v>
      </c>
      <c r="J189">
        <v>3</v>
      </c>
      <c r="K189" t="str">
        <f>SUM(B189:J189)</f>
        <v>0</v>
      </c>
    </row>
    <row r="190" spans="1:12">
      <c r="A190" t="s">
        <v>209</v>
      </c>
      <c r="B190">
        <v>3</v>
      </c>
      <c r="C190">
        <v>3</v>
      </c>
      <c r="D190">
        <v>3</v>
      </c>
      <c r="E190">
        <v>3</v>
      </c>
      <c r="F190">
        <v>3</v>
      </c>
      <c r="G190">
        <v>2</v>
      </c>
      <c r="H190">
        <v>3</v>
      </c>
      <c r="I190">
        <v>2</v>
      </c>
      <c r="J190">
        <v>2</v>
      </c>
      <c r="K190" t="str">
        <f>SUM(B190:J190)</f>
        <v>0</v>
      </c>
    </row>
    <row r="191" spans="1:12">
      <c r="A191" t="s">
        <v>210</v>
      </c>
      <c r="B191">
        <v>3</v>
      </c>
      <c r="C191">
        <v>3</v>
      </c>
      <c r="D191">
        <v>3</v>
      </c>
      <c r="E191">
        <v>3</v>
      </c>
      <c r="F191">
        <v>3</v>
      </c>
      <c r="G191">
        <v>2</v>
      </c>
      <c r="H191">
        <v>3</v>
      </c>
      <c r="I191">
        <v>2</v>
      </c>
      <c r="J191">
        <v>3</v>
      </c>
      <c r="K191" t="str">
        <f>SUM(B191:J191)</f>
        <v>0</v>
      </c>
    </row>
    <row r="192" spans="1:12">
      <c r="A192" t="s">
        <v>211</v>
      </c>
      <c r="B192">
        <v>2</v>
      </c>
      <c r="C192">
        <v>2</v>
      </c>
      <c r="D192">
        <v>2</v>
      </c>
      <c r="E192">
        <v>2</v>
      </c>
      <c r="F192">
        <v>2</v>
      </c>
      <c r="G192">
        <v>2</v>
      </c>
      <c r="H192">
        <v>2</v>
      </c>
      <c r="I192">
        <v>1</v>
      </c>
      <c r="J192">
        <v>2</v>
      </c>
      <c r="K192" t="str">
        <f>SUM(B192:J192)</f>
        <v>0</v>
      </c>
    </row>
    <row r="193" spans="1:12">
      <c r="A193" t="s">
        <v>212</v>
      </c>
      <c r="B193">
        <v>2</v>
      </c>
      <c r="C193">
        <v>3</v>
      </c>
      <c r="D193">
        <v>3</v>
      </c>
      <c r="E193">
        <v>4</v>
      </c>
      <c r="F193">
        <v>4</v>
      </c>
      <c r="G193">
        <v>4</v>
      </c>
      <c r="H193">
        <v>4</v>
      </c>
      <c r="I193">
        <v>4</v>
      </c>
      <c r="J193">
        <v>3</v>
      </c>
      <c r="K193" t="str">
        <f>SUM(B193:J193)</f>
        <v>0</v>
      </c>
    </row>
    <row r="194" spans="1:12">
      <c r="A194" t="s">
        <v>213</v>
      </c>
      <c r="B194">
        <v>3</v>
      </c>
      <c r="C194">
        <v>4</v>
      </c>
      <c r="D194">
        <v>3</v>
      </c>
      <c r="E194">
        <v>3</v>
      </c>
      <c r="F194">
        <v>4</v>
      </c>
      <c r="G194">
        <v>3</v>
      </c>
      <c r="H194">
        <v>3</v>
      </c>
      <c r="I194">
        <v>2</v>
      </c>
      <c r="J194">
        <v>2</v>
      </c>
      <c r="K194" t="str">
        <f>SUM(B194:J194)</f>
        <v>0</v>
      </c>
    </row>
    <row r="195" spans="1:12">
      <c r="A195" t="s">
        <v>214</v>
      </c>
      <c r="B195">
        <v>2</v>
      </c>
      <c r="C195">
        <v>1</v>
      </c>
      <c r="D195">
        <v>2</v>
      </c>
      <c r="E195">
        <v>2</v>
      </c>
      <c r="F195">
        <v>2</v>
      </c>
      <c r="G195">
        <v>2</v>
      </c>
      <c r="H195">
        <v>2</v>
      </c>
      <c r="I195">
        <v>2</v>
      </c>
      <c r="J195">
        <v>2</v>
      </c>
      <c r="K195" t="str">
        <f>SUM(B195:J195)</f>
        <v>0</v>
      </c>
    </row>
    <row r="196" spans="1:12">
      <c r="A196" t="s">
        <v>215</v>
      </c>
      <c r="B196">
        <v>5</v>
      </c>
      <c r="C196">
        <v>5</v>
      </c>
      <c r="D196">
        <v>4</v>
      </c>
      <c r="E196">
        <v>5</v>
      </c>
      <c r="F196">
        <v>3</v>
      </c>
      <c r="G196">
        <v>5</v>
      </c>
      <c r="H196">
        <v>4</v>
      </c>
      <c r="I196">
        <v>5</v>
      </c>
      <c r="J196">
        <v>3</v>
      </c>
      <c r="K196" t="str">
        <f>SUM(B196:J196)</f>
        <v>0</v>
      </c>
    </row>
    <row r="197" spans="1:12">
      <c r="A197" t="s">
        <v>216</v>
      </c>
      <c r="B197">
        <v>1</v>
      </c>
      <c r="C197">
        <v>2</v>
      </c>
      <c r="D197">
        <v>1</v>
      </c>
      <c r="E197">
        <v>1</v>
      </c>
      <c r="F197">
        <v>1</v>
      </c>
      <c r="G197">
        <v>1</v>
      </c>
      <c r="H197">
        <v>1</v>
      </c>
      <c r="I197">
        <v>1</v>
      </c>
      <c r="J197">
        <v>1</v>
      </c>
      <c r="K197" t="str">
        <f>SUM(B197:J197)</f>
        <v>0</v>
      </c>
    </row>
    <row r="198" spans="1:12">
      <c r="A198" t="s">
        <v>217</v>
      </c>
      <c r="B198">
        <v>3</v>
      </c>
      <c r="C198">
        <v>5</v>
      </c>
      <c r="D198">
        <v>5</v>
      </c>
      <c r="E198">
        <v>4</v>
      </c>
      <c r="F198">
        <v>5</v>
      </c>
      <c r="G198">
        <v>3</v>
      </c>
      <c r="H198">
        <v>4</v>
      </c>
      <c r="I198">
        <v>4</v>
      </c>
      <c r="J198">
        <v>5</v>
      </c>
      <c r="K198" t="str">
        <f>SUM(B198:J198)</f>
        <v>0</v>
      </c>
    </row>
    <row r="199" spans="1:12">
      <c r="A199" t="s">
        <v>218</v>
      </c>
      <c r="B199">
        <v>2</v>
      </c>
      <c r="C199">
        <v>2</v>
      </c>
      <c r="D199">
        <v>3</v>
      </c>
      <c r="E199">
        <v>4</v>
      </c>
      <c r="F199">
        <v>2</v>
      </c>
      <c r="G199">
        <v>3</v>
      </c>
      <c r="H199">
        <v>3</v>
      </c>
      <c r="I199">
        <v>4</v>
      </c>
      <c r="J199">
        <v>3</v>
      </c>
      <c r="K199" t="str">
        <f>SUM(B199:J199)</f>
        <v>0</v>
      </c>
    </row>
    <row r="200" spans="1:12">
      <c r="A200" t="s">
        <v>219</v>
      </c>
      <c r="B200">
        <v>3</v>
      </c>
      <c r="C200">
        <v>4</v>
      </c>
      <c r="D200">
        <v>3</v>
      </c>
      <c r="E200">
        <v>3</v>
      </c>
      <c r="F200">
        <v>3</v>
      </c>
      <c r="G200">
        <v>3</v>
      </c>
      <c r="H200">
        <v>4</v>
      </c>
      <c r="I200">
        <v>3</v>
      </c>
      <c r="J200">
        <v>4</v>
      </c>
      <c r="K200" t="str">
        <f>SUM(B200:J200)</f>
        <v>0</v>
      </c>
    </row>
    <row r="201" spans="1:12">
      <c r="A201" t="s">
        <v>220</v>
      </c>
      <c r="B201">
        <v>3</v>
      </c>
      <c r="C201">
        <v>4</v>
      </c>
      <c r="D201">
        <v>3</v>
      </c>
      <c r="E201">
        <v>3</v>
      </c>
      <c r="F201">
        <v>3</v>
      </c>
      <c r="G201">
        <v>3</v>
      </c>
      <c r="H201">
        <v>4</v>
      </c>
      <c r="I201">
        <v>3</v>
      </c>
      <c r="J201">
        <v>4</v>
      </c>
      <c r="K201" t="str">
        <f>SUM(B201:J201)</f>
        <v>0</v>
      </c>
    </row>
    <row r="202" spans="1:12">
      <c r="A202" t="s">
        <v>221</v>
      </c>
      <c r="B202">
        <v>4</v>
      </c>
      <c r="C202">
        <v>5</v>
      </c>
      <c r="D202">
        <v>5</v>
      </c>
      <c r="E202">
        <v>5</v>
      </c>
      <c r="F202">
        <v>5</v>
      </c>
      <c r="G202">
        <v>5</v>
      </c>
      <c r="H202">
        <v>4</v>
      </c>
      <c r="I202">
        <v>5</v>
      </c>
      <c r="J202">
        <v>3</v>
      </c>
      <c r="K202" t="str">
        <f>SUM(B202:J202)</f>
        <v>0</v>
      </c>
    </row>
    <row r="203" spans="1:12">
      <c r="A203" t="s">
        <v>222</v>
      </c>
      <c r="B203">
        <v>3</v>
      </c>
      <c r="C203">
        <v>3</v>
      </c>
      <c r="D203">
        <v>3</v>
      </c>
      <c r="E203">
        <v>5</v>
      </c>
      <c r="F203">
        <v>4</v>
      </c>
      <c r="G203">
        <v>4</v>
      </c>
      <c r="H203">
        <v>5</v>
      </c>
      <c r="I203">
        <v>5</v>
      </c>
      <c r="J203">
        <v>3</v>
      </c>
      <c r="K203" t="str">
        <f>SUM(B203:J203)</f>
        <v>0</v>
      </c>
    </row>
    <row r="204" spans="1:12">
      <c r="A204" t="s">
        <v>223</v>
      </c>
      <c r="B204">
        <v>1</v>
      </c>
      <c r="C204">
        <v>2</v>
      </c>
      <c r="D204">
        <v>2</v>
      </c>
      <c r="E204">
        <v>2</v>
      </c>
      <c r="F204">
        <v>2</v>
      </c>
      <c r="G204">
        <v>1</v>
      </c>
      <c r="H204">
        <v>2</v>
      </c>
      <c r="I204">
        <v>2</v>
      </c>
      <c r="J204">
        <v>1</v>
      </c>
      <c r="K204" t="str">
        <f>SUM(B204:J204)</f>
        <v>0</v>
      </c>
    </row>
    <row r="205" spans="1:12">
      <c r="A205" t="s">
        <v>224</v>
      </c>
      <c r="B205">
        <v>5</v>
      </c>
      <c r="C205">
        <v>4</v>
      </c>
      <c r="D205">
        <v>5</v>
      </c>
      <c r="E205">
        <v>4</v>
      </c>
      <c r="F205">
        <v>5</v>
      </c>
      <c r="G205">
        <v>5</v>
      </c>
      <c r="H205">
        <v>4</v>
      </c>
      <c r="I205">
        <v>4</v>
      </c>
      <c r="J205">
        <v>5</v>
      </c>
      <c r="K205" t="str">
        <f>SUM(B205:J205)</f>
        <v>0</v>
      </c>
    </row>
    <row r="206" spans="1:12">
      <c r="A206" t="s">
        <v>225</v>
      </c>
      <c r="B206">
        <v>3</v>
      </c>
      <c r="C206">
        <v>3</v>
      </c>
      <c r="D206">
        <v>3</v>
      </c>
      <c r="E206">
        <v>5</v>
      </c>
      <c r="F206">
        <v>3</v>
      </c>
      <c r="G206">
        <v>4</v>
      </c>
      <c r="H206">
        <v>4</v>
      </c>
      <c r="I206">
        <v>5</v>
      </c>
      <c r="J206">
        <v>4</v>
      </c>
      <c r="K206" t="str">
        <f>SUM(B206:J206)</f>
        <v>0</v>
      </c>
    </row>
    <row r="207" spans="1:12">
      <c r="A207" t="s">
        <v>226</v>
      </c>
      <c r="B207">
        <v>2</v>
      </c>
      <c r="C207">
        <v>1</v>
      </c>
      <c r="D207">
        <v>2</v>
      </c>
      <c r="E207">
        <v>2</v>
      </c>
      <c r="F207">
        <v>1</v>
      </c>
      <c r="G207">
        <v>2</v>
      </c>
      <c r="H207">
        <v>2</v>
      </c>
      <c r="I207">
        <v>1</v>
      </c>
      <c r="J207">
        <v>2</v>
      </c>
      <c r="K207" t="str">
        <f>SUM(B207:J207)</f>
        <v>0</v>
      </c>
    </row>
    <row r="208" spans="1:12">
      <c r="A208" t="s">
        <v>227</v>
      </c>
      <c r="B208">
        <v>2</v>
      </c>
      <c r="C208">
        <v>2</v>
      </c>
      <c r="D208">
        <v>2</v>
      </c>
      <c r="E208">
        <v>2</v>
      </c>
      <c r="F208">
        <v>1</v>
      </c>
      <c r="G208">
        <v>1</v>
      </c>
      <c r="H208">
        <v>1</v>
      </c>
      <c r="I208">
        <v>1</v>
      </c>
      <c r="J208">
        <v>2</v>
      </c>
      <c r="K208" t="str">
        <f>SUM(B208:J208)</f>
        <v>0</v>
      </c>
    </row>
    <row r="209" spans="1:12">
      <c r="A209" t="s">
        <v>228</v>
      </c>
      <c r="B209">
        <v>1</v>
      </c>
      <c r="C209">
        <v>1</v>
      </c>
      <c r="D209">
        <v>1</v>
      </c>
      <c r="E209">
        <v>1</v>
      </c>
      <c r="F209">
        <v>1</v>
      </c>
      <c r="G209">
        <v>1</v>
      </c>
      <c r="H209">
        <v>1</v>
      </c>
      <c r="I209">
        <v>1</v>
      </c>
      <c r="J209">
        <v>1</v>
      </c>
      <c r="K209" t="str">
        <f>SUM(B209:J209)</f>
        <v>0</v>
      </c>
    </row>
    <row r="210" spans="1:12">
      <c r="A210" t="s">
        <v>229</v>
      </c>
      <c r="B210">
        <v>2</v>
      </c>
      <c r="C210">
        <v>1</v>
      </c>
      <c r="D210">
        <v>1</v>
      </c>
      <c r="E210">
        <v>1</v>
      </c>
      <c r="F210">
        <v>1</v>
      </c>
      <c r="G210">
        <v>1</v>
      </c>
      <c r="H210">
        <v>1</v>
      </c>
      <c r="I210">
        <v>2</v>
      </c>
      <c r="J210">
        <v>2</v>
      </c>
      <c r="K210" t="str">
        <f>SUM(B210:J210)</f>
        <v>0</v>
      </c>
    </row>
    <row r="211" spans="1:12">
      <c r="A211" t="s">
        <v>230</v>
      </c>
      <c r="B211">
        <v>2</v>
      </c>
      <c r="C211">
        <v>1</v>
      </c>
      <c r="D211">
        <v>1</v>
      </c>
      <c r="E211">
        <v>3</v>
      </c>
      <c r="F211">
        <v>2</v>
      </c>
      <c r="G211">
        <v>2</v>
      </c>
      <c r="H211">
        <v>2</v>
      </c>
      <c r="I211">
        <v>2</v>
      </c>
      <c r="J211">
        <v>2</v>
      </c>
      <c r="K211" t="str">
        <f>SUM(B211:J211)</f>
        <v>0</v>
      </c>
    </row>
    <row r="212" spans="1:12">
      <c r="A212" t="s">
        <v>231</v>
      </c>
      <c r="B212">
        <v>1</v>
      </c>
      <c r="C212">
        <v>2</v>
      </c>
      <c r="D212">
        <v>2</v>
      </c>
      <c r="E212">
        <v>1</v>
      </c>
      <c r="F212">
        <v>2</v>
      </c>
      <c r="G212">
        <v>2</v>
      </c>
      <c r="H212">
        <v>2</v>
      </c>
      <c r="I212">
        <v>2</v>
      </c>
      <c r="J212">
        <v>2</v>
      </c>
      <c r="K212" t="str">
        <f>SUM(B212:J212)</f>
        <v>0</v>
      </c>
    </row>
    <row r="213" spans="1:12">
      <c r="A213" t="s">
        <v>232</v>
      </c>
      <c r="B213">
        <v>2</v>
      </c>
      <c r="C213">
        <v>2</v>
      </c>
      <c r="D213">
        <v>2</v>
      </c>
      <c r="E213">
        <v>2</v>
      </c>
      <c r="F213">
        <v>2</v>
      </c>
      <c r="G213">
        <v>2</v>
      </c>
      <c r="H213">
        <v>1</v>
      </c>
      <c r="I213">
        <v>2</v>
      </c>
      <c r="J213">
        <v>2</v>
      </c>
      <c r="K213" t="str">
        <f>SUM(B213:J213)</f>
        <v>0</v>
      </c>
    </row>
    <row r="214" spans="1:12">
      <c r="A214" t="s">
        <v>233</v>
      </c>
      <c r="B214">
        <v>2</v>
      </c>
      <c r="C214">
        <v>2</v>
      </c>
      <c r="D214">
        <v>1</v>
      </c>
      <c r="E214">
        <v>2</v>
      </c>
      <c r="F214">
        <v>1</v>
      </c>
      <c r="G214">
        <v>1</v>
      </c>
      <c r="H214">
        <v>2</v>
      </c>
      <c r="I214">
        <v>2</v>
      </c>
      <c r="J214">
        <v>1</v>
      </c>
      <c r="K214" t="str">
        <f>SUM(B214:J214)</f>
        <v>0</v>
      </c>
    </row>
    <row r="215" spans="1:12">
      <c r="A215" t="s">
        <v>234</v>
      </c>
      <c r="B215">
        <v>2</v>
      </c>
      <c r="C215">
        <v>1</v>
      </c>
      <c r="D215">
        <v>1</v>
      </c>
      <c r="E215">
        <v>2</v>
      </c>
      <c r="F215">
        <v>2</v>
      </c>
      <c r="G215">
        <v>2</v>
      </c>
      <c r="H215">
        <v>3</v>
      </c>
      <c r="I215">
        <v>2</v>
      </c>
      <c r="J215">
        <v>2</v>
      </c>
      <c r="K215" t="str">
        <f>SUM(B215:J215)</f>
        <v>0</v>
      </c>
    </row>
    <row r="216" spans="1:12">
      <c r="A216" t="s">
        <v>235</v>
      </c>
      <c r="B216">
        <v>1</v>
      </c>
      <c r="C216">
        <v>1</v>
      </c>
      <c r="D216">
        <v>1</v>
      </c>
      <c r="E216">
        <v>2</v>
      </c>
      <c r="F216">
        <v>1</v>
      </c>
      <c r="G216">
        <v>1</v>
      </c>
      <c r="H216">
        <v>1</v>
      </c>
      <c r="I216">
        <v>2</v>
      </c>
      <c r="J216">
        <v>1</v>
      </c>
      <c r="K216" t="str">
        <f>SUM(B216:J216)</f>
        <v>0</v>
      </c>
    </row>
    <row r="217" spans="1:12">
      <c r="A217" t="s">
        <v>236</v>
      </c>
      <c r="B217">
        <v>1</v>
      </c>
      <c r="C217">
        <v>1</v>
      </c>
      <c r="D217">
        <v>1</v>
      </c>
      <c r="E217">
        <v>1</v>
      </c>
      <c r="F217">
        <v>1</v>
      </c>
      <c r="G217">
        <v>1</v>
      </c>
      <c r="H217">
        <v>1</v>
      </c>
      <c r="I217">
        <v>1</v>
      </c>
      <c r="J217">
        <v>1</v>
      </c>
      <c r="K217" t="str">
        <f>SUM(B217:J217)</f>
        <v>0</v>
      </c>
    </row>
    <row r="218" spans="1:12">
      <c r="A218" t="s">
        <v>237</v>
      </c>
      <c r="B218">
        <v>2</v>
      </c>
      <c r="C218">
        <v>2</v>
      </c>
      <c r="D218">
        <v>1</v>
      </c>
      <c r="E218">
        <v>1</v>
      </c>
      <c r="F218">
        <v>2</v>
      </c>
      <c r="G218">
        <v>2</v>
      </c>
      <c r="H218">
        <v>2</v>
      </c>
      <c r="I218">
        <v>2</v>
      </c>
      <c r="J218">
        <v>2</v>
      </c>
      <c r="K218" t="str">
        <f>SUM(B218:J218)</f>
        <v>0</v>
      </c>
    </row>
    <row r="219" spans="1:12">
      <c r="A219" t="s">
        <v>238</v>
      </c>
      <c r="B219">
        <v>2</v>
      </c>
      <c r="C219">
        <v>1</v>
      </c>
      <c r="D219">
        <v>1</v>
      </c>
      <c r="E219">
        <v>1</v>
      </c>
      <c r="F219">
        <v>1</v>
      </c>
      <c r="G219">
        <v>2</v>
      </c>
      <c r="H219">
        <v>1</v>
      </c>
      <c r="I219">
        <v>2</v>
      </c>
      <c r="J219">
        <v>2</v>
      </c>
      <c r="K219" t="str">
        <f>SUM(B219:J219)</f>
        <v>0</v>
      </c>
    </row>
    <row r="220" spans="1:12">
      <c r="A220" t="s">
        <v>239</v>
      </c>
      <c r="B220">
        <v>2</v>
      </c>
      <c r="C220">
        <v>1</v>
      </c>
      <c r="D220">
        <v>2</v>
      </c>
      <c r="E220">
        <v>2</v>
      </c>
      <c r="F220">
        <v>2</v>
      </c>
      <c r="G220">
        <v>2</v>
      </c>
      <c r="H220">
        <v>2</v>
      </c>
      <c r="I220">
        <v>2</v>
      </c>
      <c r="J220">
        <v>2</v>
      </c>
      <c r="K220" t="str">
        <f>SUM(B220:J220)</f>
        <v>0</v>
      </c>
    </row>
    <row r="221" spans="1:12">
      <c r="A221" t="s">
        <v>240</v>
      </c>
      <c r="B221">
        <v>2</v>
      </c>
      <c r="C221">
        <v>2</v>
      </c>
      <c r="D221">
        <v>2</v>
      </c>
      <c r="E221">
        <v>1</v>
      </c>
      <c r="F221">
        <v>2</v>
      </c>
      <c r="G221">
        <v>2</v>
      </c>
      <c r="H221">
        <v>2</v>
      </c>
      <c r="I221">
        <v>1</v>
      </c>
      <c r="J221">
        <v>2</v>
      </c>
      <c r="K221" t="str">
        <f>SUM(B221:J221)</f>
        <v>0</v>
      </c>
    </row>
    <row r="222" spans="1:12">
      <c r="A222" t="s">
        <v>241</v>
      </c>
      <c r="B222">
        <v>2</v>
      </c>
      <c r="C222">
        <v>2</v>
      </c>
      <c r="D222">
        <v>2</v>
      </c>
      <c r="E222">
        <v>1</v>
      </c>
      <c r="F222">
        <v>2</v>
      </c>
      <c r="G222">
        <v>1</v>
      </c>
      <c r="H222">
        <v>2</v>
      </c>
      <c r="I222">
        <v>1</v>
      </c>
      <c r="J222">
        <v>2</v>
      </c>
      <c r="K222" t="str">
        <f>SUM(B222:J222)</f>
        <v>0</v>
      </c>
    </row>
    <row r="223" spans="1:12">
      <c r="A223" t="s">
        <v>242</v>
      </c>
      <c r="B223">
        <v>1</v>
      </c>
      <c r="C223">
        <v>2</v>
      </c>
      <c r="D223">
        <v>1</v>
      </c>
      <c r="E223">
        <v>1</v>
      </c>
      <c r="F223">
        <v>1</v>
      </c>
      <c r="G223">
        <v>1</v>
      </c>
      <c r="H223">
        <v>1</v>
      </c>
      <c r="I223">
        <v>1</v>
      </c>
      <c r="J223">
        <v>1</v>
      </c>
      <c r="K223" t="str">
        <f>SUM(B223:J223)</f>
        <v>0</v>
      </c>
    </row>
    <row r="224" spans="1:12">
      <c r="A224" t="s">
        <v>243</v>
      </c>
      <c r="B224">
        <v>1</v>
      </c>
      <c r="C224">
        <v>1</v>
      </c>
      <c r="D224">
        <v>1</v>
      </c>
      <c r="E224">
        <v>1</v>
      </c>
      <c r="F224">
        <v>1</v>
      </c>
      <c r="G224">
        <v>1</v>
      </c>
      <c r="H224">
        <v>1</v>
      </c>
      <c r="I224">
        <v>1</v>
      </c>
      <c r="J224">
        <v>2</v>
      </c>
      <c r="K224" t="str">
        <f>SUM(B224:J224)</f>
        <v>0</v>
      </c>
    </row>
    <row r="225" spans="1:12">
      <c r="A225" t="s">
        <v>244</v>
      </c>
      <c r="B225">
        <v>2</v>
      </c>
      <c r="C225">
        <v>2</v>
      </c>
      <c r="D225">
        <v>2</v>
      </c>
      <c r="E225">
        <v>2</v>
      </c>
      <c r="F225">
        <v>2</v>
      </c>
      <c r="G225">
        <v>1</v>
      </c>
      <c r="H225">
        <v>2</v>
      </c>
      <c r="I225">
        <v>1</v>
      </c>
      <c r="J225">
        <v>2</v>
      </c>
      <c r="K225" t="str">
        <f>SUM(B225:J225)</f>
        <v>0</v>
      </c>
    </row>
    <row r="226" spans="1:12">
      <c r="A226" t="s">
        <v>245</v>
      </c>
      <c r="B226">
        <v>1</v>
      </c>
      <c r="C226">
        <v>1</v>
      </c>
      <c r="D226">
        <v>1</v>
      </c>
      <c r="E226">
        <v>1</v>
      </c>
      <c r="F226">
        <v>1</v>
      </c>
      <c r="G226">
        <v>2</v>
      </c>
      <c r="H226">
        <v>1</v>
      </c>
      <c r="I226">
        <v>2</v>
      </c>
      <c r="J226">
        <v>1</v>
      </c>
      <c r="K226" t="str">
        <f>SUM(B226:J226)</f>
        <v>0</v>
      </c>
    </row>
    <row r="227" spans="1:12">
      <c r="A227" t="s">
        <v>246</v>
      </c>
      <c r="B227">
        <v>1</v>
      </c>
      <c r="C227">
        <v>1</v>
      </c>
      <c r="D227">
        <v>1</v>
      </c>
      <c r="E227">
        <v>1</v>
      </c>
      <c r="F227">
        <v>1</v>
      </c>
      <c r="G227">
        <v>1</v>
      </c>
      <c r="H227">
        <v>1</v>
      </c>
      <c r="I227">
        <v>1</v>
      </c>
      <c r="J227">
        <v>1</v>
      </c>
      <c r="K227" t="str">
        <f>SUM(B227:J227)</f>
        <v>0</v>
      </c>
    </row>
    <row r="228" spans="1:12">
      <c r="A228" t="s">
        <v>247</v>
      </c>
      <c r="B228">
        <v>2</v>
      </c>
      <c r="C228">
        <v>2</v>
      </c>
      <c r="D228">
        <v>2</v>
      </c>
      <c r="E228">
        <v>1</v>
      </c>
      <c r="F228">
        <v>2</v>
      </c>
      <c r="G228">
        <v>2</v>
      </c>
      <c r="H228">
        <v>3</v>
      </c>
      <c r="I228">
        <v>2</v>
      </c>
      <c r="J228">
        <v>2</v>
      </c>
      <c r="K228" t="str">
        <f>SUM(B228:J228)</f>
        <v>0</v>
      </c>
    </row>
    <row r="229" spans="1:12">
      <c r="A229" t="s">
        <v>248</v>
      </c>
      <c r="B229">
        <v>2</v>
      </c>
      <c r="C229">
        <v>1</v>
      </c>
      <c r="D229">
        <v>2</v>
      </c>
      <c r="E229">
        <v>1</v>
      </c>
      <c r="F229">
        <v>1</v>
      </c>
      <c r="G229">
        <v>2</v>
      </c>
      <c r="H229">
        <v>2</v>
      </c>
      <c r="I229">
        <v>2</v>
      </c>
      <c r="J229">
        <v>1</v>
      </c>
      <c r="K229" t="str">
        <f>SUM(B229:J229)</f>
        <v>0</v>
      </c>
    </row>
    <row r="230" spans="1:12">
      <c r="A230" t="s">
        <v>249</v>
      </c>
      <c r="B230">
        <v>2</v>
      </c>
      <c r="C230">
        <v>1</v>
      </c>
      <c r="D230">
        <v>1</v>
      </c>
      <c r="E230">
        <v>1</v>
      </c>
      <c r="F230">
        <v>2</v>
      </c>
      <c r="G230">
        <v>1</v>
      </c>
      <c r="H230">
        <v>2</v>
      </c>
      <c r="I230">
        <v>2</v>
      </c>
      <c r="J230">
        <v>1</v>
      </c>
      <c r="K230" t="str">
        <f>SUM(B230:J230)</f>
        <v>0</v>
      </c>
    </row>
    <row r="231" spans="1:12">
      <c r="A231" t="s">
        <v>250</v>
      </c>
      <c r="B231">
        <v>1</v>
      </c>
      <c r="C231">
        <v>1</v>
      </c>
      <c r="D231">
        <v>1</v>
      </c>
      <c r="E231">
        <v>1</v>
      </c>
      <c r="F231">
        <v>1</v>
      </c>
      <c r="G231">
        <v>1</v>
      </c>
      <c r="H231">
        <v>1</v>
      </c>
      <c r="I231">
        <v>1</v>
      </c>
      <c r="J231">
        <v>1</v>
      </c>
      <c r="K231" t="str">
        <f>SUM(B231:J231)</f>
        <v>0</v>
      </c>
    </row>
    <row r="232" spans="1:12">
      <c r="A232" t="s">
        <v>251</v>
      </c>
      <c r="B232">
        <v>1</v>
      </c>
      <c r="C232">
        <v>1</v>
      </c>
      <c r="D232">
        <v>1</v>
      </c>
      <c r="E232">
        <v>1</v>
      </c>
      <c r="F232">
        <v>1</v>
      </c>
      <c r="G232">
        <v>2</v>
      </c>
      <c r="H232">
        <v>1</v>
      </c>
      <c r="I232">
        <v>1</v>
      </c>
      <c r="J232">
        <v>2</v>
      </c>
      <c r="K232" t="str">
        <f>SUM(B232:J232)</f>
        <v>0</v>
      </c>
    </row>
    <row r="233" spans="1:12">
      <c r="A233" t="s">
        <v>252</v>
      </c>
      <c r="B233">
        <v>1</v>
      </c>
      <c r="C233">
        <v>2</v>
      </c>
      <c r="D233">
        <v>2</v>
      </c>
      <c r="E233">
        <v>1</v>
      </c>
      <c r="F233">
        <v>2</v>
      </c>
      <c r="G233">
        <v>1</v>
      </c>
      <c r="H233">
        <v>2</v>
      </c>
      <c r="I233">
        <v>1</v>
      </c>
      <c r="J233">
        <v>1</v>
      </c>
      <c r="K233" t="str">
        <f>SUM(B233:J233)</f>
        <v>0</v>
      </c>
    </row>
    <row r="234" spans="1:12">
      <c r="A234" t="s">
        <v>253</v>
      </c>
      <c r="B234">
        <v>2</v>
      </c>
      <c r="C234">
        <v>1</v>
      </c>
      <c r="D234">
        <v>1</v>
      </c>
      <c r="E234">
        <v>2</v>
      </c>
      <c r="F234">
        <v>1</v>
      </c>
      <c r="G234">
        <v>2</v>
      </c>
      <c r="H234">
        <v>1</v>
      </c>
      <c r="I234">
        <v>1</v>
      </c>
      <c r="J234">
        <v>1</v>
      </c>
      <c r="K234" t="str">
        <f>SUM(B234:J234)</f>
        <v>0</v>
      </c>
    </row>
    <row r="235" spans="1:12">
      <c r="A235" t="s">
        <v>254</v>
      </c>
      <c r="B235">
        <v>2</v>
      </c>
      <c r="C235">
        <v>2</v>
      </c>
      <c r="D235">
        <v>2</v>
      </c>
      <c r="E235">
        <v>3</v>
      </c>
      <c r="F235">
        <v>2</v>
      </c>
      <c r="G235">
        <v>2</v>
      </c>
      <c r="H235">
        <v>3</v>
      </c>
      <c r="I235">
        <v>2</v>
      </c>
      <c r="J235">
        <v>2</v>
      </c>
      <c r="K235" t="str">
        <f>SUM(B235:J235)</f>
        <v>0</v>
      </c>
    </row>
    <row r="236" spans="1:12">
      <c r="A236" t="s">
        <v>255</v>
      </c>
      <c r="B236">
        <v>2</v>
      </c>
      <c r="C236">
        <v>2</v>
      </c>
      <c r="D236">
        <v>2</v>
      </c>
      <c r="E236">
        <v>2</v>
      </c>
      <c r="F236">
        <v>2</v>
      </c>
      <c r="G236">
        <v>2</v>
      </c>
      <c r="H236">
        <v>2</v>
      </c>
      <c r="I236">
        <v>2</v>
      </c>
      <c r="J236">
        <v>2</v>
      </c>
      <c r="K236" t="str">
        <f>SUM(B236:J236)</f>
        <v>0</v>
      </c>
    </row>
    <row r="237" spans="1:12">
      <c r="A237" t="s">
        <v>256</v>
      </c>
      <c r="B237">
        <v>2</v>
      </c>
      <c r="C237">
        <v>2</v>
      </c>
      <c r="D237">
        <v>2</v>
      </c>
      <c r="E237">
        <v>1</v>
      </c>
      <c r="F237">
        <v>3</v>
      </c>
      <c r="G237">
        <v>2</v>
      </c>
      <c r="H237">
        <v>2</v>
      </c>
      <c r="I237">
        <v>2</v>
      </c>
      <c r="J237">
        <v>2</v>
      </c>
      <c r="K237" t="str">
        <f>SUM(B237:J237)</f>
        <v>0</v>
      </c>
    </row>
    <row r="238" spans="1:12">
      <c r="A238" t="s">
        <v>257</v>
      </c>
      <c r="B238">
        <v>1</v>
      </c>
      <c r="C238">
        <v>1</v>
      </c>
      <c r="D238">
        <v>1</v>
      </c>
      <c r="E238">
        <v>1</v>
      </c>
      <c r="F238">
        <v>1</v>
      </c>
      <c r="G238">
        <v>1</v>
      </c>
      <c r="H238">
        <v>1</v>
      </c>
      <c r="I238">
        <v>1</v>
      </c>
      <c r="J238">
        <v>1</v>
      </c>
      <c r="K238" t="str">
        <f>SUM(B238:J238)</f>
        <v>0</v>
      </c>
    </row>
    <row r="239" spans="1:12">
      <c r="A239" t="s">
        <v>258</v>
      </c>
      <c r="B239">
        <v>2</v>
      </c>
      <c r="C239">
        <v>2</v>
      </c>
      <c r="D239">
        <v>2</v>
      </c>
      <c r="E239">
        <v>2</v>
      </c>
      <c r="F239">
        <v>2</v>
      </c>
      <c r="G239">
        <v>2</v>
      </c>
      <c r="H239">
        <v>2</v>
      </c>
      <c r="I239">
        <v>2</v>
      </c>
      <c r="J239">
        <v>1</v>
      </c>
      <c r="K239" t="str">
        <f>SUM(B239:J239)</f>
        <v>0</v>
      </c>
    </row>
    <row r="240" spans="1:12">
      <c r="A240" t="s">
        <v>259</v>
      </c>
      <c r="B240">
        <v>1</v>
      </c>
      <c r="C240">
        <v>1</v>
      </c>
      <c r="D240">
        <v>1</v>
      </c>
      <c r="E240">
        <v>1</v>
      </c>
      <c r="F240">
        <v>2</v>
      </c>
      <c r="G240">
        <v>1</v>
      </c>
      <c r="H240">
        <v>1</v>
      </c>
      <c r="I240">
        <v>2</v>
      </c>
      <c r="J240">
        <v>1</v>
      </c>
      <c r="K240" t="str">
        <f>SUM(B240:J240)</f>
        <v>0</v>
      </c>
    </row>
    <row r="241" spans="1:12">
      <c r="A241" t="s">
        <v>260</v>
      </c>
      <c r="B241">
        <v>2</v>
      </c>
      <c r="C241">
        <v>1</v>
      </c>
      <c r="D241">
        <v>1</v>
      </c>
      <c r="E241">
        <v>1</v>
      </c>
      <c r="F241">
        <v>1</v>
      </c>
      <c r="G241">
        <v>1</v>
      </c>
      <c r="H241">
        <v>2</v>
      </c>
      <c r="I241">
        <v>1</v>
      </c>
      <c r="J241">
        <v>1</v>
      </c>
      <c r="K241" t="str">
        <f>SUM(B241:J241)</f>
        <v>0</v>
      </c>
    </row>
    <row r="242" spans="1:12">
      <c r="A242" t="s">
        <v>261</v>
      </c>
      <c r="B242">
        <v>2</v>
      </c>
      <c r="C242">
        <v>2</v>
      </c>
      <c r="D242">
        <v>1</v>
      </c>
      <c r="E242">
        <v>2</v>
      </c>
      <c r="F242">
        <v>1</v>
      </c>
      <c r="G242">
        <v>2</v>
      </c>
      <c r="H242">
        <v>2</v>
      </c>
      <c r="I242">
        <v>2</v>
      </c>
      <c r="J242">
        <v>1</v>
      </c>
      <c r="K242" t="str">
        <f>SUM(B242:J242)</f>
        <v>0</v>
      </c>
    </row>
    <row r="243" spans="1:12">
      <c r="A243" t="s">
        <v>262</v>
      </c>
      <c r="B243">
        <v>2</v>
      </c>
      <c r="C243">
        <v>2</v>
      </c>
      <c r="D243">
        <v>2</v>
      </c>
      <c r="E243">
        <v>2</v>
      </c>
      <c r="F243">
        <v>2</v>
      </c>
      <c r="G243">
        <v>2</v>
      </c>
      <c r="H243">
        <v>3</v>
      </c>
      <c r="I243">
        <v>2</v>
      </c>
      <c r="J243">
        <v>3</v>
      </c>
      <c r="K243" t="str">
        <f>SUM(B243:J243)</f>
        <v>0</v>
      </c>
    </row>
    <row r="244" spans="1:12">
      <c r="A244" t="s">
        <v>263</v>
      </c>
      <c r="B244">
        <v>2</v>
      </c>
      <c r="C244">
        <v>2</v>
      </c>
      <c r="D244">
        <v>1</v>
      </c>
      <c r="E244">
        <v>2</v>
      </c>
      <c r="F244">
        <v>2</v>
      </c>
      <c r="G244">
        <v>1</v>
      </c>
      <c r="H244">
        <v>2</v>
      </c>
      <c r="I244">
        <v>2</v>
      </c>
      <c r="J244">
        <v>2</v>
      </c>
      <c r="K244" t="str">
        <f>SUM(B244:J244)</f>
        <v>0</v>
      </c>
    </row>
    <row r="245" spans="1:12">
      <c r="A245" t="s">
        <v>264</v>
      </c>
      <c r="B245">
        <v>1</v>
      </c>
      <c r="C245">
        <v>2</v>
      </c>
      <c r="D245">
        <v>2</v>
      </c>
      <c r="E245">
        <v>2</v>
      </c>
      <c r="F245">
        <v>2</v>
      </c>
      <c r="G245">
        <v>2</v>
      </c>
      <c r="H245">
        <v>1</v>
      </c>
      <c r="I245">
        <v>1</v>
      </c>
      <c r="J245">
        <v>2</v>
      </c>
      <c r="K245" t="str">
        <f>SUM(B245:J245)</f>
        <v>0</v>
      </c>
    </row>
    <row r="246" spans="1:12">
      <c r="A246" t="s">
        <v>265</v>
      </c>
      <c r="B246">
        <v>2</v>
      </c>
      <c r="C246">
        <v>2</v>
      </c>
      <c r="D246">
        <v>2</v>
      </c>
      <c r="E246">
        <v>1</v>
      </c>
      <c r="F246">
        <v>2</v>
      </c>
      <c r="G246">
        <v>2</v>
      </c>
      <c r="H246">
        <v>2</v>
      </c>
      <c r="I246">
        <v>2</v>
      </c>
      <c r="J246">
        <v>2</v>
      </c>
      <c r="K246" t="str">
        <f>SUM(B246:J246)</f>
        <v>0</v>
      </c>
    </row>
    <row r="247" spans="1:12">
      <c r="A247" t="s">
        <v>266</v>
      </c>
      <c r="B247">
        <v>1</v>
      </c>
      <c r="C247">
        <v>2</v>
      </c>
      <c r="D247">
        <v>2</v>
      </c>
      <c r="E247">
        <v>2</v>
      </c>
      <c r="F247">
        <v>2</v>
      </c>
      <c r="G247">
        <v>2</v>
      </c>
      <c r="H247">
        <v>1</v>
      </c>
      <c r="I247">
        <v>1</v>
      </c>
      <c r="J247">
        <v>2</v>
      </c>
      <c r="K247" t="str">
        <f>SUM(B247:J247)</f>
        <v>0</v>
      </c>
    </row>
    <row r="248" spans="1:12">
      <c r="A248" t="s">
        <v>267</v>
      </c>
      <c r="B248">
        <v>1</v>
      </c>
      <c r="C248">
        <v>2</v>
      </c>
      <c r="D248">
        <v>1</v>
      </c>
      <c r="E248">
        <v>1</v>
      </c>
      <c r="F248">
        <v>2</v>
      </c>
      <c r="G248">
        <v>3</v>
      </c>
      <c r="H248">
        <v>2</v>
      </c>
      <c r="I248">
        <v>2</v>
      </c>
      <c r="J248">
        <v>2</v>
      </c>
      <c r="K248" t="str">
        <f>SUM(B248:J248)</f>
        <v>0</v>
      </c>
    </row>
    <row r="249" spans="1:12">
      <c r="A249" t="s">
        <v>268</v>
      </c>
      <c r="B249">
        <v>2</v>
      </c>
      <c r="C249">
        <v>2</v>
      </c>
      <c r="D249">
        <v>2</v>
      </c>
      <c r="E249">
        <v>2</v>
      </c>
      <c r="F249">
        <v>3</v>
      </c>
      <c r="G249">
        <v>2</v>
      </c>
      <c r="H249">
        <v>2</v>
      </c>
      <c r="I249">
        <v>1</v>
      </c>
      <c r="J249">
        <v>3</v>
      </c>
      <c r="K249" t="str">
        <f>SUM(B249:J249)</f>
        <v>0</v>
      </c>
    </row>
    <row r="250" spans="1:12">
      <c r="A250" t="s">
        <v>269</v>
      </c>
      <c r="B250">
        <v>1</v>
      </c>
      <c r="C250">
        <v>1</v>
      </c>
      <c r="D250">
        <v>1</v>
      </c>
      <c r="E250">
        <v>1</v>
      </c>
      <c r="F250">
        <v>1</v>
      </c>
      <c r="G250">
        <v>1</v>
      </c>
      <c r="H250">
        <v>2</v>
      </c>
      <c r="I250">
        <v>1</v>
      </c>
      <c r="J250">
        <v>1</v>
      </c>
      <c r="K250" t="str">
        <f>SUM(B250:J250)</f>
        <v>0</v>
      </c>
    </row>
    <row r="251" spans="1:12">
      <c r="A251" t="s">
        <v>270</v>
      </c>
      <c r="B251">
        <v>2</v>
      </c>
      <c r="C251">
        <v>2</v>
      </c>
      <c r="D251">
        <v>2</v>
      </c>
      <c r="E251">
        <v>1</v>
      </c>
      <c r="F251">
        <v>2</v>
      </c>
      <c r="G251">
        <v>2</v>
      </c>
      <c r="H251">
        <v>2</v>
      </c>
      <c r="I251">
        <v>2</v>
      </c>
      <c r="J251">
        <v>2</v>
      </c>
      <c r="K251" t="str">
        <f>SUM(B251:J251)</f>
        <v>0</v>
      </c>
    </row>
    <row r="252" spans="1:12">
      <c r="A252" t="s">
        <v>271</v>
      </c>
      <c r="B252">
        <v>2</v>
      </c>
      <c r="C252">
        <v>2</v>
      </c>
      <c r="D252">
        <v>1</v>
      </c>
      <c r="E252">
        <v>1</v>
      </c>
      <c r="F252">
        <v>1</v>
      </c>
      <c r="G252">
        <v>1</v>
      </c>
      <c r="H252">
        <v>1</v>
      </c>
      <c r="I252">
        <v>1</v>
      </c>
      <c r="J252">
        <v>1</v>
      </c>
      <c r="K252" t="str">
        <f>SUM(B252:J252)</f>
        <v>0</v>
      </c>
    </row>
    <row r="253" spans="1:12">
      <c r="A253" t="s">
        <v>272</v>
      </c>
      <c r="B253">
        <v>1</v>
      </c>
      <c r="C253">
        <v>2</v>
      </c>
      <c r="D253">
        <v>2</v>
      </c>
      <c r="E253">
        <v>2</v>
      </c>
      <c r="F253">
        <v>2</v>
      </c>
      <c r="G253">
        <v>2</v>
      </c>
      <c r="H253">
        <v>2</v>
      </c>
      <c r="I253">
        <v>2</v>
      </c>
      <c r="J253">
        <v>2</v>
      </c>
      <c r="K253" t="str">
        <f>SUM(B253:J253)</f>
        <v>0</v>
      </c>
    </row>
    <row r="254" spans="1:12">
      <c r="A254" t="s">
        <v>273</v>
      </c>
      <c r="B254">
        <v>1</v>
      </c>
      <c r="C254">
        <v>2</v>
      </c>
      <c r="D254">
        <v>2</v>
      </c>
      <c r="E254">
        <v>1</v>
      </c>
      <c r="F254">
        <v>1</v>
      </c>
      <c r="G254">
        <v>1</v>
      </c>
      <c r="H254">
        <v>1</v>
      </c>
      <c r="I254">
        <v>2</v>
      </c>
      <c r="J254">
        <v>1</v>
      </c>
      <c r="K254" t="str">
        <f>SUM(B254:J254)</f>
        <v>0</v>
      </c>
    </row>
    <row r="255" spans="1:12">
      <c r="A255" t="s">
        <v>274</v>
      </c>
      <c r="B255">
        <v>1</v>
      </c>
      <c r="C255">
        <v>2</v>
      </c>
      <c r="D255">
        <v>1</v>
      </c>
      <c r="E255">
        <v>1</v>
      </c>
      <c r="F255">
        <v>1</v>
      </c>
      <c r="G255">
        <v>1</v>
      </c>
      <c r="H255">
        <v>1</v>
      </c>
      <c r="I255">
        <v>1</v>
      </c>
      <c r="J255">
        <v>1</v>
      </c>
      <c r="K255" t="str">
        <f>SUM(B255:J255)</f>
        <v>0</v>
      </c>
    </row>
    <row r="256" spans="1:12">
      <c r="A256" t="s">
        <v>275</v>
      </c>
      <c r="B256">
        <v>2</v>
      </c>
      <c r="C256">
        <v>2</v>
      </c>
      <c r="D256">
        <v>2</v>
      </c>
      <c r="E256">
        <v>2</v>
      </c>
      <c r="F256">
        <v>2</v>
      </c>
      <c r="G256">
        <v>2</v>
      </c>
      <c r="H256">
        <v>2</v>
      </c>
      <c r="I256">
        <v>2</v>
      </c>
      <c r="J256">
        <v>1</v>
      </c>
      <c r="K256" t="str">
        <f>SUM(B256:J256)</f>
        <v>0</v>
      </c>
    </row>
    <row r="257" spans="1:12">
      <c r="A257" t="s">
        <v>276</v>
      </c>
      <c r="B257">
        <v>2</v>
      </c>
      <c r="C257">
        <v>2</v>
      </c>
      <c r="D257">
        <v>2</v>
      </c>
      <c r="E257">
        <v>2</v>
      </c>
      <c r="F257">
        <v>2</v>
      </c>
      <c r="G257">
        <v>2</v>
      </c>
      <c r="H257">
        <v>2</v>
      </c>
      <c r="I257">
        <v>2</v>
      </c>
      <c r="J257">
        <v>2</v>
      </c>
      <c r="K257" t="str">
        <f>SUM(B257:J257)</f>
        <v>0</v>
      </c>
    </row>
    <row r="258" spans="1:12">
      <c r="A258" t="s">
        <v>277</v>
      </c>
      <c r="B258">
        <v>2</v>
      </c>
      <c r="C258">
        <v>2</v>
      </c>
      <c r="D258">
        <v>1</v>
      </c>
      <c r="E258">
        <v>1</v>
      </c>
      <c r="F258">
        <v>2</v>
      </c>
      <c r="G258">
        <v>1</v>
      </c>
      <c r="H258">
        <v>2</v>
      </c>
      <c r="I258">
        <v>2</v>
      </c>
      <c r="J258">
        <v>1</v>
      </c>
      <c r="K258" t="str">
        <f>SUM(B258:J258)</f>
        <v>0</v>
      </c>
    </row>
    <row r="259" spans="1:12">
      <c r="A259" t="s">
        <v>278</v>
      </c>
      <c r="B259">
        <v>2</v>
      </c>
      <c r="C259">
        <v>2</v>
      </c>
      <c r="D259">
        <v>2</v>
      </c>
      <c r="E259">
        <v>2</v>
      </c>
      <c r="F259">
        <v>2</v>
      </c>
      <c r="G259">
        <v>2</v>
      </c>
      <c r="H259">
        <v>1</v>
      </c>
      <c r="I259">
        <v>1</v>
      </c>
      <c r="J259">
        <v>2</v>
      </c>
      <c r="K259" t="str">
        <f>SUM(B259:J259)</f>
        <v>0</v>
      </c>
    </row>
    <row r="260" spans="1:12">
      <c r="A260" t="s">
        <v>279</v>
      </c>
      <c r="B260">
        <v>1</v>
      </c>
      <c r="C260">
        <v>1</v>
      </c>
      <c r="D260">
        <v>1</v>
      </c>
      <c r="E260">
        <v>2</v>
      </c>
      <c r="F260">
        <v>1</v>
      </c>
      <c r="G260">
        <v>2</v>
      </c>
      <c r="H260">
        <v>2</v>
      </c>
      <c r="I260">
        <v>2</v>
      </c>
      <c r="J260">
        <v>2</v>
      </c>
      <c r="K260" t="str">
        <f>SUM(B260:J260)</f>
        <v>0</v>
      </c>
    </row>
    <row r="261" spans="1:12">
      <c r="A261" t="s">
        <v>280</v>
      </c>
      <c r="B261">
        <v>1</v>
      </c>
      <c r="C261">
        <v>1</v>
      </c>
      <c r="D261">
        <v>1</v>
      </c>
      <c r="E261">
        <v>1</v>
      </c>
      <c r="F261">
        <v>1</v>
      </c>
      <c r="G261">
        <v>1</v>
      </c>
      <c r="H261">
        <v>1</v>
      </c>
      <c r="I261">
        <v>1</v>
      </c>
      <c r="J261">
        <v>1</v>
      </c>
      <c r="K261" t="str">
        <f>SUM(B261:J261)</f>
        <v>0</v>
      </c>
    </row>
    <row r="262" spans="1:12">
      <c r="A262" t="s">
        <v>281</v>
      </c>
      <c r="B262">
        <v>2</v>
      </c>
      <c r="C262">
        <v>2</v>
      </c>
      <c r="D262">
        <v>1</v>
      </c>
      <c r="E262">
        <v>2</v>
      </c>
      <c r="F262">
        <v>2</v>
      </c>
      <c r="G262">
        <v>2</v>
      </c>
      <c r="H262">
        <v>2</v>
      </c>
      <c r="I262">
        <v>2</v>
      </c>
      <c r="J262">
        <v>2</v>
      </c>
      <c r="K262" t="str">
        <f>SUM(B262:J262)</f>
        <v>0</v>
      </c>
    </row>
    <row r="263" spans="1:12">
      <c r="A263" t="s">
        <v>282</v>
      </c>
      <c r="B263">
        <v>1</v>
      </c>
      <c r="C263">
        <v>1</v>
      </c>
      <c r="D263">
        <v>1</v>
      </c>
      <c r="E263">
        <v>1</v>
      </c>
      <c r="F263">
        <v>1</v>
      </c>
      <c r="G263">
        <v>1</v>
      </c>
      <c r="H263">
        <v>2</v>
      </c>
      <c r="I263">
        <v>2</v>
      </c>
      <c r="J263">
        <v>1</v>
      </c>
      <c r="K263" t="str">
        <f>SUM(B263:J263)</f>
        <v>0</v>
      </c>
    </row>
    <row r="264" spans="1:12">
      <c r="A264" t="s">
        <v>283</v>
      </c>
      <c r="B264">
        <v>1</v>
      </c>
      <c r="C264">
        <v>1</v>
      </c>
      <c r="D264">
        <v>1</v>
      </c>
      <c r="E264">
        <v>1</v>
      </c>
      <c r="F264">
        <v>1</v>
      </c>
      <c r="G264">
        <v>1</v>
      </c>
      <c r="H264">
        <v>1</v>
      </c>
      <c r="I264">
        <v>1</v>
      </c>
      <c r="J264">
        <v>1</v>
      </c>
      <c r="K264" t="str">
        <f>SUM(B264:J264)</f>
        <v>0</v>
      </c>
    </row>
    <row r="265" spans="1:12">
      <c r="A265" t="s">
        <v>284</v>
      </c>
      <c r="B265">
        <v>1</v>
      </c>
      <c r="C265">
        <v>2</v>
      </c>
      <c r="D265">
        <v>2</v>
      </c>
      <c r="E265">
        <v>2</v>
      </c>
      <c r="F265">
        <v>1</v>
      </c>
      <c r="G265">
        <v>1</v>
      </c>
      <c r="H265">
        <v>2</v>
      </c>
      <c r="I265">
        <v>2</v>
      </c>
      <c r="J265">
        <v>2</v>
      </c>
      <c r="K265" t="str">
        <f>SUM(B265:J265)</f>
        <v>0</v>
      </c>
    </row>
    <row r="266" spans="1:12">
      <c r="A266" t="s">
        <v>285</v>
      </c>
      <c r="B266">
        <v>2</v>
      </c>
      <c r="C266">
        <v>2</v>
      </c>
      <c r="D266">
        <v>1</v>
      </c>
      <c r="E266">
        <v>1</v>
      </c>
      <c r="F266">
        <v>2</v>
      </c>
      <c r="G266">
        <v>2</v>
      </c>
      <c r="H266">
        <v>2</v>
      </c>
      <c r="I266">
        <v>2</v>
      </c>
      <c r="J266">
        <v>2</v>
      </c>
      <c r="K266" t="str">
        <f>SUM(B266:J266)</f>
        <v>0</v>
      </c>
    </row>
    <row r="267" spans="1:12">
      <c r="A267" t="s">
        <v>286</v>
      </c>
      <c r="B267">
        <v>2</v>
      </c>
      <c r="C267">
        <v>3</v>
      </c>
      <c r="D267">
        <v>2</v>
      </c>
      <c r="E267">
        <v>2</v>
      </c>
      <c r="F267">
        <v>2</v>
      </c>
      <c r="G267">
        <v>2</v>
      </c>
      <c r="H267">
        <v>2</v>
      </c>
      <c r="I267">
        <v>2</v>
      </c>
      <c r="J267">
        <v>2</v>
      </c>
      <c r="K267" t="str">
        <f>SUM(B267:J267)</f>
        <v>0</v>
      </c>
    </row>
    <row r="268" spans="1:12">
      <c r="A268" t="s">
        <v>287</v>
      </c>
      <c r="B268">
        <v>2</v>
      </c>
      <c r="C268">
        <v>2</v>
      </c>
      <c r="D268">
        <v>2</v>
      </c>
      <c r="E268">
        <v>2</v>
      </c>
      <c r="F268">
        <v>2</v>
      </c>
      <c r="G268">
        <v>2</v>
      </c>
      <c r="H268">
        <v>2</v>
      </c>
      <c r="I268">
        <v>2</v>
      </c>
      <c r="J268">
        <v>2</v>
      </c>
      <c r="K268" t="str">
        <f>SUM(B268:J268)</f>
        <v>0</v>
      </c>
    </row>
    <row r="269" spans="1:12">
      <c r="A269" t="s">
        <v>288</v>
      </c>
      <c r="B269">
        <v>1</v>
      </c>
      <c r="C269">
        <v>2</v>
      </c>
      <c r="D269">
        <v>1</v>
      </c>
      <c r="E269">
        <v>2</v>
      </c>
      <c r="F269">
        <v>1</v>
      </c>
      <c r="G269">
        <v>1</v>
      </c>
      <c r="H269">
        <v>2</v>
      </c>
      <c r="I269">
        <v>2</v>
      </c>
      <c r="J269">
        <v>2</v>
      </c>
      <c r="K269" t="str">
        <f>SUM(B269:J269)</f>
        <v>0</v>
      </c>
    </row>
    <row r="270" spans="1:12">
      <c r="A270" t="s">
        <v>289</v>
      </c>
      <c r="B270">
        <v>2</v>
      </c>
      <c r="C270">
        <v>2</v>
      </c>
      <c r="D270">
        <v>1</v>
      </c>
      <c r="E270">
        <v>2</v>
      </c>
      <c r="F270">
        <v>2</v>
      </c>
      <c r="G270">
        <v>2</v>
      </c>
      <c r="H270">
        <v>1</v>
      </c>
      <c r="I270">
        <v>1</v>
      </c>
      <c r="J270">
        <v>2</v>
      </c>
      <c r="K270" t="str">
        <f>SUM(B270:J270)</f>
        <v>0</v>
      </c>
    </row>
    <row r="271" spans="1:12">
      <c r="A271" t="s">
        <v>290</v>
      </c>
      <c r="B271">
        <v>2</v>
      </c>
      <c r="C271">
        <v>2</v>
      </c>
      <c r="D271">
        <v>2</v>
      </c>
      <c r="E271">
        <v>2</v>
      </c>
      <c r="F271">
        <v>1</v>
      </c>
      <c r="G271">
        <v>1</v>
      </c>
      <c r="H271">
        <v>2</v>
      </c>
      <c r="I271">
        <v>1</v>
      </c>
      <c r="J271">
        <v>2</v>
      </c>
      <c r="K271" t="str">
        <f>SUM(B271:J271)</f>
        <v>0</v>
      </c>
    </row>
    <row r="272" spans="1:12">
      <c r="A272" t="s">
        <v>291</v>
      </c>
      <c r="B272">
        <v>1</v>
      </c>
      <c r="C272">
        <v>1</v>
      </c>
      <c r="D272">
        <v>2</v>
      </c>
      <c r="E272">
        <v>2</v>
      </c>
      <c r="F272">
        <v>1</v>
      </c>
      <c r="G272">
        <v>1</v>
      </c>
      <c r="H272">
        <v>1</v>
      </c>
      <c r="I272">
        <v>1</v>
      </c>
      <c r="J272">
        <v>1</v>
      </c>
      <c r="K272" t="str">
        <f>SUM(B272:J272)</f>
        <v>0</v>
      </c>
    </row>
    <row r="273" spans="1:12">
      <c r="A273" t="s">
        <v>292</v>
      </c>
      <c r="B273">
        <v>2</v>
      </c>
      <c r="C273">
        <v>2</v>
      </c>
      <c r="D273">
        <v>2</v>
      </c>
      <c r="E273">
        <v>2</v>
      </c>
      <c r="F273">
        <v>2</v>
      </c>
      <c r="G273">
        <v>2</v>
      </c>
      <c r="H273">
        <v>2</v>
      </c>
      <c r="I273">
        <v>2</v>
      </c>
      <c r="J273">
        <v>1</v>
      </c>
      <c r="K273" t="str">
        <f>SUM(B273:J273)</f>
        <v>0</v>
      </c>
    </row>
    <row r="274" spans="1:12">
      <c r="A274" t="s">
        <v>293</v>
      </c>
      <c r="B274">
        <v>2</v>
      </c>
      <c r="C274">
        <v>1</v>
      </c>
      <c r="D274">
        <v>2</v>
      </c>
      <c r="E274">
        <v>2</v>
      </c>
      <c r="F274">
        <v>2</v>
      </c>
      <c r="G274">
        <v>2</v>
      </c>
      <c r="H274">
        <v>2</v>
      </c>
      <c r="I274">
        <v>1</v>
      </c>
      <c r="J274">
        <v>2</v>
      </c>
      <c r="K274" t="str">
        <f>SUM(B274:J274)</f>
        <v>0</v>
      </c>
    </row>
    <row r="275" spans="1:12">
      <c r="A275" t="s">
        <v>294</v>
      </c>
      <c r="B275">
        <v>1</v>
      </c>
      <c r="C275">
        <v>1</v>
      </c>
      <c r="D275">
        <v>1</v>
      </c>
      <c r="E275">
        <v>1</v>
      </c>
      <c r="F275">
        <v>1</v>
      </c>
      <c r="G275">
        <v>1</v>
      </c>
      <c r="H275">
        <v>1</v>
      </c>
      <c r="I275">
        <v>1</v>
      </c>
      <c r="J275">
        <v>1</v>
      </c>
      <c r="K275" t="str">
        <f>SUM(B275:J275)</f>
        <v>0</v>
      </c>
    </row>
    <row r="276" spans="1:12">
      <c r="A276" t="s">
        <v>295</v>
      </c>
      <c r="B276">
        <v>2</v>
      </c>
      <c r="C276">
        <v>2</v>
      </c>
      <c r="D276">
        <v>1</v>
      </c>
      <c r="E276">
        <v>2</v>
      </c>
      <c r="F276">
        <v>2</v>
      </c>
      <c r="G276">
        <v>2</v>
      </c>
      <c r="H276">
        <v>1</v>
      </c>
      <c r="I276">
        <v>2</v>
      </c>
      <c r="J276">
        <v>2</v>
      </c>
      <c r="K276" t="str">
        <f>SUM(B276:J276)</f>
        <v>0</v>
      </c>
    </row>
    <row r="277" spans="1:12">
      <c r="A277" t="s">
        <v>296</v>
      </c>
      <c r="B277">
        <v>2</v>
      </c>
      <c r="C277">
        <v>1</v>
      </c>
      <c r="D277">
        <v>2</v>
      </c>
      <c r="E277">
        <v>2</v>
      </c>
      <c r="F277">
        <v>2</v>
      </c>
      <c r="G277">
        <v>2</v>
      </c>
      <c r="H277">
        <v>1</v>
      </c>
      <c r="I277">
        <v>1</v>
      </c>
      <c r="J277">
        <v>2</v>
      </c>
      <c r="K277" t="str">
        <f>SUM(B277:J277)</f>
        <v>0</v>
      </c>
    </row>
    <row r="278" spans="1:12">
      <c r="A278" t="s">
        <v>297</v>
      </c>
      <c r="B278">
        <v>1</v>
      </c>
      <c r="C278">
        <v>1</v>
      </c>
      <c r="D278">
        <v>1</v>
      </c>
      <c r="E278">
        <v>1</v>
      </c>
      <c r="F278">
        <v>1</v>
      </c>
      <c r="G278">
        <v>1</v>
      </c>
      <c r="H278">
        <v>1</v>
      </c>
      <c r="I278">
        <v>1</v>
      </c>
      <c r="J278">
        <v>1</v>
      </c>
      <c r="K278" t="str">
        <f>SUM(B278:J278)</f>
        <v>0</v>
      </c>
    </row>
    <row r="279" spans="1:12">
      <c r="A279" t="s">
        <v>298</v>
      </c>
      <c r="B279">
        <v>2</v>
      </c>
      <c r="C279">
        <v>2</v>
      </c>
      <c r="D279">
        <v>2</v>
      </c>
      <c r="E279">
        <v>3</v>
      </c>
      <c r="F279">
        <v>2</v>
      </c>
      <c r="G279">
        <v>2</v>
      </c>
      <c r="H279">
        <v>2</v>
      </c>
      <c r="I279">
        <v>2</v>
      </c>
      <c r="J279">
        <v>3</v>
      </c>
      <c r="K279" t="str">
        <f>SUM(B279:J279)</f>
        <v>0</v>
      </c>
    </row>
    <row r="280" spans="1:12">
      <c r="A280" t="s">
        <v>299</v>
      </c>
      <c r="B280">
        <v>2</v>
      </c>
      <c r="C280">
        <v>2</v>
      </c>
      <c r="D280">
        <v>1</v>
      </c>
      <c r="E280">
        <v>1</v>
      </c>
      <c r="F280">
        <v>2</v>
      </c>
      <c r="G280">
        <v>1</v>
      </c>
      <c r="H280">
        <v>1</v>
      </c>
      <c r="I280">
        <v>1</v>
      </c>
      <c r="J280">
        <v>2</v>
      </c>
      <c r="K280" t="str">
        <f>SUM(B280:J280)</f>
        <v>0</v>
      </c>
    </row>
    <row r="281" spans="1:12">
      <c r="A281" t="s">
        <v>300</v>
      </c>
      <c r="B281">
        <v>2</v>
      </c>
      <c r="C281">
        <v>2</v>
      </c>
      <c r="D281">
        <v>1</v>
      </c>
      <c r="E281">
        <v>2</v>
      </c>
      <c r="F281">
        <v>2</v>
      </c>
      <c r="G281">
        <v>1</v>
      </c>
      <c r="H281">
        <v>1</v>
      </c>
      <c r="I281">
        <v>2</v>
      </c>
      <c r="J281">
        <v>1</v>
      </c>
      <c r="K281" t="str">
        <f>SUM(B281:J281)</f>
        <v>0</v>
      </c>
    </row>
    <row r="282" spans="1:12">
      <c r="A282" t="s">
        <v>301</v>
      </c>
      <c r="B282">
        <v>2</v>
      </c>
      <c r="C282">
        <v>2</v>
      </c>
      <c r="D282">
        <v>2</v>
      </c>
      <c r="E282">
        <v>2</v>
      </c>
      <c r="F282">
        <v>2</v>
      </c>
      <c r="G282">
        <v>1</v>
      </c>
      <c r="H282">
        <v>2</v>
      </c>
      <c r="I282">
        <v>2</v>
      </c>
      <c r="J282">
        <v>1</v>
      </c>
      <c r="K282" t="str">
        <f>SUM(B282:J282)</f>
        <v>0</v>
      </c>
    </row>
    <row r="283" spans="1:12">
      <c r="A283" t="s">
        <v>302</v>
      </c>
      <c r="B283">
        <v>2</v>
      </c>
      <c r="C283">
        <v>1</v>
      </c>
      <c r="D283">
        <v>2</v>
      </c>
      <c r="E283">
        <v>2</v>
      </c>
      <c r="F283">
        <v>2</v>
      </c>
      <c r="G283">
        <v>2</v>
      </c>
      <c r="H283">
        <v>1</v>
      </c>
      <c r="I283">
        <v>1</v>
      </c>
      <c r="J283">
        <v>3</v>
      </c>
      <c r="K283" t="str">
        <f>SUM(B283:J283)</f>
        <v>0</v>
      </c>
    </row>
    <row r="284" spans="1:12">
      <c r="A284" t="s">
        <v>303</v>
      </c>
      <c r="B284">
        <v>1</v>
      </c>
      <c r="C284">
        <v>1</v>
      </c>
      <c r="D284">
        <v>1</v>
      </c>
      <c r="E284">
        <v>2</v>
      </c>
      <c r="F284">
        <v>2</v>
      </c>
      <c r="G284">
        <v>1</v>
      </c>
      <c r="H284">
        <v>1</v>
      </c>
      <c r="I284">
        <v>2</v>
      </c>
      <c r="J284">
        <v>1</v>
      </c>
      <c r="K284" t="str">
        <f>SUM(B284:J284)</f>
        <v>0</v>
      </c>
    </row>
    <row r="285" spans="1:12">
      <c r="A285" t="s">
        <v>304</v>
      </c>
      <c r="B285">
        <v>2</v>
      </c>
      <c r="C285">
        <v>1</v>
      </c>
      <c r="D285">
        <v>1</v>
      </c>
      <c r="E285">
        <v>2</v>
      </c>
      <c r="F285">
        <v>1</v>
      </c>
      <c r="G285">
        <v>1</v>
      </c>
      <c r="H285">
        <v>1</v>
      </c>
      <c r="I285">
        <v>2</v>
      </c>
      <c r="J285">
        <v>2</v>
      </c>
      <c r="K285" t="str">
        <f>SUM(B285:J285)</f>
        <v>0</v>
      </c>
    </row>
    <row r="286" spans="1:12">
      <c r="A286" t="s">
        <v>305</v>
      </c>
      <c r="B286">
        <v>2</v>
      </c>
      <c r="C286">
        <v>2</v>
      </c>
      <c r="D286">
        <v>3</v>
      </c>
      <c r="E286">
        <v>2</v>
      </c>
      <c r="F286">
        <v>2</v>
      </c>
      <c r="G286">
        <v>2</v>
      </c>
      <c r="H286">
        <v>2</v>
      </c>
      <c r="I286">
        <v>2</v>
      </c>
      <c r="J286">
        <v>2</v>
      </c>
      <c r="K286" t="str">
        <f>SUM(B286:J286)</f>
        <v>0</v>
      </c>
    </row>
    <row r="287" spans="1:12">
      <c r="A287" t="s">
        <v>306</v>
      </c>
      <c r="B287">
        <v>2</v>
      </c>
      <c r="C287">
        <v>2</v>
      </c>
      <c r="D287">
        <v>1</v>
      </c>
      <c r="E287">
        <v>2</v>
      </c>
      <c r="F287">
        <v>2</v>
      </c>
      <c r="G287">
        <v>1</v>
      </c>
      <c r="H287">
        <v>2</v>
      </c>
      <c r="I287">
        <v>1</v>
      </c>
      <c r="J287">
        <v>1</v>
      </c>
      <c r="K287" t="str">
        <f>SUM(B287:J287)</f>
        <v>0</v>
      </c>
    </row>
    <row r="288" spans="1:12">
      <c r="A288" t="s">
        <v>307</v>
      </c>
      <c r="B288">
        <v>2</v>
      </c>
      <c r="C288">
        <v>2</v>
      </c>
      <c r="D288">
        <v>2</v>
      </c>
      <c r="E288">
        <v>2</v>
      </c>
      <c r="F288">
        <v>1</v>
      </c>
      <c r="G288">
        <v>2</v>
      </c>
      <c r="H288">
        <v>2</v>
      </c>
      <c r="I288">
        <v>2</v>
      </c>
      <c r="J288">
        <v>2</v>
      </c>
      <c r="K288" t="str">
        <f>SUM(B288:J288)</f>
        <v>0</v>
      </c>
    </row>
    <row r="289" spans="1:12">
      <c r="A289" t="s">
        <v>308</v>
      </c>
      <c r="B289">
        <v>2</v>
      </c>
      <c r="C289">
        <v>2</v>
      </c>
      <c r="D289">
        <v>2</v>
      </c>
      <c r="E289">
        <v>1</v>
      </c>
      <c r="F289">
        <v>1</v>
      </c>
      <c r="G289">
        <v>1</v>
      </c>
      <c r="H289">
        <v>1</v>
      </c>
      <c r="I289">
        <v>2</v>
      </c>
      <c r="J289">
        <v>1</v>
      </c>
      <c r="K289" t="str">
        <f>SUM(B289:J289)</f>
        <v>0</v>
      </c>
    </row>
    <row r="290" spans="1:12">
      <c r="A290" t="s">
        <v>309</v>
      </c>
      <c r="B290">
        <v>2</v>
      </c>
      <c r="C290">
        <v>2</v>
      </c>
      <c r="D290">
        <v>2</v>
      </c>
      <c r="E290">
        <v>2</v>
      </c>
      <c r="F290">
        <v>2</v>
      </c>
      <c r="G290">
        <v>2</v>
      </c>
      <c r="H290">
        <v>2</v>
      </c>
      <c r="I290">
        <v>1</v>
      </c>
      <c r="J290">
        <v>2</v>
      </c>
      <c r="K290" t="str">
        <f>SUM(B290:J290)</f>
        <v>0</v>
      </c>
    </row>
    <row r="291" spans="1:12">
      <c r="A291" t="s">
        <v>310</v>
      </c>
      <c r="B291">
        <v>2</v>
      </c>
      <c r="C291">
        <v>1</v>
      </c>
      <c r="D291">
        <v>2</v>
      </c>
      <c r="E291">
        <v>1</v>
      </c>
      <c r="F291">
        <v>1</v>
      </c>
      <c r="G291">
        <v>1</v>
      </c>
      <c r="H291">
        <v>1</v>
      </c>
      <c r="I291">
        <v>1</v>
      </c>
      <c r="J291">
        <v>2</v>
      </c>
      <c r="K291" t="str">
        <f>SUM(B291:J291)</f>
        <v>0</v>
      </c>
    </row>
    <row r="292" spans="1:12">
      <c r="A292" t="s">
        <v>311</v>
      </c>
      <c r="B292">
        <v>2</v>
      </c>
      <c r="C292">
        <v>1</v>
      </c>
      <c r="D292">
        <v>1</v>
      </c>
      <c r="E292">
        <v>1</v>
      </c>
      <c r="F292">
        <v>2</v>
      </c>
      <c r="G292">
        <v>1</v>
      </c>
      <c r="H292">
        <v>1</v>
      </c>
      <c r="I292">
        <v>2</v>
      </c>
      <c r="J292">
        <v>2</v>
      </c>
      <c r="K292" t="str">
        <f>SUM(B292:J292)</f>
        <v>0</v>
      </c>
    </row>
    <row r="293" spans="1:12">
      <c r="A293" t="s">
        <v>312</v>
      </c>
      <c r="B293">
        <v>2</v>
      </c>
      <c r="C293">
        <v>2</v>
      </c>
      <c r="D293">
        <v>2</v>
      </c>
      <c r="E293">
        <v>1</v>
      </c>
      <c r="F293">
        <v>1</v>
      </c>
      <c r="G293">
        <v>2</v>
      </c>
      <c r="H293">
        <v>1</v>
      </c>
      <c r="I293">
        <v>1</v>
      </c>
      <c r="J293">
        <v>1</v>
      </c>
      <c r="K293" t="str">
        <f>SUM(B293:J293)</f>
        <v>0</v>
      </c>
    </row>
    <row r="294" spans="1:12">
      <c r="A294" t="s">
        <v>313</v>
      </c>
      <c r="B294" t="str">
        <f>SUM(B5:B293)</f>
        <v>0</v>
      </c>
      <c r="C294" t="str">
        <f>SUM(C5:C293)</f>
        <v>0</v>
      </c>
      <c r="D294" t="str">
        <f>SUM(D5:D293)</f>
        <v>0</v>
      </c>
      <c r="E294" t="str">
        <f>SUM(E5:E293)</f>
        <v>0</v>
      </c>
      <c r="F294" t="str">
        <f>SUM(F5:F293)</f>
        <v>0</v>
      </c>
      <c r="G294" t="str">
        <f>SUM(G5:G293)</f>
        <v>0</v>
      </c>
      <c r="H294" t="str">
        <f>SUM(H5:H293)</f>
        <v>0</v>
      </c>
      <c r="I294" t="str">
        <f>SUM(I5:I293)</f>
        <v>0</v>
      </c>
      <c r="J294" t="str">
        <f>SUM(J5:J293)</f>
        <v>0</v>
      </c>
      <c r="K294" t="str">
        <f>SUM(K5:K293)</f>
        <v>0</v>
      </c>
    </row>
    <row r="295" spans="1:12">
      <c r="A295" t="s">
        <v>314</v>
      </c>
      <c r="B295" t="str">
        <f>MODE(B5:B293)</f>
        <v>0</v>
      </c>
      <c r="C295" t="str">
        <f>MODE(C5:C293)</f>
        <v>0</v>
      </c>
      <c r="D295" t="str">
        <f>MODE(D5:D293)</f>
        <v>0</v>
      </c>
      <c r="E295" t="str">
        <f>MODE(E5:E293)</f>
        <v>0</v>
      </c>
      <c r="F295" t="str">
        <f>MODE(F5:F293)</f>
        <v>0</v>
      </c>
      <c r="G295" t="str">
        <f>MODE(G5:G293)</f>
        <v>0</v>
      </c>
      <c r="H295" t="str">
        <f>MODE(H5:H293)</f>
        <v>0</v>
      </c>
      <c r="I295" t="str">
        <f>MODE(I5:I293)</f>
        <v>0</v>
      </c>
      <c r="J295" t="str">
        <f>MODE(J5:J293)</f>
        <v>0</v>
      </c>
      <c r="K295" t="str">
        <f>MODE(K5:K293)</f>
        <v>0</v>
      </c>
    </row>
    <row r="296" spans="1:12">
      <c r="A296" t="s">
        <v>315</v>
      </c>
      <c r="B296" t="str">
        <f>(B294/289)</f>
        <v>0</v>
      </c>
      <c r="C296" t="str">
        <f>(C294/289)</f>
        <v>0</v>
      </c>
      <c r="D296" t="str">
        <f>(D294/289)</f>
        <v>0</v>
      </c>
      <c r="E296" t="str">
        <f>(E294/289)</f>
        <v>0</v>
      </c>
      <c r="F296" t="str">
        <f>(F294/289)</f>
        <v>0</v>
      </c>
      <c r="G296" t="str">
        <f>(G294/289)</f>
        <v>0</v>
      </c>
      <c r="H296" t="str">
        <f>(H294/289)</f>
        <v>0</v>
      </c>
      <c r="I296" t="str">
        <f>(I294/289)</f>
        <v>0</v>
      </c>
      <c r="J296" t="str">
        <f>(J294/289)</f>
        <v>0</v>
      </c>
      <c r="K296" t="str">
        <f>(K294/289)</f>
        <v>0</v>
      </c>
    </row>
    <row r="297" spans="1:12">
      <c r="A297" t="s">
        <v>316</v>
      </c>
      <c r="B297" t="str">
        <f>MEDIAN(B5:B293)</f>
        <v>0</v>
      </c>
      <c r="C297" t="str">
        <f>MEDIAN(C5:C293)</f>
        <v>0</v>
      </c>
      <c r="D297" t="str">
        <f>MEDIAN(D5:D293)</f>
        <v>0</v>
      </c>
      <c r="E297" t="str">
        <f>MEDIAN(E5:E293)</f>
        <v>0</v>
      </c>
      <c r="F297" t="str">
        <f>MEDIAN(F5:F293)</f>
        <v>0</v>
      </c>
      <c r="G297" t="str">
        <f>MEDIAN(G5:G293)</f>
        <v>0</v>
      </c>
      <c r="H297" t="str">
        <f>MEDIAN(H5:H293)</f>
        <v>0</v>
      </c>
      <c r="I297" t="str">
        <f>MEDIAN(I5:I293)</f>
        <v>0</v>
      </c>
      <c r="J297" t="str">
        <f>MEDIAN(J5:J293)</f>
        <v>0</v>
      </c>
      <c r="K297" t="str">
        <f>MEDIAN(K5:K293)</f>
        <v>0</v>
      </c>
    </row>
    <row r="298" spans="1:12">
      <c r="A298" t="s">
        <v>317</v>
      </c>
      <c r="B298" t="str">
        <f>ROUND(STDEV(B5:B293),2)</f>
        <v>0</v>
      </c>
      <c r="C298" t="str">
        <f>ROUND(STDEV(C5:C293),2)</f>
        <v>0</v>
      </c>
      <c r="D298" t="str">
        <f>ROUND(STDEV(D5:D293),2)</f>
        <v>0</v>
      </c>
      <c r="E298" t="str">
        <f>ROUND(STDEV(E5:E293),2)</f>
        <v>0</v>
      </c>
      <c r="F298" t="str">
        <f>ROUND(STDEV(F5:F293),2)</f>
        <v>0</v>
      </c>
      <c r="G298" t="str">
        <f>ROUND(STDEV(G5:G293),2)</f>
        <v>0</v>
      </c>
      <c r="H298" t="str">
        <f>ROUND(STDEV(H5:H293),2)</f>
        <v>0</v>
      </c>
      <c r="I298" t="str">
        <f>ROUND(STDEV(I5:I293),2)</f>
        <v>0</v>
      </c>
      <c r="J298" t="str">
        <f>ROUND(STDEV(J5:J293),2)</f>
        <v>0</v>
      </c>
      <c r="K298" t="str">
        <f>ROUND(STDEV(K5:K293),2)</f>
        <v>0</v>
      </c>
    </row>
    <row r="299" spans="1:12">
      <c r="A299" t="s">
        <v>318</v>
      </c>
      <c r="B299" s="5" t="str">
        <f>(B298/B296)</f>
        <v>0</v>
      </c>
      <c r="C299" s="5" t="str">
        <f>(C298/C296)</f>
        <v>0</v>
      </c>
      <c r="D299" s="5" t="str">
        <f>(D298/D296)</f>
        <v>0</v>
      </c>
      <c r="E299" s="5" t="str">
        <f>(E298/E296)</f>
        <v>0</v>
      </c>
      <c r="F299" s="5" t="str">
        <f>(F298/F296)</f>
        <v>0</v>
      </c>
      <c r="G299" s="5" t="str">
        <f>(G298/G296)</f>
        <v>0</v>
      </c>
      <c r="H299" s="5" t="str">
        <f>(H298/H296)</f>
        <v>0</v>
      </c>
      <c r="I299" s="5" t="str">
        <f>(I298/I296)</f>
        <v>0</v>
      </c>
      <c r="J299" s="5" t="str">
        <f>(J298/J296)</f>
        <v>0</v>
      </c>
      <c r="K299" s="5" t="str">
        <f>(K298/K296)</f>
        <v>0</v>
      </c>
    </row>
    <row r="300" spans="1:12">
      <c r="A300" t="s">
        <v>319</v>
      </c>
      <c r="B300" t="str">
        <f>COUNTIF($B$5:$B$293,1)</f>
        <v>0</v>
      </c>
      <c r="C300" t="str">
        <f>COUNTIF($C$5:$C$293,1)</f>
        <v>0</v>
      </c>
      <c r="D300" t="str">
        <f>COUNTIF($D$5:$D$293,1)</f>
        <v>0</v>
      </c>
      <c r="E300" t="str">
        <f>COUNTIF($E$5:$E$293,1)</f>
        <v>0</v>
      </c>
      <c r="F300" t="str">
        <f>COUNTIF($F$5:$F$293,1)</f>
        <v>0</v>
      </c>
      <c r="G300" t="str">
        <f>COUNTIF($G$5:$G$293,1)</f>
        <v>0</v>
      </c>
      <c r="H300" t="str">
        <f>COUNTIF($H$5:$H$293,1)</f>
        <v>0</v>
      </c>
      <c r="I300" t="str">
        <f>COUNTIF($I$5:$I$293,1)</f>
        <v>0</v>
      </c>
      <c r="J300" t="str">
        <f>COUNTIF($J$5:$J$293,1)</f>
        <v>0</v>
      </c>
    </row>
    <row r="301" spans="1:12">
      <c r="A301" t="s">
        <v>320</v>
      </c>
      <c r="B301" t="str">
        <f>COUNTIF($B$5:$B$293,2)</f>
        <v>0</v>
      </c>
      <c r="C301" t="str">
        <f>COUNTIF($C$5:$C$293,2)</f>
        <v>0</v>
      </c>
      <c r="D301" t="str">
        <f>COUNTIF($D$5:$D$293,2)</f>
        <v>0</v>
      </c>
      <c r="E301" t="str">
        <f>COUNTIF($E$5:$E$293,2)</f>
        <v>0</v>
      </c>
      <c r="F301" t="str">
        <f>COUNTIF($F$5:$F$293,2)</f>
        <v>0</v>
      </c>
      <c r="G301" t="str">
        <f>COUNTIF($G$5:$G$293,2)</f>
        <v>0</v>
      </c>
      <c r="H301" t="str">
        <f>COUNTIF($H$5:$H$293,2)</f>
        <v>0</v>
      </c>
      <c r="I301" t="str">
        <f>COUNTIF($I$5:$I$293,2)</f>
        <v>0</v>
      </c>
      <c r="J301" t="str">
        <f>COUNTIF($J$5:$J$293,2)</f>
        <v>0</v>
      </c>
    </row>
    <row r="302" spans="1:12">
      <c r="A302" t="s">
        <v>321</v>
      </c>
      <c r="B302" t="str">
        <f>COUNTIF($B$5:$B$293,3)</f>
        <v>0</v>
      </c>
      <c r="C302" t="str">
        <f>COUNTIF($C$5:$C$293,3)</f>
        <v>0</v>
      </c>
      <c r="D302" t="str">
        <f>COUNTIF($D$5:$D$293,3)</f>
        <v>0</v>
      </c>
      <c r="E302" t="str">
        <f>COUNTIF($E$5:$E$293,3)</f>
        <v>0</v>
      </c>
      <c r="F302" t="str">
        <f>COUNTIF($F$5:$F$293,3)</f>
        <v>0</v>
      </c>
      <c r="G302" t="str">
        <f>COUNTIF($G$5:$G$293,3)</f>
        <v>0</v>
      </c>
      <c r="H302" t="str">
        <f>COUNTIF($H$5:$H$293,3)</f>
        <v>0</v>
      </c>
      <c r="I302" t="str">
        <f>COUNTIF($I$5:$I$293,3)</f>
        <v>0</v>
      </c>
      <c r="J302" t="str">
        <f>COUNTIF($J$5:$J$293,3)</f>
        <v>0</v>
      </c>
    </row>
    <row r="303" spans="1:12">
      <c r="A303" t="s">
        <v>322</v>
      </c>
      <c r="B303" t="str">
        <f>COUNTIF($B$5:$B$293,4)</f>
        <v>0</v>
      </c>
      <c r="C303" t="str">
        <f>COUNTIF($C$5:$C$293,4)</f>
        <v>0</v>
      </c>
      <c r="D303" t="str">
        <f>COUNTIF($D$5:$D$293,4)</f>
        <v>0</v>
      </c>
      <c r="E303" t="str">
        <f>COUNTIF($E$5:$E$293,4)</f>
        <v>0</v>
      </c>
      <c r="F303" t="str">
        <f>COUNTIF($F$5:$F$293,4)</f>
        <v>0</v>
      </c>
      <c r="G303" t="str">
        <f>COUNTIF($G$5:$G$293,4)</f>
        <v>0</v>
      </c>
      <c r="H303" t="str">
        <f>COUNTIF($H$5:$H$293,4)</f>
        <v>0</v>
      </c>
      <c r="I303" t="str">
        <f>COUNTIF($I$5:$I$293,4)</f>
        <v>0</v>
      </c>
      <c r="J303" t="str">
        <f>COUNTIF($J$5:$J$293,4)</f>
        <v>0</v>
      </c>
    </row>
    <row r="304" spans="1:12">
      <c r="A304" t="s">
        <v>323</v>
      </c>
      <c r="B304" t="str">
        <f>COUNTIF($B$5:$B$293,5)</f>
        <v>0</v>
      </c>
      <c r="C304" t="str">
        <f>COUNTIF($C$5:$C$293,5)</f>
        <v>0</v>
      </c>
      <c r="D304" t="str">
        <f>COUNTIF($D$5:$D$293,5)</f>
        <v>0</v>
      </c>
      <c r="E304" t="str">
        <f>COUNTIF($E$5:$E$293,5)</f>
        <v>0</v>
      </c>
      <c r="F304" t="str">
        <f>COUNTIF($F$5:$F$293,5)</f>
        <v>0</v>
      </c>
      <c r="G304" t="str">
        <f>COUNTIF($G$5:$G$293,5)</f>
        <v>0</v>
      </c>
      <c r="H304" t="str">
        <f>COUNTIF($H$5:$H$293,5)</f>
        <v>0</v>
      </c>
      <c r="I304" t="str">
        <f>COUNTIF($I$5:$I$293,5)</f>
        <v>0</v>
      </c>
      <c r="J304" t="str">
        <f>COUNTIF($J$5:$J$293,5)</f>
        <v>0</v>
      </c>
    </row>
    <row r="305" spans="1:12">
      <c r="A305" t="s">
        <v>4</v>
      </c>
      <c r="B305" t="str">
        <f>SUM($B300:$B304)</f>
        <v>0</v>
      </c>
      <c r="C305" t="str">
        <f>SUM($C300:$C304)</f>
        <v>0</v>
      </c>
      <c r="D305" t="str">
        <f>SUM($D300:$D304)</f>
        <v>0</v>
      </c>
      <c r="E305" t="str">
        <f>SUM($E300:$E304)</f>
        <v>0</v>
      </c>
      <c r="F305" t="str">
        <f>SUM($F300:$F304)</f>
        <v>0</v>
      </c>
      <c r="G305" t="str">
        <f>SUM($G300:$G304)</f>
        <v>0</v>
      </c>
      <c r="H305" t="str">
        <f>SUM($H300:$H304)</f>
        <v>0</v>
      </c>
      <c r="I305" t="str">
        <f>SUM($I300:$I304)</f>
        <v>0</v>
      </c>
      <c r="J305" t="str">
        <f>SUM($J300:$J304)</f>
        <v>0</v>
      </c>
    </row>
    <row r="306" spans="1:12">
      <c r="A306" t="s">
        <v>324</v>
      </c>
      <c r="B306" s="5" t="str">
        <f>($B300/$B305)</f>
        <v>0</v>
      </c>
      <c r="C306" s="5" t="str">
        <f>($C300/$C305)</f>
        <v>0</v>
      </c>
      <c r="D306" s="5" t="str">
        <f>($D300/$D305)</f>
        <v>0</v>
      </c>
      <c r="E306" s="5" t="str">
        <f>($E300/$E305)</f>
        <v>0</v>
      </c>
      <c r="F306" s="5" t="str">
        <f>($F300/$F305)</f>
        <v>0</v>
      </c>
      <c r="G306" s="5" t="str">
        <f>($G300/$G305)</f>
        <v>0</v>
      </c>
      <c r="H306" s="5" t="str">
        <f>($H300/$H305)</f>
        <v>0</v>
      </c>
      <c r="I306" s="5" t="str">
        <f>($I300/$I305)</f>
        <v>0</v>
      </c>
      <c r="J306" s="5" t="str">
        <f>($J300/$J305)</f>
        <v>0</v>
      </c>
    </row>
    <row r="307" spans="1:12">
      <c r="A307" t="s">
        <v>325</v>
      </c>
      <c r="B307" s="5" t="str">
        <f>($B301/$B305)</f>
        <v>0</v>
      </c>
      <c r="C307" s="5" t="str">
        <f>($C301/$C305)</f>
        <v>0</v>
      </c>
      <c r="D307" s="5" t="str">
        <f>($D301/$D305)</f>
        <v>0</v>
      </c>
      <c r="E307" s="5" t="str">
        <f>($E301/$E305)</f>
        <v>0</v>
      </c>
      <c r="F307" s="5" t="str">
        <f>($F301/$F305)</f>
        <v>0</v>
      </c>
      <c r="G307" s="5" t="str">
        <f>($G301/$G305)</f>
        <v>0</v>
      </c>
      <c r="H307" s="5" t="str">
        <f>($H301/$H305)</f>
        <v>0</v>
      </c>
      <c r="I307" s="5" t="str">
        <f>($I301/$I305)</f>
        <v>0</v>
      </c>
      <c r="J307" s="5" t="str">
        <f>($J301/$J305)</f>
        <v>0</v>
      </c>
    </row>
    <row r="308" spans="1:12">
      <c r="A308" t="s">
        <v>326</v>
      </c>
      <c r="B308" s="5" t="str">
        <f>($B302/$B305)</f>
        <v>0</v>
      </c>
      <c r="C308" s="5" t="str">
        <f>($C302/$C305)</f>
        <v>0</v>
      </c>
      <c r="D308" s="5" t="str">
        <f>($D302/$D305)</f>
        <v>0</v>
      </c>
      <c r="E308" s="5" t="str">
        <f>($E302/$E305)</f>
        <v>0</v>
      </c>
      <c r="F308" s="5" t="str">
        <f>($F302/$F305)</f>
        <v>0</v>
      </c>
      <c r="G308" s="5" t="str">
        <f>($G302/$G305)</f>
        <v>0</v>
      </c>
      <c r="H308" s="5" t="str">
        <f>($H302/$H305)</f>
        <v>0</v>
      </c>
      <c r="I308" s="5" t="str">
        <f>($I302/$I305)</f>
        <v>0</v>
      </c>
      <c r="J308" s="5" t="str">
        <f>($J302/$J305)</f>
        <v>0</v>
      </c>
    </row>
    <row r="309" spans="1:12">
      <c r="A309" t="s">
        <v>327</v>
      </c>
      <c r="B309" s="5" t="str">
        <f>($B303/$B305)</f>
        <v>0</v>
      </c>
      <c r="C309" s="5" t="str">
        <f>($C303/$C305)</f>
        <v>0</v>
      </c>
      <c r="D309" s="5" t="str">
        <f>($D303/$D305)</f>
        <v>0</v>
      </c>
      <c r="E309" s="5" t="str">
        <f>($E303/$E305)</f>
        <v>0</v>
      </c>
      <c r="F309" s="5" t="str">
        <f>($F303/$F305)</f>
        <v>0</v>
      </c>
      <c r="G309" s="5" t="str">
        <f>($G303/$G305)</f>
        <v>0</v>
      </c>
      <c r="H309" s="5" t="str">
        <f>($H303/$H305)</f>
        <v>0</v>
      </c>
      <c r="I309" s="5" t="str">
        <f>($I303/$I305)</f>
        <v>0</v>
      </c>
      <c r="J309" s="5" t="str">
        <f>($J303/$J305)</f>
        <v>0</v>
      </c>
    </row>
    <row r="310" spans="1:12">
      <c r="A310" t="s">
        <v>328</v>
      </c>
      <c r="B310" s="5" t="str">
        <f>($B304/$B305)</f>
        <v>0</v>
      </c>
      <c r="C310" s="5" t="str">
        <f>($C304/$C305)</f>
        <v>0</v>
      </c>
      <c r="D310" s="5" t="str">
        <f>($D304/$D305)</f>
        <v>0</v>
      </c>
      <c r="E310" s="5" t="str">
        <f>($E304/$E305)</f>
        <v>0</v>
      </c>
      <c r="F310" s="5" t="str">
        <f>($F304/$F305)</f>
        <v>0</v>
      </c>
      <c r="G310" s="5" t="str">
        <f>($G304/$G305)</f>
        <v>0</v>
      </c>
      <c r="H310" s="5" t="str">
        <f>($H304/$H305)</f>
        <v>0</v>
      </c>
      <c r="I310" s="5" t="str">
        <f>($I304/$I305)</f>
        <v>0</v>
      </c>
      <c r="J310" s="5" t="str">
        <f>($J304/$J305)</f>
        <v>0</v>
      </c>
    </row>
    <row r="311" spans="1:12">
      <c r="A311" t="s">
        <v>329</v>
      </c>
      <c r="B311" s="5" t="str">
        <f>SUM($B306:$B310)</f>
        <v>0</v>
      </c>
      <c r="C311" s="5" t="str">
        <f>SUM($C306:$C310)</f>
        <v>0</v>
      </c>
      <c r="D311" s="5" t="str">
        <f>SUM($D306:$D310)</f>
        <v>0</v>
      </c>
      <c r="E311" s="5" t="str">
        <f>SUM($E306:$E310)</f>
        <v>0</v>
      </c>
      <c r="F311" s="5" t="str">
        <f>SUM($F306:$F310)</f>
        <v>0</v>
      </c>
      <c r="G311" s="5" t="str">
        <f>SUM($G306:$G310)</f>
        <v>0</v>
      </c>
      <c r="H311" s="5" t="str">
        <f>SUM($H306:$H310)</f>
        <v>0</v>
      </c>
      <c r="I311" s="5" t="str">
        <f>SUM($I306:$I310)</f>
        <v>0</v>
      </c>
      <c r="J311" s="5" t="str">
        <f>SUM($J306:$J310)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L2"/>
    <mergeCell ref="B3:J3"/>
    <mergeCell ref="K3:K3"/>
    <mergeCell ref="L3:L3"/>
    <mergeCell ref="B4:B4"/>
    <mergeCell ref="C4:C4"/>
    <mergeCell ref="D4:D4"/>
    <mergeCell ref="E4:E4"/>
    <mergeCell ref="F4:F4"/>
    <mergeCell ref="G4:G4"/>
    <mergeCell ref="H4:H4"/>
    <mergeCell ref="I4:I4"/>
    <mergeCell ref="J4:J4"/>
    <mergeCell ref="A5:A5"/>
    <mergeCell ref="B5:B5"/>
    <mergeCell ref="C5:C5"/>
    <mergeCell ref="D5:D5"/>
    <mergeCell ref="E5:E5"/>
    <mergeCell ref="F5:F5"/>
    <mergeCell ref="G5:G5"/>
    <mergeCell ref="H5:H5"/>
    <mergeCell ref="I5:I5"/>
    <mergeCell ref="J5:J5"/>
    <mergeCell ref="A6:A6"/>
    <mergeCell ref="B6:B6"/>
    <mergeCell ref="C6:C6"/>
    <mergeCell ref="D6:D6"/>
    <mergeCell ref="E6:E6"/>
    <mergeCell ref="F6:F6"/>
    <mergeCell ref="G6:G6"/>
    <mergeCell ref="H6:H6"/>
    <mergeCell ref="I6:I6"/>
    <mergeCell ref="J6:J6"/>
    <mergeCell ref="A7:A7"/>
    <mergeCell ref="B7:B7"/>
    <mergeCell ref="C7:C7"/>
    <mergeCell ref="D7:D7"/>
    <mergeCell ref="E7:E7"/>
    <mergeCell ref="F7:F7"/>
    <mergeCell ref="G7:G7"/>
    <mergeCell ref="H7:H7"/>
    <mergeCell ref="I7:I7"/>
    <mergeCell ref="J7:J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G12:G12"/>
    <mergeCell ref="H12:H12"/>
    <mergeCell ref="I12:I12"/>
    <mergeCell ref="J12:J12"/>
    <mergeCell ref="A13:A13"/>
    <mergeCell ref="B13:B13"/>
    <mergeCell ref="C13:C13"/>
    <mergeCell ref="D13:D13"/>
    <mergeCell ref="E13:E13"/>
    <mergeCell ref="F13:F13"/>
    <mergeCell ref="G13:G13"/>
    <mergeCell ref="H13:H13"/>
    <mergeCell ref="I13:I13"/>
    <mergeCell ref="J13:J13"/>
    <mergeCell ref="A14:A14"/>
    <mergeCell ref="B14:B14"/>
    <mergeCell ref="C14:C14"/>
    <mergeCell ref="D14:D14"/>
    <mergeCell ref="E14:E14"/>
    <mergeCell ref="F14:F14"/>
    <mergeCell ref="G14:G14"/>
    <mergeCell ref="H14:H14"/>
    <mergeCell ref="I14:I14"/>
    <mergeCell ref="J14:J14"/>
    <mergeCell ref="A15:A15"/>
    <mergeCell ref="B15:B15"/>
    <mergeCell ref="C15:C15"/>
    <mergeCell ref="D15:D15"/>
    <mergeCell ref="E15:E15"/>
    <mergeCell ref="F15:F15"/>
    <mergeCell ref="G15:G15"/>
    <mergeCell ref="H15:H15"/>
    <mergeCell ref="I15:I15"/>
    <mergeCell ref="J15:J15"/>
    <mergeCell ref="A16:A16"/>
    <mergeCell ref="B16:B16"/>
    <mergeCell ref="C16:C16"/>
    <mergeCell ref="D16:D16"/>
    <mergeCell ref="E16:E16"/>
    <mergeCell ref="F16:F16"/>
    <mergeCell ref="G16:G16"/>
    <mergeCell ref="H16:H16"/>
    <mergeCell ref="I16:I16"/>
    <mergeCell ref="J16:J16"/>
    <mergeCell ref="A17:A17"/>
    <mergeCell ref="B17:B17"/>
    <mergeCell ref="C17:C17"/>
    <mergeCell ref="D17:D17"/>
    <mergeCell ref="E17:E17"/>
    <mergeCell ref="F17:F17"/>
    <mergeCell ref="G17:G17"/>
    <mergeCell ref="H17:H17"/>
    <mergeCell ref="I17:I17"/>
    <mergeCell ref="J17:J17"/>
    <mergeCell ref="A18:A18"/>
    <mergeCell ref="B18:B18"/>
    <mergeCell ref="C18:C18"/>
    <mergeCell ref="D18:D18"/>
    <mergeCell ref="E18:E18"/>
    <mergeCell ref="F18:F18"/>
    <mergeCell ref="G18:G18"/>
    <mergeCell ref="H18:H18"/>
    <mergeCell ref="I18:I18"/>
    <mergeCell ref="J18:J18"/>
    <mergeCell ref="A19:A19"/>
    <mergeCell ref="B19:B19"/>
    <mergeCell ref="C19:C19"/>
    <mergeCell ref="D19:D19"/>
    <mergeCell ref="E19:E19"/>
    <mergeCell ref="F19:F19"/>
    <mergeCell ref="G19:G19"/>
    <mergeCell ref="H19:H19"/>
    <mergeCell ref="I19:I19"/>
    <mergeCell ref="J19:J19"/>
    <mergeCell ref="A20:A20"/>
    <mergeCell ref="B20:B20"/>
    <mergeCell ref="C20:C20"/>
    <mergeCell ref="D20:D20"/>
    <mergeCell ref="E20:E20"/>
    <mergeCell ref="F20:F20"/>
    <mergeCell ref="G20:G20"/>
    <mergeCell ref="H20:H20"/>
    <mergeCell ref="I20:I20"/>
    <mergeCell ref="J20:J20"/>
    <mergeCell ref="A21:A21"/>
    <mergeCell ref="B21:B21"/>
    <mergeCell ref="C21:C21"/>
    <mergeCell ref="D21:D21"/>
    <mergeCell ref="E21:E21"/>
    <mergeCell ref="F21:F21"/>
    <mergeCell ref="G21:G21"/>
    <mergeCell ref="H21:H21"/>
    <mergeCell ref="I21:I21"/>
    <mergeCell ref="J21:J21"/>
    <mergeCell ref="A22:A22"/>
    <mergeCell ref="B22:B22"/>
    <mergeCell ref="C22:C22"/>
    <mergeCell ref="D22:D22"/>
    <mergeCell ref="E22:E22"/>
    <mergeCell ref="F22:F22"/>
    <mergeCell ref="G22:G22"/>
    <mergeCell ref="H22:H22"/>
    <mergeCell ref="I22:I22"/>
    <mergeCell ref="J22:J22"/>
    <mergeCell ref="A23:A23"/>
    <mergeCell ref="B23:B23"/>
    <mergeCell ref="C23:C23"/>
    <mergeCell ref="D23:D23"/>
    <mergeCell ref="E23:E23"/>
    <mergeCell ref="F23:F23"/>
    <mergeCell ref="G23:G23"/>
    <mergeCell ref="H23:H23"/>
    <mergeCell ref="I23:I23"/>
    <mergeCell ref="J23:J23"/>
    <mergeCell ref="A24:A24"/>
    <mergeCell ref="B24:B24"/>
    <mergeCell ref="C24:C24"/>
    <mergeCell ref="D24:D24"/>
    <mergeCell ref="E24:E24"/>
    <mergeCell ref="F24:F24"/>
    <mergeCell ref="G24:G24"/>
    <mergeCell ref="H24:H24"/>
    <mergeCell ref="I24:I24"/>
    <mergeCell ref="J24:J24"/>
    <mergeCell ref="A25:A25"/>
    <mergeCell ref="B25:B25"/>
    <mergeCell ref="C25:C25"/>
    <mergeCell ref="D25:D25"/>
    <mergeCell ref="E25:E25"/>
    <mergeCell ref="F25:F25"/>
    <mergeCell ref="G25:G25"/>
    <mergeCell ref="H25:H25"/>
    <mergeCell ref="I25:I25"/>
    <mergeCell ref="J25:J25"/>
    <mergeCell ref="A26:A26"/>
    <mergeCell ref="B26:B26"/>
    <mergeCell ref="C26:C26"/>
    <mergeCell ref="D26:D26"/>
    <mergeCell ref="E26:E26"/>
    <mergeCell ref="F26:F26"/>
    <mergeCell ref="G26:G26"/>
    <mergeCell ref="H26:H26"/>
    <mergeCell ref="I26:I26"/>
    <mergeCell ref="J26:J26"/>
    <mergeCell ref="A27:A27"/>
    <mergeCell ref="B27:B27"/>
    <mergeCell ref="C27:C27"/>
    <mergeCell ref="D27:D27"/>
    <mergeCell ref="E27:E27"/>
    <mergeCell ref="F27:F27"/>
    <mergeCell ref="G27:G27"/>
    <mergeCell ref="H27:H27"/>
    <mergeCell ref="I27:I27"/>
    <mergeCell ref="J27:J27"/>
    <mergeCell ref="A28:A28"/>
    <mergeCell ref="B28:B28"/>
    <mergeCell ref="C28:C28"/>
    <mergeCell ref="D28:D28"/>
    <mergeCell ref="E28:E28"/>
    <mergeCell ref="F28:F28"/>
    <mergeCell ref="G28:G28"/>
    <mergeCell ref="H28:H28"/>
    <mergeCell ref="I28:I28"/>
    <mergeCell ref="J28:J28"/>
    <mergeCell ref="A29:A29"/>
    <mergeCell ref="B29:B29"/>
    <mergeCell ref="C29:C29"/>
    <mergeCell ref="D29:D29"/>
    <mergeCell ref="E29:E29"/>
    <mergeCell ref="F29:F29"/>
    <mergeCell ref="G29:G29"/>
    <mergeCell ref="H29:H29"/>
    <mergeCell ref="I29:I29"/>
    <mergeCell ref="J29:J29"/>
    <mergeCell ref="A30:A30"/>
    <mergeCell ref="B30:B30"/>
    <mergeCell ref="C30:C30"/>
    <mergeCell ref="D30:D30"/>
    <mergeCell ref="E30:E30"/>
    <mergeCell ref="F30:F30"/>
    <mergeCell ref="G30:G30"/>
    <mergeCell ref="H30:H30"/>
    <mergeCell ref="I30:I30"/>
    <mergeCell ref="J30:J30"/>
    <mergeCell ref="A31:A31"/>
    <mergeCell ref="B31:B31"/>
    <mergeCell ref="C31:C31"/>
    <mergeCell ref="D31:D31"/>
    <mergeCell ref="E31:E31"/>
    <mergeCell ref="F31:F31"/>
    <mergeCell ref="G31:G31"/>
    <mergeCell ref="H31:H31"/>
    <mergeCell ref="I31:I31"/>
    <mergeCell ref="J31:J31"/>
    <mergeCell ref="A32:A32"/>
    <mergeCell ref="B32:B32"/>
    <mergeCell ref="C32:C32"/>
    <mergeCell ref="D32:D32"/>
    <mergeCell ref="E32:E32"/>
    <mergeCell ref="F32:F32"/>
    <mergeCell ref="G32:G32"/>
    <mergeCell ref="H32:H32"/>
    <mergeCell ref="I32:I32"/>
    <mergeCell ref="J32:J32"/>
    <mergeCell ref="A33:A33"/>
    <mergeCell ref="B33:B33"/>
    <mergeCell ref="C33:C33"/>
    <mergeCell ref="D33:D33"/>
    <mergeCell ref="E33:E33"/>
    <mergeCell ref="F33:F33"/>
    <mergeCell ref="G33:G33"/>
    <mergeCell ref="H33:H33"/>
    <mergeCell ref="I33:I33"/>
    <mergeCell ref="J33:J33"/>
    <mergeCell ref="A34:A34"/>
    <mergeCell ref="B34:B34"/>
    <mergeCell ref="C34:C34"/>
    <mergeCell ref="D34:D34"/>
    <mergeCell ref="E34:E34"/>
    <mergeCell ref="F34:F34"/>
    <mergeCell ref="G34:G34"/>
    <mergeCell ref="H34:H34"/>
    <mergeCell ref="I34:I34"/>
    <mergeCell ref="J34:J34"/>
    <mergeCell ref="A35:A35"/>
    <mergeCell ref="B35:B35"/>
    <mergeCell ref="C35:C35"/>
    <mergeCell ref="D35:D35"/>
    <mergeCell ref="E35:E35"/>
    <mergeCell ref="F35:F35"/>
    <mergeCell ref="G35:G35"/>
    <mergeCell ref="H35:H35"/>
    <mergeCell ref="I35:I35"/>
    <mergeCell ref="J35:J35"/>
    <mergeCell ref="A36:A36"/>
    <mergeCell ref="B36:B36"/>
    <mergeCell ref="C36:C36"/>
    <mergeCell ref="D36:D36"/>
    <mergeCell ref="E36:E36"/>
    <mergeCell ref="F36:F36"/>
    <mergeCell ref="G36:G36"/>
    <mergeCell ref="H36:H36"/>
    <mergeCell ref="I36:I36"/>
    <mergeCell ref="J36:J36"/>
    <mergeCell ref="A37:A37"/>
    <mergeCell ref="B37:B37"/>
    <mergeCell ref="C37:C37"/>
    <mergeCell ref="D37:D37"/>
    <mergeCell ref="E37:E37"/>
    <mergeCell ref="F37:F37"/>
    <mergeCell ref="G37:G37"/>
    <mergeCell ref="H37:H37"/>
    <mergeCell ref="I37:I37"/>
    <mergeCell ref="J37:J37"/>
    <mergeCell ref="A38:A38"/>
    <mergeCell ref="B38:B38"/>
    <mergeCell ref="C38:C38"/>
    <mergeCell ref="D38:D38"/>
    <mergeCell ref="E38:E38"/>
    <mergeCell ref="F38:F38"/>
    <mergeCell ref="G38:G38"/>
    <mergeCell ref="H38:H38"/>
    <mergeCell ref="I38:I38"/>
    <mergeCell ref="J38:J38"/>
    <mergeCell ref="A39:A39"/>
    <mergeCell ref="B39:B39"/>
    <mergeCell ref="C39:C39"/>
    <mergeCell ref="D39:D39"/>
    <mergeCell ref="E39:E39"/>
    <mergeCell ref="F39:F39"/>
    <mergeCell ref="G39:G39"/>
    <mergeCell ref="H39:H39"/>
    <mergeCell ref="I39:I39"/>
    <mergeCell ref="J39:J39"/>
    <mergeCell ref="A40:A40"/>
    <mergeCell ref="B40:B40"/>
    <mergeCell ref="C40:C40"/>
    <mergeCell ref="D40:D40"/>
    <mergeCell ref="E40:E40"/>
    <mergeCell ref="F40:F40"/>
    <mergeCell ref="G40:G40"/>
    <mergeCell ref="H40:H40"/>
    <mergeCell ref="I40:I40"/>
    <mergeCell ref="J40:J40"/>
    <mergeCell ref="A41:A41"/>
    <mergeCell ref="B41:B41"/>
    <mergeCell ref="C41:C41"/>
    <mergeCell ref="D41:D41"/>
    <mergeCell ref="E41:E41"/>
    <mergeCell ref="F41:F41"/>
    <mergeCell ref="G41:G41"/>
    <mergeCell ref="H41:H41"/>
    <mergeCell ref="I41:I41"/>
    <mergeCell ref="J41:J41"/>
    <mergeCell ref="A42:A42"/>
    <mergeCell ref="B42:B42"/>
    <mergeCell ref="C42:C42"/>
    <mergeCell ref="D42:D42"/>
    <mergeCell ref="E42:E42"/>
    <mergeCell ref="F42:F42"/>
    <mergeCell ref="G42:G42"/>
    <mergeCell ref="H42:H42"/>
    <mergeCell ref="I42:I42"/>
    <mergeCell ref="J42:J42"/>
    <mergeCell ref="A43:A43"/>
    <mergeCell ref="B43:B43"/>
    <mergeCell ref="C43:C43"/>
    <mergeCell ref="D43:D43"/>
    <mergeCell ref="E43:E43"/>
    <mergeCell ref="F43:F43"/>
    <mergeCell ref="G43:G43"/>
    <mergeCell ref="H43:H43"/>
    <mergeCell ref="I43:I43"/>
    <mergeCell ref="J43:J43"/>
    <mergeCell ref="A44:A44"/>
    <mergeCell ref="B44:B44"/>
    <mergeCell ref="C44:C44"/>
    <mergeCell ref="D44:D44"/>
    <mergeCell ref="E44:E44"/>
    <mergeCell ref="F44:F44"/>
    <mergeCell ref="G44:G44"/>
    <mergeCell ref="H44:H44"/>
    <mergeCell ref="I44:I44"/>
    <mergeCell ref="J44:J44"/>
    <mergeCell ref="A45:A45"/>
    <mergeCell ref="B45:B45"/>
    <mergeCell ref="C45:C45"/>
    <mergeCell ref="D45:D45"/>
    <mergeCell ref="E45:E45"/>
    <mergeCell ref="F45:F45"/>
    <mergeCell ref="G45:G45"/>
    <mergeCell ref="H45:H45"/>
    <mergeCell ref="I45:I45"/>
    <mergeCell ref="J45:J45"/>
    <mergeCell ref="A46:A46"/>
    <mergeCell ref="B46:B46"/>
    <mergeCell ref="C46:C46"/>
    <mergeCell ref="D46:D46"/>
    <mergeCell ref="E46:E46"/>
    <mergeCell ref="F46:F46"/>
    <mergeCell ref="G46:G46"/>
    <mergeCell ref="H46:H46"/>
    <mergeCell ref="I46:I46"/>
    <mergeCell ref="J46:J46"/>
    <mergeCell ref="A47:A47"/>
    <mergeCell ref="B47:B47"/>
    <mergeCell ref="C47:C47"/>
    <mergeCell ref="D47:D47"/>
    <mergeCell ref="E47:E47"/>
    <mergeCell ref="F47:F47"/>
    <mergeCell ref="G47:G47"/>
    <mergeCell ref="H47:H47"/>
    <mergeCell ref="I47:I47"/>
    <mergeCell ref="J47:J47"/>
    <mergeCell ref="A48:A48"/>
    <mergeCell ref="B48:B48"/>
    <mergeCell ref="C48:C48"/>
    <mergeCell ref="D48:D48"/>
    <mergeCell ref="E48:E48"/>
    <mergeCell ref="F48:F48"/>
    <mergeCell ref="G48:G48"/>
    <mergeCell ref="H48:H48"/>
    <mergeCell ref="I48:I48"/>
    <mergeCell ref="J48:J48"/>
    <mergeCell ref="A49:A49"/>
    <mergeCell ref="B49:B49"/>
    <mergeCell ref="C49:C49"/>
    <mergeCell ref="D49:D49"/>
    <mergeCell ref="E49:E49"/>
    <mergeCell ref="F49:F49"/>
    <mergeCell ref="G49:G49"/>
    <mergeCell ref="H49:H49"/>
    <mergeCell ref="I49:I49"/>
    <mergeCell ref="J49:J49"/>
    <mergeCell ref="A50:A50"/>
    <mergeCell ref="B50:B50"/>
    <mergeCell ref="C50:C50"/>
    <mergeCell ref="D50:D50"/>
    <mergeCell ref="E50:E50"/>
    <mergeCell ref="F50:F50"/>
    <mergeCell ref="G50:G50"/>
    <mergeCell ref="H50:H50"/>
    <mergeCell ref="I50:I50"/>
    <mergeCell ref="J50:J50"/>
    <mergeCell ref="A51:A51"/>
    <mergeCell ref="B51:B51"/>
    <mergeCell ref="C51:C51"/>
    <mergeCell ref="D51:D51"/>
    <mergeCell ref="E51:E51"/>
    <mergeCell ref="F51:F51"/>
    <mergeCell ref="G51:G51"/>
    <mergeCell ref="H51:H51"/>
    <mergeCell ref="I51:I51"/>
    <mergeCell ref="J51:J51"/>
    <mergeCell ref="A52:A52"/>
    <mergeCell ref="B52:B52"/>
    <mergeCell ref="C52:C52"/>
    <mergeCell ref="D52:D52"/>
    <mergeCell ref="E52:E52"/>
    <mergeCell ref="F52:F52"/>
    <mergeCell ref="G52:G52"/>
    <mergeCell ref="H52:H52"/>
    <mergeCell ref="I52:I52"/>
    <mergeCell ref="J52:J52"/>
    <mergeCell ref="A53:A53"/>
    <mergeCell ref="B53:B53"/>
    <mergeCell ref="C53:C53"/>
    <mergeCell ref="D53:D53"/>
    <mergeCell ref="E53:E53"/>
    <mergeCell ref="F53:F53"/>
    <mergeCell ref="G53:G53"/>
    <mergeCell ref="H53:H53"/>
    <mergeCell ref="I53:I53"/>
    <mergeCell ref="J53:J53"/>
    <mergeCell ref="A54:A54"/>
    <mergeCell ref="B54:B54"/>
    <mergeCell ref="C54:C54"/>
    <mergeCell ref="D54:D54"/>
    <mergeCell ref="E54:E54"/>
    <mergeCell ref="F54:F54"/>
    <mergeCell ref="G54:G54"/>
    <mergeCell ref="H54:H54"/>
    <mergeCell ref="I54:I54"/>
    <mergeCell ref="J54:J54"/>
    <mergeCell ref="A55:A55"/>
    <mergeCell ref="B55:B55"/>
    <mergeCell ref="C55:C55"/>
    <mergeCell ref="D55:D55"/>
    <mergeCell ref="E55:E55"/>
    <mergeCell ref="F55:F55"/>
    <mergeCell ref="G55:G55"/>
    <mergeCell ref="H55:H55"/>
    <mergeCell ref="I55:I55"/>
    <mergeCell ref="J55:J55"/>
    <mergeCell ref="A56:A56"/>
    <mergeCell ref="B56:B56"/>
    <mergeCell ref="C56:C56"/>
    <mergeCell ref="D56:D56"/>
    <mergeCell ref="E56:E56"/>
    <mergeCell ref="F56:F56"/>
    <mergeCell ref="G56:G56"/>
    <mergeCell ref="H56:H56"/>
    <mergeCell ref="I56:I56"/>
    <mergeCell ref="J56:J56"/>
    <mergeCell ref="A57:A57"/>
    <mergeCell ref="B57:B57"/>
    <mergeCell ref="C57:C57"/>
    <mergeCell ref="D57:D57"/>
    <mergeCell ref="E57:E57"/>
    <mergeCell ref="F57:F57"/>
    <mergeCell ref="G57:G57"/>
    <mergeCell ref="H57:H57"/>
    <mergeCell ref="I57:I57"/>
    <mergeCell ref="J57:J57"/>
    <mergeCell ref="A58:A58"/>
    <mergeCell ref="B58:B58"/>
    <mergeCell ref="C58:C58"/>
    <mergeCell ref="D58:D58"/>
    <mergeCell ref="E58:E58"/>
    <mergeCell ref="F58:F58"/>
    <mergeCell ref="G58:G58"/>
    <mergeCell ref="H58:H58"/>
    <mergeCell ref="I58:I58"/>
    <mergeCell ref="J58:J58"/>
    <mergeCell ref="A59:A59"/>
    <mergeCell ref="B59:B59"/>
    <mergeCell ref="C59:C59"/>
    <mergeCell ref="D59:D59"/>
    <mergeCell ref="E59:E59"/>
    <mergeCell ref="F59:F59"/>
    <mergeCell ref="G59:G59"/>
    <mergeCell ref="H59:H59"/>
    <mergeCell ref="I59:I59"/>
    <mergeCell ref="J59:J59"/>
    <mergeCell ref="A60:A60"/>
    <mergeCell ref="B60:B60"/>
    <mergeCell ref="C60:C60"/>
    <mergeCell ref="D60:D60"/>
    <mergeCell ref="E60:E60"/>
    <mergeCell ref="F60:F60"/>
    <mergeCell ref="G60:G60"/>
    <mergeCell ref="H60:H60"/>
    <mergeCell ref="I60:I60"/>
    <mergeCell ref="J60:J60"/>
    <mergeCell ref="A61:A61"/>
    <mergeCell ref="B61:B61"/>
    <mergeCell ref="C61:C61"/>
    <mergeCell ref="D61:D61"/>
    <mergeCell ref="E61:E61"/>
    <mergeCell ref="F61:F61"/>
    <mergeCell ref="G61:G61"/>
    <mergeCell ref="H61:H61"/>
    <mergeCell ref="I61:I61"/>
    <mergeCell ref="J61:J61"/>
    <mergeCell ref="A62:A62"/>
    <mergeCell ref="B62:B62"/>
    <mergeCell ref="C62:C62"/>
    <mergeCell ref="D62:D62"/>
    <mergeCell ref="E62:E62"/>
    <mergeCell ref="F62:F62"/>
    <mergeCell ref="G62:G62"/>
    <mergeCell ref="H62:H62"/>
    <mergeCell ref="I62:I62"/>
    <mergeCell ref="J62:J62"/>
    <mergeCell ref="A63:A63"/>
    <mergeCell ref="B63:B63"/>
    <mergeCell ref="C63:C63"/>
    <mergeCell ref="D63:D63"/>
    <mergeCell ref="E63:E63"/>
    <mergeCell ref="F63:F63"/>
    <mergeCell ref="G63:G63"/>
    <mergeCell ref="H63:H63"/>
    <mergeCell ref="I63:I63"/>
    <mergeCell ref="J63:J63"/>
    <mergeCell ref="A64:A64"/>
    <mergeCell ref="B64:B64"/>
    <mergeCell ref="C64:C64"/>
    <mergeCell ref="D64:D64"/>
    <mergeCell ref="E64:E64"/>
    <mergeCell ref="F64:F64"/>
    <mergeCell ref="G64:G64"/>
    <mergeCell ref="H64:H64"/>
    <mergeCell ref="I64:I64"/>
    <mergeCell ref="J64:J64"/>
    <mergeCell ref="A65:A65"/>
    <mergeCell ref="B65:B65"/>
    <mergeCell ref="C65:C65"/>
    <mergeCell ref="D65:D65"/>
    <mergeCell ref="E65:E65"/>
    <mergeCell ref="F65:F65"/>
    <mergeCell ref="G65:G65"/>
    <mergeCell ref="H65:H65"/>
    <mergeCell ref="I65:I65"/>
    <mergeCell ref="J65:J65"/>
    <mergeCell ref="A66:A66"/>
    <mergeCell ref="B66:B66"/>
    <mergeCell ref="C66:C66"/>
    <mergeCell ref="D66:D66"/>
    <mergeCell ref="E66:E66"/>
    <mergeCell ref="F66:F66"/>
    <mergeCell ref="G66:G66"/>
    <mergeCell ref="H66:H66"/>
    <mergeCell ref="I66:I66"/>
    <mergeCell ref="J66:J66"/>
    <mergeCell ref="A67:A67"/>
    <mergeCell ref="B67:B67"/>
    <mergeCell ref="C67:C67"/>
    <mergeCell ref="D67:D67"/>
    <mergeCell ref="E67:E67"/>
    <mergeCell ref="F67:F67"/>
    <mergeCell ref="G67:G67"/>
    <mergeCell ref="H67:H67"/>
    <mergeCell ref="I67:I67"/>
    <mergeCell ref="J67:J67"/>
    <mergeCell ref="A68:A68"/>
    <mergeCell ref="B68:B68"/>
    <mergeCell ref="C68:C68"/>
    <mergeCell ref="D68:D68"/>
    <mergeCell ref="E68:E68"/>
    <mergeCell ref="F68:F68"/>
    <mergeCell ref="G68:G68"/>
    <mergeCell ref="H68:H68"/>
    <mergeCell ref="I68:I68"/>
    <mergeCell ref="J68:J68"/>
    <mergeCell ref="A69:A69"/>
    <mergeCell ref="B69:B69"/>
    <mergeCell ref="C69:C69"/>
    <mergeCell ref="D69:D69"/>
    <mergeCell ref="E69:E69"/>
    <mergeCell ref="F69:F69"/>
    <mergeCell ref="G69:G69"/>
    <mergeCell ref="H69:H69"/>
    <mergeCell ref="I69:I69"/>
    <mergeCell ref="J69:J69"/>
    <mergeCell ref="A70:A70"/>
    <mergeCell ref="B70:B70"/>
    <mergeCell ref="C70:C70"/>
    <mergeCell ref="D70:D70"/>
    <mergeCell ref="E70:E70"/>
    <mergeCell ref="F70:F70"/>
    <mergeCell ref="G70:G70"/>
    <mergeCell ref="H70:H70"/>
    <mergeCell ref="I70:I70"/>
    <mergeCell ref="J70:J70"/>
    <mergeCell ref="A71:A71"/>
    <mergeCell ref="B71:B71"/>
    <mergeCell ref="C71:C71"/>
    <mergeCell ref="D71:D71"/>
    <mergeCell ref="E71:E71"/>
    <mergeCell ref="F71:F71"/>
    <mergeCell ref="G71:G71"/>
    <mergeCell ref="H71:H71"/>
    <mergeCell ref="I71:I71"/>
    <mergeCell ref="J71:J71"/>
    <mergeCell ref="A72:A72"/>
    <mergeCell ref="B72:B72"/>
    <mergeCell ref="C72:C72"/>
    <mergeCell ref="D72:D72"/>
    <mergeCell ref="E72:E72"/>
    <mergeCell ref="F72:F72"/>
    <mergeCell ref="G72:G72"/>
    <mergeCell ref="H72:H72"/>
    <mergeCell ref="I72:I72"/>
    <mergeCell ref="J72:J72"/>
    <mergeCell ref="A73:A73"/>
    <mergeCell ref="B73:B73"/>
    <mergeCell ref="C73:C73"/>
    <mergeCell ref="D73:D73"/>
    <mergeCell ref="E73:E73"/>
    <mergeCell ref="F73:F73"/>
    <mergeCell ref="G73:G73"/>
    <mergeCell ref="H73:H73"/>
    <mergeCell ref="I73:I73"/>
    <mergeCell ref="J73:J73"/>
    <mergeCell ref="A74:A74"/>
    <mergeCell ref="B74:B74"/>
    <mergeCell ref="C74:C74"/>
    <mergeCell ref="D74:D74"/>
    <mergeCell ref="E74:E74"/>
    <mergeCell ref="F74:F74"/>
    <mergeCell ref="G74:G74"/>
    <mergeCell ref="H74:H74"/>
    <mergeCell ref="I74:I74"/>
    <mergeCell ref="J74:J74"/>
    <mergeCell ref="A75:A75"/>
    <mergeCell ref="B75:B75"/>
    <mergeCell ref="C75:C75"/>
    <mergeCell ref="D75:D75"/>
    <mergeCell ref="E75:E75"/>
    <mergeCell ref="F75:F75"/>
    <mergeCell ref="G75:G75"/>
    <mergeCell ref="H75:H75"/>
    <mergeCell ref="I75:I75"/>
    <mergeCell ref="J75:J75"/>
    <mergeCell ref="A76:A76"/>
    <mergeCell ref="B76:B76"/>
    <mergeCell ref="C76:C76"/>
    <mergeCell ref="D76:D76"/>
    <mergeCell ref="E76:E76"/>
    <mergeCell ref="F76:F76"/>
    <mergeCell ref="G76:G76"/>
    <mergeCell ref="H76:H76"/>
    <mergeCell ref="I76:I76"/>
    <mergeCell ref="J76:J76"/>
    <mergeCell ref="A77:A77"/>
    <mergeCell ref="B77:B77"/>
    <mergeCell ref="C77:C77"/>
    <mergeCell ref="D77:D77"/>
    <mergeCell ref="E77:E77"/>
    <mergeCell ref="F77:F77"/>
    <mergeCell ref="G77:G77"/>
    <mergeCell ref="H77:H77"/>
    <mergeCell ref="I77:I77"/>
    <mergeCell ref="J77:J77"/>
    <mergeCell ref="A78:A78"/>
    <mergeCell ref="B78:B78"/>
    <mergeCell ref="C78:C78"/>
    <mergeCell ref="D78:D78"/>
    <mergeCell ref="E78:E78"/>
    <mergeCell ref="F78:F78"/>
    <mergeCell ref="G78:G78"/>
    <mergeCell ref="H78:H78"/>
    <mergeCell ref="I78:I78"/>
    <mergeCell ref="J78:J78"/>
    <mergeCell ref="A79:A79"/>
    <mergeCell ref="B79:B79"/>
    <mergeCell ref="C79:C79"/>
    <mergeCell ref="D79:D79"/>
    <mergeCell ref="E79:E79"/>
    <mergeCell ref="F79:F79"/>
    <mergeCell ref="G79:G79"/>
    <mergeCell ref="H79:H79"/>
    <mergeCell ref="I79:I79"/>
    <mergeCell ref="J79:J79"/>
    <mergeCell ref="A80:A80"/>
    <mergeCell ref="B80:B80"/>
    <mergeCell ref="C80:C80"/>
    <mergeCell ref="D80:D80"/>
    <mergeCell ref="E80:E80"/>
    <mergeCell ref="F80:F80"/>
    <mergeCell ref="G80:G80"/>
    <mergeCell ref="H80:H80"/>
    <mergeCell ref="I80:I80"/>
    <mergeCell ref="J80:J80"/>
    <mergeCell ref="A81:A81"/>
    <mergeCell ref="B81:B81"/>
    <mergeCell ref="C81:C81"/>
    <mergeCell ref="D81:D81"/>
    <mergeCell ref="E81:E81"/>
    <mergeCell ref="F81:F81"/>
    <mergeCell ref="G81:G81"/>
    <mergeCell ref="H81:H81"/>
    <mergeCell ref="I81:I81"/>
    <mergeCell ref="J81:J81"/>
    <mergeCell ref="A82:A82"/>
    <mergeCell ref="B82:B82"/>
    <mergeCell ref="C82:C82"/>
    <mergeCell ref="D82:D82"/>
    <mergeCell ref="E82:E82"/>
    <mergeCell ref="F82:F82"/>
    <mergeCell ref="G82:G82"/>
    <mergeCell ref="H82:H82"/>
    <mergeCell ref="I82:I82"/>
    <mergeCell ref="J82:J82"/>
    <mergeCell ref="A83:A83"/>
    <mergeCell ref="B83:B83"/>
    <mergeCell ref="C83:C83"/>
    <mergeCell ref="D83:D83"/>
    <mergeCell ref="E83:E83"/>
    <mergeCell ref="F83:F83"/>
    <mergeCell ref="G83:G83"/>
    <mergeCell ref="H83:H83"/>
    <mergeCell ref="I83:I83"/>
    <mergeCell ref="J83:J83"/>
    <mergeCell ref="A84:A84"/>
    <mergeCell ref="B84:B84"/>
    <mergeCell ref="C84:C84"/>
    <mergeCell ref="D84:D84"/>
    <mergeCell ref="E84:E84"/>
    <mergeCell ref="F84:F84"/>
    <mergeCell ref="G84:G84"/>
    <mergeCell ref="H84:H84"/>
    <mergeCell ref="I84:I84"/>
    <mergeCell ref="J84:J84"/>
    <mergeCell ref="A85:A85"/>
    <mergeCell ref="B85:B85"/>
    <mergeCell ref="C85:C85"/>
    <mergeCell ref="D85:D85"/>
    <mergeCell ref="E85:E85"/>
    <mergeCell ref="F85:F85"/>
    <mergeCell ref="G85:G85"/>
    <mergeCell ref="H85:H85"/>
    <mergeCell ref="I85:I85"/>
    <mergeCell ref="J85:J85"/>
    <mergeCell ref="A86:A86"/>
    <mergeCell ref="B86:B86"/>
    <mergeCell ref="C86:C86"/>
    <mergeCell ref="D86:D86"/>
    <mergeCell ref="E86:E86"/>
    <mergeCell ref="F86:F86"/>
    <mergeCell ref="G86:G86"/>
    <mergeCell ref="H86:H86"/>
    <mergeCell ref="I86:I86"/>
    <mergeCell ref="J86:J86"/>
    <mergeCell ref="A87:A87"/>
    <mergeCell ref="B87:B87"/>
    <mergeCell ref="C87:C87"/>
    <mergeCell ref="D87:D87"/>
    <mergeCell ref="E87:E87"/>
    <mergeCell ref="F87:F87"/>
    <mergeCell ref="G87:G87"/>
    <mergeCell ref="H87:H87"/>
    <mergeCell ref="I87:I87"/>
    <mergeCell ref="J87:J87"/>
    <mergeCell ref="A88:A88"/>
    <mergeCell ref="B88:B88"/>
    <mergeCell ref="C88:C88"/>
    <mergeCell ref="D88:D88"/>
    <mergeCell ref="E88:E88"/>
    <mergeCell ref="F88:F88"/>
    <mergeCell ref="G88:G88"/>
    <mergeCell ref="H88:H88"/>
    <mergeCell ref="I88:I88"/>
    <mergeCell ref="J88:J88"/>
    <mergeCell ref="A89:A89"/>
    <mergeCell ref="B89:B89"/>
    <mergeCell ref="C89:C89"/>
    <mergeCell ref="D89:D89"/>
    <mergeCell ref="E89:E89"/>
    <mergeCell ref="F89:F89"/>
    <mergeCell ref="G89:G89"/>
    <mergeCell ref="H89:H89"/>
    <mergeCell ref="I89:I89"/>
    <mergeCell ref="J89:J89"/>
    <mergeCell ref="A90:A90"/>
    <mergeCell ref="B90:B90"/>
    <mergeCell ref="C90:C90"/>
    <mergeCell ref="D90:D90"/>
    <mergeCell ref="E90:E90"/>
    <mergeCell ref="F90:F90"/>
    <mergeCell ref="G90:G90"/>
    <mergeCell ref="H90:H90"/>
    <mergeCell ref="I90:I90"/>
    <mergeCell ref="J90:J90"/>
    <mergeCell ref="A91:A91"/>
    <mergeCell ref="B91:B91"/>
    <mergeCell ref="C91:C91"/>
    <mergeCell ref="D91:D91"/>
    <mergeCell ref="E91:E91"/>
    <mergeCell ref="F91:F91"/>
    <mergeCell ref="G91:G91"/>
    <mergeCell ref="H91:H91"/>
    <mergeCell ref="I91:I91"/>
    <mergeCell ref="J91:J91"/>
    <mergeCell ref="A92:A92"/>
    <mergeCell ref="B92:B92"/>
    <mergeCell ref="C92:C92"/>
    <mergeCell ref="D92:D92"/>
    <mergeCell ref="E92:E92"/>
    <mergeCell ref="F92:F92"/>
    <mergeCell ref="G92:G92"/>
    <mergeCell ref="H92:H92"/>
    <mergeCell ref="I92:I92"/>
    <mergeCell ref="J92:J92"/>
    <mergeCell ref="A93:A93"/>
    <mergeCell ref="B93:B93"/>
    <mergeCell ref="C93:C93"/>
    <mergeCell ref="D93:D93"/>
    <mergeCell ref="E93:E93"/>
    <mergeCell ref="F93:F93"/>
    <mergeCell ref="G93:G93"/>
    <mergeCell ref="H93:H93"/>
    <mergeCell ref="I93:I93"/>
    <mergeCell ref="J93:J93"/>
    <mergeCell ref="A94:A94"/>
    <mergeCell ref="B94:B94"/>
    <mergeCell ref="C94:C94"/>
    <mergeCell ref="D94:D94"/>
    <mergeCell ref="E94:E94"/>
    <mergeCell ref="F94:F94"/>
    <mergeCell ref="G94:G94"/>
    <mergeCell ref="H94:H94"/>
    <mergeCell ref="I94:I94"/>
    <mergeCell ref="J94:J94"/>
    <mergeCell ref="A95:A95"/>
    <mergeCell ref="B95:B95"/>
    <mergeCell ref="C95:C95"/>
    <mergeCell ref="D95:D95"/>
    <mergeCell ref="E95:E95"/>
    <mergeCell ref="F95:F95"/>
    <mergeCell ref="G95:G95"/>
    <mergeCell ref="H95:H95"/>
    <mergeCell ref="I95:I95"/>
    <mergeCell ref="J95:J95"/>
    <mergeCell ref="A96:A96"/>
    <mergeCell ref="B96:B96"/>
    <mergeCell ref="C96:C96"/>
    <mergeCell ref="D96:D96"/>
    <mergeCell ref="E96:E96"/>
    <mergeCell ref="F96:F96"/>
    <mergeCell ref="G96:G96"/>
    <mergeCell ref="H96:H96"/>
    <mergeCell ref="I96:I96"/>
    <mergeCell ref="J96:J96"/>
    <mergeCell ref="A97:A97"/>
    <mergeCell ref="B97:B97"/>
    <mergeCell ref="C97:C97"/>
    <mergeCell ref="D97:D97"/>
    <mergeCell ref="E97:E97"/>
    <mergeCell ref="F97:F97"/>
    <mergeCell ref="G97:G97"/>
    <mergeCell ref="H97:H97"/>
    <mergeCell ref="I97:I97"/>
    <mergeCell ref="J97:J97"/>
    <mergeCell ref="A98:A98"/>
    <mergeCell ref="B98:B98"/>
    <mergeCell ref="C98:C98"/>
    <mergeCell ref="D98:D98"/>
    <mergeCell ref="E98:E98"/>
    <mergeCell ref="F98:F98"/>
    <mergeCell ref="G98:G98"/>
    <mergeCell ref="H98:H98"/>
    <mergeCell ref="I98:I98"/>
    <mergeCell ref="J98:J98"/>
    <mergeCell ref="A99:A99"/>
    <mergeCell ref="B99:B99"/>
    <mergeCell ref="C99:C99"/>
    <mergeCell ref="D99:D99"/>
    <mergeCell ref="E99:E99"/>
    <mergeCell ref="F99:F99"/>
    <mergeCell ref="G99:G99"/>
    <mergeCell ref="H99:H99"/>
    <mergeCell ref="I99:I99"/>
    <mergeCell ref="J99:J99"/>
    <mergeCell ref="A100:A100"/>
    <mergeCell ref="B100:B100"/>
    <mergeCell ref="C100:C100"/>
    <mergeCell ref="D100:D100"/>
    <mergeCell ref="E100:E100"/>
    <mergeCell ref="F100:F100"/>
    <mergeCell ref="G100:G100"/>
    <mergeCell ref="H100:H100"/>
    <mergeCell ref="I100:I100"/>
    <mergeCell ref="J100:J100"/>
    <mergeCell ref="A101:A101"/>
    <mergeCell ref="B101:B101"/>
    <mergeCell ref="C101:C101"/>
    <mergeCell ref="D101:D101"/>
    <mergeCell ref="E101:E101"/>
    <mergeCell ref="F101:F101"/>
    <mergeCell ref="G101:G101"/>
    <mergeCell ref="H101:H101"/>
    <mergeCell ref="I101:I101"/>
    <mergeCell ref="J101:J101"/>
    <mergeCell ref="A102:A102"/>
    <mergeCell ref="B102:B102"/>
    <mergeCell ref="C102:C102"/>
    <mergeCell ref="D102:D102"/>
    <mergeCell ref="E102:E102"/>
    <mergeCell ref="F102:F102"/>
    <mergeCell ref="G102:G102"/>
    <mergeCell ref="H102:H102"/>
    <mergeCell ref="I102:I102"/>
    <mergeCell ref="J102:J102"/>
    <mergeCell ref="A103:A103"/>
    <mergeCell ref="B103:B103"/>
    <mergeCell ref="C103:C103"/>
    <mergeCell ref="D103:D103"/>
    <mergeCell ref="E103:E103"/>
    <mergeCell ref="F103:F103"/>
    <mergeCell ref="G103:G103"/>
    <mergeCell ref="H103:H103"/>
    <mergeCell ref="I103:I103"/>
    <mergeCell ref="J103:J103"/>
    <mergeCell ref="A104:A104"/>
    <mergeCell ref="B104:B104"/>
    <mergeCell ref="C104:C104"/>
    <mergeCell ref="D104:D104"/>
    <mergeCell ref="E104:E104"/>
    <mergeCell ref="F104:F104"/>
    <mergeCell ref="G104:G104"/>
    <mergeCell ref="H104:H104"/>
    <mergeCell ref="I104:I104"/>
    <mergeCell ref="J104:J104"/>
    <mergeCell ref="A105:A105"/>
    <mergeCell ref="B105:B105"/>
    <mergeCell ref="C105:C105"/>
    <mergeCell ref="D105:D105"/>
    <mergeCell ref="E105:E105"/>
    <mergeCell ref="F105:F105"/>
    <mergeCell ref="G105:G105"/>
    <mergeCell ref="H105:H105"/>
    <mergeCell ref="I105:I105"/>
    <mergeCell ref="J105:J105"/>
    <mergeCell ref="A106:A106"/>
    <mergeCell ref="B106:B106"/>
    <mergeCell ref="C106:C106"/>
    <mergeCell ref="D106:D106"/>
    <mergeCell ref="E106:E106"/>
    <mergeCell ref="F106:F106"/>
    <mergeCell ref="G106:G106"/>
    <mergeCell ref="H106:H106"/>
    <mergeCell ref="I106:I106"/>
    <mergeCell ref="J106:J106"/>
    <mergeCell ref="A107:A107"/>
    <mergeCell ref="B107:B107"/>
    <mergeCell ref="C107:C107"/>
    <mergeCell ref="D107:D107"/>
    <mergeCell ref="E107:E107"/>
    <mergeCell ref="F107:F107"/>
    <mergeCell ref="G107:G107"/>
    <mergeCell ref="H107:H107"/>
    <mergeCell ref="I107:I107"/>
    <mergeCell ref="J107:J107"/>
    <mergeCell ref="A108:A108"/>
    <mergeCell ref="B108:B108"/>
    <mergeCell ref="C108:C108"/>
    <mergeCell ref="D108:D108"/>
    <mergeCell ref="E108:E108"/>
    <mergeCell ref="F108:F108"/>
    <mergeCell ref="G108:G108"/>
    <mergeCell ref="H108:H108"/>
    <mergeCell ref="I108:I108"/>
    <mergeCell ref="J108:J108"/>
    <mergeCell ref="A109:A109"/>
    <mergeCell ref="B109:B109"/>
    <mergeCell ref="C109:C109"/>
    <mergeCell ref="D109:D109"/>
    <mergeCell ref="E109:E109"/>
    <mergeCell ref="F109:F109"/>
    <mergeCell ref="G109:G109"/>
    <mergeCell ref="H109:H109"/>
    <mergeCell ref="I109:I109"/>
    <mergeCell ref="J109:J109"/>
    <mergeCell ref="A110:A110"/>
    <mergeCell ref="B110:B110"/>
    <mergeCell ref="C110:C110"/>
    <mergeCell ref="D110:D110"/>
    <mergeCell ref="E110:E110"/>
    <mergeCell ref="F110:F110"/>
    <mergeCell ref="G110:G110"/>
    <mergeCell ref="H110:H110"/>
    <mergeCell ref="I110:I110"/>
    <mergeCell ref="J110:J110"/>
    <mergeCell ref="A111:A111"/>
    <mergeCell ref="B111:B111"/>
    <mergeCell ref="C111:C111"/>
    <mergeCell ref="D111:D111"/>
    <mergeCell ref="E111:E111"/>
    <mergeCell ref="F111:F111"/>
    <mergeCell ref="G111:G111"/>
    <mergeCell ref="H111:H111"/>
    <mergeCell ref="I111:I111"/>
    <mergeCell ref="J111:J111"/>
    <mergeCell ref="A112:A112"/>
    <mergeCell ref="B112:B112"/>
    <mergeCell ref="C112:C112"/>
    <mergeCell ref="D112:D112"/>
    <mergeCell ref="E112:E112"/>
    <mergeCell ref="F112:F112"/>
    <mergeCell ref="G112:G112"/>
    <mergeCell ref="H112:H112"/>
    <mergeCell ref="I112:I112"/>
    <mergeCell ref="J112:J112"/>
    <mergeCell ref="A113:A113"/>
    <mergeCell ref="B113:B113"/>
    <mergeCell ref="C113:C113"/>
    <mergeCell ref="D113:D113"/>
    <mergeCell ref="E113:E113"/>
    <mergeCell ref="F113:F113"/>
    <mergeCell ref="G113:G113"/>
    <mergeCell ref="H113:H113"/>
    <mergeCell ref="I113:I113"/>
    <mergeCell ref="J113:J113"/>
    <mergeCell ref="A114:A114"/>
    <mergeCell ref="B114:B114"/>
    <mergeCell ref="C114:C114"/>
    <mergeCell ref="D114:D114"/>
    <mergeCell ref="E114:E114"/>
    <mergeCell ref="F114:F114"/>
    <mergeCell ref="G114:G114"/>
    <mergeCell ref="H114:H114"/>
    <mergeCell ref="I114:I114"/>
    <mergeCell ref="J114:J114"/>
    <mergeCell ref="A115:A115"/>
    <mergeCell ref="B115:B115"/>
    <mergeCell ref="C115:C115"/>
    <mergeCell ref="D115:D115"/>
    <mergeCell ref="E115:E115"/>
    <mergeCell ref="F115:F115"/>
    <mergeCell ref="G115:G115"/>
    <mergeCell ref="H115:H115"/>
    <mergeCell ref="I115:I115"/>
    <mergeCell ref="J115:J115"/>
    <mergeCell ref="A116:A116"/>
    <mergeCell ref="B116:B116"/>
    <mergeCell ref="C116:C116"/>
    <mergeCell ref="D116:D116"/>
    <mergeCell ref="E116:E116"/>
    <mergeCell ref="F116:F116"/>
    <mergeCell ref="G116:G116"/>
    <mergeCell ref="H116:H116"/>
    <mergeCell ref="I116:I116"/>
    <mergeCell ref="J116:J116"/>
    <mergeCell ref="A117:A117"/>
    <mergeCell ref="B117:B117"/>
    <mergeCell ref="C117:C117"/>
    <mergeCell ref="D117:D117"/>
    <mergeCell ref="E117:E117"/>
    <mergeCell ref="F117:F117"/>
    <mergeCell ref="G117:G117"/>
    <mergeCell ref="H117:H117"/>
    <mergeCell ref="I117:I117"/>
    <mergeCell ref="J117:J117"/>
    <mergeCell ref="A118:A118"/>
    <mergeCell ref="B118:B118"/>
    <mergeCell ref="C118:C118"/>
    <mergeCell ref="D118:D118"/>
    <mergeCell ref="E118:E118"/>
    <mergeCell ref="F118:F118"/>
    <mergeCell ref="G118:G118"/>
    <mergeCell ref="H118:H118"/>
    <mergeCell ref="I118:I118"/>
    <mergeCell ref="J118:J118"/>
    <mergeCell ref="A119:A119"/>
    <mergeCell ref="B119:B119"/>
    <mergeCell ref="C119:C119"/>
    <mergeCell ref="D119:D119"/>
    <mergeCell ref="E119:E119"/>
    <mergeCell ref="F119:F119"/>
    <mergeCell ref="G119:G119"/>
    <mergeCell ref="H119:H119"/>
    <mergeCell ref="I119:I119"/>
    <mergeCell ref="J119:J119"/>
    <mergeCell ref="A120:A120"/>
    <mergeCell ref="B120:B120"/>
    <mergeCell ref="C120:C120"/>
    <mergeCell ref="D120:D120"/>
    <mergeCell ref="E120:E120"/>
    <mergeCell ref="F120:F120"/>
    <mergeCell ref="G120:G120"/>
    <mergeCell ref="H120:H120"/>
    <mergeCell ref="I120:I120"/>
    <mergeCell ref="J120:J120"/>
    <mergeCell ref="A121:A121"/>
    <mergeCell ref="B121:B121"/>
    <mergeCell ref="C121:C121"/>
    <mergeCell ref="D121:D121"/>
    <mergeCell ref="E121:E121"/>
    <mergeCell ref="F121:F121"/>
    <mergeCell ref="G121:G121"/>
    <mergeCell ref="H121:H121"/>
    <mergeCell ref="I121:I121"/>
    <mergeCell ref="J121:J121"/>
    <mergeCell ref="A122:A122"/>
    <mergeCell ref="B122:B122"/>
    <mergeCell ref="C122:C122"/>
    <mergeCell ref="D122:D122"/>
    <mergeCell ref="E122:E122"/>
    <mergeCell ref="F122:F122"/>
    <mergeCell ref="G122:G122"/>
    <mergeCell ref="H122:H122"/>
    <mergeCell ref="I122:I122"/>
    <mergeCell ref="J122:J122"/>
    <mergeCell ref="A123:A123"/>
    <mergeCell ref="B123:B123"/>
    <mergeCell ref="C123:C123"/>
    <mergeCell ref="D123:D123"/>
    <mergeCell ref="E123:E123"/>
    <mergeCell ref="F123:F123"/>
    <mergeCell ref="G123:G123"/>
    <mergeCell ref="H123:H123"/>
    <mergeCell ref="I123:I123"/>
    <mergeCell ref="J123:J123"/>
    <mergeCell ref="A124:A124"/>
    <mergeCell ref="B124:B124"/>
    <mergeCell ref="C124:C124"/>
    <mergeCell ref="D124:D124"/>
    <mergeCell ref="E124:E124"/>
    <mergeCell ref="F124:F124"/>
    <mergeCell ref="G124:G124"/>
    <mergeCell ref="H124:H124"/>
    <mergeCell ref="I124:I124"/>
    <mergeCell ref="J124:J124"/>
    <mergeCell ref="A125:A125"/>
    <mergeCell ref="B125:B125"/>
    <mergeCell ref="C125:C125"/>
    <mergeCell ref="D125:D125"/>
    <mergeCell ref="E125:E125"/>
    <mergeCell ref="F125:F125"/>
    <mergeCell ref="G125:G125"/>
    <mergeCell ref="H125:H125"/>
    <mergeCell ref="I125:I125"/>
    <mergeCell ref="J125:J125"/>
    <mergeCell ref="A126:A126"/>
    <mergeCell ref="B126:B126"/>
    <mergeCell ref="C126:C126"/>
    <mergeCell ref="D126:D126"/>
    <mergeCell ref="E126:E126"/>
    <mergeCell ref="F126:F126"/>
    <mergeCell ref="G126:G126"/>
    <mergeCell ref="H126:H126"/>
    <mergeCell ref="I126:I126"/>
    <mergeCell ref="J126:J126"/>
    <mergeCell ref="A127:A127"/>
    <mergeCell ref="B127:B127"/>
    <mergeCell ref="C127:C127"/>
    <mergeCell ref="D127:D127"/>
    <mergeCell ref="E127:E127"/>
    <mergeCell ref="F127:F127"/>
    <mergeCell ref="G127:G127"/>
    <mergeCell ref="H127:H127"/>
    <mergeCell ref="I127:I127"/>
    <mergeCell ref="J127:J127"/>
    <mergeCell ref="A128:A128"/>
    <mergeCell ref="B128:B128"/>
    <mergeCell ref="C128:C128"/>
    <mergeCell ref="D128:D128"/>
    <mergeCell ref="E128:E128"/>
    <mergeCell ref="F128:F128"/>
    <mergeCell ref="G128:G128"/>
    <mergeCell ref="H128:H128"/>
    <mergeCell ref="I128:I128"/>
    <mergeCell ref="J128:J128"/>
    <mergeCell ref="A129:A129"/>
    <mergeCell ref="B129:B129"/>
    <mergeCell ref="C129:C129"/>
    <mergeCell ref="D129:D129"/>
    <mergeCell ref="E129:E129"/>
    <mergeCell ref="F129:F129"/>
    <mergeCell ref="G129:G129"/>
    <mergeCell ref="H129:H129"/>
    <mergeCell ref="I129:I129"/>
    <mergeCell ref="J129:J129"/>
    <mergeCell ref="A130:A130"/>
    <mergeCell ref="B130:B130"/>
    <mergeCell ref="C130:C130"/>
    <mergeCell ref="D130:D130"/>
    <mergeCell ref="E130:E130"/>
    <mergeCell ref="F130:F130"/>
    <mergeCell ref="G130:G130"/>
    <mergeCell ref="H130:H130"/>
    <mergeCell ref="I130:I130"/>
    <mergeCell ref="J130:J130"/>
    <mergeCell ref="A131:A131"/>
    <mergeCell ref="B131:B131"/>
    <mergeCell ref="C131:C131"/>
    <mergeCell ref="D131:D131"/>
    <mergeCell ref="E131:E131"/>
    <mergeCell ref="F131:F131"/>
    <mergeCell ref="G131:G131"/>
    <mergeCell ref="H131:H131"/>
    <mergeCell ref="I131:I131"/>
    <mergeCell ref="J131:J131"/>
    <mergeCell ref="A132:A132"/>
    <mergeCell ref="B132:B132"/>
    <mergeCell ref="C132:C132"/>
    <mergeCell ref="D132:D132"/>
    <mergeCell ref="E132:E132"/>
    <mergeCell ref="F132:F132"/>
    <mergeCell ref="G132:G132"/>
    <mergeCell ref="H132:H132"/>
    <mergeCell ref="I132:I132"/>
    <mergeCell ref="J132:J132"/>
    <mergeCell ref="A133:A133"/>
    <mergeCell ref="B133:B133"/>
    <mergeCell ref="C133:C133"/>
    <mergeCell ref="D133:D133"/>
    <mergeCell ref="E133:E133"/>
    <mergeCell ref="F133:F133"/>
    <mergeCell ref="G133:G133"/>
    <mergeCell ref="H133:H133"/>
    <mergeCell ref="I133:I133"/>
    <mergeCell ref="J133:J133"/>
    <mergeCell ref="A134:A134"/>
    <mergeCell ref="B134:B134"/>
    <mergeCell ref="C134:C134"/>
    <mergeCell ref="D134:D134"/>
    <mergeCell ref="E134:E134"/>
    <mergeCell ref="F134:F134"/>
    <mergeCell ref="G134:G134"/>
    <mergeCell ref="H134:H134"/>
    <mergeCell ref="I134:I134"/>
    <mergeCell ref="J134:J134"/>
    <mergeCell ref="A135:A135"/>
    <mergeCell ref="B135:B135"/>
    <mergeCell ref="C135:C135"/>
    <mergeCell ref="D135:D135"/>
    <mergeCell ref="E135:E135"/>
    <mergeCell ref="F135:F135"/>
    <mergeCell ref="G135:G135"/>
    <mergeCell ref="H135:H135"/>
    <mergeCell ref="I135:I135"/>
    <mergeCell ref="J135:J135"/>
    <mergeCell ref="A136:A136"/>
    <mergeCell ref="B136:B136"/>
    <mergeCell ref="C136:C136"/>
    <mergeCell ref="D136:D136"/>
    <mergeCell ref="E136:E136"/>
    <mergeCell ref="F136:F136"/>
    <mergeCell ref="G136:G136"/>
    <mergeCell ref="H136:H136"/>
    <mergeCell ref="I136:I136"/>
    <mergeCell ref="J136:J136"/>
    <mergeCell ref="A137:A137"/>
    <mergeCell ref="B137:B137"/>
    <mergeCell ref="C137:C137"/>
    <mergeCell ref="D137:D137"/>
    <mergeCell ref="E137:E137"/>
    <mergeCell ref="F137:F137"/>
    <mergeCell ref="G137:G137"/>
    <mergeCell ref="H137:H137"/>
    <mergeCell ref="I137:I137"/>
    <mergeCell ref="J137:J137"/>
    <mergeCell ref="A138:A138"/>
    <mergeCell ref="B138:B138"/>
    <mergeCell ref="C138:C138"/>
    <mergeCell ref="D138:D138"/>
    <mergeCell ref="E138:E138"/>
    <mergeCell ref="F138:F138"/>
    <mergeCell ref="G138:G138"/>
    <mergeCell ref="H138:H138"/>
    <mergeCell ref="I138:I138"/>
    <mergeCell ref="J138:J138"/>
    <mergeCell ref="A139:A139"/>
    <mergeCell ref="B139:B139"/>
    <mergeCell ref="C139:C139"/>
    <mergeCell ref="D139:D139"/>
    <mergeCell ref="E139:E139"/>
    <mergeCell ref="F139:F139"/>
    <mergeCell ref="G139:G139"/>
    <mergeCell ref="H139:H139"/>
    <mergeCell ref="I139:I139"/>
    <mergeCell ref="J139:J139"/>
    <mergeCell ref="A140:A140"/>
    <mergeCell ref="B140:B140"/>
    <mergeCell ref="C140:C140"/>
    <mergeCell ref="D140:D140"/>
    <mergeCell ref="E140:E140"/>
    <mergeCell ref="F140:F140"/>
    <mergeCell ref="G140:G140"/>
    <mergeCell ref="H140:H140"/>
    <mergeCell ref="I140:I140"/>
    <mergeCell ref="J140:J140"/>
    <mergeCell ref="A141:A141"/>
    <mergeCell ref="B141:B141"/>
    <mergeCell ref="C141:C141"/>
    <mergeCell ref="D141:D141"/>
    <mergeCell ref="E141:E141"/>
    <mergeCell ref="F141:F141"/>
    <mergeCell ref="G141:G141"/>
    <mergeCell ref="H141:H141"/>
    <mergeCell ref="I141:I141"/>
    <mergeCell ref="J141:J141"/>
    <mergeCell ref="A142:A142"/>
    <mergeCell ref="B142:B142"/>
    <mergeCell ref="C142:C142"/>
    <mergeCell ref="D142:D142"/>
    <mergeCell ref="E142:E142"/>
    <mergeCell ref="F142:F142"/>
    <mergeCell ref="G142:G142"/>
    <mergeCell ref="H142:H142"/>
    <mergeCell ref="I142:I142"/>
    <mergeCell ref="J142:J142"/>
    <mergeCell ref="A143:A143"/>
    <mergeCell ref="B143:B143"/>
    <mergeCell ref="C143:C143"/>
    <mergeCell ref="D143:D143"/>
    <mergeCell ref="E143:E143"/>
    <mergeCell ref="F143:F143"/>
    <mergeCell ref="G143:G143"/>
    <mergeCell ref="H143:H143"/>
    <mergeCell ref="I143:I143"/>
    <mergeCell ref="J143:J143"/>
    <mergeCell ref="A144:A144"/>
    <mergeCell ref="B144:B144"/>
    <mergeCell ref="C144:C144"/>
    <mergeCell ref="D144:D144"/>
    <mergeCell ref="E144:E144"/>
    <mergeCell ref="F144:F144"/>
    <mergeCell ref="G144:G144"/>
    <mergeCell ref="H144:H144"/>
    <mergeCell ref="I144:I144"/>
    <mergeCell ref="J144:J144"/>
    <mergeCell ref="A145:A145"/>
    <mergeCell ref="B145:B145"/>
    <mergeCell ref="C145:C145"/>
    <mergeCell ref="D145:D145"/>
    <mergeCell ref="E145:E145"/>
    <mergeCell ref="F145:F145"/>
    <mergeCell ref="G145:G145"/>
    <mergeCell ref="H145:H145"/>
    <mergeCell ref="I145:I145"/>
    <mergeCell ref="J145:J145"/>
    <mergeCell ref="A146:A146"/>
    <mergeCell ref="B146:B146"/>
    <mergeCell ref="C146:C146"/>
    <mergeCell ref="D146:D146"/>
    <mergeCell ref="E146:E146"/>
    <mergeCell ref="F146:F146"/>
    <mergeCell ref="G146:G146"/>
    <mergeCell ref="H146:H146"/>
    <mergeCell ref="I146:I146"/>
    <mergeCell ref="J146:J146"/>
    <mergeCell ref="A147:A147"/>
    <mergeCell ref="B147:B147"/>
    <mergeCell ref="C147:C147"/>
    <mergeCell ref="D147:D147"/>
    <mergeCell ref="E147:E147"/>
    <mergeCell ref="F147:F147"/>
    <mergeCell ref="G147:G147"/>
    <mergeCell ref="H147:H147"/>
    <mergeCell ref="I147:I147"/>
    <mergeCell ref="J147:J147"/>
    <mergeCell ref="A148:A148"/>
    <mergeCell ref="B148:B148"/>
    <mergeCell ref="C148:C148"/>
    <mergeCell ref="D148:D148"/>
    <mergeCell ref="E148:E148"/>
    <mergeCell ref="F148:F148"/>
    <mergeCell ref="G148:G148"/>
    <mergeCell ref="H148:H148"/>
    <mergeCell ref="I148:I148"/>
    <mergeCell ref="J148:J148"/>
    <mergeCell ref="A149:A149"/>
    <mergeCell ref="B149:B149"/>
    <mergeCell ref="C149:C149"/>
    <mergeCell ref="D149:D149"/>
    <mergeCell ref="E149:E149"/>
    <mergeCell ref="F149:F149"/>
    <mergeCell ref="G149:G149"/>
    <mergeCell ref="H149:H149"/>
    <mergeCell ref="I149:I149"/>
    <mergeCell ref="J149:J149"/>
    <mergeCell ref="A150:A150"/>
    <mergeCell ref="B150:B150"/>
    <mergeCell ref="C150:C150"/>
    <mergeCell ref="D150:D150"/>
    <mergeCell ref="E150:E150"/>
    <mergeCell ref="F150:F150"/>
    <mergeCell ref="G150:G150"/>
    <mergeCell ref="H150:H150"/>
    <mergeCell ref="I150:I150"/>
    <mergeCell ref="J150:J150"/>
    <mergeCell ref="A151:A151"/>
    <mergeCell ref="B151:B151"/>
    <mergeCell ref="C151:C151"/>
    <mergeCell ref="D151:D151"/>
    <mergeCell ref="E151:E151"/>
    <mergeCell ref="F151:F151"/>
    <mergeCell ref="G151:G151"/>
    <mergeCell ref="H151:H151"/>
    <mergeCell ref="I151:I151"/>
    <mergeCell ref="J151:J151"/>
    <mergeCell ref="A152:A152"/>
    <mergeCell ref="B152:B152"/>
    <mergeCell ref="C152:C152"/>
    <mergeCell ref="D152:D152"/>
    <mergeCell ref="E152:E152"/>
    <mergeCell ref="F152:F152"/>
    <mergeCell ref="G152:G152"/>
    <mergeCell ref="H152:H152"/>
    <mergeCell ref="I152:I152"/>
    <mergeCell ref="J152:J152"/>
    <mergeCell ref="A153:A153"/>
    <mergeCell ref="B153:B153"/>
    <mergeCell ref="C153:C153"/>
    <mergeCell ref="D153:D153"/>
    <mergeCell ref="E153:E153"/>
    <mergeCell ref="F153:F153"/>
    <mergeCell ref="G153:G153"/>
    <mergeCell ref="H153:H153"/>
    <mergeCell ref="I153:I153"/>
    <mergeCell ref="J153:J153"/>
    <mergeCell ref="A154:A154"/>
    <mergeCell ref="B154:B154"/>
    <mergeCell ref="C154:C154"/>
    <mergeCell ref="D154:D154"/>
    <mergeCell ref="E154:E154"/>
    <mergeCell ref="F154:F154"/>
    <mergeCell ref="G154:G154"/>
    <mergeCell ref="H154:H154"/>
    <mergeCell ref="I154:I154"/>
    <mergeCell ref="J154:J154"/>
    <mergeCell ref="A155:A155"/>
    <mergeCell ref="B155:B155"/>
    <mergeCell ref="C155:C155"/>
    <mergeCell ref="D155:D155"/>
    <mergeCell ref="E155:E155"/>
    <mergeCell ref="F155:F155"/>
    <mergeCell ref="G155:G155"/>
    <mergeCell ref="H155:H155"/>
    <mergeCell ref="I155:I155"/>
    <mergeCell ref="J155:J155"/>
    <mergeCell ref="A156:A156"/>
    <mergeCell ref="B156:B156"/>
    <mergeCell ref="C156:C156"/>
    <mergeCell ref="D156:D156"/>
    <mergeCell ref="E156:E156"/>
    <mergeCell ref="F156:F156"/>
    <mergeCell ref="G156:G156"/>
    <mergeCell ref="H156:H156"/>
    <mergeCell ref="I156:I156"/>
    <mergeCell ref="J156:J156"/>
    <mergeCell ref="A157:A157"/>
    <mergeCell ref="B157:B157"/>
    <mergeCell ref="C157:C157"/>
    <mergeCell ref="D157:D157"/>
    <mergeCell ref="E157:E157"/>
    <mergeCell ref="F157:F157"/>
    <mergeCell ref="G157:G157"/>
    <mergeCell ref="H157:H157"/>
    <mergeCell ref="I157:I157"/>
    <mergeCell ref="J157:J157"/>
    <mergeCell ref="A158:A158"/>
    <mergeCell ref="B158:B158"/>
    <mergeCell ref="C158:C158"/>
    <mergeCell ref="D158:D158"/>
    <mergeCell ref="E158:E158"/>
    <mergeCell ref="F158:F158"/>
    <mergeCell ref="G158:G158"/>
    <mergeCell ref="H158:H158"/>
    <mergeCell ref="I158:I158"/>
    <mergeCell ref="J158:J158"/>
    <mergeCell ref="A159:A159"/>
    <mergeCell ref="B159:B159"/>
    <mergeCell ref="C159:C159"/>
    <mergeCell ref="D159:D159"/>
    <mergeCell ref="E159:E159"/>
    <mergeCell ref="F159:F159"/>
    <mergeCell ref="G159:G159"/>
    <mergeCell ref="H159:H159"/>
    <mergeCell ref="I159:I159"/>
    <mergeCell ref="J159:J159"/>
    <mergeCell ref="A160:A160"/>
    <mergeCell ref="B160:B160"/>
    <mergeCell ref="C160:C160"/>
    <mergeCell ref="D160:D160"/>
    <mergeCell ref="E160:E160"/>
    <mergeCell ref="F160:F160"/>
    <mergeCell ref="G160:G160"/>
    <mergeCell ref="H160:H160"/>
    <mergeCell ref="I160:I160"/>
    <mergeCell ref="J160:J160"/>
    <mergeCell ref="A161:A161"/>
    <mergeCell ref="B161:B161"/>
    <mergeCell ref="C161:C161"/>
    <mergeCell ref="D161:D161"/>
    <mergeCell ref="E161:E161"/>
    <mergeCell ref="F161:F161"/>
    <mergeCell ref="G161:G161"/>
    <mergeCell ref="H161:H161"/>
    <mergeCell ref="I161:I161"/>
    <mergeCell ref="J161:J161"/>
    <mergeCell ref="A162:A162"/>
    <mergeCell ref="B162:B162"/>
    <mergeCell ref="C162:C162"/>
    <mergeCell ref="D162:D162"/>
    <mergeCell ref="E162:E162"/>
    <mergeCell ref="F162:F162"/>
    <mergeCell ref="G162:G162"/>
    <mergeCell ref="H162:H162"/>
    <mergeCell ref="I162:I162"/>
    <mergeCell ref="J162:J162"/>
    <mergeCell ref="A163:A163"/>
    <mergeCell ref="B163:B163"/>
    <mergeCell ref="C163:C163"/>
    <mergeCell ref="D163:D163"/>
    <mergeCell ref="E163:E163"/>
    <mergeCell ref="F163:F163"/>
    <mergeCell ref="G163:G163"/>
    <mergeCell ref="H163:H163"/>
    <mergeCell ref="I163:I163"/>
    <mergeCell ref="J163:J163"/>
    <mergeCell ref="A164:A164"/>
    <mergeCell ref="B164:B164"/>
    <mergeCell ref="C164:C164"/>
    <mergeCell ref="D164:D164"/>
    <mergeCell ref="E164:E164"/>
    <mergeCell ref="F164:F164"/>
    <mergeCell ref="G164:G164"/>
    <mergeCell ref="H164:H164"/>
    <mergeCell ref="I164:I164"/>
    <mergeCell ref="J164:J164"/>
    <mergeCell ref="A165:A165"/>
    <mergeCell ref="B165:B165"/>
    <mergeCell ref="C165:C165"/>
    <mergeCell ref="D165:D165"/>
    <mergeCell ref="E165:E165"/>
    <mergeCell ref="F165:F165"/>
    <mergeCell ref="G165:G165"/>
    <mergeCell ref="H165:H165"/>
    <mergeCell ref="I165:I165"/>
    <mergeCell ref="J165:J165"/>
    <mergeCell ref="A166:A166"/>
    <mergeCell ref="B166:B166"/>
    <mergeCell ref="C166:C166"/>
    <mergeCell ref="D166:D166"/>
    <mergeCell ref="E166:E166"/>
    <mergeCell ref="F166:F166"/>
    <mergeCell ref="G166:G166"/>
    <mergeCell ref="H166:H166"/>
    <mergeCell ref="I166:I166"/>
    <mergeCell ref="J166:J166"/>
    <mergeCell ref="A167:A167"/>
    <mergeCell ref="B167:B167"/>
    <mergeCell ref="C167:C167"/>
    <mergeCell ref="D167:D167"/>
    <mergeCell ref="E167:E167"/>
    <mergeCell ref="F167:F167"/>
    <mergeCell ref="G167:G167"/>
    <mergeCell ref="H167:H167"/>
    <mergeCell ref="I167:I167"/>
    <mergeCell ref="J167:J167"/>
    <mergeCell ref="A168:A168"/>
    <mergeCell ref="B168:B168"/>
    <mergeCell ref="C168:C168"/>
    <mergeCell ref="D168:D168"/>
    <mergeCell ref="E168:E168"/>
    <mergeCell ref="F168:F168"/>
    <mergeCell ref="G168:G168"/>
    <mergeCell ref="H168:H168"/>
    <mergeCell ref="I168:I168"/>
    <mergeCell ref="J168:J168"/>
    <mergeCell ref="A169:A169"/>
    <mergeCell ref="B169:B169"/>
    <mergeCell ref="C169:C169"/>
    <mergeCell ref="D169:D169"/>
    <mergeCell ref="E169:E169"/>
    <mergeCell ref="F169:F169"/>
    <mergeCell ref="G169:G169"/>
    <mergeCell ref="H169:H169"/>
    <mergeCell ref="I169:I169"/>
    <mergeCell ref="J169:J169"/>
    <mergeCell ref="A170:A170"/>
    <mergeCell ref="B170:B170"/>
    <mergeCell ref="C170:C170"/>
    <mergeCell ref="D170:D170"/>
    <mergeCell ref="E170:E170"/>
    <mergeCell ref="F170:F170"/>
    <mergeCell ref="G170:G170"/>
    <mergeCell ref="H170:H170"/>
    <mergeCell ref="I170:I170"/>
    <mergeCell ref="J170:J170"/>
    <mergeCell ref="A171:A171"/>
    <mergeCell ref="B171:B171"/>
    <mergeCell ref="C171:C171"/>
    <mergeCell ref="D171:D171"/>
    <mergeCell ref="E171:E171"/>
    <mergeCell ref="F171:F171"/>
    <mergeCell ref="G171:G171"/>
    <mergeCell ref="H171:H171"/>
    <mergeCell ref="I171:I171"/>
    <mergeCell ref="J171:J171"/>
    <mergeCell ref="A172:A172"/>
    <mergeCell ref="B172:B172"/>
    <mergeCell ref="C172:C172"/>
    <mergeCell ref="D172:D172"/>
    <mergeCell ref="E172:E172"/>
    <mergeCell ref="F172:F172"/>
    <mergeCell ref="G172:G172"/>
    <mergeCell ref="H172:H172"/>
    <mergeCell ref="I172:I172"/>
    <mergeCell ref="J172:J172"/>
    <mergeCell ref="A173:A173"/>
    <mergeCell ref="B173:B173"/>
    <mergeCell ref="C173:C173"/>
    <mergeCell ref="D173:D173"/>
    <mergeCell ref="E173:E173"/>
    <mergeCell ref="F173:F173"/>
    <mergeCell ref="G173:G173"/>
    <mergeCell ref="H173:H173"/>
    <mergeCell ref="I173:I173"/>
    <mergeCell ref="J173:J173"/>
    <mergeCell ref="A174:A174"/>
    <mergeCell ref="B174:B174"/>
    <mergeCell ref="C174:C174"/>
    <mergeCell ref="D174:D174"/>
    <mergeCell ref="E174:E174"/>
    <mergeCell ref="F174:F174"/>
    <mergeCell ref="G174:G174"/>
    <mergeCell ref="H174:H174"/>
    <mergeCell ref="I174:I174"/>
    <mergeCell ref="J174:J174"/>
    <mergeCell ref="A175:A175"/>
    <mergeCell ref="B175:B175"/>
    <mergeCell ref="C175:C175"/>
    <mergeCell ref="D175:D175"/>
    <mergeCell ref="E175:E175"/>
    <mergeCell ref="F175:F175"/>
    <mergeCell ref="G175:G175"/>
    <mergeCell ref="H175:H175"/>
    <mergeCell ref="I175:I175"/>
    <mergeCell ref="J175:J175"/>
    <mergeCell ref="A176:A176"/>
    <mergeCell ref="B176:B176"/>
    <mergeCell ref="C176:C176"/>
    <mergeCell ref="D176:D176"/>
    <mergeCell ref="E176:E176"/>
    <mergeCell ref="F176:F176"/>
    <mergeCell ref="G176:G176"/>
    <mergeCell ref="H176:H176"/>
    <mergeCell ref="I176:I176"/>
    <mergeCell ref="J176:J176"/>
    <mergeCell ref="A177:A177"/>
    <mergeCell ref="B177:B177"/>
    <mergeCell ref="C177:C177"/>
    <mergeCell ref="D177:D177"/>
    <mergeCell ref="E177:E177"/>
    <mergeCell ref="F177:F177"/>
    <mergeCell ref="G177:G177"/>
    <mergeCell ref="H177:H177"/>
    <mergeCell ref="I177:I177"/>
    <mergeCell ref="J177:J177"/>
    <mergeCell ref="A178:A178"/>
    <mergeCell ref="B178:B178"/>
    <mergeCell ref="C178:C178"/>
    <mergeCell ref="D178:D178"/>
    <mergeCell ref="E178:E178"/>
    <mergeCell ref="F178:F178"/>
    <mergeCell ref="G178:G178"/>
    <mergeCell ref="H178:H178"/>
    <mergeCell ref="I178:I178"/>
    <mergeCell ref="J178:J178"/>
    <mergeCell ref="A179:A179"/>
    <mergeCell ref="B179:B179"/>
    <mergeCell ref="C179:C179"/>
    <mergeCell ref="D179:D179"/>
    <mergeCell ref="E179:E179"/>
    <mergeCell ref="F179:F179"/>
    <mergeCell ref="G179:G179"/>
    <mergeCell ref="H179:H179"/>
    <mergeCell ref="I179:I179"/>
    <mergeCell ref="J179:J179"/>
    <mergeCell ref="A180:A180"/>
    <mergeCell ref="B180:B180"/>
    <mergeCell ref="C180:C180"/>
    <mergeCell ref="D180:D180"/>
    <mergeCell ref="E180:E180"/>
    <mergeCell ref="F180:F180"/>
    <mergeCell ref="G180:G180"/>
    <mergeCell ref="H180:H180"/>
    <mergeCell ref="I180:I180"/>
    <mergeCell ref="J180:J180"/>
    <mergeCell ref="A181:A181"/>
    <mergeCell ref="B181:B181"/>
    <mergeCell ref="C181:C181"/>
    <mergeCell ref="D181:D181"/>
    <mergeCell ref="E181:E181"/>
    <mergeCell ref="F181:F181"/>
    <mergeCell ref="G181:G181"/>
    <mergeCell ref="H181:H181"/>
    <mergeCell ref="I181:I181"/>
    <mergeCell ref="J181:J181"/>
    <mergeCell ref="A182:A182"/>
    <mergeCell ref="B182:B182"/>
    <mergeCell ref="C182:C182"/>
    <mergeCell ref="D182:D182"/>
    <mergeCell ref="E182:E182"/>
    <mergeCell ref="F182:F182"/>
    <mergeCell ref="G182:G182"/>
    <mergeCell ref="H182:H182"/>
    <mergeCell ref="I182:I182"/>
    <mergeCell ref="J182:J182"/>
    <mergeCell ref="A183:A183"/>
    <mergeCell ref="B183:B183"/>
    <mergeCell ref="C183:C183"/>
    <mergeCell ref="D183:D183"/>
    <mergeCell ref="E183:E183"/>
    <mergeCell ref="F183:F183"/>
    <mergeCell ref="G183:G183"/>
    <mergeCell ref="H183:H183"/>
    <mergeCell ref="I183:I183"/>
    <mergeCell ref="J183:J183"/>
    <mergeCell ref="A184:A184"/>
    <mergeCell ref="B184:B184"/>
    <mergeCell ref="C184:C184"/>
    <mergeCell ref="D184:D184"/>
    <mergeCell ref="E184:E184"/>
    <mergeCell ref="F184:F184"/>
    <mergeCell ref="G184:G184"/>
    <mergeCell ref="H184:H184"/>
    <mergeCell ref="I184:I184"/>
    <mergeCell ref="J184:J184"/>
    <mergeCell ref="A185:A185"/>
    <mergeCell ref="B185:B185"/>
    <mergeCell ref="C185:C185"/>
    <mergeCell ref="D185:D185"/>
    <mergeCell ref="E185:E185"/>
    <mergeCell ref="F185:F185"/>
    <mergeCell ref="G185:G185"/>
    <mergeCell ref="H185:H185"/>
    <mergeCell ref="I185:I185"/>
    <mergeCell ref="J185:J185"/>
    <mergeCell ref="A186:A186"/>
    <mergeCell ref="B186:B186"/>
    <mergeCell ref="C186:C186"/>
    <mergeCell ref="D186:D186"/>
    <mergeCell ref="E186:E186"/>
    <mergeCell ref="F186:F186"/>
    <mergeCell ref="G186:G186"/>
    <mergeCell ref="H186:H186"/>
    <mergeCell ref="I186:I186"/>
    <mergeCell ref="J186:J186"/>
    <mergeCell ref="A187:A187"/>
    <mergeCell ref="B187:B187"/>
    <mergeCell ref="C187:C187"/>
    <mergeCell ref="D187:D187"/>
    <mergeCell ref="E187:E187"/>
    <mergeCell ref="F187:F187"/>
    <mergeCell ref="G187:G187"/>
    <mergeCell ref="H187:H187"/>
    <mergeCell ref="I187:I187"/>
    <mergeCell ref="J187:J187"/>
    <mergeCell ref="A188:A188"/>
    <mergeCell ref="B188:B188"/>
    <mergeCell ref="C188:C188"/>
    <mergeCell ref="D188:D188"/>
    <mergeCell ref="E188:E188"/>
    <mergeCell ref="F188:F188"/>
    <mergeCell ref="G188:G188"/>
    <mergeCell ref="H188:H188"/>
    <mergeCell ref="I188:I188"/>
    <mergeCell ref="J188:J188"/>
    <mergeCell ref="A189:A189"/>
    <mergeCell ref="B189:B189"/>
    <mergeCell ref="C189:C189"/>
    <mergeCell ref="D189:D189"/>
    <mergeCell ref="E189:E189"/>
    <mergeCell ref="F189:F189"/>
    <mergeCell ref="G189:G189"/>
    <mergeCell ref="H189:H189"/>
    <mergeCell ref="I189:I189"/>
    <mergeCell ref="J189:J189"/>
    <mergeCell ref="A190:A190"/>
    <mergeCell ref="B190:B190"/>
    <mergeCell ref="C190:C190"/>
    <mergeCell ref="D190:D190"/>
    <mergeCell ref="E190:E190"/>
    <mergeCell ref="F190:F190"/>
    <mergeCell ref="G190:G190"/>
    <mergeCell ref="H190:H190"/>
    <mergeCell ref="I190:I190"/>
    <mergeCell ref="J190:J190"/>
    <mergeCell ref="A191:A191"/>
    <mergeCell ref="B191:B191"/>
    <mergeCell ref="C191:C191"/>
    <mergeCell ref="D191:D191"/>
    <mergeCell ref="E191:E191"/>
    <mergeCell ref="F191:F191"/>
    <mergeCell ref="G191:G191"/>
    <mergeCell ref="H191:H191"/>
    <mergeCell ref="I191:I191"/>
    <mergeCell ref="J191:J191"/>
    <mergeCell ref="A192:A192"/>
    <mergeCell ref="B192:B192"/>
    <mergeCell ref="C192:C192"/>
    <mergeCell ref="D192:D192"/>
    <mergeCell ref="E192:E192"/>
    <mergeCell ref="F192:F192"/>
    <mergeCell ref="G192:G192"/>
    <mergeCell ref="H192:H192"/>
    <mergeCell ref="I192:I192"/>
    <mergeCell ref="J192:J192"/>
    <mergeCell ref="A193:A193"/>
    <mergeCell ref="B193:B193"/>
    <mergeCell ref="C193:C193"/>
    <mergeCell ref="D193:D193"/>
    <mergeCell ref="E193:E193"/>
    <mergeCell ref="F193:F193"/>
    <mergeCell ref="G193:G193"/>
    <mergeCell ref="H193:H193"/>
    <mergeCell ref="I193:I193"/>
    <mergeCell ref="J193:J193"/>
    <mergeCell ref="A194:A194"/>
    <mergeCell ref="B194:B194"/>
    <mergeCell ref="C194:C194"/>
    <mergeCell ref="D194:D194"/>
    <mergeCell ref="E194:E194"/>
    <mergeCell ref="F194:F194"/>
    <mergeCell ref="G194:G194"/>
    <mergeCell ref="H194:H194"/>
    <mergeCell ref="I194:I194"/>
    <mergeCell ref="J194:J194"/>
    <mergeCell ref="A195:A195"/>
    <mergeCell ref="B195:B195"/>
    <mergeCell ref="C195:C195"/>
    <mergeCell ref="D195:D195"/>
    <mergeCell ref="E195:E195"/>
    <mergeCell ref="F195:F195"/>
    <mergeCell ref="G195:G195"/>
    <mergeCell ref="H195:H195"/>
    <mergeCell ref="I195:I195"/>
    <mergeCell ref="J195:J195"/>
    <mergeCell ref="A196:A196"/>
    <mergeCell ref="B196:B196"/>
    <mergeCell ref="C196:C196"/>
    <mergeCell ref="D196:D196"/>
    <mergeCell ref="E196:E196"/>
    <mergeCell ref="F196:F196"/>
    <mergeCell ref="G196:G196"/>
    <mergeCell ref="H196:H196"/>
    <mergeCell ref="I196:I196"/>
    <mergeCell ref="J196:J196"/>
    <mergeCell ref="A197:A197"/>
    <mergeCell ref="B197:B197"/>
    <mergeCell ref="C197:C197"/>
    <mergeCell ref="D197:D197"/>
    <mergeCell ref="E197:E197"/>
    <mergeCell ref="F197:F197"/>
    <mergeCell ref="G197:G197"/>
    <mergeCell ref="H197:H197"/>
    <mergeCell ref="I197:I197"/>
    <mergeCell ref="J197:J197"/>
    <mergeCell ref="A198:A198"/>
    <mergeCell ref="B198:B198"/>
    <mergeCell ref="C198:C198"/>
    <mergeCell ref="D198:D198"/>
    <mergeCell ref="E198:E198"/>
    <mergeCell ref="F198:F198"/>
    <mergeCell ref="G198:G198"/>
    <mergeCell ref="H198:H198"/>
    <mergeCell ref="I198:I198"/>
    <mergeCell ref="J198:J198"/>
    <mergeCell ref="A199:A199"/>
    <mergeCell ref="B199:B199"/>
    <mergeCell ref="C199:C199"/>
    <mergeCell ref="D199:D199"/>
    <mergeCell ref="E199:E199"/>
    <mergeCell ref="F199:F199"/>
    <mergeCell ref="G199:G199"/>
    <mergeCell ref="H199:H199"/>
    <mergeCell ref="I199:I199"/>
    <mergeCell ref="J199:J199"/>
    <mergeCell ref="A200:A200"/>
    <mergeCell ref="B200:B200"/>
    <mergeCell ref="C200:C200"/>
    <mergeCell ref="D200:D200"/>
    <mergeCell ref="E200:E200"/>
    <mergeCell ref="F200:F200"/>
    <mergeCell ref="G200:G200"/>
    <mergeCell ref="H200:H200"/>
    <mergeCell ref="I200:I200"/>
    <mergeCell ref="J200:J200"/>
    <mergeCell ref="A201:A201"/>
    <mergeCell ref="B201:B201"/>
    <mergeCell ref="C201:C201"/>
    <mergeCell ref="D201:D201"/>
    <mergeCell ref="E201:E201"/>
    <mergeCell ref="F201:F201"/>
    <mergeCell ref="G201:G201"/>
    <mergeCell ref="H201:H201"/>
    <mergeCell ref="I201:I201"/>
    <mergeCell ref="J201:J201"/>
    <mergeCell ref="A202:A202"/>
    <mergeCell ref="B202:B202"/>
    <mergeCell ref="C202:C202"/>
    <mergeCell ref="D202:D202"/>
    <mergeCell ref="E202:E202"/>
    <mergeCell ref="F202:F202"/>
    <mergeCell ref="G202:G202"/>
    <mergeCell ref="H202:H202"/>
    <mergeCell ref="I202:I202"/>
    <mergeCell ref="J202:J202"/>
    <mergeCell ref="A203:A203"/>
    <mergeCell ref="B203:B203"/>
    <mergeCell ref="C203:C203"/>
    <mergeCell ref="D203:D203"/>
    <mergeCell ref="E203:E203"/>
    <mergeCell ref="F203:F203"/>
    <mergeCell ref="G203:G203"/>
    <mergeCell ref="H203:H203"/>
    <mergeCell ref="I203:I203"/>
    <mergeCell ref="J203:J203"/>
    <mergeCell ref="A204:A204"/>
    <mergeCell ref="B204:B204"/>
    <mergeCell ref="C204:C204"/>
    <mergeCell ref="D204:D204"/>
    <mergeCell ref="E204:E204"/>
    <mergeCell ref="F204:F204"/>
    <mergeCell ref="G204:G204"/>
    <mergeCell ref="H204:H204"/>
    <mergeCell ref="I204:I204"/>
    <mergeCell ref="J204:J204"/>
    <mergeCell ref="A205:A205"/>
    <mergeCell ref="B205:B205"/>
    <mergeCell ref="C205:C205"/>
    <mergeCell ref="D205:D205"/>
    <mergeCell ref="E205:E205"/>
    <mergeCell ref="F205:F205"/>
    <mergeCell ref="G205:G205"/>
    <mergeCell ref="H205:H205"/>
    <mergeCell ref="I205:I205"/>
    <mergeCell ref="J205:J205"/>
    <mergeCell ref="A206:A206"/>
    <mergeCell ref="B206:B206"/>
    <mergeCell ref="C206:C206"/>
    <mergeCell ref="D206:D206"/>
    <mergeCell ref="E206:E206"/>
    <mergeCell ref="F206:F206"/>
    <mergeCell ref="G206:G206"/>
    <mergeCell ref="H206:H206"/>
    <mergeCell ref="I206:I206"/>
    <mergeCell ref="J206:J206"/>
    <mergeCell ref="A207:A207"/>
    <mergeCell ref="B207:B207"/>
    <mergeCell ref="C207:C207"/>
    <mergeCell ref="D207:D207"/>
    <mergeCell ref="E207:E207"/>
    <mergeCell ref="F207:F207"/>
    <mergeCell ref="G207:G207"/>
    <mergeCell ref="H207:H207"/>
    <mergeCell ref="I207:I207"/>
    <mergeCell ref="J207:J207"/>
    <mergeCell ref="A208:A208"/>
    <mergeCell ref="B208:B208"/>
    <mergeCell ref="C208:C208"/>
    <mergeCell ref="D208:D208"/>
    <mergeCell ref="E208:E208"/>
    <mergeCell ref="F208:F208"/>
    <mergeCell ref="G208:G208"/>
    <mergeCell ref="H208:H208"/>
    <mergeCell ref="I208:I208"/>
    <mergeCell ref="J208:J208"/>
    <mergeCell ref="A209:A209"/>
    <mergeCell ref="B209:B209"/>
    <mergeCell ref="C209:C209"/>
    <mergeCell ref="D209:D209"/>
    <mergeCell ref="E209:E209"/>
    <mergeCell ref="F209:F209"/>
    <mergeCell ref="G209:G209"/>
    <mergeCell ref="H209:H209"/>
    <mergeCell ref="I209:I209"/>
    <mergeCell ref="J209:J209"/>
    <mergeCell ref="A210:A210"/>
    <mergeCell ref="B210:B210"/>
    <mergeCell ref="C210:C210"/>
    <mergeCell ref="D210:D210"/>
    <mergeCell ref="E210:E210"/>
    <mergeCell ref="F210:F210"/>
    <mergeCell ref="G210:G210"/>
    <mergeCell ref="H210:H210"/>
    <mergeCell ref="I210:I210"/>
    <mergeCell ref="J210:J210"/>
    <mergeCell ref="A211:A211"/>
    <mergeCell ref="B211:B211"/>
    <mergeCell ref="C211:C211"/>
    <mergeCell ref="D211:D211"/>
    <mergeCell ref="E211:E211"/>
    <mergeCell ref="F211:F211"/>
    <mergeCell ref="G211:G211"/>
    <mergeCell ref="H211:H211"/>
    <mergeCell ref="I211:I211"/>
    <mergeCell ref="J211:J211"/>
    <mergeCell ref="A212:A212"/>
    <mergeCell ref="B212:B212"/>
    <mergeCell ref="C212:C212"/>
    <mergeCell ref="D212:D212"/>
    <mergeCell ref="E212:E212"/>
    <mergeCell ref="F212:F212"/>
    <mergeCell ref="G212:G212"/>
    <mergeCell ref="H212:H212"/>
    <mergeCell ref="I212:I212"/>
    <mergeCell ref="J212:J212"/>
    <mergeCell ref="A213:A213"/>
    <mergeCell ref="B213:B213"/>
    <mergeCell ref="C213:C213"/>
    <mergeCell ref="D213:D213"/>
    <mergeCell ref="E213:E213"/>
    <mergeCell ref="F213:F213"/>
    <mergeCell ref="G213:G213"/>
    <mergeCell ref="H213:H213"/>
    <mergeCell ref="I213:I213"/>
    <mergeCell ref="J213:J213"/>
    <mergeCell ref="A214:A214"/>
    <mergeCell ref="B214:B214"/>
    <mergeCell ref="C214:C214"/>
    <mergeCell ref="D214:D214"/>
    <mergeCell ref="E214:E214"/>
    <mergeCell ref="F214:F214"/>
    <mergeCell ref="G214:G214"/>
    <mergeCell ref="H214:H214"/>
    <mergeCell ref="I214:I214"/>
    <mergeCell ref="J214:J214"/>
    <mergeCell ref="A215:A215"/>
    <mergeCell ref="B215:B215"/>
    <mergeCell ref="C215:C215"/>
    <mergeCell ref="D215:D215"/>
    <mergeCell ref="E215:E215"/>
    <mergeCell ref="F215:F215"/>
    <mergeCell ref="G215:G215"/>
    <mergeCell ref="H215:H215"/>
    <mergeCell ref="I215:I215"/>
    <mergeCell ref="J215:J215"/>
    <mergeCell ref="A216:A216"/>
    <mergeCell ref="B216:B216"/>
    <mergeCell ref="C216:C216"/>
    <mergeCell ref="D216:D216"/>
    <mergeCell ref="E216:E216"/>
    <mergeCell ref="F216:F216"/>
    <mergeCell ref="G216:G216"/>
    <mergeCell ref="H216:H216"/>
    <mergeCell ref="I216:I216"/>
    <mergeCell ref="J216:J216"/>
    <mergeCell ref="A217:A217"/>
    <mergeCell ref="B217:B217"/>
    <mergeCell ref="C217:C217"/>
    <mergeCell ref="D217:D217"/>
    <mergeCell ref="E217:E217"/>
    <mergeCell ref="F217:F217"/>
    <mergeCell ref="G217:G217"/>
    <mergeCell ref="H217:H217"/>
    <mergeCell ref="I217:I217"/>
    <mergeCell ref="J217:J217"/>
    <mergeCell ref="A218:A218"/>
    <mergeCell ref="B218:B218"/>
    <mergeCell ref="C218:C218"/>
    <mergeCell ref="D218:D218"/>
    <mergeCell ref="E218:E218"/>
    <mergeCell ref="F218:F218"/>
    <mergeCell ref="G218:G218"/>
    <mergeCell ref="H218:H218"/>
    <mergeCell ref="I218:I218"/>
    <mergeCell ref="J218:J218"/>
    <mergeCell ref="A219:A219"/>
    <mergeCell ref="B219:B219"/>
    <mergeCell ref="C219:C219"/>
    <mergeCell ref="D219:D219"/>
    <mergeCell ref="E219:E219"/>
    <mergeCell ref="F219:F219"/>
    <mergeCell ref="G219:G219"/>
    <mergeCell ref="H219:H219"/>
    <mergeCell ref="I219:I219"/>
    <mergeCell ref="J219:J219"/>
    <mergeCell ref="A220:A220"/>
    <mergeCell ref="B220:B220"/>
    <mergeCell ref="C220:C220"/>
    <mergeCell ref="D220:D220"/>
    <mergeCell ref="E220:E220"/>
    <mergeCell ref="F220:F220"/>
    <mergeCell ref="G220:G220"/>
    <mergeCell ref="H220:H220"/>
    <mergeCell ref="I220:I220"/>
    <mergeCell ref="J220:J220"/>
    <mergeCell ref="A221:A221"/>
    <mergeCell ref="B221:B221"/>
    <mergeCell ref="C221:C221"/>
    <mergeCell ref="D221:D221"/>
    <mergeCell ref="E221:E221"/>
    <mergeCell ref="F221:F221"/>
    <mergeCell ref="G221:G221"/>
    <mergeCell ref="H221:H221"/>
    <mergeCell ref="I221:I221"/>
    <mergeCell ref="J221:J221"/>
    <mergeCell ref="A222:A222"/>
    <mergeCell ref="B222:B222"/>
    <mergeCell ref="C222:C222"/>
    <mergeCell ref="D222:D222"/>
    <mergeCell ref="E222:E222"/>
    <mergeCell ref="F222:F222"/>
    <mergeCell ref="G222:G222"/>
    <mergeCell ref="H222:H222"/>
    <mergeCell ref="I222:I222"/>
    <mergeCell ref="J222:J222"/>
    <mergeCell ref="A223:A223"/>
    <mergeCell ref="B223:B223"/>
    <mergeCell ref="C223:C223"/>
    <mergeCell ref="D223:D223"/>
    <mergeCell ref="E223:E223"/>
    <mergeCell ref="F223:F223"/>
    <mergeCell ref="G223:G223"/>
    <mergeCell ref="H223:H223"/>
    <mergeCell ref="I223:I223"/>
    <mergeCell ref="J223:J223"/>
    <mergeCell ref="A224:A224"/>
    <mergeCell ref="B224:B224"/>
    <mergeCell ref="C224:C224"/>
    <mergeCell ref="D224:D224"/>
    <mergeCell ref="E224:E224"/>
    <mergeCell ref="F224:F224"/>
    <mergeCell ref="G224:G224"/>
    <mergeCell ref="H224:H224"/>
    <mergeCell ref="I224:I224"/>
    <mergeCell ref="J224:J224"/>
    <mergeCell ref="A225:A225"/>
    <mergeCell ref="B225:B225"/>
    <mergeCell ref="C225:C225"/>
    <mergeCell ref="D225:D225"/>
    <mergeCell ref="E225:E225"/>
    <mergeCell ref="F225:F225"/>
    <mergeCell ref="G225:G225"/>
    <mergeCell ref="H225:H225"/>
    <mergeCell ref="I225:I225"/>
    <mergeCell ref="J225:J225"/>
    <mergeCell ref="A226:A226"/>
    <mergeCell ref="B226:B226"/>
    <mergeCell ref="C226:C226"/>
    <mergeCell ref="D226:D226"/>
    <mergeCell ref="E226:E226"/>
    <mergeCell ref="F226:F226"/>
    <mergeCell ref="G226:G226"/>
    <mergeCell ref="H226:H226"/>
    <mergeCell ref="I226:I226"/>
    <mergeCell ref="J226:J226"/>
    <mergeCell ref="A227:A227"/>
    <mergeCell ref="B227:B227"/>
    <mergeCell ref="C227:C227"/>
    <mergeCell ref="D227:D227"/>
    <mergeCell ref="E227:E227"/>
    <mergeCell ref="F227:F227"/>
    <mergeCell ref="G227:G227"/>
    <mergeCell ref="H227:H227"/>
    <mergeCell ref="I227:I227"/>
    <mergeCell ref="J227:J227"/>
    <mergeCell ref="A228:A228"/>
    <mergeCell ref="B228:B228"/>
    <mergeCell ref="C228:C228"/>
    <mergeCell ref="D228:D228"/>
    <mergeCell ref="E228:E228"/>
    <mergeCell ref="F228:F228"/>
    <mergeCell ref="G228:G228"/>
    <mergeCell ref="H228:H228"/>
    <mergeCell ref="I228:I228"/>
    <mergeCell ref="J228:J228"/>
    <mergeCell ref="A229:A229"/>
    <mergeCell ref="B229:B229"/>
    <mergeCell ref="C229:C229"/>
    <mergeCell ref="D229:D229"/>
    <mergeCell ref="E229:E229"/>
    <mergeCell ref="F229:F229"/>
    <mergeCell ref="G229:G229"/>
    <mergeCell ref="H229:H229"/>
    <mergeCell ref="I229:I229"/>
    <mergeCell ref="J229:J229"/>
    <mergeCell ref="A230:A230"/>
    <mergeCell ref="B230:B230"/>
    <mergeCell ref="C230:C230"/>
    <mergeCell ref="D230:D230"/>
    <mergeCell ref="E230:E230"/>
    <mergeCell ref="F230:F230"/>
    <mergeCell ref="G230:G230"/>
    <mergeCell ref="H230:H230"/>
    <mergeCell ref="I230:I230"/>
    <mergeCell ref="J230:J230"/>
    <mergeCell ref="A231:A231"/>
    <mergeCell ref="B231:B231"/>
    <mergeCell ref="C231:C231"/>
    <mergeCell ref="D231:D231"/>
    <mergeCell ref="E231:E231"/>
    <mergeCell ref="F231:F231"/>
    <mergeCell ref="G231:G231"/>
    <mergeCell ref="H231:H231"/>
    <mergeCell ref="I231:I231"/>
    <mergeCell ref="J231:J231"/>
    <mergeCell ref="A232:A232"/>
    <mergeCell ref="B232:B232"/>
    <mergeCell ref="C232:C232"/>
    <mergeCell ref="D232:D232"/>
    <mergeCell ref="E232:E232"/>
    <mergeCell ref="F232:F232"/>
    <mergeCell ref="G232:G232"/>
    <mergeCell ref="H232:H232"/>
    <mergeCell ref="I232:I232"/>
    <mergeCell ref="J232:J232"/>
    <mergeCell ref="A233:A233"/>
    <mergeCell ref="B233:B233"/>
    <mergeCell ref="C233:C233"/>
    <mergeCell ref="D233:D233"/>
    <mergeCell ref="E233:E233"/>
    <mergeCell ref="F233:F233"/>
    <mergeCell ref="G233:G233"/>
    <mergeCell ref="H233:H233"/>
    <mergeCell ref="I233:I233"/>
    <mergeCell ref="J233:J233"/>
    <mergeCell ref="A234:A234"/>
    <mergeCell ref="B234:B234"/>
    <mergeCell ref="C234:C234"/>
    <mergeCell ref="D234:D234"/>
    <mergeCell ref="E234:E234"/>
    <mergeCell ref="F234:F234"/>
    <mergeCell ref="G234:G234"/>
    <mergeCell ref="H234:H234"/>
    <mergeCell ref="I234:I234"/>
    <mergeCell ref="J234:J234"/>
    <mergeCell ref="A235:A235"/>
    <mergeCell ref="B235:B235"/>
    <mergeCell ref="C235:C235"/>
    <mergeCell ref="D235:D235"/>
    <mergeCell ref="E235:E235"/>
    <mergeCell ref="F235:F235"/>
    <mergeCell ref="G235:G235"/>
    <mergeCell ref="H235:H235"/>
    <mergeCell ref="I235:I235"/>
    <mergeCell ref="J235:J235"/>
    <mergeCell ref="A236:A236"/>
    <mergeCell ref="B236:B236"/>
    <mergeCell ref="C236:C236"/>
    <mergeCell ref="D236:D236"/>
    <mergeCell ref="E236:E236"/>
    <mergeCell ref="F236:F236"/>
    <mergeCell ref="G236:G236"/>
    <mergeCell ref="H236:H236"/>
    <mergeCell ref="I236:I236"/>
    <mergeCell ref="J236:J236"/>
    <mergeCell ref="A237:A237"/>
    <mergeCell ref="B237:B237"/>
    <mergeCell ref="C237:C237"/>
    <mergeCell ref="D237:D237"/>
    <mergeCell ref="E237:E237"/>
    <mergeCell ref="F237:F237"/>
    <mergeCell ref="G237:G237"/>
    <mergeCell ref="H237:H237"/>
    <mergeCell ref="I237:I237"/>
    <mergeCell ref="J237:J237"/>
    <mergeCell ref="A238:A238"/>
    <mergeCell ref="B238:B238"/>
    <mergeCell ref="C238:C238"/>
    <mergeCell ref="D238:D238"/>
    <mergeCell ref="E238:E238"/>
    <mergeCell ref="F238:F238"/>
    <mergeCell ref="G238:G238"/>
    <mergeCell ref="H238:H238"/>
    <mergeCell ref="I238:I238"/>
    <mergeCell ref="J238:J238"/>
    <mergeCell ref="A239:A239"/>
    <mergeCell ref="B239:B239"/>
    <mergeCell ref="C239:C239"/>
    <mergeCell ref="D239:D239"/>
    <mergeCell ref="E239:E239"/>
    <mergeCell ref="F239:F239"/>
    <mergeCell ref="G239:G239"/>
    <mergeCell ref="H239:H239"/>
    <mergeCell ref="I239:I239"/>
    <mergeCell ref="J239:J239"/>
    <mergeCell ref="A240:A240"/>
    <mergeCell ref="B240:B240"/>
    <mergeCell ref="C240:C240"/>
    <mergeCell ref="D240:D240"/>
    <mergeCell ref="E240:E240"/>
    <mergeCell ref="F240:F240"/>
    <mergeCell ref="G240:G240"/>
    <mergeCell ref="H240:H240"/>
    <mergeCell ref="I240:I240"/>
    <mergeCell ref="J240:J240"/>
    <mergeCell ref="A241:A241"/>
    <mergeCell ref="B241:B241"/>
    <mergeCell ref="C241:C241"/>
    <mergeCell ref="D241:D241"/>
    <mergeCell ref="E241:E241"/>
    <mergeCell ref="F241:F241"/>
    <mergeCell ref="G241:G241"/>
    <mergeCell ref="H241:H241"/>
    <mergeCell ref="I241:I241"/>
    <mergeCell ref="J241:J241"/>
    <mergeCell ref="A242:A242"/>
    <mergeCell ref="B242:B242"/>
    <mergeCell ref="C242:C242"/>
    <mergeCell ref="D242:D242"/>
    <mergeCell ref="E242:E242"/>
    <mergeCell ref="F242:F242"/>
    <mergeCell ref="G242:G242"/>
    <mergeCell ref="H242:H242"/>
    <mergeCell ref="I242:I242"/>
    <mergeCell ref="J242:J242"/>
    <mergeCell ref="A243:A243"/>
    <mergeCell ref="B243:B243"/>
    <mergeCell ref="C243:C243"/>
    <mergeCell ref="D243:D243"/>
    <mergeCell ref="E243:E243"/>
    <mergeCell ref="F243:F243"/>
    <mergeCell ref="G243:G243"/>
    <mergeCell ref="H243:H243"/>
    <mergeCell ref="I243:I243"/>
    <mergeCell ref="J243:J243"/>
    <mergeCell ref="A244:A244"/>
    <mergeCell ref="B244:B244"/>
    <mergeCell ref="C244:C244"/>
    <mergeCell ref="D244:D244"/>
    <mergeCell ref="E244:E244"/>
    <mergeCell ref="F244:F244"/>
    <mergeCell ref="G244:G244"/>
    <mergeCell ref="H244:H244"/>
    <mergeCell ref="I244:I244"/>
    <mergeCell ref="J244:J244"/>
    <mergeCell ref="A245:A245"/>
    <mergeCell ref="B245:B245"/>
    <mergeCell ref="C245:C245"/>
    <mergeCell ref="D245:D245"/>
    <mergeCell ref="E245:E245"/>
    <mergeCell ref="F245:F245"/>
    <mergeCell ref="G245:G245"/>
    <mergeCell ref="H245:H245"/>
    <mergeCell ref="I245:I245"/>
    <mergeCell ref="J245:J245"/>
    <mergeCell ref="A246:A246"/>
    <mergeCell ref="B246:B246"/>
    <mergeCell ref="C246:C246"/>
    <mergeCell ref="D246:D246"/>
    <mergeCell ref="E246:E246"/>
    <mergeCell ref="F246:F246"/>
    <mergeCell ref="G246:G246"/>
    <mergeCell ref="H246:H246"/>
    <mergeCell ref="I246:I246"/>
    <mergeCell ref="J246:J246"/>
    <mergeCell ref="A247:A247"/>
    <mergeCell ref="B247:B247"/>
    <mergeCell ref="C247:C247"/>
    <mergeCell ref="D247:D247"/>
    <mergeCell ref="E247:E247"/>
    <mergeCell ref="F247:F247"/>
    <mergeCell ref="G247:G247"/>
    <mergeCell ref="H247:H247"/>
    <mergeCell ref="I247:I247"/>
    <mergeCell ref="J247:J247"/>
    <mergeCell ref="A248:A248"/>
    <mergeCell ref="B248:B248"/>
    <mergeCell ref="C248:C248"/>
    <mergeCell ref="D248:D248"/>
    <mergeCell ref="E248:E248"/>
    <mergeCell ref="F248:F248"/>
    <mergeCell ref="G248:G248"/>
    <mergeCell ref="H248:H248"/>
    <mergeCell ref="I248:I248"/>
    <mergeCell ref="J248:J248"/>
    <mergeCell ref="A249:A249"/>
    <mergeCell ref="B249:B249"/>
    <mergeCell ref="C249:C249"/>
    <mergeCell ref="D249:D249"/>
    <mergeCell ref="E249:E249"/>
    <mergeCell ref="F249:F249"/>
    <mergeCell ref="G249:G249"/>
    <mergeCell ref="H249:H249"/>
    <mergeCell ref="I249:I249"/>
    <mergeCell ref="J249:J249"/>
    <mergeCell ref="A250:A250"/>
    <mergeCell ref="B250:B250"/>
    <mergeCell ref="C250:C250"/>
    <mergeCell ref="D250:D250"/>
    <mergeCell ref="E250:E250"/>
    <mergeCell ref="F250:F250"/>
    <mergeCell ref="G250:G250"/>
    <mergeCell ref="H250:H250"/>
    <mergeCell ref="I250:I250"/>
    <mergeCell ref="J250:J250"/>
    <mergeCell ref="A251:A251"/>
    <mergeCell ref="B251:B251"/>
    <mergeCell ref="C251:C251"/>
    <mergeCell ref="D251:D251"/>
    <mergeCell ref="E251:E251"/>
    <mergeCell ref="F251:F251"/>
    <mergeCell ref="G251:G251"/>
    <mergeCell ref="H251:H251"/>
    <mergeCell ref="I251:I251"/>
    <mergeCell ref="J251:J251"/>
    <mergeCell ref="A252:A252"/>
    <mergeCell ref="B252:B252"/>
    <mergeCell ref="C252:C252"/>
    <mergeCell ref="D252:D252"/>
    <mergeCell ref="E252:E252"/>
    <mergeCell ref="F252:F252"/>
    <mergeCell ref="G252:G252"/>
    <mergeCell ref="H252:H252"/>
    <mergeCell ref="I252:I252"/>
    <mergeCell ref="J252:J252"/>
    <mergeCell ref="A253:A253"/>
    <mergeCell ref="B253:B253"/>
    <mergeCell ref="C253:C253"/>
    <mergeCell ref="D253:D253"/>
    <mergeCell ref="E253:E253"/>
    <mergeCell ref="F253:F253"/>
    <mergeCell ref="G253:G253"/>
    <mergeCell ref="H253:H253"/>
    <mergeCell ref="I253:I253"/>
    <mergeCell ref="J253:J253"/>
    <mergeCell ref="A254:A254"/>
    <mergeCell ref="B254:B254"/>
    <mergeCell ref="C254:C254"/>
    <mergeCell ref="D254:D254"/>
    <mergeCell ref="E254:E254"/>
    <mergeCell ref="F254:F254"/>
    <mergeCell ref="G254:G254"/>
    <mergeCell ref="H254:H254"/>
    <mergeCell ref="I254:I254"/>
    <mergeCell ref="J254:J254"/>
    <mergeCell ref="A255:A255"/>
    <mergeCell ref="B255:B255"/>
    <mergeCell ref="C255:C255"/>
    <mergeCell ref="D255:D255"/>
    <mergeCell ref="E255:E255"/>
    <mergeCell ref="F255:F255"/>
    <mergeCell ref="G255:G255"/>
    <mergeCell ref="H255:H255"/>
    <mergeCell ref="I255:I255"/>
    <mergeCell ref="J255:J255"/>
    <mergeCell ref="A256:A256"/>
    <mergeCell ref="B256:B256"/>
    <mergeCell ref="C256:C256"/>
    <mergeCell ref="D256:D256"/>
    <mergeCell ref="E256:E256"/>
    <mergeCell ref="F256:F256"/>
    <mergeCell ref="G256:G256"/>
    <mergeCell ref="H256:H256"/>
    <mergeCell ref="I256:I256"/>
    <mergeCell ref="J256:J256"/>
    <mergeCell ref="A257:A257"/>
    <mergeCell ref="B257:B257"/>
    <mergeCell ref="C257:C257"/>
    <mergeCell ref="D257:D257"/>
    <mergeCell ref="E257:E257"/>
    <mergeCell ref="F257:F257"/>
    <mergeCell ref="G257:G257"/>
    <mergeCell ref="H257:H257"/>
    <mergeCell ref="I257:I257"/>
    <mergeCell ref="J257:J257"/>
    <mergeCell ref="A258:A258"/>
    <mergeCell ref="B258:B258"/>
    <mergeCell ref="C258:C258"/>
    <mergeCell ref="D258:D258"/>
    <mergeCell ref="E258:E258"/>
    <mergeCell ref="F258:F258"/>
    <mergeCell ref="G258:G258"/>
    <mergeCell ref="H258:H258"/>
    <mergeCell ref="I258:I258"/>
    <mergeCell ref="J258:J258"/>
    <mergeCell ref="A259:A259"/>
    <mergeCell ref="B259:B259"/>
    <mergeCell ref="C259:C259"/>
    <mergeCell ref="D259:D259"/>
    <mergeCell ref="E259:E259"/>
    <mergeCell ref="F259:F259"/>
    <mergeCell ref="G259:G259"/>
    <mergeCell ref="H259:H259"/>
    <mergeCell ref="I259:I259"/>
    <mergeCell ref="J259:J259"/>
    <mergeCell ref="A260:A260"/>
    <mergeCell ref="B260:B260"/>
    <mergeCell ref="C260:C260"/>
    <mergeCell ref="D260:D260"/>
    <mergeCell ref="E260:E260"/>
    <mergeCell ref="F260:F260"/>
    <mergeCell ref="G260:G260"/>
    <mergeCell ref="H260:H260"/>
    <mergeCell ref="I260:I260"/>
    <mergeCell ref="J260:J260"/>
    <mergeCell ref="A261:A261"/>
    <mergeCell ref="B261:B261"/>
    <mergeCell ref="C261:C261"/>
    <mergeCell ref="D261:D261"/>
    <mergeCell ref="E261:E261"/>
    <mergeCell ref="F261:F261"/>
    <mergeCell ref="G261:G261"/>
    <mergeCell ref="H261:H261"/>
    <mergeCell ref="I261:I261"/>
    <mergeCell ref="J261:J261"/>
    <mergeCell ref="A262:A262"/>
    <mergeCell ref="B262:B262"/>
    <mergeCell ref="C262:C262"/>
    <mergeCell ref="D262:D262"/>
    <mergeCell ref="E262:E262"/>
    <mergeCell ref="F262:F262"/>
    <mergeCell ref="G262:G262"/>
    <mergeCell ref="H262:H262"/>
    <mergeCell ref="I262:I262"/>
    <mergeCell ref="J262:J262"/>
    <mergeCell ref="A263:A263"/>
    <mergeCell ref="B263:B263"/>
    <mergeCell ref="C263:C263"/>
    <mergeCell ref="D263:D263"/>
    <mergeCell ref="E263:E263"/>
    <mergeCell ref="F263:F263"/>
    <mergeCell ref="G263:G263"/>
    <mergeCell ref="H263:H263"/>
    <mergeCell ref="I263:I263"/>
    <mergeCell ref="J263:J263"/>
    <mergeCell ref="A264:A264"/>
    <mergeCell ref="B264:B264"/>
    <mergeCell ref="C264:C264"/>
    <mergeCell ref="D264:D264"/>
    <mergeCell ref="E264:E264"/>
    <mergeCell ref="F264:F264"/>
    <mergeCell ref="G264:G264"/>
    <mergeCell ref="H264:H264"/>
    <mergeCell ref="I264:I264"/>
    <mergeCell ref="J264:J264"/>
    <mergeCell ref="A265:A265"/>
    <mergeCell ref="B265:B265"/>
    <mergeCell ref="C265:C265"/>
    <mergeCell ref="D265:D265"/>
    <mergeCell ref="E265:E265"/>
    <mergeCell ref="F265:F265"/>
    <mergeCell ref="G265:G265"/>
    <mergeCell ref="H265:H265"/>
    <mergeCell ref="I265:I265"/>
    <mergeCell ref="J265:J265"/>
    <mergeCell ref="A266:A266"/>
    <mergeCell ref="B266:B266"/>
    <mergeCell ref="C266:C266"/>
    <mergeCell ref="D266:D266"/>
    <mergeCell ref="E266:E266"/>
    <mergeCell ref="F266:F266"/>
    <mergeCell ref="G266:G266"/>
    <mergeCell ref="H266:H266"/>
    <mergeCell ref="I266:I266"/>
    <mergeCell ref="J266:J266"/>
    <mergeCell ref="A267:A267"/>
    <mergeCell ref="B267:B267"/>
    <mergeCell ref="C267:C267"/>
    <mergeCell ref="D267:D267"/>
    <mergeCell ref="E267:E267"/>
    <mergeCell ref="F267:F267"/>
    <mergeCell ref="G267:G267"/>
    <mergeCell ref="H267:H267"/>
    <mergeCell ref="I267:I267"/>
    <mergeCell ref="J267:J267"/>
    <mergeCell ref="A268:A268"/>
    <mergeCell ref="B268:B268"/>
    <mergeCell ref="C268:C268"/>
    <mergeCell ref="D268:D268"/>
    <mergeCell ref="E268:E268"/>
    <mergeCell ref="F268:F268"/>
    <mergeCell ref="G268:G268"/>
    <mergeCell ref="H268:H268"/>
    <mergeCell ref="I268:I268"/>
    <mergeCell ref="J268:J268"/>
    <mergeCell ref="A269:A269"/>
    <mergeCell ref="B269:B269"/>
    <mergeCell ref="C269:C269"/>
    <mergeCell ref="D269:D269"/>
    <mergeCell ref="E269:E269"/>
    <mergeCell ref="F269:F269"/>
    <mergeCell ref="G269:G269"/>
    <mergeCell ref="H269:H269"/>
    <mergeCell ref="I269:I269"/>
    <mergeCell ref="J269:J269"/>
    <mergeCell ref="A270:A270"/>
    <mergeCell ref="B270:B270"/>
    <mergeCell ref="C270:C270"/>
    <mergeCell ref="D270:D270"/>
    <mergeCell ref="E270:E270"/>
    <mergeCell ref="F270:F270"/>
    <mergeCell ref="G270:G270"/>
    <mergeCell ref="H270:H270"/>
    <mergeCell ref="I270:I270"/>
    <mergeCell ref="J270:J270"/>
    <mergeCell ref="A271:A271"/>
    <mergeCell ref="B271:B271"/>
    <mergeCell ref="C271:C271"/>
    <mergeCell ref="D271:D271"/>
    <mergeCell ref="E271:E271"/>
    <mergeCell ref="F271:F271"/>
    <mergeCell ref="G271:G271"/>
    <mergeCell ref="H271:H271"/>
    <mergeCell ref="I271:I271"/>
    <mergeCell ref="J271:J271"/>
    <mergeCell ref="A272:A272"/>
    <mergeCell ref="B272:B272"/>
    <mergeCell ref="C272:C272"/>
    <mergeCell ref="D272:D272"/>
    <mergeCell ref="E272:E272"/>
    <mergeCell ref="F272:F272"/>
    <mergeCell ref="G272:G272"/>
    <mergeCell ref="H272:H272"/>
    <mergeCell ref="I272:I272"/>
    <mergeCell ref="J272:J272"/>
    <mergeCell ref="A273:A273"/>
    <mergeCell ref="B273:B273"/>
    <mergeCell ref="C273:C273"/>
    <mergeCell ref="D273:D273"/>
    <mergeCell ref="E273:E273"/>
    <mergeCell ref="F273:F273"/>
    <mergeCell ref="G273:G273"/>
    <mergeCell ref="H273:H273"/>
    <mergeCell ref="I273:I273"/>
    <mergeCell ref="J273:J273"/>
    <mergeCell ref="A274:A274"/>
    <mergeCell ref="B274:B274"/>
    <mergeCell ref="C274:C274"/>
    <mergeCell ref="D274:D274"/>
    <mergeCell ref="E274:E274"/>
    <mergeCell ref="F274:F274"/>
    <mergeCell ref="G274:G274"/>
    <mergeCell ref="H274:H274"/>
    <mergeCell ref="I274:I274"/>
    <mergeCell ref="J274:J274"/>
    <mergeCell ref="A275:A275"/>
    <mergeCell ref="B275:B275"/>
    <mergeCell ref="C275:C275"/>
    <mergeCell ref="D275:D275"/>
    <mergeCell ref="E275:E275"/>
    <mergeCell ref="F275:F275"/>
    <mergeCell ref="G275:G275"/>
    <mergeCell ref="H275:H275"/>
    <mergeCell ref="I275:I275"/>
    <mergeCell ref="J275:J275"/>
    <mergeCell ref="A276:A276"/>
    <mergeCell ref="B276:B276"/>
    <mergeCell ref="C276:C276"/>
    <mergeCell ref="D276:D276"/>
    <mergeCell ref="E276:E276"/>
    <mergeCell ref="F276:F276"/>
    <mergeCell ref="G276:G276"/>
    <mergeCell ref="H276:H276"/>
    <mergeCell ref="I276:I276"/>
    <mergeCell ref="J276:J276"/>
    <mergeCell ref="A277:A277"/>
    <mergeCell ref="B277:B277"/>
    <mergeCell ref="C277:C277"/>
    <mergeCell ref="D277:D277"/>
    <mergeCell ref="E277:E277"/>
    <mergeCell ref="F277:F277"/>
    <mergeCell ref="G277:G277"/>
    <mergeCell ref="H277:H277"/>
    <mergeCell ref="I277:I277"/>
    <mergeCell ref="J277:J277"/>
    <mergeCell ref="A278:A278"/>
    <mergeCell ref="B278:B278"/>
    <mergeCell ref="C278:C278"/>
    <mergeCell ref="D278:D278"/>
    <mergeCell ref="E278:E278"/>
    <mergeCell ref="F278:F278"/>
    <mergeCell ref="G278:G278"/>
    <mergeCell ref="H278:H278"/>
    <mergeCell ref="I278:I278"/>
    <mergeCell ref="J278:J278"/>
    <mergeCell ref="A279:A279"/>
    <mergeCell ref="B279:B279"/>
    <mergeCell ref="C279:C279"/>
    <mergeCell ref="D279:D279"/>
    <mergeCell ref="E279:E279"/>
    <mergeCell ref="F279:F279"/>
    <mergeCell ref="G279:G279"/>
    <mergeCell ref="H279:H279"/>
    <mergeCell ref="I279:I279"/>
    <mergeCell ref="J279:J279"/>
    <mergeCell ref="A280:A280"/>
    <mergeCell ref="B280:B280"/>
    <mergeCell ref="C280:C280"/>
    <mergeCell ref="D280:D280"/>
    <mergeCell ref="E280:E280"/>
    <mergeCell ref="F280:F280"/>
    <mergeCell ref="G280:G280"/>
    <mergeCell ref="H280:H280"/>
    <mergeCell ref="I280:I280"/>
    <mergeCell ref="J280:J280"/>
    <mergeCell ref="A281:A281"/>
    <mergeCell ref="B281:B281"/>
    <mergeCell ref="C281:C281"/>
    <mergeCell ref="D281:D281"/>
    <mergeCell ref="E281:E281"/>
    <mergeCell ref="F281:F281"/>
    <mergeCell ref="G281:G281"/>
    <mergeCell ref="H281:H281"/>
    <mergeCell ref="I281:I281"/>
    <mergeCell ref="J281:J281"/>
    <mergeCell ref="A282:A282"/>
    <mergeCell ref="B282:B282"/>
    <mergeCell ref="C282:C282"/>
    <mergeCell ref="D282:D282"/>
    <mergeCell ref="E282:E282"/>
    <mergeCell ref="F282:F282"/>
    <mergeCell ref="G282:G282"/>
    <mergeCell ref="H282:H282"/>
    <mergeCell ref="I282:I282"/>
    <mergeCell ref="J282:J282"/>
    <mergeCell ref="A283:A283"/>
    <mergeCell ref="B283:B283"/>
    <mergeCell ref="C283:C283"/>
    <mergeCell ref="D283:D283"/>
    <mergeCell ref="E283:E283"/>
    <mergeCell ref="F283:F283"/>
    <mergeCell ref="G283:G283"/>
    <mergeCell ref="H283:H283"/>
    <mergeCell ref="I283:I283"/>
    <mergeCell ref="J283:J283"/>
    <mergeCell ref="A284:A284"/>
    <mergeCell ref="B284:B284"/>
    <mergeCell ref="C284:C284"/>
    <mergeCell ref="D284:D284"/>
    <mergeCell ref="E284:E284"/>
    <mergeCell ref="F284:F284"/>
    <mergeCell ref="G284:G284"/>
    <mergeCell ref="H284:H284"/>
    <mergeCell ref="I284:I284"/>
    <mergeCell ref="J284:J284"/>
    <mergeCell ref="A285:A285"/>
    <mergeCell ref="B285:B285"/>
    <mergeCell ref="C285:C285"/>
    <mergeCell ref="D285:D285"/>
    <mergeCell ref="E285:E285"/>
    <mergeCell ref="F285:F285"/>
    <mergeCell ref="G285:G285"/>
    <mergeCell ref="H285:H285"/>
    <mergeCell ref="I285:I285"/>
    <mergeCell ref="J285:J285"/>
    <mergeCell ref="A286:A286"/>
    <mergeCell ref="B286:B286"/>
    <mergeCell ref="C286:C286"/>
    <mergeCell ref="D286:D286"/>
    <mergeCell ref="E286:E286"/>
    <mergeCell ref="F286:F286"/>
    <mergeCell ref="G286:G286"/>
    <mergeCell ref="H286:H286"/>
    <mergeCell ref="I286:I286"/>
    <mergeCell ref="J286:J286"/>
    <mergeCell ref="A287:A287"/>
    <mergeCell ref="B287:B287"/>
    <mergeCell ref="C287:C287"/>
    <mergeCell ref="D287:D287"/>
    <mergeCell ref="E287:E287"/>
    <mergeCell ref="F287:F287"/>
    <mergeCell ref="G287:G287"/>
    <mergeCell ref="H287:H287"/>
    <mergeCell ref="I287:I287"/>
    <mergeCell ref="J287:J287"/>
    <mergeCell ref="A288:A288"/>
    <mergeCell ref="B288:B288"/>
    <mergeCell ref="C288:C288"/>
    <mergeCell ref="D288:D288"/>
    <mergeCell ref="E288:E288"/>
    <mergeCell ref="F288:F288"/>
    <mergeCell ref="G288:G288"/>
    <mergeCell ref="H288:H288"/>
    <mergeCell ref="I288:I288"/>
    <mergeCell ref="J288:J288"/>
    <mergeCell ref="A289:A289"/>
    <mergeCell ref="B289:B289"/>
    <mergeCell ref="C289:C289"/>
    <mergeCell ref="D289:D289"/>
    <mergeCell ref="E289:E289"/>
    <mergeCell ref="F289:F289"/>
    <mergeCell ref="G289:G289"/>
    <mergeCell ref="H289:H289"/>
    <mergeCell ref="I289:I289"/>
    <mergeCell ref="J289:J289"/>
    <mergeCell ref="A290:A290"/>
    <mergeCell ref="B290:B290"/>
    <mergeCell ref="C290:C290"/>
    <mergeCell ref="D290:D290"/>
    <mergeCell ref="E290:E290"/>
    <mergeCell ref="F290:F290"/>
    <mergeCell ref="G290:G290"/>
    <mergeCell ref="H290:H290"/>
    <mergeCell ref="I290:I290"/>
    <mergeCell ref="J290:J290"/>
    <mergeCell ref="A291:A291"/>
    <mergeCell ref="B291:B291"/>
    <mergeCell ref="C291:C291"/>
    <mergeCell ref="D291:D291"/>
    <mergeCell ref="E291:E291"/>
    <mergeCell ref="F291:F291"/>
    <mergeCell ref="G291:G291"/>
    <mergeCell ref="H291:H291"/>
    <mergeCell ref="I291:I291"/>
    <mergeCell ref="J291:J291"/>
    <mergeCell ref="A292:A292"/>
    <mergeCell ref="B292:B292"/>
    <mergeCell ref="C292:C292"/>
    <mergeCell ref="D292:D292"/>
    <mergeCell ref="E292:E292"/>
    <mergeCell ref="F292:F292"/>
    <mergeCell ref="G292:G292"/>
    <mergeCell ref="H292:H292"/>
    <mergeCell ref="I292:I292"/>
    <mergeCell ref="J292:J292"/>
    <mergeCell ref="A293:A293"/>
    <mergeCell ref="B293:B293"/>
    <mergeCell ref="C293:C293"/>
    <mergeCell ref="D293:D293"/>
    <mergeCell ref="E293:E293"/>
    <mergeCell ref="F293:F293"/>
    <mergeCell ref="G293:G293"/>
    <mergeCell ref="H293:H293"/>
    <mergeCell ref="I293:I293"/>
    <mergeCell ref="J293:J293"/>
    <mergeCell ref="K5:K5"/>
    <mergeCell ref="K6:K6"/>
    <mergeCell ref="K7:K7"/>
    <mergeCell ref="K8:K8"/>
    <mergeCell ref="K9:K9"/>
    <mergeCell ref="K10:K10"/>
    <mergeCell ref="K11:K11"/>
    <mergeCell ref="K12:K12"/>
    <mergeCell ref="K13:K13"/>
    <mergeCell ref="K14:K14"/>
    <mergeCell ref="K15:K15"/>
    <mergeCell ref="K16:K16"/>
    <mergeCell ref="K17:K17"/>
    <mergeCell ref="K18:K18"/>
    <mergeCell ref="K19:K19"/>
    <mergeCell ref="K20:K20"/>
    <mergeCell ref="K21:K21"/>
    <mergeCell ref="K22:K22"/>
    <mergeCell ref="K23:K23"/>
    <mergeCell ref="K24:K24"/>
    <mergeCell ref="K25:K25"/>
    <mergeCell ref="K26:K26"/>
    <mergeCell ref="K27:K27"/>
    <mergeCell ref="K28:K28"/>
    <mergeCell ref="K29:K29"/>
    <mergeCell ref="K30:K30"/>
    <mergeCell ref="K31:K31"/>
    <mergeCell ref="K32:K32"/>
    <mergeCell ref="K33:K33"/>
    <mergeCell ref="K34:K34"/>
    <mergeCell ref="K35:K35"/>
    <mergeCell ref="K36:K36"/>
    <mergeCell ref="K37:K37"/>
    <mergeCell ref="K38:K38"/>
    <mergeCell ref="K39:K39"/>
    <mergeCell ref="K40:K40"/>
    <mergeCell ref="K41:K41"/>
    <mergeCell ref="K42:K42"/>
    <mergeCell ref="K43:K43"/>
    <mergeCell ref="K44:K44"/>
    <mergeCell ref="K45:K45"/>
    <mergeCell ref="K46:K46"/>
    <mergeCell ref="K47:K47"/>
    <mergeCell ref="K48:K48"/>
    <mergeCell ref="K49:K49"/>
    <mergeCell ref="K50:K50"/>
    <mergeCell ref="K51:K51"/>
    <mergeCell ref="K52:K52"/>
    <mergeCell ref="K53:K53"/>
    <mergeCell ref="K54:K54"/>
    <mergeCell ref="K55:K55"/>
    <mergeCell ref="K56:K56"/>
    <mergeCell ref="K57:K57"/>
    <mergeCell ref="K58:K58"/>
    <mergeCell ref="K59:K59"/>
    <mergeCell ref="K60:K60"/>
    <mergeCell ref="K61:K61"/>
    <mergeCell ref="K62:K62"/>
    <mergeCell ref="K63:K63"/>
    <mergeCell ref="K64:K64"/>
    <mergeCell ref="K65:K65"/>
    <mergeCell ref="K66:K66"/>
    <mergeCell ref="K67:K67"/>
    <mergeCell ref="K68:K68"/>
    <mergeCell ref="K69:K69"/>
    <mergeCell ref="K70:K70"/>
    <mergeCell ref="K71:K71"/>
    <mergeCell ref="K72:K72"/>
    <mergeCell ref="K73:K73"/>
    <mergeCell ref="K74:K74"/>
    <mergeCell ref="K75:K75"/>
    <mergeCell ref="K76:K76"/>
    <mergeCell ref="K77:K77"/>
    <mergeCell ref="K78:K78"/>
    <mergeCell ref="K79:K79"/>
    <mergeCell ref="K80:K80"/>
    <mergeCell ref="K81:K81"/>
    <mergeCell ref="K82:K82"/>
    <mergeCell ref="K83:K83"/>
    <mergeCell ref="K84:K84"/>
    <mergeCell ref="K85:K85"/>
    <mergeCell ref="K86:K86"/>
    <mergeCell ref="K87:K87"/>
    <mergeCell ref="K88:K88"/>
    <mergeCell ref="K89:K89"/>
    <mergeCell ref="K90:K90"/>
    <mergeCell ref="K91:K91"/>
    <mergeCell ref="K92:K92"/>
    <mergeCell ref="K93:K93"/>
    <mergeCell ref="K94:K94"/>
    <mergeCell ref="K95:K95"/>
    <mergeCell ref="K96:K96"/>
    <mergeCell ref="K97:K97"/>
    <mergeCell ref="K98:K98"/>
    <mergeCell ref="K99:K99"/>
    <mergeCell ref="K100:K100"/>
    <mergeCell ref="K101:K101"/>
    <mergeCell ref="K102:K102"/>
    <mergeCell ref="K103:K103"/>
    <mergeCell ref="K104:K104"/>
    <mergeCell ref="K105:K105"/>
    <mergeCell ref="K106:K106"/>
    <mergeCell ref="K107:K107"/>
    <mergeCell ref="K108:K108"/>
    <mergeCell ref="K109:K109"/>
    <mergeCell ref="K110:K110"/>
    <mergeCell ref="K111:K111"/>
    <mergeCell ref="K112:K112"/>
    <mergeCell ref="K113:K113"/>
    <mergeCell ref="K114:K114"/>
    <mergeCell ref="K115:K115"/>
    <mergeCell ref="K116:K116"/>
    <mergeCell ref="K117:K117"/>
    <mergeCell ref="K118:K118"/>
    <mergeCell ref="K119:K119"/>
    <mergeCell ref="K120:K120"/>
    <mergeCell ref="K121:K121"/>
    <mergeCell ref="K122:K122"/>
    <mergeCell ref="K123:K123"/>
    <mergeCell ref="K124:K124"/>
    <mergeCell ref="K125:K125"/>
    <mergeCell ref="K126:K126"/>
    <mergeCell ref="K127:K127"/>
    <mergeCell ref="K128:K128"/>
    <mergeCell ref="K129:K129"/>
    <mergeCell ref="K130:K130"/>
    <mergeCell ref="K131:K131"/>
    <mergeCell ref="K132:K132"/>
    <mergeCell ref="K133:K133"/>
    <mergeCell ref="K134:K134"/>
    <mergeCell ref="K135:K135"/>
    <mergeCell ref="K136:K136"/>
    <mergeCell ref="K137:K137"/>
    <mergeCell ref="K138:K138"/>
    <mergeCell ref="K139:K139"/>
    <mergeCell ref="K140:K140"/>
    <mergeCell ref="K141:K141"/>
    <mergeCell ref="K142:K142"/>
    <mergeCell ref="K143:K143"/>
    <mergeCell ref="K144:K144"/>
    <mergeCell ref="K145:K145"/>
    <mergeCell ref="K146:K146"/>
    <mergeCell ref="K147:K147"/>
    <mergeCell ref="K148:K148"/>
    <mergeCell ref="K149:K149"/>
    <mergeCell ref="K150:K150"/>
    <mergeCell ref="K151:K151"/>
    <mergeCell ref="K152:K152"/>
    <mergeCell ref="K153:K153"/>
    <mergeCell ref="K154:K154"/>
    <mergeCell ref="K155:K155"/>
    <mergeCell ref="K156:K156"/>
    <mergeCell ref="K157:K157"/>
    <mergeCell ref="K158:K158"/>
    <mergeCell ref="K159:K159"/>
    <mergeCell ref="K160:K160"/>
    <mergeCell ref="K161:K161"/>
    <mergeCell ref="K162:K162"/>
    <mergeCell ref="K163:K163"/>
    <mergeCell ref="K164:K164"/>
    <mergeCell ref="K165:K165"/>
    <mergeCell ref="K166:K166"/>
    <mergeCell ref="K167:K167"/>
    <mergeCell ref="K168:K168"/>
    <mergeCell ref="K169:K169"/>
    <mergeCell ref="K170:K170"/>
    <mergeCell ref="K171:K171"/>
    <mergeCell ref="K172:K172"/>
    <mergeCell ref="K173:K173"/>
    <mergeCell ref="K174:K174"/>
    <mergeCell ref="K175:K175"/>
    <mergeCell ref="K176:K176"/>
    <mergeCell ref="K177:K177"/>
    <mergeCell ref="K178:K178"/>
    <mergeCell ref="K179:K179"/>
    <mergeCell ref="K180:K180"/>
    <mergeCell ref="K181:K181"/>
    <mergeCell ref="K182:K182"/>
    <mergeCell ref="K183:K183"/>
    <mergeCell ref="K184:K184"/>
    <mergeCell ref="K185:K185"/>
    <mergeCell ref="K186:K186"/>
    <mergeCell ref="K187:K187"/>
    <mergeCell ref="K188:K188"/>
    <mergeCell ref="K189:K189"/>
    <mergeCell ref="K190:K190"/>
    <mergeCell ref="K191:K191"/>
    <mergeCell ref="K192:K192"/>
    <mergeCell ref="K193:K193"/>
    <mergeCell ref="K194:K194"/>
    <mergeCell ref="K195:K195"/>
    <mergeCell ref="K196:K196"/>
    <mergeCell ref="K197:K197"/>
    <mergeCell ref="K198:K198"/>
    <mergeCell ref="K199:K199"/>
    <mergeCell ref="K200:K200"/>
    <mergeCell ref="K201:K201"/>
    <mergeCell ref="K202:K202"/>
    <mergeCell ref="K203:K203"/>
    <mergeCell ref="K204:K204"/>
    <mergeCell ref="K205:K205"/>
    <mergeCell ref="K206:K206"/>
    <mergeCell ref="K207:K207"/>
    <mergeCell ref="K208:K208"/>
    <mergeCell ref="K209:K209"/>
    <mergeCell ref="K210:K210"/>
    <mergeCell ref="K211:K211"/>
    <mergeCell ref="K212:K212"/>
    <mergeCell ref="K213:K213"/>
    <mergeCell ref="K214:K214"/>
    <mergeCell ref="K215:K215"/>
    <mergeCell ref="K216:K216"/>
    <mergeCell ref="K217:K217"/>
    <mergeCell ref="K218:K218"/>
    <mergeCell ref="K219:K219"/>
    <mergeCell ref="K220:K220"/>
    <mergeCell ref="K221:K221"/>
    <mergeCell ref="K222:K222"/>
    <mergeCell ref="K223:K223"/>
    <mergeCell ref="K224:K224"/>
    <mergeCell ref="K225:K225"/>
    <mergeCell ref="K226:K226"/>
    <mergeCell ref="K227:K227"/>
    <mergeCell ref="K228:K228"/>
    <mergeCell ref="K229:K229"/>
    <mergeCell ref="K230:K230"/>
    <mergeCell ref="K231:K231"/>
    <mergeCell ref="K232:K232"/>
    <mergeCell ref="K233:K233"/>
    <mergeCell ref="K234:K234"/>
    <mergeCell ref="K235:K235"/>
    <mergeCell ref="K236:K236"/>
    <mergeCell ref="K237:K237"/>
    <mergeCell ref="K238:K238"/>
    <mergeCell ref="K239:K239"/>
    <mergeCell ref="K240:K240"/>
    <mergeCell ref="K241:K241"/>
    <mergeCell ref="K242:K242"/>
    <mergeCell ref="K243:K243"/>
    <mergeCell ref="K244:K244"/>
    <mergeCell ref="K245:K245"/>
    <mergeCell ref="K246:K246"/>
    <mergeCell ref="K247:K247"/>
    <mergeCell ref="K248:K248"/>
    <mergeCell ref="K249:K249"/>
    <mergeCell ref="K250:K250"/>
    <mergeCell ref="K251:K251"/>
    <mergeCell ref="K252:K252"/>
    <mergeCell ref="K253:K253"/>
    <mergeCell ref="K254:K254"/>
    <mergeCell ref="K255:K255"/>
    <mergeCell ref="K256:K256"/>
    <mergeCell ref="K257:K257"/>
    <mergeCell ref="K258:K258"/>
    <mergeCell ref="K259:K259"/>
    <mergeCell ref="K260:K260"/>
    <mergeCell ref="K261:K261"/>
    <mergeCell ref="K262:K262"/>
    <mergeCell ref="K263:K263"/>
    <mergeCell ref="K264:K264"/>
    <mergeCell ref="K265:K265"/>
    <mergeCell ref="K266:K266"/>
    <mergeCell ref="K267:K267"/>
    <mergeCell ref="K268:K268"/>
    <mergeCell ref="K269:K269"/>
    <mergeCell ref="K270:K270"/>
    <mergeCell ref="K271:K271"/>
    <mergeCell ref="K272:K272"/>
    <mergeCell ref="K273:K273"/>
    <mergeCell ref="K274:K274"/>
    <mergeCell ref="K275:K275"/>
    <mergeCell ref="K276:K276"/>
    <mergeCell ref="K277:K277"/>
    <mergeCell ref="K278:K278"/>
    <mergeCell ref="K279:K279"/>
    <mergeCell ref="K280:K280"/>
    <mergeCell ref="K281:K281"/>
    <mergeCell ref="K282:K282"/>
    <mergeCell ref="K283:K283"/>
    <mergeCell ref="K284:K284"/>
    <mergeCell ref="K285:K285"/>
    <mergeCell ref="K286:K286"/>
    <mergeCell ref="K287:K287"/>
    <mergeCell ref="K288:K288"/>
    <mergeCell ref="K289:K289"/>
    <mergeCell ref="K290:K290"/>
    <mergeCell ref="K291:K291"/>
    <mergeCell ref="K292:K292"/>
    <mergeCell ref="K293:K29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AG1121"/>
  <sheetViews>
    <sheetView tabSelected="0" workbookViewId="0" showGridLines="true" showRowColHeaders="1">
      <selection activeCell="U47" sqref="U47"/>
    </sheetView>
  </sheetViews>
  <sheetFormatPr defaultRowHeight="14.4" outlineLevelRow="0" outlineLevelCol="0"/>
  <cols>
    <col min="1" max="1" width="19.995117" bestFit="true" customWidth="true" style="0"/>
    <col min="10" max="10" width="25" customWidth="true" style="0"/>
    <col min="9" max="9" width="34.134521" bestFit="true" customWidth="true" style="0"/>
    <col min="11" max="11" width="32.991943" bestFit="true" customWidth="true" style="0"/>
    <col min="12" max="12" width="10" customWidth="true" style="0"/>
    <col min="13" max="13" width="10" customWidth="true" style="0"/>
    <col min="14" max="14" width="15" customWidth="true" style="0"/>
    <col min="15" max="15" width="10" customWidth="true" style="0"/>
    <col min="22" max="22" width="25" customWidth="true" style="0"/>
    <col min="21" max="21" width="34.134521" bestFit="true" customWidth="true" style="0"/>
    <col min="23" max="23" width="58.842773" bestFit="true" customWidth="true" style="0"/>
    <col min="24" max="24" width="10" customWidth="true" style="0"/>
    <col min="25" max="25" width="10" customWidth="true" style="0"/>
    <col min="26" max="26" width="15" customWidth="true" style="0"/>
    <col min="27" max="27" width="10" customWidth="true" style="0"/>
  </cols>
  <sheetData>
    <row r="1" spans="1:33">
      <c r="A1" s="6" t="s">
        <v>0</v>
      </c>
      <c r="B1" s="6"/>
      <c r="C1" s="6"/>
      <c r="D1" s="6"/>
      <c r="E1" s="6"/>
    </row>
    <row r="2" spans="1:33">
      <c r="A2" s="7" t="s">
        <v>330</v>
      </c>
      <c r="B2" s="9" t="s">
        <v>458</v>
      </c>
      <c r="C2" s="9"/>
      <c r="D2" s="9" t="s">
        <v>459</v>
      </c>
      <c r="E2" s="9"/>
    </row>
    <row r="3" spans="1:33">
      <c r="A3" s="7"/>
      <c r="B3" s="8" t="s">
        <v>332</v>
      </c>
      <c r="C3" s="8" t="s">
        <v>5</v>
      </c>
      <c r="D3" s="8" t="s">
        <v>332</v>
      </c>
      <c r="E3" s="8" t="s">
        <v>5</v>
      </c>
      <c r="G3" s="11"/>
      <c r="H3" s="11"/>
      <c r="I3" s="11"/>
      <c r="J3" s="11"/>
      <c r="K3" s="11"/>
      <c r="L3" s="11"/>
      <c r="M3" s="11"/>
      <c r="N3" s="11"/>
      <c r="O3" s="11"/>
      <c r="P3" s="11"/>
      <c r="Q3" s="11"/>
      <c r="S3" s="28"/>
      <c r="T3" s="28"/>
      <c r="U3" s="28"/>
      <c r="V3" s="28"/>
      <c r="W3" s="28"/>
      <c r="X3" s="28"/>
      <c r="Y3" s="28"/>
      <c r="Z3" s="28"/>
      <c r="AA3" s="28"/>
      <c r="AB3" s="28"/>
      <c r="AC3" s="28"/>
    </row>
    <row r="4" spans="1:33">
      <c r="A4" t="s">
        <v>24</v>
      </c>
      <c r="B4" t="str">
        <f>SUM('Satisfacción de los comités d'!B5:J5)</f>
        <v>0</v>
      </c>
      <c r="C4" t="str">
        <f>IF(B4&lt;=$M$19,"Bajo",IF(B4&lt;=$M$20,"Medio",IF(B4&lt;=$M$21,"Alto",0)))</f>
        <v>0</v>
      </c>
      <c r="D4" t="str">
        <f>SUM(B4:B4)</f>
        <v>0</v>
      </c>
      <c r="E4" t="str">
        <f>IF(D4&lt;=$Y$19,"Bajo",IF(D4&lt;=$Y$20,"Medio",IF(D4&lt;=$Y$21,"Alto",0)))</f>
        <v>0</v>
      </c>
      <c r="G4" s="11"/>
      <c r="I4" s="10" t="s">
        <v>333</v>
      </c>
      <c r="J4" s="10" t="s">
        <v>459</v>
      </c>
      <c r="Q4" s="11"/>
      <c r="S4" s="28"/>
      <c r="U4" s="10" t="s">
        <v>333</v>
      </c>
      <c r="V4" s="10" t="s">
        <v>459</v>
      </c>
      <c r="AC4" s="28"/>
    </row>
    <row r="5" spans="1:33">
      <c r="A5" t="s">
        <v>25</v>
      </c>
      <c r="B5" t="str">
        <f>SUM('Satisfacción de los comités d'!B6:J6)</f>
        <v>0</v>
      </c>
      <c r="C5" t="str">
        <f>IF(B5&lt;=$M$19,"Bajo",IF(B5&lt;=$M$20,"Medio",IF(B5&lt;=$M$21,"Alto",0)))</f>
        <v>0</v>
      </c>
      <c r="D5" t="str">
        <f>SUM(B5:B5)</f>
        <v>0</v>
      </c>
      <c r="E5" t="str">
        <f>IF(D5&lt;=$Y$19,"Bajo",IF(D5&lt;=$Y$20,"Medio",IF(D5&lt;=$Y$21,"Alto",0)))</f>
        <v>0</v>
      </c>
      <c r="G5" s="11"/>
      <c r="I5" s="10" t="s">
        <v>334</v>
      </c>
      <c r="J5" s="10" t="str">
        <f>B2</f>
        <v>0</v>
      </c>
      <c r="Q5" s="11"/>
      <c r="S5" s="28"/>
      <c r="AC5" s="28"/>
    </row>
    <row r="6" spans="1:33">
      <c r="A6" t="s">
        <v>26</v>
      </c>
      <c r="B6" t="str">
        <f>SUM('Satisfacción de los comités d'!B7:J7)</f>
        <v>0</v>
      </c>
      <c r="C6" t="str">
        <f>IF(B6&lt;=$M$19,"Bajo",IF(B6&lt;=$M$20,"Medio",IF(B6&lt;=$M$21,"Alto",0)))</f>
        <v>0</v>
      </c>
      <c r="D6" t="str">
        <f>SUM(B6:B6)</f>
        <v>0</v>
      </c>
      <c r="E6" t="str">
        <f>IF(D6&lt;=$Y$19,"Bajo",IF(D6&lt;=$Y$20,"Medio",IF(D6&lt;=$Y$21,"Alto",0)))</f>
        <v>0</v>
      </c>
      <c r="G6" s="11"/>
      <c r="I6" s="10" t="s">
        <v>335</v>
      </c>
      <c r="J6" s="10">
        <v>3</v>
      </c>
      <c r="Q6" s="11"/>
      <c r="S6" s="28"/>
      <c r="U6" s="10" t="s">
        <v>335</v>
      </c>
      <c r="V6" s="10">
        <v>3</v>
      </c>
      <c r="AC6" s="28"/>
    </row>
    <row r="7" spans="1:33">
      <c r="A7" t="s">
        <v>27</v>
      </c>
      <c r="B7" t="str">
        <f>SUM('Satisfacción de los comités d'!B8:J8)</f>
        <v>0</v>
      </c>
      <c r="C7" t="str">
        <f>IF(B7&lt;=$M$19,"Bajo",IF(B7&lt;=$M$20,"Medio",IF(B7&lt;=$M$21,"Alto",0)))</f>
        <v>0</v>
      </c>
      <c r="D7" t="str">
        <f>SUM(B7:B7)</f>
        <v>0</v>
      </c>
      <c r="E7" t="str">
        <f>IF(D7&lt;=$Y$19,"Bajo",IF(D7&lt;=$Y$20,"Medio",IF(D7&lt;=$Y$21,"Alto",0)))</f>
        <v>0</v>
      </c>
      <c r="G7" s="11"/>
      <c r="I7" s="10" t="s">
        <v>336</v>
      </c>
      <c r="J7" s="10">
        <v>9</v>
      </c>
      <c r="Q7" s="11"/>
      <c r="S7" s="28"/>
      <c r="U7" s="10" t="s">
        <v>336</v>
      </c>
      <c r="V7" s="10">
        <v>9</v>
      </c>
      <c r="AC7" s="28"/>
    </row>
    <row r="8" spans="1:33">
      <c r="A8" t="s">
        <v>28</v>
      </c>
      <c r="B8" t="str">
        <f>SUM('Satisfacción de los comités d'!B9:J9)</f>
        <v>0</v>
      </c>
      <c r="C8" t="str">
        <f>IF(B8&lt;=$M$19,"Bajo",IF(B8&lt;=$M$20,"Medio",IF(B8&lt;=$M$21,"Alto",0)))</f>
        <v>0</v>
      </c>
      <c r="D8" t="str">
        <f>SUM(B8:B8)</f>
        <v>0</v>
      </c>
      <c r="E8" t="str">
        <f>IF(D8&lt;=$Y$19,"Bajo",IF(D8&lt;=$Y$20,"Medio",IF(D8&lt;=$Y$21,"Alto",0)))</f>
        <v>0</v>
      </c>
      <c r="G8" s="11"/>
      <c r="I8" s="10" t="s">
        <v>337</v>
      </c>
      <c r="J8" s="10">
        <v>1</v>
      </c>
      <c r="Q8" s="11"/>
      <c r="S8" s="28"/>
      <c r="U8" s="10" t="s">
        <v>337</v>
      </c>
      <c r="V8" s="10">
        <v>1</v>
      </c>
      <c r="AC8" s="28"/>
    </row>
    <row r="9" spans="1:33">
      <c r="A9" t="s">
        <v>29</v>
      </c>
      <c r="B9" t="str">
        <f>SUM('Satisfacción de los comités d'!B10:J10)</f>
        <v>0</v>
      </c>
      <c r="C9" t="str">
        <f>IF(B9&lt;=$M$19,"Bajo",IF(B9&lt;=$M$20,"Medio",IF(B9&lt;=$M$21,"Alto",0)))</f>
        <v>0</v>
      </c>
      <c r="D9" t="str">
        <f>SUM(B9:B9)</f>
        <v>0</v>
      </c>
      <c r="E9" t="str">
        <f>IF(D9&lt;=$Y$19,"Bajo",IF(D9&lt;=$Y$20,"Medio",IF(D9&lt;=$Y$21,"Alto",0)))</f>
        <v>0</v>
      </c>
      <c r="G9" s="11"/>
      <c r="I9" s="10" t="s">
        <v>338</v>
      </c>
      <c r="J9" s="10">
        <v>5</v>
      </c>
      <c r="Q9" s="11"/>
      <c r="S9" s="28"/>
      <c r="U9" s="10" t="s">
        <v>338</v>
      </c>
      <c r="V9" s="10">
        <v>5</v>
      </c>
      <c r="AC9" s="28"/>
    </row>
    <row r="10" spans="1:33">
      <c r="A10" t="s">
        <v>30</v>
      </c>
      <c r="B10" t="str">
        <f>SUM('Satisfacción de los comités d'!B11:J11)</f>
        <v>0</v>
      </c>
      <c r="C10" t="str">
        <f>IF(B10&lt;=$M$19,"Bajo",IF(B10&lt;=$M$20,"Medio",IF(B10&lt;=$M$21,"Alto",0)))</f>
        <v>0</v>
      </c>
      <c r="D10" t="str">
        <f>SUM(B10:B10)</f>
        <v>0</v>
      </c>
      <c r="E10" t="str">
        <f>IF(D10&lt;=$Y$19,"Bajo",IF(D10&lt;=$Y$20,"Medio",IF(D10&lt;=$Y$21,"Alto",0)))</f>
        <v>0</v>
      </c>
      <c r="G10" s="11"/>
      <c r="I10" s="10" t="s">
        <v>339</v>
      </c>
      <c r="J10" s="10" t="str">
        <f>J7*J9</f>
        <v>0</v>
      </c>
      <c r="Q10" s="11"/>
      <c r="S10" s="28"/>
      <c r="U10" s="10" t="s">
        <v>339</v>
      </c>
      <c r="V10" s="10" t="str">
        <f>V7*V9</f>
        <v>0</v>
      </c>
      <c r="AC10" s="28"/>
    </row>
    <row r="11" spans="1:33">
      <c r="A11" t="s">
        <v>31</v>
      </c>
      <c r="B11" t="str">
        <f>SUM('Satisfacción de los comités d'!B12:J12)</f>
        <v>0</v>
      </c>
      <c r="C11" t="str">
        <f>IF(B11&lt;=$M$19,"Bajo",IF(B11&lt;=$M$20,"Medio",IF(B11&lt;=$M$21,"Alto",0)))</f>
        <v>0</v>
      </c>
      <c r="D11" t="str">
        <f>SUM(B11:B11)</f>
        <v>0</v>
      </c>
      <c r="E11" t="str">
        <f>IF(D11&lt;=$Y$19,"Bajo",IF(D11&lt;=$Y$20,"Medio",IF(D11&lt;=$Y$21,"Alto",0)))</f>
        <v>0</v>
      </c>
      <c r="G11" s="11"/>
      <c r="I11" s="10" t="s">
        <v>340</v>
      </c>
      <c r="J11" s="10" t="str">
        <f>J8*J7</f>
        <v>0</v>
      </c>
      <c r="Q11" s="11"/>
      <c r="S11" s="28"/>
      <c r="U11" s="10" t="s">
        <v>340</v>
      </c>
      <c r="V11" s="10" t="str">
        <f>V8*V7</f>
        <v>0</v>
      </c>
      <c r="AC11" s="28"/>
    </row>
    <row r="12" spans="1:33">
      <c r="A12" t="s">
        <v>32</v>
      </c>
      <c r="B12" t="str">
        <f>SUM('Satisfacción de los comités d'!B13:J13)</f>
        <v>0</v>
      </c>
      <c r="C12" t="str">
        <f>IF(B12&lt;=$M$19,"Bajo",IF(B12&lt;=$M$20,"Medio",IF(B12&lt;=$M$21,"Alto",0)))</f>
        <v>0</v>
      </c>
      <c r="D12" t="str">
        <f>SUM(B12:B12)</f>
        <v>0</v>
      </c>
      <c r="E12" t="str">
        <f>IF(D12&lt;=$Y$19,"Bajo",IF(D12&lt;=$Y$20,"Medio",IF(D12&lt;=$Y$21,"Alto",0)))</f>
        <v>0</v>
      </c>
      <c r="G12" s="11"/>
      <c r="I12" s="10" t="s">
        <v>341</v>
      </c>
      <c r="J12" s="10" t="str">
        <f>J10-J11</f>
        <v>0</v>
      </c>
      <c r="Q12" s="11"/>
      <c r="S12" s="28"/>
      <c r="U12" s="10" t="s">
        <v>341</v>
      </c>
      <c r="V12" s="10" t="str">
        <f>V10-V11</f>
        <v>0</v>
      </c>
      <c r="AC12" s="28"/>
    </row>
    <row r="13" spans="1:33">
      <c r="A13" t="s">
        <v>33</v>
      </c>
      <c r="B13" t="str">
        <f>SUM('Satisfacción de los comités d'!B14:J14)</f>
        <v>0</v>
      </c>
      <c r="C13" t="str">
        <f>IF(B13&lt;=$M$19,"Bajo",IF(B13&lt;=$M$20,"Medio",IF(B13&lt;=$M$21,"Alto",0)))</f>
        <v>0</v>
      </c>
      <c r="D13" t="str">
        <f>SUM(B13:B13)</f>
        <v>0</v>
      </c>
      <c r="E13" t="str">
        <f>IF(D13&lt;=$Y$19,"Bajo",IF(D13&lt;=$Y$20,"Medio",IF(D13&lt;=$Y$21,"Alto",0)))</f>
        <v>0</v>
      </c>
      <c r="G13" s="11"/>
      <c r="I13" s="10" t="s">
        <v>342</v>
      </c>
      <c r="J13" s="10" t="str">
        <f>ROUND(J12/J6,0)</f>
        <v>0</v>
      </c>
      <c r="Q13" s="11"/>
      <c r="S13" s="28"/>
      <c r="U13" s="10" t="s">
        <v>342</v>
      </c>
      <c r="V13" s="10" t="str">
        <f>ROUND(V12/V6,0)</f>
        <v>0</v>
      </c>
      <c r="AC13" s="28"/>
    </row>
    <row r="14" spans="1:33">
      <c r="A14" t="s">
        <v>34</v>
      </c>
      <c r="B14" t="str">
        <f>SUM('Satisfacción de los comités d'!B15:J15)</f>
        <v>0</v>
      </c>
      <c r="C14" t="str">
        <f>IF(B14&lt;=$M$19,"Bajo",IF(B14&lt;=$M$20,"Medio",IF(B14&lt;=$M$21,"Alto",0)))</f>
        <v>0</v>
      </c>
      <c r="D14" t="str">
        <f>SUM(B14:B14)</f>
        <v>0</v>
      </c>
      <c r="E14" t="str">
        <f>IF(D14&lt;=$Y$19,"Bajo",IF(D14&lt;=$Y$20,"Medio",IF(D14&lt;=$Y$21,"Alto",0)))</f>
        <v>0</v>
      </c>
      <c r="G14" s="11"/>
      <c r="K14" s="15"/>
      <c r="L14" s="15"/>
      <c r="M14" s="15"/>
      <c r="N14" s="15"/>
      <c r="O14" s="15"/>
      <c r="Q14" s="11"/>
      <c r="S14" s="28"/>
      <c r="W14" s="15"/>
      <c r="X14" s="15"/>
      <c r="Y14" s="15"/>
      <c r="Z14" s="15"/>
      <c r="AA14" s="15"/>
      <c r="AC14" s="28"/>
    </row>
    <row r="15" spans="1:33">
      <c r="A15" t="s">
        <v>35</v>
      </c>
      <c r="B15" t="str">
        <f>SUM('Satisfacción de los comités d'!B16:J16)</f>
        <v>0</v>
      </c>
      <c r="C15" t="str">
        <f>IF(B15&lt;=$M$19,"Bajo",IF(B15&lt;=$M$20,"Medio",IF(B15&lt;=$M$21,"Alto",0)))</f>
        <v>0</v>
      </c>
      <c r="D15" t="str">
        <f>SUM(B15:B15)</f>
        <v>0</v>
      </c>
      <c r="E15" t="str">
        <f>IF(D15&lt;=$Y$19,"Bajo",IF(D15&lt;=$Y$20,"Medio",IF(D15&lt;=$Y$21,"Alto",0)))</f>
        <v>0</v>
      </c>
      <c r="G15" s="11"/>
      <c r="K15" s="24" t="s">
        <v>343</v>
      </c>
      <c r="L15" s="15"/>
      <c r="M15" s="15"/>
      <c r="N15" s="15"/>
      <c r="O15" s="15"/>
      <c r="Q15" s="11"/>
      <c r="S15" s="28"/>
      <c r="W15" s="24" t="s">
        <v>344</v>
      </c>
      <c r="X15" s="15"/>
      <c r="Y15" s="15"/>
      <c r="Z15" s="15"/>
      <c r="AA15" s="15"/>
      <c r="AC15" s="28"/>
    </row>
    <row r="16" spans="1:33">
      <c r="A16" t="s">
        <v>36</v>
      </c>
      <c r="B16" t="str">
        <f>SUM('Satisfacción de los comités d'!B17:J17)</f>
        <v>0</v>
      </c>
      <c r="C16" t="str">
        <f>IF(B16&lt;=$M$19,"Bajo",IF(B16&lt;=$M$20,"Medio",IF(B16&lt;=$M$21,"Alto",0)))</f>
        <v>0</v>
      </c>
      <c r="D16" t="str">
        <f>SUM(B16:B16)</f>
        <v>0</v>
      </c>
      <c r="E16" t="str">
        <f>IF(D16&lt;=$Y$19,"Bajo",IF(D16&lt;=$Y$20,"Medio",IF(D16&lt;=$Y$21,"Alto",0)))</f>
        <v>0</v>
      </c>
      <c r="G16" s="11"/>
      <c r="K16" s="25" t="str">
        <f>J5</f>
        <v>0</v>
      </c>
      <c r="L16" s="20"/>
      <c r="M16" s="20"/>
      <c r="N16" s="20"/>
      <c r="O16" s="20"/>
      <c r="Q16" s="11"/>
      <c r="S16" s="28"/>
      <c r="W16" s="25" t="str">
        <f>V4</f>
        <v>0</v>
      </c>
      <c r="X16" s="20"/>
      <c r="Y16" s="20"/>
      <c r="Z16" s="20"/>
      <c r="AA16" s="20"/>
      <c r="AC16" s="28"/>
    </row>
    <row r="17" spans="1:33">
      <c r="A17" t="s">
        <v>37</v>
      </c>
      <c r="B17" t="str">
        <f>SUM('Satisfacción de los comités d'!B18:J18)</f>
        <v>0</v>
      </c>
      <c r="C17" t="str">
        <f>IF(B17&lt;=$M$19,"Bajo",IF(B17&lt;=$M$20,"Medio",IF(B17&lt;=$M$21,"Alto",0)))</f>
        <v>0</v>
      </c>
      <c r="D17" t="str">
        <f>SUM(B17:B17)</f>
        <v>0</v>
      </c>
      <c r="E17" t="str">
        <f>IF(D17&lt;=$Y$19,"Bajo",IF(D17&lt;=$Y$20,"Medio",IF(D17&lt;=$Y$21,"Alto",0)))</f>
        <v>0</v>
      </c>
      <c r="G17" s="11"/>
      <c r="K17" s="16" t="s">
        <v>347</v>
      </c>
      <c r="L17" s="18" t="s">
        <v>341</v>
      </c>
      <c r="M17" s="18"/>
      <c r="N17" s="18" t="s">
        <v>348</v>
      </c>
      <c r="O17" s="18" t="s">
        <v>349</v>
      </c>
      <c r="Q17" s="11"/>
      <c r="S17" s="28"/>
      <c r="W17" s="16" t="s">
        <v>347</v>
      </c>
      <c r="X17" s="18" t="s">
        <v>341</v>
      </c>
      <c r="Y17" s="18"/>
      <c r="Z17" s="18" t="s">
        <v>348</v>
      </c>
      <c r="AA17" s="18" t="s">
        <v>349</v>
      </c>
      <c r="AC17" s="28"/>
    </row>
    <row r="18" spans="1:33">
      <c r="A18" t="s">
        <v>38</v>
      </c>
      <c r="B18" t="str">
        <f>SUM('Satisfacción de los comités d'!B19:J19)</f>
        <v>0</v>
      </c>
      <c r="C18" t="str">
        <f>IF(B18&lt;=$M$19,"Bajo",IF(B18&lt;=$M$20,"Medio",IF(B18&lt;=$M$21,"Alto",0)))</f>
        <v>0</v>
      </c>
      <c r="D18" t="str">
        <f>SUM(B18:B18)</f>
        <v>0</v>
      </c>
      <c r="E18" t="str">
        <f>IF(D18&lt;=$Y$19,"Bajo",IF(D18&lt;=$Y$20,"Medio",IF(D18&lt;=$Y$21,"Alto",0)))</f>
        <v>0</v>
      </c>
      <c r="G18" s="11"/>
      <c r="K18" s="17"/>
      <c r="L18" s="20" t="s">
        <v>350</v>
      </c>
      <c r="M18" s="20" t="s">
        <v>351</v>
      </c>
      <c r="N18" s="20"/>
      <c r="O18" s="20"/>
      <c r="Q18" s="11"/>
      <c r="S18" s="28"/>
      <c r="W18" s="17"/>
      <c r="X18" s="20" t="s">
        <v>350</v>
      </c>
      <c r="Y18" s="20" t="s">
        <v>351</v>
      </c>
      <c r="Z18" s="20"/>
      <c r="AA18" s="20"/>
      <c r="AC18" s="28"/>
    </row>
    <row r="19" spans="1:33">
      <c r="A19" t="s">
        <v>39</v>
      </c>
      <c r="B19" t="str">
        <f>SUM('Satisfacción de los comités d'!B20:J20)</f>
        <v>0</v>
      </c>
      <c r="C19" t="str">
        <f>IF(B19&lt;=$M$19,"Bajo",IF(B19&lt;=$M$20,"Medio",IF(B19&lt;=$M$21,"Alto",0)))</f>
        <v>0</v>
      </c>
      <c r="D19" t="str">
        <f>SUM(B19:B19)</f>
        <v>0</v>
      </c>
      <c r="E19" t="str">
        <f>IF(D19&lt;=$Y$19,"Bajo",IF(D19&lt;=$Y$20,"Medio",IF(D19&lt;=$Y$21,"Alto",0)))</f>
        <v>0</v>
      </c>
      <c r="G19" s="11"/>
      <c r="K19" s="18" t="s">
        <v>352</v>
      </c>
      <c r="L19" s="18" t="str">
        <f>J11</f>
        <v>0</v>
      </c>
      <c r="M19" s="18" t="str">
        <f>L19+J13</f>
        <v>0</v>
      </c>
      <c r="N19" s="18" t="str">
        <f>COUNTIF($C$4:$C$292,$K19)</f>
        <v>0</v>
      </c>
      <c r="O19" s="22" t="str">
        <f>N19/N22</f>
        <v>0</v>
      </c>
      <c r="Q19" s="11"/>
      <c r="S19" s="28"/>
      <c r="W19" s="18" t="s">
        <v>352</v>
      </c>
      <c r="X19" s="18" t="str">
        <f>V11</f>
        <v>0</v>
      </c>
      <c r="Y19" s="18" t="str">
        <f>X19+V13 - 1</f>
        <v>0</v>
      </c>
      <c r="Z19" s="18" t="str">
        <f>COUNTIF($E$4:$E$292,$W19)</f>
        <v>0</v>
      </c>
      <c r="AA19" s="22" t="str">
        <f>Z19/Z22</f>
        <v>0</v>
      </c>
      <c r="AC19" s="28"/>
    </row>
    <row r="20" spans="1:33">
      <c r="A20" t="s">
        <v>40</v>
      </c>
      <c r="B20" t="str">
        <f>SUM('Satisfacción de los comités d'!B21:J21)</f>
        <v>0</v>
      </c>
      <c r="C20" t="str">
        <f>IF(B20&lt;=$M$19,"Bajo",IF(B20&lt;=$M$20,"Medio",IF(B20&lt;=$M$21,"Alto",0)))</f>
        <v>0</v>
      </c>
      <c r="D20" t="str">
        <f>SUM(B20:B20)</f>
        <v>0</v>
      </c>
      <c r="E20" t="str">
        <f>IF(D20&lt;=$Y$19,"Bajo",IF(D20&lt;=$Y$20,"Medio",IF(D20&lt;=$Y$21,"Alto",0)))</f>
        <v>0</v>
      </c>
      <c r="G20" s="11"/>
      <c r="K20" s="18" t="s">
        <v>460</v>
      </c>
      <c r="L20" s="18" t="str">
        <f>M19+ 1</f>
        <v>0</v>
      </c>
      <c r="M20" s="18" t="str">
        <f>L20+J13</f>
        <v>0</v>
      </c>
      <c r="N20" s="18" t="str">
        <f>COUNTIF($C$4:$C$292,$K20)</f>
        <v>0</v>
      </c>
      <c r="O20" s="22" t="str">
        <f>N20/N22</f>
        <v>0</v>
      </c>
      <c r="Q20" s="11"/>
      <c r="S20" s="28"/>
      <c r="W20" s="18" t="s">
        <v>460</v>
      </c>
      <c r="X20" s="18" t="str">
        <f>Y19+ 1</f>
        <v>0</v>
      </c>
      <c r="Y20" s="18" t="str">
        <f>X20+V13 - 1</f>
        <v>0</v>
      </c>
      <c r="Z20" s="18" t="str">
        <f>COUNTIF($E$4:$E$292,$W20)</f>
        <v>0</v>
      </c>
      <c r="AA20" s="22" t="str">
        <f>Z20/Z22</f>
        <v>0</v>
      </c>
      <c r="AC20" s="28"/>
    </row>
    <row r="21" spans="1:33">
      <c r="A21" t="s">
        <v>41</v>
      </c>
      <c r="B21" t="str">
        <f>SUM('Satisfacción de los comités d'!B22:J22)</f>
        <v>0</v>
      </c>
      <c r="C21" t="str">
        <f>IF(B21&lt;=$M$19,"Bajo",IF(B21&lt;=$M$20,"Medio",IF(B21&lt;=$M$21,"Alto",0)))</f>
        <v>0</v>
      </c>
      <c r="D21" t="str">
        <f>SUM(B21:B21)</f>
        <v>0</v>
      </c>
      <c r="E21" t="str">
        <f>IF(D21&lt;=$Y$19,"Bajo",IF(D21&lt;=$Y$20,"Medio",IF(D21&lt;=$Y$21,"Alto",0)))</f>
        <v>0</v>
      </c>
      <c r="G21" s="11"/>
      <c r="K21" s="18" t="s">
        <v>354</v>
      </c>
      <c r="L21" s="18" t="str">
        <f>M20+ 1</f>
        <v>0</v>
      </c>
      <c r="M21" s="18" t="str">
        <f>J10</f>
        <v>0</v>
      </c>
      <c r="N21" s="18" t="str">
        <f>COUNTIF($C$4:$C$292,$K21)</f>
        <v>0</v>
      </c>
      <c r="O21" s="22" t="str">
        <f>N21/N22</f>
        <v>0</v>
      </c>
      <c r="Q21" s="11"/>
      <c r="S21" s="28"/>
      <c r="W21" s="18" t="s">
        <v>354</v>
      </c>
      <c r="X21" s="18" t="str">
        <f>Y20+ 1</f>
        <v>0</v>
      </c>
      <c r="Y21" s="18" t="str">
        <f>V10</f>
        <v>0</v>
      </c>
      <c r="Z21" s="18" t="str">
        <f>COUNTIF($E$4:$E$292,$W21)</f>
        <v>0</v>
      </c>
      <c r="AA21" s="22" t="str">
        <f>Z21/Z22</f>
        <v>0</v>
      </c>
      <c r="AC21" s="28"/>
    </row>
    <row r="22" spans="1:33">
      <c r="A22" t="s">
        <v>42</v>
      </c>
      <c r="B22" t="str">
        <f>SUM('Satisfacción de los comités d'!B23:J23)</f>
        <v>0</v>
      </c>
      <c r="C22" t="str">
        <f>IF(B22&lt;=$M$19,"Bajo",IF(B22&lt;=$M$20,"Medio",IF(B22&lt;=$M$21,"Alto",0)))</f>
        <v>0</v>
      </c>
      <c r="D22" t="str">
        <f>SUM(B22:B22)</f>
        <v>0</v>
      </c>
      <c r="E22" t="str">
        <f>IF(D22&lt;=$Y$19,"Bajo",IF(D22&lt;=$Y$20,"Medio",IF(D22&lt;=$Y$21,"Alto",0)))</f>
        <v>0</v>
      </c>
      <c r="G22" s="11"/>
      <c r="K22" s="19" t="s">
        <v>4</v>
      </c>
      <c r="L22" s="21"/>
      <c r="M22" s="19"/>
      <c r="N22" s="19" t="str">
        <f>SUM(N19:N21)</f>
        <v>0</v>
      </c>
      <c r="O22" s="23" t="str">
        <f>SUM(O19:O21)</f>
        <v>0</v>
      </c>
      <c r="Q22" s="11"/>
      <c r="S22" s="28"/>
      <c r="W22" s="19" t="s">
        <v>4</v>
      </c>
      <c r="X22" s="21"/>
      <c r="Y22" s="19"/>
      <c r="Z22" s="19" t="str">
        <f>SUM(Z19:Z21)</f>
        <v>0</v>
      </c>
      <c r="AA22" s="23" t="str">
        <f>SUM(AA19:AA21)</f>
        <v>0</v>
      </c>
      <c r="AC22" s="28"/>
    </row>
    <row r="23" spans="1:33">
      <c r="A23" t="s">
        <v>43</v>
      </c>
      <c r="B23" t="str">
        <f>SUM('Satisfacción de los comités d'!B24:J24)</f>
        <v>0</v>
      </c>
      <c r="C23" t="str">
        <f>IF(B23&lt;=$M$19,"Bajo",IF(B23&lt;=$M$20,"Medio",IF(B23&lt;=$M$21,"Alto",0)))</f>
        <v>0</v>
      </c>
      <c r="D23" t="str">
        <f>SUM(B23:B23)</f>
        <v>0</v>
      </c>
      <c r="E23" t="str">
        <f>IF(D23&lt;=$Y$19,"Bajo",IF(D23&lt;=$Y$20,"Medio",IF(D23&lt;=$Y$21,"Alto",0)))</f>
        <v>0</v>
      </c>
      <c r="G23" s="11"/>
      <c r="K23" s="10" t="s">
        <v>355</v>
      </c>
      <c r="Q23" s="11"/>
      <c r="S23" s="28"/>
      <c r="W23" s="10" t="s">
        <v>355</v>
      </c>
      <c r="AC23" s="28"/>
    </row>
    <row r="24" spans="1:33">
      <c r="A24" t="s">
        <v>44</v>
      </c>
      <c r="B24" t="str">
        <f>SUM('Satisfacción de los comités d'!B25:J25)</f>
        <v>0</v>
      </c>
      <c r="C24" t="str">
        <f>IF(B24&lt;=$M$19,"Bajo",IF(B24&lt;=$M$20,"Medio",IF(B24&lt;=$M$21,"Alto",0)))</f>
        <v>0</v>
      </c>
      <c r="D24" t="str">
        <f>SUM(B24:B24)</f>
        <v>0</v>
      </c>
      <c r="E24" t="str">
        <f>IF(D24&lt;=$Y$19,"Bajo",IF(D24&lt;=$Y$20,"Medio",IF(D24&lt;=$Y$21,"Alto",0)))</f>
        <v>0</v>
      </c>
      <c r="G24" s="11"/>
      <c r="K24" s="10" t="s">
        <v>356</v>
      </c>
      <c r="Q24" s="11"/>
      <c r="S24" s="28"/>
      <c r="W24" s="10" t="s">
        <v>356</v>
      </c>
      <c r="AC24" s="28"/>
    </row>
    <row r="25" spans="1:33">
      <c r="A25" t="s">
        <v>45</v>
      </c>
      <c r="B25" t="str">
        <f>SUM('Satisfacción de los comités d'!B26:J26)</f>
        <v>0</v>
      </c>
      <c r="C25" t="str">
        <f>IF(B25&lt;=$M$19,"Bajo",IF(B25&lt;=$M$20,"Medio",IF(B25&lt;=$M$21,"Alto",0)))</f>
        <v>0</v>
      </c>
      <c r="D25" t="str">
        <f>SUM(B25:B25)</f>
        <v>0</v>
      </c>
      <c r="E25" t="str">
        <f>IF(D25&lt;=$Y$19,"Bajo",IF(D25&lt;=$Y$20,"Medio",IF(D25&lt;=$Y$21,"Alto",0)))</f>
        <v>0</v>
      </c>
      <c r="G25" s="11"/>
      <c r="Q25" s="11"/>
      <c r="S25" s="28"/>
      <c r="AC25" s="28"/>
    </row>
    <row r="26" spans="1:33">
      <c r="A26" t="s">
        <v>46</v>
      </c>
      <c r="B26" t="str">
        <f>SUM('Satisfacción de los comités d'!B27:J27)</f>
        <v>0</v>
      </c>
      <c r="C26" t="str">
        <f>IF(B26&lt;=$M$19,"Bajo",IF(B26&lt;=$M$20,"Medio",IF(B26&lt;=$M$21,"Alto",0)))</f>
        <v>0</v>
      </c>
      <c r="D26" t="str">
        <f>SUM(B26:B26)</f>
        <v>0</v>
      </c>
      <c r="E26" t="str">
        <f>IF(D26&lt;=$Y$19,"Bajo",IF(D26&lt;=$Y$20,"Medio",IF(D26&lt;=$Y$21,"Alto",0)))</f>
        <v>0</v>
      </c>
      <c r="G26" s="11"/>
      <c r="Q26" s="11"/>
      <c r="S26" s="28"/>
      <c r="AC26" s="28"/>
    </row>
    <row r="27" spans="1:33">
      <c r="A27" t="s">
        <v>47</v>
      </c>
      <c r="B27" t="str">
        <f>SUM('Satisfacción de los comités d'!B28:J28)</f>
        <v>0</v>
      </c>
      <c r="C27" t="str">
        <f>IF(B27&lt;=$M$19,"Bajo",IF(B27&lt;=$M$20,"Medio",IF(B27&lt;=$M$21,"Alto",0)))</f>
        <v>0</v>
      </c>
      <c r="D27" t="str">
        <f>SUM(B27:B27)</f>
        <v>0</v>
      </c>
      <c r="E27" t="str">
        <f>IF(D27&lt;=$Y$19,"Bajo",IF(D27&lt;=$Y$20,"Medio",IF(D27&lt;=$Y$21,"Alto",0)))</f>
        <v>0</v>
      </c>
      <c r="G27" s="11"/>
      <c r="Q27" s="11"/>
      <c r="S27" s="28"/>
      <c r="AC27" s="28"/>
    </row>
    <row r="28" spans="1:33">
      <c r="A28" t="s">
        <v>48</v>
      </c>
      <c r="B28" t="str">
        <f>SUM('Satisfacción de los comités d'!B29:J29)</f>
        <v>0</v>
      </c>
      <c r="C28" t="str">
        <f>IF(B28&lt;=$M$19,"Bajo",IF(B28&lt;=$M$20,"Medio",IF(B28&lt;=$M$21,"Alto",0)))</f>
        <v>0</v>
      </c>
      <c r="D28" t="str">
        <f>SUM(B28:B28)</f>
        <v>0</v>
      </c>
      <c r="E28" t="str">
        <f>IF(D28&lt;=$Y$19,"Bajo",IF(D28&lt;=$Y$20,"Medio",IF(D28&lt;=$Y$21,"Alto",0)))</f>
        <v>0</v>
      </c>
      <c r="G28" s="11"/>
      <c r="Q28" s="11"/>
      <c r="S28" s="28"/>
      <c r="AC28" s="28"/>
    </row>
    <row r="29" spans="1:33">
      <c r="A29" t="s">
        <v>49</v>
      </c>
      <c r="B29" t="str">
        <f>SUM('Satisfacción de los comités d'!B30:J30)</f>
        <v>0</v>
      </c>
      <c r="C29" t="str">
        <f>IF(B29&lt;=$M$19,"Bajo",IF(B29&lt;=$M$20,"Medio",IF(B29&lt;=$M$21,"Alto",0)))</f>
        <v>0</v>
      </c>
      <c r="D29" t="str">
        <f>SUM(B29:B29)</f>
        <v>0</v>
      </c>
      <c r="E29" t="str">
        <f>IF(D29&lt;=$Y$19,"Bajo",IF(D29&lt;=$Y$20,"Medio",IF(D29&lt;=$Y$21,"Alto",0)))</f>
        <v>0</v>
      </c>
      <c r="G29" s="11"/>
      <c r="Q29" s="11"/>
      <c r="S29" s="28"/>
      <c r="AC29" s="28"/>
    </row>
    <row r="30" spans="1:33">
      <c r="A30" t="s">
        <v>50</v>
      </c>
      <c r="B30" t="str">
        <f>SUM('Satisfacción de los comités d'!B31:J31)</f>
        <v>0</v>
      </c>
      <c r="C30" t="str">
        <f>IF(B30&lt;=$M$19,"Bajo",IF(B30&lt;=$M$20,"Medio",IF(B30&lt;=$M$21,"Alto",0)))</f>
        <v>0</v>
      </c>
      <c r="D30" t="str">
        <f>SUM(B30:B30)</f>
        <v>0</v>
      </c>
      <c r="E30" t="str">
        <f>IF(D30&lt;=$Y$19,"Bajo",IF(D30&lt;=$Y$20,"Medio",IF(D30&lt;=$Y$21,"Alto",0)))</f>
        <v>0</v>
      </c>
      <c r="G30" s="11"/>
      <c r="Q30" s="11"/>
      <c r="S30" s="28"/>
      <c r="AC30" s="28"/>
    </row>
    <row r="31" spans="1:33">
      <c r="A31" t="s">
        <v>51</v>
      </c>
      <c r="B31" t="str">
        <f>SUM('Satisfacción de los comités d'!B32:J32)</f>
        <v>0</v>
      </c>
      <c r="C31" t="str">
        <f>IF(B31&lt;=$M$19,"Bajo",IF(B31&lt;=$M$20,"Medio",IF(B31&lt;=$M$21,"Alto",0)))</f>
        <v>0</v>
      </c>
      <c r="D31" t="str">
        <f>SUM(B31:B31)</f>
        <v>0</v>
      </c>
      <c r="E31" t="str">
        <f>IF(D31&lt;=$Y$19,"Bajo",IF(D31&lt;=$Y$20,"Medio",IF(D31&lt;=$Y$21,"Alto",0)))</f>
        <v>0</v>
      </c>
      <c r="G31" s="11"/>
      <c r="Q31" s="11"/>
      <c r="S31" s="28"/>
      <c r="AC31" s="28"/>
    </row>
    <row r="32" spans="1:33">
      <c r="A32" t="s">
        <v>52</v>
      </c>
      <c r="B32" t="str">
        <f>SUM('Satisfacción de los comités d'!B33:J33)</f>
        <v>0</v>
      </c>
      <c r="C32" t="str">
        <f>IF(B32&lt;=$M$19,"Bajo",IF(B32&lt;=$M$20,"Medio",IF(B32&lt;=$M$21,"Alto",0)))</f>
        <v>0</v>
      </c>
      <c r="D32" t="str">
        <f>SUM(B32:B32)</f>
        <v>0</v>
      </c>
      <c r="E32" t="str">
        <f>IF(D32&lt;=$Y$19,"Bajo",IF(D32&lt;=$Y$20,"Medio",IF(D32&lt;=$Y$21,"Alto",0)))</f>
        <v>0</v>
      </c>
      <c r="G32" s="11"/>
      <c r="Q32" s="11"/>
      <c r="S32" s="28"/>
      <c r="AC32" s="28"/>
    </row>
    <row r="33" spans="1:33">
      <c r="A33" t="s">
        <v>53</v>
      </c>
      <c r="B33" t="str">
        <f>SUM('Satisfacción de los comités d'!B34:J34)</f>
        <v>0</v>
      </c>
      <c r="C33" t="str">
        <f>IF(B33&lt;=$M$19,"Bajo",IF(B33&lt;=$M$20,"Medio",IF(B33&lt;=$M$21,"Alto",0)))</f>
        <v>0</v>
      </c>
      <c r="D33" t="str">
        <f>SUM(B33:B33)</f>
        <v>0</v>
      </c>
      <c r="E33" t="str">
        <f>IF(D33&lt;=$Y$19,"Bajo",IF(D33&lt;=$Y$20,"Medio",IF(D33&lt;=$Y$21,"Alto",0)))</f>
        <v>0</v>
      </c>
      <c r="G33" s="11"/>
      <c r="Q33" s="11"/>
      <c r="S33" s="28"/>
      <c r="AC33" s="28"/>
    </row>
    <row r="34" spans="1:33">
      <c r="A34" t="s">
        <v>54</v>
      </c>
      <c r="B34" t="str">
        <f>SUM('Satisfacción de los comités d'!B35:J35)</f>
        <v>0</v>
      </c>
      <c r="C34" t="str">
        <f>IF(B34&lt;=$M$19,"Bajo",IF(B34&lt;=$M$20,"Medio",IF(B34&lt;=$M$21,"Alto",0)))</f>
        <v>0</v>
      </c>
      <c r="D34" t="str">
        <f>SUM(B34:B34)</f>
        <v>0</v>
      </c>
      <c r="E34" t="str">
        <f>IF(D34&lt;=$Y$19,"Bajo",IF(D34&lt;=$Y$20,"Medio",IF(D34&lt;=$Y$21,"Alto",0)))</f>
        <v>0</v>
      </c>
      <c r="G34" s="11"/>
      <c r="Q34" s="11"/>
      <c r="S34" s="28"/>
      <c r="AC34" s="28"/>
    </row>
    <row r="35" spans="1:33">
      <c r="A35" t="s">
        <v>55</v>
      </c>
      <c r="B35" t="str">
        <f>SUM('Satisfacción de los comités d'!B36:J36)</f>
        <v>0</v>
      </c>
      <c r="C35" t="str">
        <f>IF(B35&lt;=$M$19,"Bajo",IF(B35&lt;=$M$20,"Medio",IF(B35&lt;=$M$21,"Alto",0)))</f>
        <v>0</v>
      </c>
      <c r="D35" t="str">
        <f>SUM(B35:B35)</f>
        <v>0</v>
      </c>
      <c r="E35" t="str">
        <f>IF(D35&lt;=$Y$19,"Bajo",IF(D35&lt;=$Y$20,"Medio",IF(D35&lt;=$Y$21,"Alto",0)))</f>
        <v>0</v>
      </c>
      <c r="G35" s="11"/>
      <c r="Q35" s="11"/>
      <c r="S35" s="28"/>
      <c r="AC35" s="28"/>
    </row>
    <row r="36" spans="1:33">
      <c r="A36" t="s">
        <v>56</v>
      </c>
      <c r="B36" t="str">
        <f>SUM('Satisfacción de los comités d'!B37:J37)</f>
        <v>0</v>
      </c>
      <c r="C36" t="str">
        <f>IF(B36&lt;=$M$19,"Bajo",IF(B36&lt;=$M$20,"Medio",IF(B36&lt;=$M$21,"Alto",0)))</f>
        <v>0</v>
      </c>
      <c r="D36" t="str">
        <f>SUM(B36:B36)</f>
        <v>0</v>
      </c>
      <c r="E36" t="str">
        <f>IF(D36&lt;=$Y$19,"Bajo",IF(D36&lt;=$Y$20,"Medio",IF(D36&lt;=$Y$21,"Alto",0)))</f>
        <v>0</v>
      </c>
      <c r="G36" s="11"/>
      <c r="Q36" s="11"/>
      <c r="S36" s="28"/>
      <c r="AC36" s="28"/>
    </row>
    <row r="37" spans="1:33">
      <c r="A37" t="s">
        <v>57</v>
      </c>
      <c r="B37" t="str">
        <f>SUM('Satisfacción de los comités d'!B38:J38)</f>
        <v>0</v>
      </c>
      <c r="C37" t="str">
        <f>IF(B37&lt;=$M$19,"Bajo",IF(B37&lt;=$M$20,"Medio",IF(B37&lt;=$M$21,"Alto",0)))</f>
        <v>0</v>
      </c>
      <c r="D37" t="str">
        <f>SUM(B37:B37)</f>
        <v>0</v>
      </c>
      <c r="E37" t="str">
        <f>IF(D37&lt;=$Y$19,"Bajo",IF(D37&lt;=$Y$20,"Medio",IF(D37&lt;=$Y$21,"Alto",0)))</f>
        <v>0</v>
      </c>
      <c r="G37" s="11"/>
      <c r="Q37" s="11"/>
      <c r="S37" s="28"/>
      <c r="AC37" s="28"/>
    </row>
    <row r="38" spans="1:33">
      <c r="A38" t="s">
        <v>58</v>
      </c>
      <c r="B38" t="str">
        <f>SUM('Satisfacción de los comités d'!B39:J39)</f>
        <v>0</v>
      </c>
      <c r="C38" t="str">
        <f>IF(B38&lt;=$M$19,"Bajo",IF(B38&lt;=$M$20,"Medio",IF(B38&lt;=$M$21,"Alto",0)))</f>
        <v>0</v>
      </c>
      <c r="D38" t="str">
        <f>SUM(B38:B38)</f>
        <v>0</v>
      </c>
      <c r="E38" t="str">
        <f>IF(D38&lt;=$Y$19,"Bajo",IF(D38&lt;=$Y$20,"Medio",IF(D38&lt;=$Y$21,"Alto",0)))</f>
        <v>0</v>
      </c>
      <c r="G38" s="11"/>
      <c r="Q38" s="11"/>
      <c r="S38" s="28"/>
      <c r="AC38" s="28"/>
    </row>
    <row r="39" spans="1:33">
      <c r="A39" t="s">
        <v>59</v>
      </c>
      <c r="B39" t="str">
        <f>SUM('Satisfacción de los comités d'!B40:J40)</f>
        <v>0</v>
      </c>
      <c r="C39" t="str">
        <f>IF(B39&lt;=$M$19,"Bajo",IF(B39&lt;=$M$20,"Medio",IF(B39&lt;=$M$21,"Alto",0)))</f>
        <v>0</v>
      </c>
      <c r="D39" t="str">
        <f>SUM(B39:B39)</f>
        <v>0</v>
      </c>
      <c r="E39" t="str">
        <f>IF(D39&lt;=$Y$19,"Bajo",IF(D39&lt;=$Y$20,"Medio",IF(D39&lt;=$Y$21,"Alto",0)))</f>
        <v>0</v>
      </c>
      <c r="G39" s="11"/>
      <c r="Q39" s="11"/>
      <c r="S39" s="28"/>
      <c r="AC39" s="28"/>
    </row>
    <row r="40" spans="1:33">
      <c r="A40" t="s">
        <v>60</v>
      </c>
      <c r="B40" t="str">
        <f>SUM('Satisfacción de los comités d'!B41:J41)</f>
        <v>0</v>
      </c>
      <c r="C40" t="str">
        <f>IF(B40&lt;=$M$19,"Bajo",IF(B40&lt;=$M$20,"Medio",IF(B40&lt;=$M$21,"Alto",0)))</f>
        <v>0</v>
      </c>
      <c r="D40" t="str">
        <f>SUM(B40:B40)</f>
        <v>0</v>
      </c>
      <c r="E40" t="str">
        <f>IF(D40&lt;=$Y$19,"Bajo",IF(D40&lt;=$Y$20,"Medio",IF(D40&lt;=$Y$21,"Alto",0)))</f>
        <v>0</v>
      </c>
      <c r="G40" s="11"/>
      <c r="Q40" s="11"/>
      <c r="S40" s="28"/>
      <c r="AC40" s="28"/>
    </row>
    <row r="41" spans="1:33">
      <c r="A41" t="s">
        <v>61</v>
      </c>
      <c r="B41" t="str">
        <f>SUM('Satisfacción de los comités d'!B42:J42)</f>
        <v>0</v>
      </c>
      <c r="C41" t="str">
        <f>IF(B41&lt;=$M$19,"Bajo",IF(B41&lt;=$M$20,"Medio",IF(B41&lt;=$M$21,"Alto",0)))</f>
        <v>0</v>
      </c>
      <c r="D41" t="str">
        <f>SUM(B41:B41)</f>
        <v>0</v>
      </c>
      <c r="E41" t="str">
        <f>IF(D41&lt;=$Y$19,"Bajo",IF(D41&lt;=$Y$20,"Medio",IF(D41&lt;=$Y$21,"Alto",0)))</f>
        <v>0</v>
      </c>
      <c r="G41" s="11"/>
      <c r="Q41" s="11"/>
      <c r="S41" s="28"/>
      <c r="AC41" s="28"/>
    </row>
    <row r="42" spans="1:33">
      <c r="A42" t="s">
        <v>62</v>
      </c>
      <c r="B42" t="str">
        <f>SUM('Satisfacción de los comités d'!B43:J43)</f>
        <v>0</v>
      </c>
      <c r="C42" t="str">
        <f>IF(B42&lt;=$M$19,"Bajo",IF(B42&lt;=$M$20,"Medio",IF(B42&lt;=$M$21,"Alto",0)))</f>
        <v>0</v>
      </c>
      <c r="D42" t="str">
        <f>SUM(B42:B42)</f>
        <v>0</v>
      </c>
      <c r="E42" t="str">
        <f>IF(D42&lt;=$Y$19,"Bajo",IF(D42&lt;=$Y$20,"Medio",IF(D42&lt;=$Y$21,"Alto",0)))</f>
        <v>0</v>
      </c>
      <c r="G42" s="11"/>
      <c r="Q42" s="11"/>
      <c r="S42" s="28"/>
      <c r="AC42" s="28"/>
    </row>
    <row r="43" spans="1:33">
      <c r="A43" t="s">
        <v>63</v>
      </c>
      <c r="B43" t="str">
        <f>SUM('Satisfacción de los comités d'!B44:J44)</f>
        <v>0</v>
      </c>
      <c r="C43" t="str">
        <f>IF(B43&lt;=$M$19,"Bajo",IF(B43&lt;=$M$20,"Medio",IF(B43&lt;=$M$21,"Alto",0)))</f>
        <v>0</v>
      </c>
      <c r="D43" t="str">
        <f>SUM(B43:B43)</f>
        <v>0</v>
      </c>
      <c r="E43" t="str">
        <f>IF(D43&lt;=$Y$19,"Bajo",IF(D43&lt;=$Y$20,"Medio",IF(D43&lt;=$Y$21,"Alto",0)))</f>
        <v>0</v>
      </c>
      <c r="G43" s="11"/>
      <c r="K43" t="s">
        <v>357</v>
      </c>
      <c r="Q43" s="11"/>
      <c r="S43" s="28"/>
      <c r="W43" t="s">
        <v>358</v>
      </c>
      <c r="AC43" s="28"/>
    </row>
    <row r="44" spans="1:33">
      <c r="A44" t="s">
        <v>64</v>
      </c>
      <c r="B44" t="str">
        <f>SUM('Satisfacción de los comités d'!B45:J45)</f>
        <v>0</v>
      </c>
      <c r="C44" t="str">
        <f>IF(B44&lt;=$M$19,"Bajo",IF(B44&lt;=$M$20,"Medio",IF(B44&lt;=$M$21,"Alto",0)))</f>
        <v>0</v>
      </c>
      <c r="D44" t="str">
        <f>SUM(B44:B44)</f>
        <v>0</v>
      </c>
      <c r="E44" t="str">
        <f>IF(D44&lt;=$Y$19,"Bajo",IF(D44&lt;=$Y$20,"Medio",IF(D44&lt;=$Y$21,"Alto",0)))</f>
        <v>0</v>
      </c>
      <c r="G44" s="11"/>
      <c r="K44" s="10" t="s">
        <v>458</v>
      </c>
      <c r="Q44" s="11"/>
      <c r="S44" s="28"/>
      <c r="W44" s="10" t="s">
        <v>458</v>
      </c>
      <c r="AC44" s="28"/>
    </row>
    <row r="45" spans="1:33">
      <c r="A45" t="s">
        <v>65</v>
      </c>
      <c r="B45" t="str">
        <f>SUM('Satisfacción de los comités d'!B46:J46)</f>
        <v>0</v>
      </c>
      <c r="C45" t="str">
        <f>IF(B45&lt;=$M$19,"Bajo",IF(B45&lt;=$M$20,"Medio",IF(B45&lt;=$M$21,"Alto",0)))</f>
        <v>0</v>
      </c>
      <c r="D45" t="str">
        <f>SUM(B45:B45)</f>
        <v>0</v>
      </c>
      <c r="E45" t="str">
        <f>IF(D45&lt;=$Y$19,"Bajo",IF(D45&lt;=$Y$20,"Medio",IF(D45&lt;=$Y$21,"Alto",0)))</f>
        <v>0</v>
      </c>
      <c r="G45" s="11"/>
      <c r="H45" s="11"/>
      <c r="I45" s="11"/>
      <c r="J45" s="11"/>
      <c r="K45" s="11"/>
      <c r="L45" s="11"/>
      <c r="M45" s="11"/>
      <c r="N45" s="11"/>
      <c r="O45" s="11"/>
      <c r="P45" s="11"/>
      <c r="Q45" s="11"/>
      <c r="S45" s="28"/>
      <c r="T45" s="28"/>
      <c r="U45" s="28"/>
      <c r="V45" s="28"/>
      <c r="W45" s="28"/>
      <c r="X45" s="28"/>
      <c r="Y45" s="28"/>
      <c r="Z45" s="28"/>
      <c r="AA45" s="28"/>
      <c r="AB45" s="28"/>
      <c r="AC45" s="28"/>
    </row>
    <row r="46" spans="1:33">
      <c r="A46" t="s">
        <v>66</v>
      </c>
      <c r="B46" t="str">
        <f>SUM('Satisfacción de los comités d'!B47:J47)</f>
        <v>0</v>
      </c>
      <c r="C46" t="str">
        <f>IF(B46&lt;=$M$19,"Bajo",IF(B46&lt;=$M$20,"Medio",IF(B46&lt;=$M$21,"Alto",0)))</f>
        <v>0</v>
      </c>
      <c r="D46" t="str">
        <f>SUM(B46:B46)</f>
        <v>0</v>
      </c>
      <c r="E46" t="str">
        <f>IF(D46&lt;=$Y$19,"Bajo",IF(D46&lt;=$Y$20,"Medio",IF(D46&lt;=$Y$21,"Alto",0)))</f>
        <v>0</v>
      </c>
    </row>
    <row r="47" spans="1:33">
      <c r="A47" t="s">
        <v>67</v>
      </c>
      <c r="B47" t="str">
        <f>SUM('Satisfacción de los comités d'!B48:J48)</f>
        <v>0</v>
      </c>
      <c r="C47" t="str">
        <f>IF(B47&lt;=$M$19,"Bajo",IF(B47&lt;=$M$20,"Medio",IF(B47&lt;=$M$21,"Alto",0)))</f>
        <v>0</v>
      </c>
      <c r="D47" t="str">
        <f>SUM(B47:B47)</f>
        <v>0</v>
      </c>
      <c r="E47" t="str">
        <f>IF(D47&lt;=$Y$19,"Bajo",IF(D47&lt;=$Y$20,"Medio",IF(D47&lt;=$Y$21,"Alto",0)))</f>
        <v>0</v>
      </c>
      <c r="I47" s="27" t="str">
        <f>CONCATENATE("en la ",K15," y ",K43," se puede observar que la variable ",H901," en base a su dimensión ",H902," tiene una calificación de ",I904," por el ",ROUND(H904*100,0),"% ","de los resultados, ","los cuales fueron extraídos  de las encuestas ejecutadas a los ",J902,", estos resultados son afectados debido a que, ",Q1016," ",I1016,",","asi mismo ",Q1017," ",I1017,", de modo que ",Q1018," ",I1018,", de modo que ",Q1019," ",I1019,", no obstante ",Q1020," ",I1020,", no obstante ",Q1021," ",I1021,", de nuevo ",Q1022," ",I1022,", en cambio ",Q1023," ",I1023, ", ","y ",I1024," ",Q1024,", ","por todo ello la dimensión ",H902," es ",I904,".")</f>
        <v>0</v>
      </c>
      <c r="U47" s="27" t="str">
        <f>CONCATENATE("En la ",W15," y ",W43," se puede evidenciar que la variable ",T901," es calificado como ",U904," por el ",ROUND(T904*100,0),"% de los resultados, mismos que son originados porque; ",AG1016," ",AG1017," ",AG1018,AG1019,AG1020,AG1021,AG1022,AG1023,AG1024,AG1025,AG1026," se concluye que la variable ",T901,"tiene un valor de ",U904,".")</f>
        <v>0</v>
      </c>
    </row>
    <row r="48" spans="1:33">
      <c r="A48" t="s">
        <v>68</v>
      </c>
      <c r="B48" t="str">
        <f>SUM('Satisfacción de los comités d'!B49:J49)</f>
        <v>0</v>
      </c>
      <c r="C48" t="str">
        <f>IF(B48&lt;=$M$19,"Bajo",IF(B48&lt;=$M$20,"Medio",IF(B48&lt;=$M$21,"Alto",0)))</f>
        <v>0</v>
      </c>
      <c r="D48" t="str">
        <f>SUM(B48:B48)</f>
        <v>0</v>
      </c>
      <c r="E48" t="str">
        <f>IF(D48&lt;=$Y$19,"Bajo",IF(D48&lt;=$Y$20,"Medio",IF(D48&lt;=$Y$21,"Alto",0)))</f>
        <v>0</v>
      </c>
    </row>
    <row r="49" spans="1:33">
      <c r="A49" t="s">
        <v>69</v>
      </c>
      <c r="B49" t="str">
        <f>SUM('Satisfacción de los comités d'!B50:J50)</f>
        <v>0</v>
      </c>
      <c r="C49" t="str">
        <f>IF(B49&lt;=$M$19,"Bajo",IF(B49&lt;=$M$20,"Medio",IF(B49&lt;=$M$21,"Alto",0)))</f>
        <v>0</v>
      </c>
      <c r="D49" t="str">
        <f>SUM(B49:B49)</f>
        <v>0</v>
      </c>
      <c r="E49" t="str">
        <f>IF(D49&lt;=$Y$19,"Bajo",IF(D49&lt;=$Y$20,"Medio",IF(D49&lt;=$Y$21,"Alto",0)))</f>
        <v>0</v>
      </c>
    </row>
    <row r="50" spans="1:33">
      <c r="A50" t="s">
        <v>70</v>
      </c>
      <c r="B50" t="str">
        <f>SUM('Satisfacción de los comités d'!B51:J51)</f>
        <v>0</v>
      </c>
      <c r="C50" t="str">
        <f>IF(B50&lt;=$M$19,"Bajo",IF(B50&lt;=$M$20,"Medio",IF(B50&lt;=$M$21,"Alto",0)))</f>
        <v>0</v>
      </c>
      <c r="D50" t="str">
        <f>SUM(B50:B50)</f>
        <v>0</v>
      </c>
      <c r="E50" t="str">
        <f>IF(D50&lt;=$Y$19,"Bajo",IF(D50&lt;=$Y$20,"Medio",IF(D50&lt;=$Y$21,"Alto",0)))</f>
        <v>0</v>
      </c>
    </row>
    <row r="51" spans="1:33">
      <c r="A51" t="s">
        <v>71</v>
      </c>
      <c r="B51" t="str">
        <f>SUM('Satisfacción de los comités d'!B52:J52)</f>
        <v>0</v>
      </c>
      <c r="C51" t="str">
        <f>IF(B51&lt;=$M$19,"Bajo",IF(B51&lt;=$M$20,"Medio",IF(B51&lt;=$M$21,"Alto",0)))</f>
        <v>0</v>
      </c>
      <c r="D51" t="str">
        <f>SUM(B51:B51)</f>
        <v>0</v>
      </c>
      <c r="E51" t="str">
        <f>IF(D51&lt;=$Y$19,"Bajo",IF(D51&lt;=$Y$20,"Medio",IF(D51&lt;=$Y$21,"Alto",0)))</f>
        <v>0</v>
      </c>
    </row>
    <row r="52" spans="1:33">
      <c r="A52" t="s">
        <v>72</v>
      </c>
      <c r="B52" t="str">
        <f>SUM('Satisfacción de los comités d'!B53:J53)</f>
        <v>0</v>
      </c>
      <c r="C52" t="str">
        <f>IF(B52&lt;=$M$19,"Bajo",IF(B52&lt;=$M$20,"Medio",IF(B52&lt;=$M$21,"Alto",0)))</f>
        <v>0</v>
      </c>
      <c r="D52" t="str">
        <f>SUM(B52:B52)</f>
        <v>0</v>
      </c>
      <c r="E52" t="str">
        <f>IF(D52&lt;=$Y$19,"Bajo",IF(D52&lt;=$Y$20,"Medio",IF(D52&lt;=$Y$21,"Alto",0)))</f>
        <v>0</v>
      </c>
    </row>
    <row r="53" spans="1:33">
      <c r="A53" t="s">
        <v>73</v>
      </c>
      <c r="B53" t="str">
        <f>SUM('Satisfacción de los comités d'!B54:J54)</f>
        <v>0</v>
      </c>
      <c r="C53" t="str">
        <f>IF(B53&lt;=$M$19,"Bajo",IF(B53&lt;=$M$20,"Medio",IF(B53&lt;=$M$21,"Alto",0)))</f>
        <v>0</v>
      </c>
      <c r="D53" t="str">
        <f>SUM(B53:B53)</f>
        <v>0</v>
      </c>
      <c r="E53" t="str">
        <f>IF(D53&lt;=$Y$19,"Bajo",IF(D53&lt;=$Y$20,"Medio",IF(D53&lt;=$Y$21,"Alto",0)))</f>
        <v>0</v>
      </c>
    </row>
    <row r="54" spans="1:33">
      <c r="A54" t="s">
        <v>74</v>
      </c>
      <c r="B54" t="str">
        <f>SUM('Satisfacción de los comités d'!B55:J55)</f>
        <v>0</v>
      </c>
      <c r="C54" t="str">
        <f>IF(B54&lt;=$M$19,"Bajo",IF(B54&lt;=$M$20,"Medio",IF(B54&lt;=$M$21,"Alto",0)))</f>
        <v>0</v>
      </c>
      <c r="D54" t="str">
        <f>SUM(B54:B54)</f>
        <v>0</v>
      </c>
      <c r="E54" t="str">
        <f>IF(D54&lt;=$Y$19,"Bajo",IF(D54&lt;=$Y$20,"Medio",IF(D54&lt;=$Y$21,"Alto",0)))</f>
        <v>0</v>
      </c>
    </row>
    <row r="55" spans="1:33">
      <c r="A55" t="s">
        <v>75</v>
      </c>
      <c r="B55" t="str">
        <f>SUM('Satisfacción de los comités d'!B56:J56)</f>
        <v>0</v>
      </c>
      <c r="C55" t="str">
        <f>IF(B55&lt;=$M$19,"Bajo",IF(B55&lt;=$M$20,"Medio",IF(B55&lt;=$M$21,"Alto",0)))</f>
        <v>0</v>
      </c>
      <c r="D55" t="str">
        <f>SUM(B55:B55)</f>
        <v>0</v>
      </c>
      <c r="E55" t="str">
        <f>IF(D55&lt;=$Y$19,"Bajo",IF(D55&lt;=$Y$20,"Medio",IF(D55&lt;=$Y$21,"Alto",0)))</f>
        <v>0</v>
      </c>
    </row>
    <row r="56" spans="1:33">
      <c r="A56" t="s">
        <v>76</v>
      </c>
      <c r="B56" t="str">
        <f>SUM('Satisfacción de los comités d'!B57:J57)</f>
        <v>0</v>
      </c>
      <c r="C56" t="str">
        <f>IF(B56&lt;=$M$19,"Bajo",IF(B56&lt;=$M$20,"Medio",IF(B56&lt;=$M$21,"Alto",0)))</f>
        <v>0</v>
      </c>
      <c r="D56" t="str">
        <f>SUM(B56:B56)</f>
        <v>0</v>
      </c>
      <c r="E56" t="str">
        <f>IF(D56&lt;=$Y$19,"Bajo",IF(D56&lt;=$Y$20,"Medio",IF(D56&lt;=$Y$21,"Alto",0)))</f>
        <v>0</v>
      </c>
    </row>
    <row r="57" spans="1:33">
      <c r="A57" t="s">
        <v>77</v>
      </c>
      <c r="B57" t="str">
        <f>SUM('Satisfacción de los comités d'!B58:J58)</f>
        <v>0</v>
      </c>
      <c r="C57" t="str">
        <f>IF(B57&lt;=$M$19,"Bajo",IF(B57&lt;=$M$20,"Medio",IF(B57&lt;=$M$21,"Alto",0)))</f>
        <v>0</v>
      </c>
      <c r="D57" t="str">
        <f>SUM(B57:B57)</f>
        <v>0</v>
      </c>
      <c r="E57" t="str">
        <f>IF(D57&lt;=$Y$19,"Bajo",IF(D57&lt;=$Y$20,"Medio",IF(D57&lt;=$Y$21,"Alto",0)))</f>
        <v>0</v>
      </c>
    </row>
    <row r="58" spans="1:33">
      <c r="A58" t="s">
        <v>78</v>
      </c>
      <c r="B58" t="str">
        <f>SUM('Satisfacción de los comités d'!B59:J59)</f>
        <v>0</v>
      </c>
      <c r="C58" t="str">
        <f>IF(B58&lt;=$M$19,"Bajo",IF(B58&lt;=$M$20,"Medio",IF(B58&lt;=$M$21,"Alto",0)))</f>
        <v>0</v>
      </c>
      <c r="D58" t="str">
        <f>SUM(B58:B58)</f>
        <v>0</v>
      </c>
      <c r="E58" t="str">
        <f>IF(D58&lt;=$Y$19,"Bajo",IF(D58&lt;=$Y$20,"Medio",IF(D58&lt;=$Y$21,"Alto",0)))</f>
        <v>0</v>
      </c>
    </row>
    <row r="59" spans="1:33">
      <c r="A59" t="s">
        <v>79</v>
      </c>
      <c r="B59" t="str">
        <f>SUM('Satisfacción de los comités d'!B60:J60)</f>
        <v>0</v>
      </c>
      <c r="C59" t="str">
        <f>IF(B59&lt;=$M$19,"Bajo",IF(B59&lt;=$M$20,"Medio",IF(B59&lt;=$M$21,"Alto",0)))</f>
        <v>0</v>
      </c>
      <c r="D59" t="str">
        <f>SUM(B59:B59)</f>
        <v>0</v>
      </c>
      <c r="E59" t="str">
        <f>IF(D59&lt;=$Y$19,"Bajo",IF(D59&lt;=$Y$20,"Medio",IF(D59&lt;=$Y$21,"Alto",0)))</f>
        <v>0</v>
      </c>
    </row>
    <row r="60" spans="1:33">
      <c r="A60" t="s">
        <v>80</v>
      </c>
      <c r="B60" t="str">
        <f>SUM('Satisfacción de los comités d'!B61:J61)</f>
        <v>0</v>
      </c>
      <c r="C60" t="str">
        <f>IF(B60&lt;=$M$19,"Bajo",IF(B60&lt;=$M$20,"Medio",IF(B60&lt;=$M$21,"Alto",0)))</f>
        <v>0</v>
      </c>
      <c r="D60" t="str">
        <f>SUM(B60:B60)</f>
        <v>0</v>
      </c>
      <c r="E60" t="str">
        <f>IF(D60&lt;=$Y$19,"Bajo",IF(D60&lt;=$Y$20,"Medio",IF(D60&lt;=$Y$21,"Alto",0)))</f>
        <v>0</v>
      </c>
    </row>
    <row r="61" spans="1:33">
      <c r="A61" t="s">
        <v>81</v>
      </c>
      <c r="B61" t="str">
        <f>SUM('Satisfacción de los comités d'!B62:J62)</f>
        <v>0</v>
      </c>
      <c r="C61" t="str">
        <f>IF(B61&lt;=$M$19,"Bajo",IF(B61&lt;=$M$20,"Medio",IF(B61&lt;=$M$21,"Alto",0)))</f>
        <v>0</v>
      </c>
      <c r="D61" t="str">
        <f>SUM(B61:B61)</f>
        <v>0</v>
      </c>
      <c r="E61" t="str">
        <f>IF(D61&lt;=$Y$19,"Bajo",IF(D61&lt;=$Y$20,"Medio",IF(D61&lt;=$Y$21,"Alto",0)))</f>
        <v>0</v>
      </c>
    </row>
    <row r="62" spans="1:33">
      <c r="A62" t="s">
        <v>82</v>
      </c>
      <c r="B62" t="str">
        <f>SUM('Satisfacción de los comités d'!B63:J63)</f>
        <v>0</v>
      </c>
      <c r="C62" t="str">
        <f>IF(B62&lt;=$M$19,"Bajo",IF(B62&lt;=$M$20,"Medio",IF(B62&lt;=$M$21,"Alto",0)))</f>
        <v>0</v>
      </c>
      <c r="D62" t="str">
        <f>SUM(B62:B62)</f>
        <v>0</v>
      </c>
      <c r="E62" t="str">
        <f>IF(D62&lt;=$Y$19,"Bajo",IF(D62&lt;=$Y$20,"Medio",IF(D62&lt;=$Y$21,"Alto",0)))</f>
        <v>0</v>
      </c>
    </row>
    <row r="63" spans="1:33">
      <c r="A63" t="s">
        <v>83</v>
      </c>
      <c r="B63" t="str">
        <f>SUM('Satisfacción de los comités d'!B64:J64)</f>
        <v>0</v>
      </c>
      <c r="C63" t="str">
        <f>IF(B63&lt;=$M$19,"Bajo",IF(B63&lt;=$M$20,"Medio",IF(B63&lt;=$M$21,"Alto",0)))</f>
        <v>0</v>
      </c>
      <c r="D63" t="str">
        <f>SUM(B63:B63)</f>
        <v>0</v>
      </c>
      <c r="E63" t="str">
        <f>IF(D63&lt;=$Y$19,"Bajo",IF(D63&lt;=$Y$20,"Medio",IF(D63&lt;=$Y$21,"Alto",0)))</f>
        <v>0</v>
      </c>
    </row>
    <row r="64" spans="1:33">
      <c r="A64" t="s">
        <v>84</v>
      </c>
      <c r="B64" t="str">
        <f>SUM('Satisfacción de los comités d'!B65:J65)</f>
        <v>0</v>
      </c>
      <c r="C64" t="str">
        <f>IF(B64&lt;=$M$19,"Bajo",IF(B64&lt;=$M$20,"Medio",IF(B64&lt;=$M$21,"Alto",0)))</f>
        <v>0</v>
      </c>
      <c r="D64" t="str">
        <f>SUM(B64:B64)</f>
        <v>0</v>
      </c>
      <c r="E64" t="str">
        <f>IF(D64&lt;=$Y$19,"Bajo",IF(D64&lt;=$Y$20,"Medio",IF(D64&lt;=$Y$21,"Alto",0)))</f>
        <v>0</v>
      </c>
    </row>
    <row r="65" spans="1:33">
      <c r="A65" t="s">
        <v>85</v>
      </c>
      <c r="B65" t="str">
        <f>SUM('Satisfacción de los comités d'!B66:J66)</f>
        <v>0</v>
      </c>
      <c r="C65" t="str">
        <f>IF(B65&lt;=$M$19,"Bajo",IF(B65&lt;=$M$20,"Medio",IF(B65&lt;=$M$21,"Alto",0)))</f>
        <v>0</v>
      </c>
      <c r="D65" t="str">
        <f>SUM(B65:B65)</f>
        <v>0</v>
      </c>
      <c r="E65" t="str">
        <f>IF(D65&lt;=$Y$19,"Bajo",IF(D65&lt;=$Y$20,"Medio",IF(D65&lt;=$Y$21,"Alto",0)))</f>
        <v>0</v>
      </c>
    </row>
    <row r="66" spans="1:33">
      <c r="A66" t="s">
        <v>86</v>
      </c>
      <c r="B66" t="str">
        <f>SUM('Satisfacción de los comités d'!B67:J67)</f>
        <v>0</v>
      </c>
      <c r="C66" t="str">
        <f>IF(B66&lt;=$M$19,"Bajo",IF(B66&lt;=$M$20,"Medio",IF(B66&lt;=$M$21,"Alto",0)))</f>
        <v>0</v>
      </c>
      <c r="D66" t="str">
        <f>SUM(B66:B66)</f>
        <v>0</v>
      </c>
      <c r="E66" t="str">
        <f>IF(D66&lt;=$Y$19,"Bajo",IF(D66&lt;=$Y$20,"Medio",IF(D66&lt;=$Y$21,"Alto",0)))</f>
        <v>0</v>
      </c>
    </row>
    <row r="67" spans="1:33">
      <c r="A67" t="s">
        <v>87</v>
      </c>
      <c r="B67" t="str">
        <f>SUM('Satisfacción de los comités d'!B68:J68)</f>
        <v>0</v>
      </c>
      <c r="C67" t="str">
        <f>IF(B67&lt;=$M$19,"Bajo",IF(B67&lt;=$M$20,"Medio",IF(B67&lt;=$M$21,"Alto",0)))</f>
        <v>0</v>
      </c>
      <c r="D67" t="str">
        <f>SUM(B67:B67)</f>
        <v>0</v>
      </c>
      <c r="E67" t="str">
        <f>IF(D67&lt;=$Y$19,"Bajo",IF(D67&lt;=$Y$20,"Medio",IF(D67&lt;=$Y$21,"Alto",0)))</f>
        <v>0</v>
      </c>
    </row>
    <row r="68" spans="1:33">
      <c r="A68" t="s">
        <v>88</v>
      </c>
      <c r="B68" t="str">
        <f>SUM('Satisfacción de los comités d'!B69:J69)</f>
        <v>0</v>
      </c>
      <c r="C68" t="str">
        <f>IF(B68&lt;=$M$19,"Bajo",IF(B68&lt;=$M$20,"Medio",IF(B68&lt;=$M$21,"Alto",0)))</f>
        <v>0</v>
      </c>
      <c r="D68" t="str">
        <f>SUM(B68:B68)</f>
        <v>0</v>
      </c>
      <c r="E68" t="str">
        <f>IF(D68&lt;=$Y$19,"Bajo",IF(D68&lt;=$Y$20,"Medio",IF(D68&lt;=$Y$21,"Alto",0)))</f>
        <v>0</v>
      </c>
    </row>
    <row r="69" spans="1:33">
      <c r="A69" t="s">
        <v>89</v>
      </c>
      <c r="B69" t="str">
        <f>SUM('Satisfacción de los comités d'!B70:J70)</f>
        <v>0</v>
      </c>
      <c r="C69" t="str">
        <f>IF(B69&lt;=$M$19,"Bajo",IF(B69&lt;=$M$20,"Medio",IF(B69&lt;=$M$21,"Alto",0)))</f>
        <v>0</v>
      </c>
      <c r="D69" t="str">
        <f>SUM(B69:B69)</f>
        <v>0</v>
      </c>
      <c r="E69" t="str">
        <f>IF(D69&lt;=$Y$19,"Bajo",IF(D69&lt;=$Y$20,"Medio",IF(D69&lt;=$Y$21,"Alto",0)))</f>
        <v>0</v>
      </c>
    </row>
    <row r="70" spans="1:33">
      <c r="A70" t="s">
        <v>90</v>
      </c>
      <c r="B70" t="str">
        <f>SUM('Satisfacción de los comités d'!B71:J71)</f>
        <v>0</v>
      </c>
      <c r="C70" t="str">
        <f>IF(B70&lt;=$M$19,"Bajo",IF(B70&lt;=$M$20,"Medio",IF(B70&lt;=$M$21,"Alto",0)))</f>
        <v>0</v>
      </c>
      <c r="D70" t="str">
        <f>SUM(B70:B70)</f>
        <v>0</v>
      </c>
      <c r="E70" t="str">
        <f>IF(D70&lt;=$Y$19,"Bajo",IF(D70&lt;=$Y$20,"Medio",IF(D70&lt;=$Y$21,"Alto",0)))</f>
        <v>0</v>
      </c>
    </row>
    <row r="71" spans="1:33">
      <c r="A71" t="s">
        <v>91</v>
      </c>
      <c r="B71" t="str">
        <f>SUM('Satisfacción de los comités d'!B72:J72)</f>
        <v>0</v>
      </c>
      <c r="C71" t="str">
        <f>IF(B71&lt;=$M$19,"Bajo",IF(B71&lt;=$M$20,"Medio",IF(B71&lt;=$M$21,"Alto",0)))</f>
        <v>0</v>
      </c>
      <c r="D71" t="str">
        <f>SUM(B71:B71)</f>
        <v>0</v>
      </c>
      <c r="E71" t="str">
        <f>IF(D71&lt;=$Y$19,"Bajo",IF(D71&lt;=$Y$20,"Medio",IF(D71&lt;=$Y$21,"Alto",0)))</f>
        <v>0</v>
      </c>
    </row>
    <row r="72" spans="1:33">
      <c r="A72" t="s">
        <v>92</v>
      </c>
      <c r="B72" t="str">
        <f>SUM('Satisfacción de los comités d'!B73:J73)</f>
        <v>0</v>
      </c>
      <c r="C72" t="str">
        <f>IF(B72&lt;=$M$19,"Bajo",IF(B72&lt;=$M$20,"Medio",IF(B72&lt;=$M$21,"Alto",0)))</f>
        <v>0</v>
      </c>
      <c r="D72" t="str">
        <f>SUM(B72:B72)</f>
        <v>0</v>
      </c>
      <c r="E72" t="str">
        <f>IF(D72&lt;=$Y$19,"Bajo",IF(D72&lt;=$Y$20,"Medio",IF(D72&lt;=$Y$21,"Alto",0)))</f>
        <v>0</v>
      </c>
    </row>
    <row r="73" spans="1:33">
      <c r="A73" t="s">
        <v>93</v>
      </c>
      <c r="B73" t="str">
        <f>SUM('Satisfacción de los comités d'!B74:J74)</f>
        <v>0</v>
      </c>
      <c r="C73" t="str">
        <f>IF(B73&lt;=$M$19,"Bajo",IF(B73&lt;=$M$20,"Medio",IF(B73&lt;=$M$21,"Alto",0)))</f>
        <v>0</v>
      </c>
      <c r="D73" t="str">
        <f>SUM(B73:B73)</f>
        <v>0</v>
      </c>
      <c r="E73" t="str">
        <f>IF(D73&lt;=$Y$19,"Bajo",IF(D73&lt;=$Y$20,"Medio",IF(D73&lt;=$Y$21,"Alto",0)))</f>
        <v>0</v>
      </c>
    </row>
    <row r="74" spans="1:33">
      <c r="A74" t="s">
        <v>94</v>
      </c>
      <c r="B74" t="str">
        <f>SUM('Satisfacción de los comités d'!B75:J75)</f>
        <v>0</v>
      </c>
      <c r="C74" t="str">
        <f>IF(B74&lt;=$M$19,"Bajo",IF(B74&lt;=$M$20,"Medio",IF(B74&lt;=$M$21,"Alto",0)))</f>
        <v>0</v>
      </c>
      <c r="D74" t="str">
        <f>SUM(B74:B74)</f>
        <v>0</v>
      </c>
      <c r="E74" t="str">
        <f>IF(D74&lt;=$Y$19,"Bajo",IF(D74&lt;=$Y$20,"Medio",IF(D74&lt;=$Y$21,"Alto",0)))</f>
        <v>0</v>
      </c>
    </row>
    <row r="75" spans="1:33">
      <c r="A75" t="s">
        <v>95</v>
      </c>
      <c r="B75" t="str">
        <f>SUM('Satisfacción de los comités d'!B76:J76)</f>
        <v>0</v>
      </c>
      <c r="C75" t="str">
        <f>IF(B75&lt;=$M$19,"Bajo",IF(B75&lt;=$M$20,"Medio",IF(B75&lt;=$M$21,"Alto",0)))</f>
        <v>0</v>
      </c>
      <c r="D75" t="str">
        <f>SUM(B75:B75)</f>
        <v>0</v>
      </c>
      <c r="E75" t="str">
        <f>IF(D75&lt;=$Y$19,"Bajo",IF(D75&lt;=$Y$20,"Medio",IF(D75&lt;=$Y$21,"Alto",0)))</f>
        <v>0</v>
      </c>
    </row>
    <row r="76" spans="1:33">
      <c r="A76" t="s">
        <v>96</v>
      </c>
      <c r="B76" t="str">
        <f>SUM('Satisfacción de los comités d'!B77:J77)</f>
        <v>0</v>
      </c>
      <c r="C76" t="str">
        <f>IF(B76&lt;=$M$19,"Bajo",IF(B76&lt;=$M$20,"Medio",IF(B76&lt;=$M$21,"Alto",0)))</f>
        <v>0</v>
      </c>
      <c r="D76" t="str">
        <f>SUM(B76:B76)</f>
        <v>0</v>
      </c>
      <c r="E76" t="str">
        <f>IF(D76&lt;=$Y$19,"Bajo",IF(D76&lt;=$Y$20,"Medio",IF(D76&lt;=$Y$21,"Alto",0)))</f>
        <v>0</v>
      </c>
    </row>
    <row r="77" spans="1:33">
      <c r="A77" t="s">
        <v>97</v>
      </c>
      <c r="B77" t="str">
        <f>SUM('Satisfacción de los comités d'!B78:J78)</f>
        <v>0</v>
      </c>
      <c r="C77" t="str">
        <f>IF(B77&lt;=$M$19,"Bajo",IF(B77&lt;=$M$20,"Medio",IF(B77&lt;=$M$21,"Alto",0)))</f>
        <v>0</v>
      </c>
      <c r="D77" t="str">
        <f>SUM(B77:B77)</f>
        <v>0</v>
      </c>
      <c r="E77" t="str">
        <f>IF(D77&lt;=$Y$19,"Bajo",IF(D77&lt;=$Y$20,"Medio",IF(D77&lt;=$Y$21,"Alto",0)))</f>
        <v>0</v>
      </c>
    </row>
    <row r="78" spans="1:33">
      <c r="A78" t="s">
        <v>98</v>
      </c>
      <c r="B78" t="str">
        <f>SUM('Satisfacción de los comités d'!B79:J79)</f>
        <v>0</v>
      </c>
      <c r="C78" t="str">
        <f>IF(B78&lt;=$M$19,"Bajo",IF(B78&lt;=$M$20,"Medio",IF(B78&lt;=$M$21,"Alto",0)))</f>
        <v>0</v>
      </c>
      <c r="D78" t="str">
        <f>SUM(B78:B78)</f>
        <v>0</v>
      </c>
      <c r="E78" t="str">
        <f>IF(D78&lt;=$Y$19,"Bajo",IF(D78&lt;=$Y$20,"Medio",IF(D78&lt;=$Y$21,"Alto",0)))</f>
        <v>0</v>
      </c>
    </row>
    <row r="79" spans="1:33">
      <c r="A79" t="s">
        <v>99</v>
      </c>
      <c r="B79" t="str">
        <f>SUM('Satisfacción de los comités d'!B80:J80)</f>
        <v>0</v>
      </c>
      <c r="C79" t="str">
        <f>IF(B79&lt;=$M$19,"Bajo",IF(B79&lt;=$M$20,"Medio",IF(B79&lt;=$M$21,"Alto",0)))</f>
        <v>0</v>
      </c>
      <c r="D79" t="str">
        <f>SUM(B79:B79)</f>
        <v>0</v>
      </c>
      <c r="E79" t="str">
        <f>IF(D79&lt;=$Y$19,"Bajo",IF(D79&lt;=$Y$20,"Medio",IF(D79&lt;=$Y$21,"Alto",0)))</f>
        <v>0</v>
      </c>
    </row>
    <row r="80" spans="1:33">
      <c r="A80" t="s">
        <v>100</v>
      </c>
      <c r="B80" t="str">
        <f>SUM('Satisfacción de los comités d'!B81:J81)</f>
        <v>0</v>
      </c>
      <c r="C80" t="str">
        <f>IF(B80&lt;=$M$19,"Bajo",IF(B80&lt;=$M$20,"Medio",IF(B80&lt;=$M$21,"Alto",0)))</f>
        <v>0</v>
      </c>
      <c r="D80" t="str">
        <f>SUM(B80:B80)</f>
        <v>0</v>
      </c>
      <c r="E80" t="str">
        <f>IF(D80&lt;=$Y$19,"Bajo",IF(D80&lt;=$Y$20,"Medio",IF(D80&lt;=$Y$21,"Alto",0)))</f>
        <v>0</v>
      </c>
    </row>
    <row r="81" spans="1:33">
      <c r="A81" t="s">
        <v>101</v>
      </c>
      <c r="B81" t="str">
        <f>SUM('Satisfacción de los comités d'!B82:J82)</f>
        <v>0</v>
      </c>
      <c r="C81" t="str">
        <f>IF(B81&lt;=$M$19,"Bajo",IF(B81&lt;=$M$20,"Medio",IF(B81&lt;=$M$21,"Alto",0)))</f>
        <v>0</v>
      </c>
      <c r="D81" t="str">
        <f>SUM(B81:B81)</f>
        <v>0</v>
      </c>
      <c r="E81" t="str">
        <f>IF(D81&lt;=$Y$19,"Bajo",IF(D81&lt;=$Y$20,"Medio",IF(D81&lt;=$Y$21,"Alto",0)))</f>
        <v>0</v>
      </c>
    </row>
    <row r="82" spans="1:33">
      <c r="A82" t="s">
        <v>102</v>
      </c>
      <c r="B82" t="str">
        <f>SUM('Satisfacción de los comités d'!B83:J83)</f>
        <v>0</v>
      </c>
      <c r="C82" t="str">
        <f>IF(B82&lt;=$M$19,"Bajo",IF(B82&lt;=$M$20,"Medio",IF(B82&lt;=$M$21,"Alto",0)))</f>
        <v>0</v>
      </c>
      <c r="D82" t="str">
        <f>SUM(B82:B82)</f>
        <v>0</v>
      </c>
      <c r="E82" t="str">
        <f>IF(D82&lt;=$Y$19,"Bajo",IF(D82&lt;=$Y$20,"Medio",IF(D82&lt;=$Y$21,"Alto",0)))</f>
        <v>0</v>
      </c>
    </row>
    <row r="83" spans="1:33">
      <c r="A83" t="s">
        <v>103</v>
      </c>
      <c r="B83" t="str">
        <f>SUM('Satisfacción de los comités d'!B84:J84)</f>
        <v>0</v>
      </c>
      <c r="C83" t="str">
        <f>IF(B83&lt;=$M$19,"Bajo",IF(B83&lt;=$M$20,"Medio",IF(B83&lt;=$M$21,"Alto",0)))</f>
        <v>0</v>
      </c>
      <c r="D83" t="str">
        <f>SUM(B83:B83)</f>
        <v>0</v>
      </c>
      <c r="E83" t="str">
        <f>IF(D83&lt;=$Y$19,"Bajo",IF(D83&lt;=$Y$20,"Medio",IF(D83&lt;=$Y$21,"Alto",0)))</f>
        <v>0</v>
      </c>
    </row>
    <row r="84" spans="1:33">
      <c r="A84" t="s">
        <v>104</v>
      </c>
      <c r="B84" t="str">
        <f>SUM('Satisfacción de los comités d'!B85:J85)</f>
        <v>0</v>
      </c>
      <c r="C84" t="str">
        <f>IF(B84&lt;=$M$19,"Bajo",IF(B84&lt;=$M$20,"Medio",IF(B84&lt;=$M$21,"Alto",0)))</f>
        <v>0</v>
      </c>
      <c r="D84" t="str">
        <f>SUM(B84:B84)</f>
        <v>0</v>
      </c>
      <c r="E84" t="str">
        <f>IF(D84&lt;=$Y$19,"Bajo",IF(D84&lt;=$Y$20,"Medio",IF(D84&lt;=$Y$21,"Alto",0)))</f>
        <v>0</v>
      </c>
    </row>
    <row r="85" spans="1:33">
      <c r="A85" t="s">
        <v>105</v>
      </c>
      <c r="B85" t="str">
        <f>SUM('Satisfacción de los comités d'!B86:J86)</f>
        <v>0</v>
      </c>
      <c r="C85" t="str">
        <f>IF(B85&lt;=$M$19,"Bajo",IF(B85&lt;=$M$20,"Medio",IF(B85&lt;=$M$21,"Alto",0)))</f>
        <v>0</v>
      </c>
      <c r="D85" t="str">
        <f>SUM(B85:B85)</f>
        <v>0</v>
      </c>
      <c r="E85" t="str">
        <f>IF(D85&lt;=$Y$19,"Bajo",IF(D85&lt;=$Y$20,"Medio",IF(D85&lt;=$Y$21,"Alto",0)))</f>
        <v>0</v>
      </c>
    </row>
    <row r="86" spans="1:33">
      <c r="A86" t="s">
        <v>106</v>
      </c>
      <c r="B86" t="str">
        <f>SUM('Satisfacción de los comités d'!B87:J87)</f>
        <v>0</v>
      </c>
      <c r="C86" t="str">
        <f>IF(B86&lt;=$M$19,"Bajo",IF(B86&lt;=$M$20,"Medio",IF(B86&lt;=$M$21,"Alto",0)))</f>
        <v>0</v>
      </c>
      <c r="D86" t="str">
        <f>SUM(B86:B86)</f>
        <v>0</v>
      </c>
      <c r="E86" t="str">
        <f>IF(D86&lt;=$Y$19,"Bajo",IF(D86&lt;=$Y$20,"Medio",IF(D86&lt;=$Y$21,"Alto",0)))</f>
        <v>0</v>
      </c>
    </row>
    <row r="87" spans="1:33">
      <c r="A87" t="s">
        <v>107</v>
      </c>
      <c r="B87" t="str">
        <f>SUM('Satisfacción de los comités d'!B88:J88)</f>
        <v>0</v>
      </c>
      <c r="C87" t="str">
        <f>IF(B87&lt;=$M$19,"Bajo",IF(B87&lt;=$M$20,"Medio",IF(B87&lt;=$M$21,"Alto",0)))</f>
        <v>0</v>
      </c>
      <c r="D87" t="str">
        <f>SUM(B87:B87)</f>
        <v>0</v>
      </c>
      <c r="E87" t="str">
        <f>IF(D87&lt;=$Y$19,"Bajo",IF(D87&lt;=$Y$20,"Medio",IF(D87&lt;=$Y$21,"Alto",0)))</f>
        <v>0</v>
      </c>
    </row>
    <row r="88" spans="1:33">
      <c r="A88" t="s">
        <v>108</v>
      </c>
      <c r="B88" t="str">
        <f>SUM('Satisfacción de los comités d'!B89:J89)</f>
        <v>0</v>
      </c>
      <c r="C88" t="str">
        <f>IF(B88&lt;=$M$19,"Bajo",IF(B88&lt;=$M$20,"Medio",IF(B88&lt;=$M$21,"Alto",0)))</f>
        <v>0</v>
      </c>
      <c r="D88" t="str">
        <f>SUM(B88:B88)</f>
        <v>0</v>
      </c>
      <c r="E88" t="str">
        <f>IF(D88&lt;=$Y$19,"Bajo",IF(D88&lt;=$Y$20,"Medio",IF(D88&lt;=$Y$21,"Alto",0)))</f>
        <v>0</v>
      </c>
    </row>
    <row r="89" spans="1:33">
      <c r="A89" t="s">
        <v>109</v>
      </c>
      <c r="B89" t="str">
        <f>SUM('Satisfacción de los comités d'!B90:J90)</f>
        <v>0</v>
      </c>
      <c r="C89" t="str">
        <f>IF(B89&lt;=$M$19,"Bajo",IF(B89&lt;=$M$20,"Medio",IF(B89&lt;=$M$21,"Alto",0)))</f>
        <v>0</v>
      </c>
      <c r="D89" t="str">
        <f>SUM(B89:B89)</f>
        <v>0</v>
      </c>
      <c r="E89" t="str">
        <f>IF(D89&lt;=$Y$19,"Bajo",IF(D89&lt;=$Y$20,"Medio",IF(D89&lt;=$Y$21,"Alto",0)))</f>
        <v>0</v>
      </c>
    </row>
    <row r="90" spans="1:33">
      <c r="A90" t="s">
        <v>110</v>
      </c>
      <c r="B90" t="str">
        <f>SUM('Satisfacción de los comités d'!B91:J91)</f>
        <v>0</v>
      </c>
      <c r="C90" t="str">
        <f>IF(B90&lt;=$M$19,"Bajo",IF(B90&lt;=$M$20,"Medio",IF(B90&lt;=$M$21,"Alto",0)))</f>
        <v>0</v>
      </c>
      <c r="D90" t="str">
        <f>SUM(B90:B90)</f>
        <v>0</v>
      </c>
      <c r="E90" t="str">
        <f>IF(D90&lt;=$Y$19,"Bajo",IF(D90&lt;=$Y$20,"Medio",IF(D90&lt;=$Y$21,"Alto",0)))</f>
        <v>0</v>
      </c>
    </row>
    <row r="91" spans="1:33">
      <c r="A91" t="s">
        <v>111</v>
      </c>
      <c r="B91" t="str">
        <f>SUM('Satisfacción de los comités d'!B92:J92)</f>
        <v>0</v>
      </c>
      <c r="C91" t="str">
        <f>IF(B91&lt;=$M$19,"Bajo",IF(B91&lt;=$M$20,"Medio",IF(B91&lt;=$M$21,"Alto",0)))</f>
        <v>0</v>
      </c>
      <c r="D91" t="str">
        <f>SUM(B91:B91)</f>
        <v>0</v>
      </c>
      <c r="E91" t="str">
        <f>IF(D91&lt;=$Y$19,"Bajo",IF(D91&lt;=$Y$20,"Medio",IF(D91&lt;=$Y$21,"Alto",0)))</f>
        <v>0</v>
      </c>
    </row>
    <row r="92" spans="1:33">
      <c r="A92" t="s">
        <v>112</v>
      </c>
      <c r="B92" t="str">
        <f>SUM('Satisfacción de los comités d'!B93:J93)</f>
        <v>0</v>
      </c>
      <c r="C92" t="str">
        <f>IF(B92&lt;=$M$19,"Bajo",IF(B92&lt;=$M$20,"Medio",IF(B92&lt;=$M$21,"Alto",0)))</f>
        <v>0</v>
      </c>
      <c r="D92" t="str">
        <f>SUM(B92:B92)</f>
        <v>0</v>
      </c>
      <c r="E92" t="str">
        <f>IF(D92&lt;=$Y$19,"Bajo",IF(D92&lt;=$Y$20,"Medio",IF(D92&lt;=$Y$21,"Alto",0)))</f>
        <v>0</v>
      </c>
    </row>
    <row r="93" spans="1:33">
      <c r="A93" t="s">
        <v>113</v>
      </c>
      <c r="B93" t="str">
        <f>SUM('Satisfacción de los comités d'!B94:J94)</f>
        <v>0</v>
      </c>
      <c r="C93" t="str">
        <f>IF(B93&lt;=$M$19,"Bajo",IF(B93&lt;=$M$20,"Medio",IF(B93&lt;=$M$21,"Alto",0)))</f>
        <v>0</v>
      </c>
      <c r="D93" t="str">
        <f>SUM(B93:B93)</f>
        <v>0</v>
      </c>
      <c r="E93" t="str">
        <f>IF(D93&lt;=$Y$19,"Bajo",IF(D93&lt;=$Y$20,"Medio",IF(D93&lt;=$Y$21,"Alto",0)))</f>
        <v>0</v>
      </c>
    </row>
    <row r="94" spans="1:33">
      <c r="A94" t="s">
        <v>114</v>
      </c>
      <c r="B94" t="str">
        <f>SUM('Satisfacción de los comités d'!B95:J95)</f>
        <v>0</v>
      </c>
      <c r="C94" t="str">
        <f>IF(B94&lt;=$M$19,"Bajo",IF(B94&lt;=$M$20,"Medio",IF(B94&lt;=$M$21,"Alto",0)))</f>
        <v>0</v>
      </c>
      <c r="D94" t="str">
        <f>SUM(B94:B94)</f>
        <v>0</v>
      </c>
      <c r="E94" t="str">
        <f>IF(D94&lt;=$Y$19,"Bajo",IF(D94&lt;=$Y$20,"Medio",IF(D94&lt;=$Y$21,"Alto",0)))</f>
        <v>0</v>
      </c>
    </row>
    <row r="95" spans="1:33">
      <c r="A95" t="s">
        <v>115</v>
      </c>
      <c r="B95" t="str">
        <f>SUM('Satisfacción de los comités d'!B96:J96)</f>
        <v>0</v>
      </c>
      <c r="C95" t="str">
        <f>IF(B95&lt;=$M$19,"Bajo",IF(B95&lt;=$M$20,"Medio",IF(B95&lt;=$M$21,"Alto",0)))</f>
        <v>0</v>
      </c>
      <c r="D95" t="str">
        <f>SUM(B95:B95)</f>
        <v>0</v>
      </c>
      <c r="E95" t="str">
        <f>IF(D95&lt;=$Y$19,"Bajo",IF(D95&lt;=$Y$20,"Medio",IF(D95&lt;=$Y$21,"Alto",0)))</f>
        <v>0</v>
      </c>
    </row>
    <row r="96" spans="1:33">
      <c r="A96" t="s">
        <v>116</v>
      </c>
      <c r="B96" t="str">
        <f>SUM('Satisfacción de los comités d'!B97:J97)</f>
        <v>0</v>
      </c>
      <c r="C96" t="str">
        <f>IF(B96&lt;=$M$19,"Bajo",IF(B96&lt;=$M$20,"Medio",IF(B96&lt;=$M$21,"Alto",0)))</f>
        <v>0</v>
      </c>
      <c r="D96" t="str">
        <f>SUM(B96:B96)</f>
        <v>0</v>
      </c>
      <c r="E96" t="str">
        <f>IF(D96&lt;=$Y$19,"Bajo",IF(D96&lt;=$Y$20,"Medio",IF(D96&lt;=$Y$21,"Alto",0)))</f>
        <v>0</v>
      </c>
    </row>
    <row r="97" spans="1:33">
      <c r="A97" t="s">
        <v>117</v>
      </c>
      <c r="B97" t="str">
        <f>SUM('Satisfacción de los comités d'!B98:J98)</f>
        <v>0</v>
      </c>
      <c r="C97" t="str">
        <f>IF(B97&lt;=$M$19,"Bajo",IF(B97&lt;=$M$20,"Medio",IF(B97&lt;=$M$21,"Alto",0)))</f>
        <v>0</v>
      </c>
      <c r="D97" t="str">
        <f>SUM(B97:B97)</f>
        <v>0</v>
      </c>
      <c r="E97" t="str">
        <f>IF(D97&lt;=$Y$19,"Bajo",IF(D97&lt;=$Y$20,"Medio",IF(D97&lt;=$Y$21,"Alto",0)))</f>
        <v>0</v>
      </c>
    </row>
    <row r="98" spans="1:33">
      <c r="A98" t="s">
        <v>118</v>
      </c>
      <c r="B98" t="str">
        <f>SUM('Satisfacción de los comités d'!B99:J99)</f>
        <v>0</v>
      </c>
      <c r="C98" t="str">
        <f>IF(B98&lt;=$M$19,"Bajo",IF(B98&lt;=$M$20,"Medio",IF(B98&lt;=$M$21,"Alto",0)))</f>
        <v>0</v>
      </c>
      <c r="D98" t="str">
        <f>SUM(B98:B98)</f>
        <v>0</v>
      </c>
      <c r="E98" t="str">
        <f>IF(D98&lt;=$Y$19,"Bajo",IF(D98&lt;=$Y$20,"Medio",IF(D98&lt;=$Y$21,"Alto",0)))</f>
        <v>0</v>
      </c>
    </row>
    <row r="99" spans="1:33">
      <c r="A99" t="s">
        <v>119</v>
      </c>
      <c r="B99" t="str">
        <f>SUM('Satisfacción de los comités d'!B100:J100)</f>
        <v>0</v>
      </c>
      <c r="C99" t="str">
        <f>IF(B99&lt;=$M$19,"Bajo",IF(B99&lt;=$M$20,"Medio",IF(B99&lt;=$M$21,"Alto",0)))</f>
        <v>0</v>
      </c>
      <c r="D99" t="str">
        <f>SUM(B99:B99)</f>
        <v>0</v>
      </c>
      <c r="E99" t="str">
        <f>IF(D99&lt;=$Y$19,"Bajo",IF(D99&lt;=$Y$20,"Medio",IF(D99&lt;=$Y$21,"Alto",0)))</f>
        <v>0</v>
      </c>
    </row>
    <row r="100" spans="1:33">
      <c r="A100" t="s">
        <v>120</v>
      </c>
      <c r="B100" t="str">
        <f>SUM('Satisfacción de los comités d'!B101:J101)</f>
        <v>0</v>
      </c>
      <c r="C100" t="str">
        <f>IF(B100&lt;=$M$19,"Bajo",IF(B100&lt;=$M$20,"Medio",IF(B100&lt;=$M$21,"Alto",0)))</f>
        <v>0</v>
      </c>
      <c r="D100" t="str">
        <f>SUM(B100:B100)</f>
        <v>0</v>
      </c>
      <c r="E100" t="str">
        <f>IF(D100&lt;=$Y$19,"Bajo",IF(D100&lt;=$Y$20,"Medio",IF(D100&lt;=$Y$21,"Alto",0)))</f>
        <v>0</v>
      </c>
    </row>
    <row r="101" spans="1:33">
      <c r="A101" t="s">
        <v>121</v>
      </c>
      <c r="B101" t="str">
        <f>SUM('Satisfacción de los comités d'!B102:J102)</f>
        <v>0</v>
      </c>
      <c r="C101" t="str">
        <f>IF(B101&lt;=$M$19,"Bajo",IF(B101&lt;=$M$20,"Medio",IF(B101&lt;=$M$21,"Alto",0)))</f>
        <v>0</v>
      </c>
      <c r="D101" t="str">
        <f>SUM(B101:B101)</f>
        <v>0</v>
      </c>
      <c r="E101" t="str">
        <f>IF(D101&lt;=$Y$19,"Bajo",IF(D101&lt;=$Y$20,"Medio",IF(D101&lt;=$Y$21,"Alto",0)))</f>
        <v>0</v>
      </c>
    </row>
    <row r="102" spans="1:33">
      <c r="A102" t="s">
        <v>122</v>
      </c>
      <c r="B102" t="str">
        <f>SUM('Satisfacción de los comités d'!B103:J103)</f>
        <v>0</v>
      </c>
      <c r="C102" t="str">
        <f>IF(B102&lt;=$M$19,"Bajo",IF(B102&lt;=$M$20,"Medio",IF(B102&lt;=$M$21,"Alto",0)))</f>
        <v>0</v>
      </c>
      <c r="D102" t="str">
        <f>SUM(B102:B102)</f>
        <v>0</v>
      </c>
      <c r="E102" t="str">
        <f>IF(D102&lt;=$Y$19,"Bajo",IF(D102&lt;=$Y$20,"Medio",IF(D102&lt;=$Y$21,"Alto",0)))</f>
        <v>0</v>
      </c>
    </row>
    <row r="103" spans="1:33">
      <c r="A103" t="s">
        <v>123</v>
      </c>
      <c r="B103" t="str">
        <f>SUM('Satisfacción de los comités d'!B104:J104)</f>
        <v>0</v>
      </c>
      <c r="C103" t="str">
        <f>IF(B103&lt;=$M$19,"Bajo",IF(B103&lt;=$M$20,"Medio",IF(B103&lt;=$M$21,"Alto",0)))</f>
        <v>0</v>
      </c>
      <c r="D103" t="str">
        <f>SUM(B103:B103)</f>
        <v>0</v>
      </c>
      <c r="E103" t="str">
        <f>IF(D103&lt;=$Y$19,"Bajo",IF(D103&lt;=$Y$20,"Medio",IF(D103&lt;=$Y$21,"Alto",0)))</f>
        <v>0</v>
      </c>
    </row>
    <row r="104" spans="1:33">
      <c r="A104" t="s">
        <v>124</v>
      </c>
      <c r="B104" t="str">
        <f>SUM('Satisfacción de los comités d'!B105:J105)</f>
        <v>0</v>
      </c>
      <c r="C104" t="str">
        <f>IF(B104&lt;=$M$19,"Bajo",IF(B104&lt;=$M$20,"Medio",IF(B104&lt;=$M$21,"Alto",0)))</f>
        <v>0</v>
      </c>
      <c r="D104" t="str">
        <f>SUM(B104:B104)</f>
        <v>0</v>
      </c>
      <c r="E104" t="str">
        <f>IF(D104&lt;=$Y$19,"Bajo",IF(D104&lt;=$Y$20,"Medio",IF(D104&lt;=$Y$21,"Alto",0)))</f>
        <v>0</v>
      </c>
    </row>
    <row r="105" spans="1:33">
      <c r="A105" t="s">
        <v>125</v>
      </c>
      <c r="B105" t="str">
        <f>SUM('Satisfacción de los comités d'!B106:J106)</f>
        <v>0</v>
      </c>
      <c r="C105" t="str">
        <f>IF(B105&lt;=$M$19,"Bajo",IF(B105&lt;=$M$20,"Medio",IF(B105&lt;=$M$21,"Alto",0)))</f>
        <v>0</v>
      </c>
      <c r="D105" t="str">
        <f>SUM(B105:B105)</f>
        <v>0</v>
      </c>
      <c r="E105" t="str">
        <f>IF(D105&lt;=$Y$19,"Bajo",IF(D105&lt;=$Y$20,"Medio",IF(D105&lt;=$Y$21,"Alto",0)))</f>
        <v>0</v>
      </c>
    </row>
    <row r="106" spans="1:33">
      <c r="A106" t="s">
        <v>126</v>
      </c>
      <c r="B106" t="str">
        <f>SUM('Satisfacción de los comités d'!B107:J107)</f>
        <v>0</v>
      </c>
      <c r="C106" t="str">
        <f>IF(B106&lt;=$M$19,"Bajo",IF(B106&lt;=$M$20,"Medio",IF(B106&lt;=$M$21,"Alto",0)))</f>
        <v>0</v>
      </c>
      <c r="D106" t="str">
        <f>SUM(B106:B106)</f>
        <v>0</v>
      </c>
      <c r="E106" t="str">
        <f>IF(D106&lt;=$Y$19,"Bajo",IF(D106&lt;=$Y$20,"Medio",IF(D106&lt;=$Y$21,"Alto",0)))</f>
        <v>0</v>
      </c>
    </row>
    <row r="107" spans="1:33">
      <c r="A107" t="s">
        <v>127</v>
      </c>
      <c r="B107" t="str">
        <f>SUM('Satisfacción de los comités d'!B108:J108)</f>
        <v>0</v>
      </c>
      <c r="C107" t="str">
        <f>IF(B107&lt;=$M$19,"Bajo",IF(B107&lt;=$M$20,"Medio",IF(B107&lt;=$M$21,"Alto",0)))</f>
        <v>0</v>
      </c>
      <c r="D107" t="str">
        <f>SUM(B107:B107)</f>
        <v>0</v>
      </c>
      <c r="E107" t="str">
        <f>IF(D107&lt;=$Y$19,"Bajo",IF(D107&lt;=$Y$20,"Medio",IF(D107&lt;=$Y$21,"Alto",0)))</f>
        <v>0</v>
      </c>
    </row>
    <row r="108" spans="1:33">
      <c r="A108" t="s">
        <v>128</v>
      </c>
      <c r="B108" t="str">
        <f>SUM('Satisfacción de los comités d'!B109:J109)</f>
        <v>0</v>
      </c>
      <c r="C108" t="str">
        <f>IF(B108&lt;=$M$19,"Bajo",IF(B108&lt;=$M$20,"Medio",IF(B108&lt;=$M$21,"Alto",0)))</f>
        <v>0</v>
      </c>
      <c r="D108" t="str">
        <f>SUM(B108:B108)</f>
        <v>0</v>
      </c>
      <c r="E108" t="str">
        <f>IF(D108&lt;=$Y$19,"Bajo",IF(D108&lt;=$Y$20,"Medio",IF(D108&lt;=$Y$21,"Alto",0)))</f>
        <v>0</v>
      </c>
    </row>
    <row r="109" spans="1:33">
      <c r="A109" t="s">
        <v>129</v>
      </c>
      <c r="B109" t="str">
        <f>SUM('Satisfacción de los comités d'!B110:J110)</f>
        <v>0</v>
      </c>
      <c r="C109" t="str">
        <f>IF(B109&lt;=$M$19,"Bajo",IF(B109&lt;=$M$20,"Medio",IF(B109&lt;=$M$21,"Alto",0)))</f>
        <v>0</v>
      </c>
      <c r="D109" t="str">
        <f>SUM(B109:B109)</f>
        <v>0</v>
      </c>
      <c r="E109" t="str">
        <f>IF(D109&lt;=$Y$19,"Bajo",IF(D109&lt;=$Y$20,"Medio",IF(D109&lt;=$Y$21,"Alto",0)))</f>
        <v>0</v>
      </c>
    </row>
    <row r="110" spans="1:33">
      <c r="A110" t="s">
        <v>130</v>
      </c>
      <c r="B110" t="str">
        <f>SUM('Satisfacción de los comités d'!B111:J111)</f>
        <v>0</v>
      </c>
      <c r="C110" t="str">
        <f>IF(B110&lt;=$M$19,"Bajo",IF(B110&lt;=$M$20,"Medio",IF(B110&lt;=$M$21,"Alto",0)))</f>
        <v>0</v>
      </c>
      <c r="D110" t="str">
        <f>SUM(B110:B110)</f>
        <v>0</v>
      </c>
      <c r="E110" t="str">
        <f>IF(D110&lt;=$Y$19,"Bajo",IF(D110&lt;=$Y$20,"Medio",IF(D110&lt;=$Y$21,"Alto",0)))</f>
        <v>0</v>
      </c>
    </row>
    <row r="111" spans="1:33">
      <c r="A111" t="s">
        <v>131</v>
      </c>
      <c r="B111" t="str">
        <f>SUM('Satisfacción de los comités d'!B112:J112)</f>
        <v>0</v>
      </c>
      <c r="C111" t="str">
        <f>IF(B111&lt;=$M$19,"Bajo",IF(B111&lt;=$M$20,"Medio",IF(B111&lt;=$M$21,"Alto",0)))</f>
        <v>0</v>
      </c>
      <c r="D111" t="str">
        <f>SUM(B111:B111)</f>
        <v>0</v>
      </c>
      <c r="E111" t="str">
        <f>IF(D111&lt;=$Y$19,"Bajo",IF(D111&lt;=$Y$20,"Medio",IF(D111&lt;=$Y$21,"Alto",0)))</f>
        <v>0</v>
      </c>
    </row>
    <row r="112" spans="1:33">
      <c r="A112" t="s">
        <v>132</v>
      </c>
      <c r="B112" t="str">
        <f>SUM('Satisfacción de los comités d'!B113:J113)</f>
        <v>0</v>
      </c>
      <c r="C112" t="str">
        <f>IF(B112&lt;=$M$19,"Bajo",IF(B112&lt;=$M$20,"Medio",IF(B112&lt;=$M$21,"Alto",0)))</f>
        <v>0</v>
      </c>
      <c r="D112" t="str">
        <f>SUM(B112:B112)</f>
        <v>0</v>
      </c>
      <c r="E112" t="str">
        <f>IF(D112&lt;=$Y$19,"Bajo",IF(D112&lt;=$Y$20,"Medio",IF(D112&lt;=$Y$21,"Alto",0)))</f>
        <v>0</v>
      </c>
    </row>
    <row r="113" spans="1:33">
      <c r="A113" t="s">
        <v>133</v>
      </c>
      <c r="B113" t="str">
        <f>SUM('Satisfacción de los comités d'!B114:J114)</f>
        <v>0</v>
      </c>
      <c r="C113" t="str">
        <f>IF(B113&lt;=$M$19,"Bajo",IF(B113&lt;=$M$20,"Medio",IF(B113&lt;=$M$21,"Alto",0)))</f>
        <v>0</v>
      </c>
      <c r="D113" t="str">
        <f>SUM(B113:B113)</f>
        <v>0</v>
      </c>
      <c r="E113" t="str">
        <f>IF(D113&lt;=$Y$19,"Bajo",IF(D113&lt;=$Y$20,"Medio",IF(D113&lt;=$Y$21,"Alto",0)))</f>
        <v>0</v>
      </c>
    </row>
    <row r="114" spans="1:33">
      <c r="A114" t="s">
        <v>134</v>
      </c>
      <c r="B114" t="str">
        <f>SUM('Satisfacción de los comités d'!B115:J115)</f>
        <v>0</v>
      </c>
      <c r="C114" t="str">
        <f>IF(B114&lt;=$M$19,"Bajo",IF(B114&lt;=$M$20,"Medio",IF(B114&lt;=$M$21,"Alto",0)))</f>
        <v>0</v>
      </c>
      <c r="D114" t="str">
        <f>SUM(B114:B114)</f>
        <v>0</v>
      </c>
      <c r="E114" t="str">
        <f>IF(D114&lt;=$Y$19,"Bajo",IF(D114&lt;=$Y$20,"Medio",IF(D114&lt;=$Y$21,"Alto",0)))</f>
        <v>0</v>
      </c>
    </row>
    <row r="115" spans="1:33">
      <c r="A115" t="s">
        <v>135</v>
      </c>
      <c r="B115" t="str">
        <f>SUM('Satisfacción de los comités d'!B116:J116)</f>
        <v>0</v>
      </c>
      <c r="C115" t="str">
        <f>IF(B115&lt;=$M$19,"Bajo",IF(B115&lt;=$M$20,"Medio",IF(B115&lt;=$M$21,"Alto",0)))</f>
        <v>0</v>
      </c>
      <c r="D115" t="str">
        <f>SUM(B115:B115)</f>
        <v>0</v>
      </c>
      <c r="E115" t="str">
        <f>IF(D115&lt;=$Y$19,"Bajo",IF(D115&lt;=$Y$20,"Medio",IF(D115&lt;=$Y$21,"Alto",0)))</f>
        <v>0</v>
      </c>
    </row>
    <row r="116" spans="1:33">
      <c r="A116" t="s">
        <v>136</v>
      </c>
      <c r="B116" t="str">
        <f>SUM('Satisfacción de los comités d'!B117:J117)</f>
        <v>0</v>
      </c>
      <c r="C116" t="str">
        <f>IF(B116&lt;=$M$19,"Bajo",IF(B116&lt;=$M$20,"Medio",IF(B116&lt;=$M$21,"Alto",0)))</f>
        <v>0</v>
      </c>
      <c r="D116" t="str">
        <f>SUM(B116:B116)</f>
        <v>0</v>
      </c>
      <c r="E116" t="str">
        <f>IF(D116&lt;=$Y$19,"Bajo",IF(D116&lt;=$Y$20,"Medio",IF(D116&lt;=$Y$21,"Alto",0)))</f>
        <v>0</v>
      </c>
    </row>
    <row r="117" spans="1:33">
      <c r="A117" t="s">
        <v>137</v>
      </c>
      <c r="B117" t="str">
        <f>SUM('Satisfacción de los comités d'!B118:J118)</f>
        <v>0</v>
      </c>
      <c r="C117" t="str">
        <f>IF(B117&lt;=$M$19,"Bajo",IF(B117&lt;=$M$20,"Medio",IF(B117&lt;=$M$21,"Alto",0)))</f>
        <v>0</v>
      </c>
      <c r="D117" t="str">
        <f>SUM(B117:B117)</f>
        <v>0</v>
      </c>
      <c r="E117" t="str">
        <f>IF(D117&lt;=$Y$19,"Bajo",IF(D117&lt;=$Y$20,"Medio",IF(D117&lt;=$Y$21,"Alto",0)))</f>
        <v>0</v>
      </c>
    </row>
    <row r="118" spans="1:33">
      <c r="A118" t="s">
        <v>138</v>
      </c>
      <c r="B118" t="str">
        <f>SUM('Satisfacción de los comités d'!B119:J119)</f>
        <v>0</v>
      </c>
      <c r="C118" t="str">
        <f>IF(B118&lt;=$M$19,"Bajo",IF(B118&lt;=$M$20,"Medio",IF(B118&lt;=$M$21,"Alto",0)))</f>
        <v>0</v>
      </c>
      <c r="D118" t="str">
        <f>SUM(B118:B118)</f>
        <v>0</v>
      </c>
      <c r="E118" t="str">
        <f>IF(D118&lt;=$Y$19,"Bajo",IF(D118&lt;=$Y$20,"Medio",IF(D118&lt;=$Y$21,"Alto",0)))</f>
        <v>0</v>
      </c>
    </row>
    <row r="119" spans="1:33">
      <c r="A119" t="s">
        <v>139</v>
      </c>
      <c r="B119" t="str">
        <f>SUM('Satisfacción de los comités d'!B120:J120)</f>
        <v>0</v>
      </c>
      <c r="C119" t="str">
        <f>IF(B119&lt;=$M$19,"Bajo",IF(B119&lt;=$M$20,"Medio",IF(B119&lt;=$M$21,"Alto",0)))</f>
        <v>0</v>
      </c>
      <c r="D119" t="str">
        <f>SUM(B119:B119)</f>
        <v>0</v>
      </c>
      <c r="E119" t="str">
        <f>IF(D119&lt;=$Y$19,"Bajo",IF(D119&lt;=$Y$20,"Medio",IF(D119&lt;=$Y$21,"Alto",0)))</f>
        <v>0</v>
      </c>
    </row>
    <row r="120" spans="1:33">
      <c r="A120" t="s">
        <v>140</v>
      </c>
      <c r="B120" t="str">
        <f>SUM('Satisfacción de los comités d'!B121:J121)</f>
        <v>0</v>
      </c>
      <c r="C120" t="str">
        <f>IF(B120&lt;=$M$19,"Bajo",IF(B120&lt;=$M$20,"Medio",IF(B120&lt;=$M$21,"Alto",0)))</f>
        <v>0</v>
      </c>
      <c r="D120" t="str">
        <f>SUM(B120:B120)</f>
        <v>0</v>
      </c>
      <c r="E120" t="str">
        <f>IF(D120&lt;=$Y$19,"Bajo",IF(D120&lt;=$Y$20,"Medio",IF(D120&lt;=$Y$21,"Alto",0)))</f>
        <v>0</v>
      </c>
    </row>
    <row r="121" spans="1:33">
      <c r="A121" t="s">
        <v>141</v>
      </c>
      <c r="B121" t="str">
        <f>SUM('Satisfacción de los comités d'!B122:J122)</f>
        <v>0</v>
      </c>
      <c r="C121" t="str">
        <f>IF(B121&lt;=$M$19,"Bajo",IF(B121&lt;=$M$20,"Medio",IF(B121&lt;=$M$21,"Alto",0)))</f>
        <v>0</v>
      </c>
      <c r="D121" t="str">
        <f>SUM(B121:B121)</f>
        <v>0</v>
      </c>
      <c r="E121" t="str">
        <f>IF(D121&lt;=$Y$19,"Bajo",IF(D121&lt;=$Y$20,"Medio",IF(D121&lt;=$Y$21,"Alto",0)))</f>
        <v>0</v>
      </c>
    </row>
    <row r="122" spans="1:33">
      <c r="A122" t="s">
        <v>142</v>
      </c>
      <c r="B122" t="str">
        <f>SUM('Satisfacción de los comités d'!B123:J123)</f>
        <v>0</v>
      </c>
      <c r="C122" t="str">
        <f>IF(B122&lt;=$M$19,"Bajo",IF(B122&lt;=$M$20,"Medio",IF(B122&lt;=$M$21,"Alto",0)))</f>
        <v>0</v>
      </c>
      <c r="D122" t="str">
        <f>SUM(B122:B122)</f>
        <v>0</v>
      </c>
      <c r="E122" t="str">
        <f>IF(D122&lt;=$Y$19,"Bajo",IF(D122&lt;=$Y$20,"Medio",IF(D122&lt;=$Y$21,"Alto",0)))</f>
        <v>0</v>
      </c>
    </row>
    <row r="123" spans="1:33">
      <c r="A123" t="s">
        <v>143</v>
      </c>
      <c r="B123" t="str">
        <f>SUM('Satisfacción de los comités d'!B124:J124)</f>
        <v>0</v>
      </c>
      <c r="C123" t="str">
        <f>IF(B123&lt;=$M$19,"Bajo",IF(B123&lt;=$M$20,"Medio",IF(B123&lt;=$M$21,"Alto",0)))</f>
        <v>0</v>
      </c>
      <c r="D123" t="str">
        <f>SUM(B123:B123)</f>
        <v>0</v>
      </c>
      <c r="E123" t="str">
        <f>IF(D123&lt;=$Y$19,"Bajo",IF(D123&lt;=$Y$20,"Medio",IF(D123&lt;=$Y$21,"Alto",0)))</f>
        <v>0</v>
      </c>
    </row>
    <row r="124" spans="1:33">
      <c r="A124" t="s">
        <v>144</v>
      </c>
      <c r="B124" t="str">
        <f>SUM('Satisfacción de los comités d'!B125:J125)</f>
        <v>0</v>
      </c>
      <c r="C124" t="str">
        <f>IF(B124&lt;=$M$19,"Bajo",IF(B124&lt;=$M$20,"Medio",IF(B124&lt;=$M$21,"Alto",0)))</f>
        <v>0</v>
      </c>
      <c r="D124" t="str">
        <f>SUM(B124:B124)</f>
        <v>0</v>
      </c>
      <c r="E124" t="str">
        <f>IF(D124&lt;=$Y$19,"Bajo",IF(D124&lt;=$Y$20,"Medio",IF(D124&lt;=$Y$21,"Alto",0)))</f>
        <v>0</v>
      </c>
    </row>
    <row r="125" spans="1:33">
      <c r="A125" t="s">
        <v>145</v>
      </c>
      <c r="B125" t="str">
        <f>SUM('Satisfacción de los comités d'!B126:J126)</f>
        <v>0</v>
      </c>
      <c r="C125" t="str">
        <f>IF(B125&lt;=$M$19,"Bajo",IF(B125&lt;=$M$20,"Medio",IF(B125&lt;=$M$21,"Alto",0)))</f>
        <v>0</v>
      </c>
      <c r="D125" t="str">
        <f>SUM(B125:B125)</f>
        <v>0</v>
      </c>
      <c r="E125" t="str">
        <f>IF(D125&lt;=$Y$19,"Bajo",IF(D125&lt;=$Y$20,"Medio",IF(D125&lt;=$Y$21,"Alto",0)))</f>
        <v>0</v>
      </c>
    </row>
    <row r="126" spans="1:33">
      <c r="A126" t="s">
        <v>146</v>
      </c>
      <c r="B126" t="str">
        <f>SUM('Satisfacción de los comités d'!B127:J127)</f>
        <v>0</v>
      </c>
      <c r="C126" t="str">
        <f>IF(B126&lt;=$M$19,"Bajo",IF(B126&lt;=$M$20,"Medio",IF(B126&lt;=$M$21,"Alto",0)))</f>
        <v>0</v>
      </c>
      <c r="D126" t="str">
        <f>SUM(B126:B126)</f>
        <v>0</v>
      </c>
      <c r="E126" t="str">
        <f>IF(D126&lt;=$Y$19,"Bajo",IF(D126&lt;=$Y$20,"Medio",IF(D126&lt;=$Y$21,"Alto",0)))</f>
        <v>0</v>
      </c>
    </row>
    <row r="127" spans="1:33">
      <c r="A127" t="s">
        <v>147</v>
      </c>
      <c r="B127" t="str">
        <f>SUM('Satisfacción de los comités d'!B128:J128)</f>
        <v>0</v>
      </c>
      <c r="C127" t="str">
        <f>IF(B127&lt;=$M$19,"Bajo",IF(B127&lt;=$M$20,"Medio",IF(B127&lt;=$M$21,"Alto",0)))</f>
        <v>0</v>
      </c>
      <c r="D127" t="str">
        <f>SUM(B127:B127)</f>
        <v>0</v>
      </c>
      <c r="E127" t="str">
        <f>IF(D127&lt;=$Y$19,"Bajo",IF(D127&lt;=$Y$20,"Medio",IF(D127&lt;=$Y$21,"Alto",0)))</f>
        <v>0</v>
      </c>
    </row>
    <row r="128" spans="1:33">
      <c r="A128" t="s">
        <v>148</v>
      </c>
      <c r="B128" t="str">
        <f>SUM('Satisfacción de los comités d'!B129:J129)</f>
        <v>0</v>
      </c>
      <c r="C128" t="str">
        <f>IF(B128&lt;=$M$19,"Bajo",IF(B128&lt;=$M$20,"Medio",IF(B128&lt;=$M$21,"Alto",0)))</f>
        <v>0</v>
      </c>
      <c r="D128" t="str">
        <f>SUM(B128:B128)</f>
        <v>0</v>
      </c>
      <c r="E128" t="str">
        <f>IF(D128&lt;=$Y$19,"Bajo",IF(D128&lt;=$Y$20,"Medio",IF(D128&lt;=$Y$21,"Alto",0)))</f>
        <v>0</v>
      </c>
    </row>
    <row r="129" spans="1:33">
      <c r="A129" t="s">
        <v>149</v>
      </c>
      <c r="B129" t="str">
        <f>SUM('Satisfacción de los comités d'!B130:J130)</f>
        <v>0</v>
      </c>
      <c r="C129" t="str">
        <f>IF(B129&lt;=$M$19,"Bajo",IF(B129&lt;=$M$20,"Medio",IF(B129&lt;=$M$21,"Alto",0)))</f>
        <v>0</v>
      </c>
      <c r="D129" t="str">
        <f>SUM(B129:B129)</f>
        <v>0</v>
      </c>
      <c r="E129" t="str">
        <f>IF(D129&lt;=$Y$19,"Bajo",IF(D129&lt;=$Y$20,"Medio",IF(D129&lt;=$Y$21,"Alto",0)))</f>
        <v>0</v>
      </c>
    </row>
    <row r="130" spans="1:33">
      <c r="A130" t="s">
        <v>150</v>
      </c>
      <c r="B130" t="str">
        <f>SUM('Satisfacción de los comités d'!B131:J131)</f>
        <v>0</v>
      </c>
      <c r="C130" t="str">
        <f>IF(B130&lt;=$M$19,"Bajo",IF(B130&lt;=$M$20,"Medio",IF(B130&lt;=$M$21,"Alto",0)))</f>
        <v>0</v>
      </c>
      <c r="D130" t="str">
        <f>SUM(B130:B130)</f>
        <v>0</v>
      </c>
      <c r="E130" t="str">
        <f>IF(D130&lt;=$Y$19,"Bajo",IF(D130&lt;=$Y$20,"Medio",IF(D130&lt;=$Y$21,"Alto",0)))</f>
        <v>0</v>
      </c>
    </row>
    <row r="131" spans="1:33">
      <c r="A131" t="s">
        <v>151</v>
      </c>
      <c r="B131" t="str">
        <f>SUM('Satisfacción de los comités d'!B132:J132)</f>
        <v>0</v>
      </c>
      <c r="C131" t="str">
        <f>IF(B131&lt;=$M$19,"Bajo",IF(B131&lt;=$M$20,"Medio",IF(B131&lt;=$M$21,"Alto",0)))</f>
        <v>0</v>
      </c>
      <c r="D131" t="str">
        <f>SUM(B131:B131)</f>
        <v>0</v>
      </c>
      <c r="E131" t="str">
        <f>IF(D131&lt;=$Y$19,"Bajo",IF(D131&lt;=$Y$20,"Medio",IF(D131&lt;=$Y$21,"Alto",0)))</f>
        <v>0</v>
      </c>
    </row>
    <row r="132" spans="1:33">
      <c r="A132" t="s">
        <v>152</v>
      </c>
      <c r="B132" t="str">
        <f>SUM('Satisfacción de los comités d'!B133:J133)</f>
        <v>0</v>
      </c>
      <c r="C132" t="str">
        <f>IF(B132&lt;=$M$19,"Bajo",IF(B132&lt;=$M$20,"Medio",IF(B132&lt;=$M$21,"Alto",0)))</f>
        <v>0</v>
      </c>
      <c r="D132" t="str">
        <f>SUM(B132:B132)</f>
        <v>0</v>
      </c>
      <c r="E132" t="str">
        <f>IF(D132&lt;=$Y$19,"Bajo",IF(D132&lt;=$Y$20,"Medio",IF(D132&lt;=$Y$21,"Alto",0)))</f>
        <v>0</v>
      </c>
    </row>
    <row r="133" spans="1:33">
      <c r="A133" t="s">
        <v>153</v>
      </c>
      <c r="B133" t="str">
        <f>SUM('Satisfacción de los comités d'!B134:J134)</f>
        <v>0</v>
      </c>
      <c r="C133" t="str">
        <f>IF(B133&lt;=$M$19,"Bajo",IF(B133&lt;=$M$20,"Medio",IF(B133&lt;=$M$21,"Alto",0)))</f>
        <v>0</v>
      </c>
      <c r="D133" t="str">
        <f>SUM(B133:B133)</f>
        <v>0</v>
      </c>
      <c r="E133" t="str">
        <f>IF(D133&lt;=$Y$19,"Bajo",IF(D133&lt;=$Y$20,"Medio",IF(D133&lt;=$Y$21,"Alto",0)))</f>
        <v>0</v>
      </c>
    </row>
    <row r="134" spans="1:33">
      <c r="A134" t="s">
        <v>154</v>
      </c>
      <c r="B134" t="str">
        <f>SUM('Satisfacción de los comités d'!B135:J135)</f>
        <v>0</v>
      </c>
      <c r="C134" t="str">
        <f>IF(B134&lt;=$M$19,"Bajo",IF(B134&lt;=$M$20,"Medio",IF(B134&lt;=$M$21,"Alto",0)))</f>
        <v>0</v>
      </c>
      <c r="D134" t="str">
        <f>SUM(B134:B134)</f>
        <v>0</v>
      </c>
      <c r="E134" t="str">
        <f>IF(D134&lt;=$Y$19,"Bajo",IF(D134&lt;=$Y$20,"Medio",IF(D134&lt;=$Y$21,"Alto",0)))</f>
        <v>0</v>
      </c>
    </row>
    <row r="135" spans="1:33">
      <c r="A135" t="s">
        <v>155</v>
      </c>
      <c r="B135" t="str">
        <f>SUM('Satisfacción de los comités d'!B136:J136)</f>
        <v>0</v>
      </c>
      <c r="C135" t="str">
        <f>IF(B135&lt;=$M$19,"Bajo",IF(B135&lt;=$M$20,"Medio",IF(B135&lt;=$M$21,"Alto",0)))</f>
        <v>0</v>
      </c>
      <c r="D135" t="str">
        <f>SUM(B135:B135)</f>
        <v>0</v>
      </c>
      <c r="E135" t="str">
        <f>IF(D135&lt;=$Y$19,"Bajo",IF(D135&lt;=$Y$20,"Medio",IF(D135&lt;=$Y$21,"Alto",0)))</f>
        <v>0</v>
      </c>
    </row>
    <row r="136" spans="1:33">
      <c r="A136" t="s">
        <v>156</v>
      </c>
      <c r="B136" t="str">
        <f>SUM('Satisfacción de los comités d'!B137:J137)</f>
        <v>0</v>
      </c>
      <c r="C136" t="str">
        <f>IF(B136&lt;=$M$19,"Bajo",IF(B136&lt;=$M$20,"Medio",IF(B136&lt;=$M$21,"Alto",0)))</f>
        <v>0</v>
      </c>
      <c r="D136" t="str">
        <f>SUM(B136:B136)</f>
        <v>0</v>
      </c>
      <c r="E136" t="str">
        <f>IF(D136&lt;=$Y$19,"Bajo",IF(D136&lt;=$Y$20,"Medio",IF(D136&lt;=$Y$21,"Alto",0)))</f>
        <v>0</v>
      </c>
    </row>
    <row r="137" spans="1:33">
      <c r="A137" t="s">
        <v>157</v>
      </c>
      <c r="B137" t="str">
        <f>SUM('Satisfacción de los comités d'!B138:J138)</f>
        <v>0</v>
      </c>
      <c r="C137" t="str">
        <f>IF(B137&lt;=$M$19,"Bajo",IF(B137&lt;=$M$20,"Medio",IF(B137&lt;=$M$21,"Alto",0)))</f>
        <v>0</v>
      </c>
      <c r="D137" t="str">
        <f>SUM(B137:B137)</f>
        <v>0</v>
      </c>
      <c r="E137" t="str">
        <f>IF(D137&lt;=$Y$19,"Bajo",IF(D137&lt;=$Y$20,"Medio",IF(D137&lt;=$Y$21,"Alto",0)))</f>
        <v>0</v>
      </c>
    </row>
    <row r="138" spans="1:33">
      <c r="A138" t="s">
        <v>158</v>
      </c>
      <c r="B138" t="str">
        <f>SUM('Satisfacción de los comités d'!B139:J139)</f>
        <v>0</v>
      </c>
      <c r="C138" t="str">
        <f>IF(B138&lt;=$M$19,"Bajo",IF(B138&lt;=$M$20,"Medio",IF(B138&lt;=$M$21,"Alto",0)))</f>
        <v>0</v>
      </c>
      <c r="D138" t="str">
        <f>SUM(B138:B138)</f>
        <v>0</v>
      </c>
      <c r="E138" t="str">
        <f>IF(D138&lt;=$Y$19,"Bajo",IF(D138&lt;=$Y$20,"Medio",IF(D138&lt;=$Y$21,"Alto",0)))</f>
        <v>0</v>
      </c>
    </row>
    <row r="139" spans="1:33">
      <c r="A139" t="s">
        <v>159</v>
      </c>
      <c r="B139" t="str">
        <f>SUM('Satisfacción de los comités d'!B140:J140)</f>
        <v>0</v>
      </c>
      <c r="C139" t="str">
        <f>IF(B139&lt;=$M$19,"Bajo",IF(B139&lt;=$M$20,"Medio",IF(B139&lt;=$M$21,"Alto",0)))</f>
        <v>0</v>
      </c>
      <c r="D139" t="str">
        <f>SUM(B139:B139)</f>
        <v>0</v>
      </c>
      <c r="E139" t="str">
        <f>IF(D139&lt;=$Y$19,"Bajo",IF(D139&lt;=$Y$20,"Medio",IF(D139&lt;=$Y$21,"Alto",0)))</f>
        <v>0</v>
      </c>
    </row>
    <row r="140" spans="1:33">
      <c r="A140" t="s">
        <v>160</v>
      </c>
      <c r="B140" t="str">
        <f>SUM('Satisfacción de los comités d'!B141:J141)</f>
        <v>0</v>
      </c>
      <c r="C140" t="str">
        <f>IF(B140&lt;=$M$19,"Bajo",IF(B140&lt;=$M$20,"Medio",IF(B140&lt;=$M$21,"Alto",0)))</f>
        <v>0</v>
      </c>
      <c r="D140" t="str">
        <f>SUM(B140:B140)</f>
        <v>0</v>
      </c>
      <c r="E140" t="str">
        <f>IF(D140&lt;=$Y$19,"Bajo",IF(D140&lt;=$Y$20,"Medio",IF(D140&lt;=$Y$21,"Alto",0)))</f>
        <v>0</v>
      </c>
    </row>
    <row r="141" spans="1:33">
      <c r="A141" t="s">
        <v>161</v>
      </c>
      <c r="B141" t="str">
        <f>SUM('Satisfacción de los comités d'!B142:J142)</f>
        <v>0</v>
      </c>
      <c r="C141" t="str">
        <f>IF(B141&lt;=$M$19,"Bajo",IF(B141&lt;=$M$20,"Medio",IF(B141&lt;=$M$21,"Alto",0)))</f>
        <v>0</v>
      </c>
      <c r="D141" t="str">
        <f>SUM(B141:B141)</f>
        <v>0</v>
      </c>
      <c r="E141" t="str">
        <f>IF(D141&lt;=$Y$19,"Bajo",IF(D141&lt;=$Y$20,"Medio",IF(D141&lt;=$Y$21,"Alto",0)))</f>
        <v>0</v>
      </c>
    </row>
    <row r="142" spans="1:33">
      <c r="A142" t="s">
        <v>162</v>
      </c>
      <c r="B142" t="str">
        <f>SUM('Satisfacción de los comités d'!B143:J143)</f>
        <v>0</v>
      </c>
      <c r="C142" t="str">
        <f>IF(B142&lt;=$M$19,"Bajo",IF(B142&lt;=$M$20,"Medio",IF(B142&lt;=$M$21,"Alto",0)))</f>
        <v>0</v>
      </c>
      <c r="D142" t="str">
        <f>SUM(B142:B142)</f>
        <v>0</v>
      </c>
      <c r="E142" t="str">
        <f>IF(D142&lt;=$Y$19,"Bajo",IF(D142&lt;=$Y$20,"Medio",IF(D142&lt;=$Y$21,"Alto",0)))</f>
        <v>0</v>
      </c>
    </row>
    <row r="143" spans="1:33">
      <c r="A143" t="s">
        <v>163</v>
      </c>
      <c r="B143" t="str">
        <f>SUM('Satisfacción de los comités d'!B144:J144)</f>
        <v>0</v>
      </c>
      <c r="C143" t="str">
        <f>IF(B143&lt;=$M$19,"Bajo",IF(B143&lt;=$M$20,"Medio",IF(B143&lt;=$M$21,"Alto",0)))</f>
        <v>0</v>
      </c>
      <c r="D143" t="str">
        <f>SUM(B143:B143)</f>
        <v>0</v>
      </c>
      <c r="E143" t="str">
        <f>IF(D143&lt;=$Y$19,"Bajo",IF(D143&lt;=$Y$20,"Medio",IF(D143&lt;=$Y$21,"Alto",0)))</f>
        <v>0</v>
      </c>
    </row>
    <row r="144" spans="1:33">
      <c r="A144" t="s">
        <v>164</v>
      </c>
      <c r="B144" t="str">
        <f>SUM('Satisfacción de los comités d'!B145:J145)</f>
        <v>0</v>
      </c>
      <c r="C144" t="str">
        <f>IF(B144&lt;=$M$19,"Bajo",IF(B144&lt;=$M$20,"Medio",IF(B144&lt;=$M$21,"Alto",0)))</f>
        <v>0</v>
      </c>
      <c r="D144" t="str">
        <f>SUM(B144:B144)</f>
        <v>0</v>
      </c>
      <c r="E144" t="str">
        <f>IF(D144&lt;=$Y$19,"Bajo",IF(D144&lt;=$Y$20,"Medio",IF(D144&lt;=$Y$21,"Alto",0)))</f>
        <v>0</v>
      </c>
    </row>
    <row r="145" spans="1:33">
      <c r="A145" t="s">
        <v>165</v>
      </c>
      <c r="B145" t="str">
        <f>SUM('Satisfacción de los comités d'!B146:J146)</f>
        <v>0</v>
      </c>
      <c r="C145" t="str">
        <f>IF(B145&lt;=$M$19,"Bajo",IF(B145&lt;=$M$20,"Medio",IF(B145&lt;=$M$21,"Alto",0)))</f>
        <v>0</v>
      </c>
      <c r="D145" t="str">
        <f>SUM(B145:B145)</f>
        <v>0</v>
      </c>
      <c r="E145" t="str">
        <f>IF(D145&lt;=$Y$19,"Bajo",IF(D145&lt;=$Y$20,"Medio",IF(D145&lt;=$Y$21,"Alto",0)))</f>
        <v>0</v>
      </c>
    </row>
    <row r="146" spans="1:33">
      <c r="A146" t="s">
        <v>166</v>
      </c>
      <c r="B146" t="str">
        <f>SUM('Satisfacción de los comités d'!B147:J147)</f>
        <v>0</v>
      </c>
      <c r="C146" t="str">
        <f>IF(B146&lt;=$M$19,"Bajo",IF(B146&lt;=$M$20,"Medio",IF(B146&lt;=$M$21,"Alto",0)))</f>
        <v>0</v>
      </c>
      <c r="D146" t="str">
        <f>SUM(B146:B146)</f>
        <v>0</v>
      </c>
      <c r="E146" t="str">
        <f>IF(D146&lt;=$Y$19,"Bajo",IF(D146&lt;=$Y$20,"Medio",IF(D146&lt;=$Y$21,"Alto",0)))</f>
        <v>0</v>
      </c>
    </row>
    <row r="147" spans="1:33">
      <c r="A147" t="s">
        <v>167</v>
      </c>
      <c r="B147" t="str">
        <f>SUM('Satisfacción de los comités d'!B148:J148)</f>
        <v>0</v>
      </c>
      <c r="C147" t="str">
        <f>IF(B147&lt;=$M$19,"Bajo",IF(B147&lt;=$M$20,"Medio",IF(B147&lt;=$M$21,"Alto",0)))</f>
        <v>0</v>
      </c>
      <c r="D147" t="str">
        <f>SUM(B147:B147)</f>
        <v>0</v>
      </c>
      <c r="E147" t="str">
        <f>IF(D147&lt;=$Y$19,"Bajo",IF(D147&lt;=$Y$20,"Medio",IF(D147&lt;=$Y$21,"Alto",0)))</f>
        <v>0</v>
      </c>
    </row>
    <row r="148" spans="1:33">
      <c r="A148" t="s">
        <v>168</v>
      </c>
      <c r="B148" t="str">
        <f>SUM('Satisfacción de los comités d'!B149:J149)</f>
        <v>0</v>
      </c>
      <c r="C148" t="str">
        <f>IF(B148&lt;=$M$19,"Bajo",IF(B148&lt;=$M$20,"Medio",IF(B148&lt;=$M$21,"Alto",0)))</f>
        <v>0</v>
      </c>
      <c r="D148" t="str">
        <f>SUM(B148:B148)</f>
        <v>0</v>
      </c>
      <c r="E148" t="str">
        <f>IF(D148&lt;=$Y$19,"Bajo",IF(D148&lt;=$Y$20,"Medio",IF(D148&lt;=$Y$21,"Alto",0)))</f>
        <v>0</v>
      </c>
    </row>
    <row r="149" spans="1:33">
      <c r="A149" t="s">
        <v>169</v>
      </c>
      <c r="B149" t="str">
        <f>SUM('Satisfacción de los comités d'!B150:J150)</f>
        <v>0</v>
      </c>
      <c r="C149" t="str">
        <f>IF(B149&lt;=$M$19,"Bajo",IF(B149&lt;=$M$20,"Medio",IF(B149&lt;=$M$21,"Alto",0)))</f>
        <v>0</v>
      </c>
      <c r="D149" t="str">
        <f>SUM(B149:B149)</f>
        <v>0</v>
      </c>
      <c r="E149" t="str">
        <f>IF(D149&lt;=$Y$19,"Bajo",IF(D149&lt;=$Y$20,"Medio",IF(D149&lt;=$Y$21,"Alto",0)))</f>
        <v>0</v>
      </c>
    </row>
    <row r="150" spans="1:33">
      <c r="A150" t="s">
        <v>170</v>
      </c>
      <c r="B150" t="str">
        <f>SUM('Satisfacción de los comités d'!B151:J151)</f>
        <v>0</v>
      </c>
      <c r="C150" t="str">
        <f>IF(B150&lt;=$M$19,"Bajo",IF(B150&lt;=$M$20,"Medio",IF(B150&lt;=$M$21,"Alto",0)))</f>
        <v>0</v>
      </c>
      <c r="D150" t="str">
        <f>SUM(B150:B150)</f>
        <v>0</v>
      </c>
      <c r="E150" t="str">
        <f>IF(D150&lt;=$Y$19,"Bajo",IF(D150&lt;=$Y$20,"Medio",IF(D150&lt;=$Y$21,"Alto",0)))</f>
        <v>0</v>
      </c>
    </row>
    <row r="151" spans="1:33">
      <c r="A151" t="s">
        <v>171</v>
      </c>
      <c r="B151" t="str">
        <f>SUM('Satisfacción de los comités d'!B152:J152)</f>
        <v>0</v>
      </c>
      <c r="C151" t="str">
        <f>IF(B151&lt;=$M$19,"Bajo",IF(B151&lt;=$M$20,"Medio",IF(B151&lt;=$M$21,"Alto",0)))</f>
        <v>0</v>
      </c>
      <c r="D151" t="str">
        <f>SUM(B151:B151)</f>
        <v>0</v>
      </c>
      <c r="E151" t="str">
        <f>IF(D151&lt;=$Y$19,"Bajo",IF(D151&lt;=$Y$20,"Medio",IF(D151&lt;=$Y$21,"Alto",0)))</f>
        <v>0</v>
      </c>
    </row>
    <row r="152" spans="1:33">
      <c r="A152" t="s">
        <v>172</v>
      </c>
      <c r="B152" t="str">
        <f>SUM('Satisfacción de los comités d'!B153:J153)</f>
        <v>0</v>
      </c>
      <c r="C152" t="str">
        <f>IF(B152&lt;=$M$19,"Bajo",IF(B152&lt;=$M$20,"Medio",IF(B152&lt;=$M$21,"Alto",0)))</f>
        <v>0</v>
      </c>
      <c r="D152" t="str">
        <f>SUM(B152:B152)</f>
        <v>0</v>
      </c>
      <c r="E152" t="str">
        <f>IF(D152&lt;=$Y$19,"Bajo",IF(D152&lt;=$Y$20,"Medio",IF(D152&lt;=$Y$21,"Alto",0)))</f>
        <v>0</v>
      </c>
    </row>
    <row r="153" spans="1:33">
      <c r="A153" t="s">
        <v>173</v>
      </c>
      <c r="B153" t="str">
        <f>SUM('Satisfacción de los comités d'!B154:J154)</f>
        <v>0</v>
      </c>
      <c r="C153" t="str">
        <f>IF(B153&lt;=$M$19,"Bajo",IF(B153&lt;=$M$20,"Medio",IF(B153&lt;=$M$21,"Alto",0)))</f>
        <v>0</v>
      </c>
      <c r="D153" t="str">
        <f>SUM(B153:B153)</f>
        <v>0</v>
      </c>
      <c r="E153" t="str">
        <f>IF(D153&lt;=$Y$19,"Bajo",IF(D153&lt;=$Y$20,"Medio",IF(D153&lt;=$Y$21,"Alto",0)))</f>
        <v>0</v>
      </c>
    </row>
    <row r="154" spans="1:33">
      <c r="A154" t="s">
        <v>174</v>
      </c>
      <c r="B154" t="str">
        <f>SUM('Satisfacción de los comités d'!B155:J155)</f>
        <v>0</v>
      </c>
      <c r="C154" t="str">
        <f>IF(B154&lt;=$M$19,"Bajo",IF(B154&lt;=$M$20,"Medio",IF(B154&lt;=$M$21,"Alto",0)))</f>
        <v>0</v>
      </c>
      <c r="D154" t="str">
        <f>SUM(B154:B154)</f>
        <v>0</v>
      </c>
      <c r="E154" t="str">
        <f>IF(D154&lt;=$Y$19,"Bajo",IF(D154&lt;=$Y$20,"Medio",IF(D154&lt;=$Y$21,"Alto",0)))</f>
        <v>0</v>
      </c>
    </row>
    <row r="155" spans="1:33">
      <c r="A155" t="s">
        <v>175</v>
      </c>
      <c r="B155" t="str">
        <f>SUM('Satisfacción de los comités d'!B156:J156)</f>
        <v>0</v>
      </c>
      <c r="C155" t="str">
        <f>IF(B155&lt;=$M$19,"Bajo",IF(B155&lt;=$M$20,"Medio",IF(B155&lt;=$M$21,"Alto",0)))</f>
        <v>0</v>
      </c>
      <c r="D155" t="str">
        <f>SUM(B155:B155)</f>
        <v>0</v>
      </c>
      <c r="E155" t="str">
        <f>IF(D155&lt;=$Y$19,"Bajo",IF(D155&lt;=$Y$20,"Medio",IF(D155&lt;=$Y$21,"Alto",0)))</f>
        <v>0</v>
      </c>
    </row>
    <row r="156" spans="1:33">
      <c r="A156" t="s">
        <v>176</v>
      </c>
      <c r="B156" t="str">
        <f>SUM('Satisfacción de los comités d'!B157:J157)</f>
        <v>0</v>
      </c>
      <c r="C156" t="str">
        <f>IF(B156&lt;=$M$19,"Bajo",IF(B156&lt;=$M$20,"Medio",IF(B156&lt;=$M$21,"Alto",0)))</f>
        <v>0</v>
      </c>
      <c r="D156" t="str">
        <f>SUM(B156:B156)</f>
        <v>0</v>
      </c>
      <c r="E156" t="str">
        <f>IF(D156&lt;=$Y$19,"Bajo",IF(D156&lt;=$Y$20,"Medio",IF(D156&lt;=$Y$21,"Alto",0)))</f>
        <v>0</v>
      </c>
    </row>
    <row r="157" spans="1:33">
      <c r="A157" t="s">
        <v>177</v>
      </c>
      <c r="B157" t="str">
        <f>SUM('Satisfacción de los comités d'!B158:J158)</f>
        <v>0</v>
      </c>
      <c r="C157" t="str">
        <f>IF(B157&lt;=$M$19,"Bajo",IF(B157&lt;=$M$20,"Medio",IF(B157&lt;=$M$21,"Alto",0)))</f>
        <v>0</v>
      </c>
      <c r="D157" t="str">
        <f>SUM(B157:B157)</f>
        <v>0</v>
      </c>
      <c r="E157" t="str">
        <f>IF(D157&lt;=$Y$19,"Bajo",IF(D157&lt;=$Y$20,"Medio",IF(D157&lt;=$Y$21,"Alto",0)))</f>
        <v>0</v>
      </c>
    </row>
    <row r="158" spans="1:33">
      <c r="A158" t="s">
        <v>178</v>
      </c>
      <c r="B158" t="str">
        <f>SUM('Satisfacción de los comités d'!B159:J159)</f>
        <v>0</v>
      </c>
      <c r="C158" t="str">
        <f>IF(B158&lt;=$M$19,"Bajo",IF(B158&lt;=$M$20,"Medio",IF(B158&lt;=$M$21,"Alto",0)))</f>
        <v>0</v>
      </c>
      <c r="D158" t="str">
        <f>SUM(B158:B158)</f>
        <v>0</v>
      </c>
      <c r="E158" t="str">
        <f>IF(D158&lt;=$Y$19,"Bajo",IF(D158&lt;=$Y$20,"Medio",IF(D158&lt;=$Y$21,"Alto",0)))</f>
        <v>0</v>
      </c>
    </row>
    <row r="159" spans="1:33">
      <c r="A159" t="s">
        <v>179</v>
      </c>
      <c r="B159" t="str">
        <f>SUM('Satisfacción de los comités d'!B160:J160)</f>
        <v>0</v>
      </c>
      <c r="C159" t="str">
        <f>IF(B159&lt;=$M$19,"Bajo",IF(B159&lt;=$M$20,"Medio",IF(B159&lt;=$M$21,"Alto",0)))</f>
        <v>0</v>
      </c>
      <c r="D159" t="str">
        <f>SUM(B159:B159)</f>
        <v>0</v>
      </c>
      <c r="E159" t="str">
        <f>IF(D159&lt;=$Y$19,"Bajo",IF(D159&lt;=$Y$20,"Medio",IF(D159&lt;=$Y$21,"Alto",0)))</f>
        <v>0</v>
      </c>
    </row>
    <row r="160" spans="1:33">
      <c r="A160" t="s">
        <v>180</v>
      </c>
      <c r="B160" t="str">
        <f>SUM('Satisfacción de los comités d'!B161:J161)</f>
        <v>0</v>
      </c>
      <c r="C160" t="str">
        <f>IF(B160&lt;=$M$19,"Bajo",IF(B160&lt;=$M$20,"Medio",IF(B160&lt;=$M$21,"Alto",0)))</f>
        <v>0</v>
      </c>
      <c r="D160" t="str">
        <f>SUM(B160:B160)</f>
        <v>0</v>
      </c>
      <c r="E160" t="str">
        <f>IF(D160&lt;=$Y$19,"Bajo",IF(D160&lt;=$Y$20,"Medio",IF(D160&lt;=$Y$21,"Alto",0)))</f>
        <v>0</v>
      </c>
    </row>
    <row r="161" spans="1:33">
      <c r="A161" t="s">
        <v>181</v>
      </c>
      <c r="B161" t="str">
        <f>SUM('Satisfacción de los comités d'!B162:J162)</f>
        <v>0</v>
      </c>
      <c r="C161" t="str">
        <f>IF(B161&lt;=$M$19,"Bajo",IF(B161&lt;=$M$20,"Medio",IF(B161&lt;=$M$21,"Alto",0)))</f>
        <v>0</v>
      </c>
      <c r="D161" t="str">
        <f>SUM(B161:B161)</f>
        <v>0</v>
      </c>
      <c r="E161" t="str">
        <f>IF(D161&lt;=$Y$19,"Bajo",IF(D161&lt;=$Y$20,"Medio",IF(D161&lt;=$Y$21,"Alto",0)))</f>
        <v>0</v>
      </c>
    </row>
    <row r="162" spans="1:33">
      <c r="A162" t="s">
        <v>182</v>
      </c>
      <c r="B162" t="str">
        <f>SUM('Satisfacción de los comités d'!B163:J163)</f>
        <v>0</v>
      </c>
      <c r="C162" t="str">
        <f>IF(B162&lt;=$M$19,"Bajo",IF(B162&lt;=$M$20,"Medio",IF(B162&lt;=$M$21,"Alto",0)))</f>
        <v>0</v>
      </c>
      <c r="D162" t="str">
        <f>SUM(B162:B162)</f>
        <v>0</v>
      </c>
      <c r="E162" t="str">
        <f>IF(D162&lt;=$Y$19,"Bajo",IF(D162&lt;=$Y$20,"Medio",IF(D162&lt;=$Y$21,"Alto",0)))</f>
        <v>0</v>
      </c>
    </row>
    <row r="163" spans="1:33">
      <c r="A163" t="s">
        <v>183</v>
      </c>
      <c r="B163" t="str">
        <f>SUM('Satisfacción de los comités d'!B164:J164)</f>
        <v>0</v>
      </c>
      <c r="C163" t="str">
        <f>IF(B163&lt;=$M$19,"Bajo",IF(B163&lt;=$M$20,"Medio",IF(B163&lt;=$M$21,"Alto",0)))</f>
        <v>0</v>
      </c>
      <c r="D163" t="str">
        <f>SUM(B163:B163)</f>
        <v>0</v>
      </c>
      <c r="E163" t="str">
        <f>IF(D163&lt;=$Y$19,"Bajo",IF(D163&lt;=$Y$20,"Medio",IF(D163&lt;=$Y$21,"Alto",0)))</f>
        <v>0</v>
      </c>
    </row>
    <row r="164" spans="1:33">
      <c r="A164" t="s">
        <v>184</v>
      </c>
      <c r="B164" t="str">
        <f>SUM('Satisfacción de los comités d'!B165:J165)</f>
        <v>0</v>
      </c>
      <c r="C164" t="str">
        <f>IF(B164&lt;=$M$19,"Bajo",IF(B164&lt;=$M$20,"Medio",IF(B164&lt;=$M$21,"Alto",0)))</f>
        <v>0</v>
      </c>
      <c r="D164" t="str">
        <f>SUM(B164:B164)</f>
        <v>0</v>
      </c>
      <c r="E164" t="str">
        <f>IF(D164&lt;=$Y$19,"Bajo",IF(D164&lt;=$Y$20,"Medio",IF(D164&lt;=$Y$21,"Alto",0)))</f>
        <v>0</v>
      </c>
    </row>
    <row r="165" spans="1:33">
      <c r="A165" t="s">
        <v>185</v>
      </c>
      <c r="B165" t="str">
        <f>SUM('Satisfacción de los comités d'!B166:J166)</f>
        <v>0</v>
      </c>
      <c r="C165" t="str">
        <f>IF(B165&lt;=$M$19,"Bajo",IF(B165&lt;=$M$20,"Medio",IF(B165&lt;=$M$21,"Alto",0)))</f>
        <v>0</v>
      </c>
      <c r="D165" t="str">
        <f>SUM(B165:B165)</f>
        <v>0</v>
      </c>
      <c r="E165" t="str">
        <f>IF(D165&lt;=$Y$19,"Bajo",IF(D165&lt;=$Y$20,"Medio",IF(D165&lt;=$Y$21,"Alto",0)))</f>
        <v>0</v>
      </c>
    </row>
    <row r="166" spans="1:33">
      <c r="A166" t="s">
        <v>186</v>
      </c>
      <c r="B166" t="str">
        <f>SUM('Satisfacción de los comités d'!B167:J167)</f>
        <v>0</v>
      </c>
      <c r="C166" t="str">
        <f>IF(B166&lt;=$M$19,"Bajo",IF(B166&lt;=$M$20,"Medio",IF(B166&lt;=$M$21,"Alto",0)))</f>
        <v>0</v>
      </c>
      <c r="D166" t="str">
        <f>SUM(B166:B166)</f>
        <v>0</v>
      </c>
      <c r="E166" t="str">
        <f>IF(D166&lt;=$Y$19,"Bajo",IF(D166&lt;=$Y$20,"Medio",IF(D166&lt;=$Y$21,"Alto",0)))</f>
        <v>0</v>
      </c>
    </row>
    <row r="167" spans="1:33">
      <c r="A167" t="s">
        <v>187</v>
      </c>
      <c r="B167" t="str">
        <f>SUM('Satisfacción de los comités d'!B168:J168)</f>
        <v>0</v>
      </c>
      <c r="C167" t="str">
        <f>IF(B167&lt;=$M$19,"Bajo",IF(B167&lt;=$M$20,"Medio",IF(B167&lt;=$M$21,"Alto",0)))</f>
        <v>0</v>
      </c>
      <c r="D167" t="str">
        <f>SUM(B167:B167)</f>
        <v>0</v>
      </c>
      <c r="E167" t="str">
        <f>IF(D167&lt;=$Y$19,"Bajo",IF(D167&lt;=$Y$20,"Medio",IF(D167&lt;=$Y$21,"Alto",0)))</f>
        <v>0</v>
      </c>
    </row>
    <row r="168" spans="1:33">
      <c r="A168" t="s">
        <v>188</v>
      </c>
      <c r="B168" t="str">
        <f>SUM('Satisfacción de los comités d'!B169:J169)</f>
        <v>0</v>
      </c>
      <c r="C168" t="str">
        <f>IF(B168&lt;=$M$19,"Bajo",IF(B168&lt;=$M$20,"Medio",IF(B168&lt;=$M$21,"Alto",0)))</f>
        <v>0</v>
      </c>
      <c r="D168" t="str">
        <f>SUM(B168:B168)</f>
        <v>0</v>
      </c>
      <c r="E168" t="str">
        <f>IF(D168&lt;=$Y$19,"Bajo",IF(D168&lt;=$Y$20,"Medio",IF(D168&lt;=$Y$21,"Alto",0)))</f>
        <v>0</v>
      </c>
    </row>
    <row r="169" spans="1:33">
      <c r="A169" t="s">
        <v>189</v>
      </c>
      <c r="B169" t="str">
        <f>SUM('Satisfacción de los comités d'!B170:J170)</f>
        <v>0</v>
      </c>
      <c r="C169" t="str">
        <f>IF(B169&lt;=$M$19,"Bajo",IF(B169&lt;=$M$20,"Medio",IF(B169&lt;=$M$21,"Alto",0)))</f>
        <v>0</v>
      </c>
      <c r="D169" t="str">
        <f>SUM(B169:B169)</f>
        <v>0</v>
      </c>
      <c r="E169" t="str">
        <f>IF(D169&lt;=$Y$19,"Bajo",IF(D169&lt;=$Y$20,"Medio",IF(D169&lt;=$Y$21,"Alto",0)))</f>
        <v>0</v>
      </c>
    </row>
    <row r="170" spans="1:33">
      <c r="A170" t="s">
        <v>190</v>
      </c>
      <c r="B170" t="str">
        <f>SUM('Satisfacción de los comités d'!B171:J171)</f>
        <v>0</v>
      </c>
      <c r="C170" t="str">
        <f>IF(B170&lt;=$M$19,"Bajo",IF(B170&lt;=$M$20,"Medio",IF(B170&lt;=$M$21,"Alto",0)))</f>
        <v>0</v>
      </c>
      <c r="D170" t="str">
        <f>SUM(B170:B170)</f>
        <v>0</v>
      </c>
      <c r="E170" t="str">
        <f>IF(D170&lt;=$Y$19,"Bajo",IF(D170&lt;=$Y$20,"Medio",IF(D170&lt;=$Y$21,"Alto",0)))</f>
        <v>0</v>
      </c>
    </row>
    <row r="171" spans="1:33">
      <c r="A171" t="s">
        <v>191</v>
      </c>
      <c r="B171" t="str">
        <f>SUM('Satisfacción de los comités d'!B172:J172)</f>
        <v>0</v>
      </c>
      <c r="C171" t="str">
        <f>IF(B171&lt;=$M$19,"Bajo",IF(B171&lt;=$M$20,"Medio",IF(B171&lt;=$M$21,"Alto",0)))</f>
        <v>0</v>
      </c>
      <c r="D171" t="str">
        <f>SUM(B171:B171)</f>
        <v>0</v>
      </c>
      <c r="E171" t="str">
        <f>IF(D171&lt;=$Y$19,"Bajo",IF(D171&lt;=$Y$20,"Medio",IF(D171&lt;=$Y$21,"Alto",0)))</f>
        <v>0</v>
      </c>
    </row>
    <row r="172" spans="1:33">
      <c r="A172" t="s">
        <v>192</v>
      </c>
      <c r="B172" t="str">
        <f>SUM('Satisfacción de los comités d'!B173:J173)</f>
        <v>0</v>
      </c>
      <c r="C172" t="str">
        <f>IF(B172&lt;=$M$19,"Bajo",IF(B172&lt;=$M$20,"Medio",IF(B172&lt;=$M$21,"Alto",0)))</f>
        <v>0</v>
      </c>
      <c r="D172" t="str">
        <f>SUM(B172:B172)</f>
        <v>0</v>
      </c>
      <c r="E172" t="str">
        <f>IF(D172&lt;=$Y$19,"Bajo",IF(D172&lt;=$Y$20,"Medio",IF(D172&lt;=$Y$21,"Alto",0)))</f>
        <v>0</v>
      </c>
    </row>
    <row r="173" spans="1:33">
      <c r="A173" t="s">
        <v>193</v>
      </c>
      <c r="B173" t="str">
        <f>SUM('Satisfacción de los comités d'!B174:J174)</f>
        <v>0</v>
      </c>
      <c r="C173" t="str">
        <f>IF(B173&lt;=$M$19,"Bajo",IF(B173&lt;=$M$20,"Medio",IF(B173&lt;=$M$21,"Alto",0)))</f>
        <v>0</v>
      </c>
      <c r="D173" t="str">
        <f>SUM(B173:B173)</f>
        <v>0</v>
      </c>
      <c r="E173" t="str">
        <f>IF(D173&lt;=$Y$19,"Bajo",IF(D173&lt;=$Y$20,"Medio",IF(D173&lt;=$Y$21,"Alto",0)))</f>
        <v>0</v>
      </c>
    </row>
    <row r="174" spans="1:33">
      <c r="A174" t="s">
        <v>194</v>
      </c>
      <c r="B174" t="str">
        <f>SUM('Satisfacción de los comités d'!B175:J175)</f>
        <v>0</v>
      </c>
      <c r="C174" t="str">
        <f>IF(B174&lt;=$M$19,"Bajo",IF(B174&lt;=$M$20,"Medio",IF(B174&lt;=$M$21,"Alto",0)))</f>
        <v>0</v>
      </c>
      <c r="D174" t="str">
        <f>SUM(B174:B174)</f>
        <v>0</v>
      </c>
      <c r="E174" t="str">
        <f>IF(D174&lt;=$Y$19,"Bajo",IF(D174&lt;=$Y$20,"Medio",IF(D174&lt;=$Y$21,"Alto",0)))</f>
        <v>0</v>
      </c>
    </row>
    <row r="175" spans="1:33">
      <c r="A175" t="s">
        <v>195</v>
      </c>
      <c r="B175" t="str">
        <f>SUM('Satisfacción de los comités d'!B176:J176)</f>
        <v>0</v>
      </c>
      <c r="C175" t="str">
        <f>IF(B175&lt;=$M$19,"Bajo",IF(B175&lt;=$M$20,"Medio",IF(B175&lt;=$M$21,"Alto",0)))</f>
        <v>0</v>
      </c>
      <c r="D175" t="str">
        <f>SUM(B175:B175)</f>
        <v>0</v>
      </c>
      <c r="E175" t="str">
        <f>IF(D175&lt;=$Y$19,"Bajo",IF(D175&lt;=$Y$20,"Medio",IF(D175&lt;=$Y$21,"Alto",0)))</f>
        <v>0</v>
      </c>
    </row>
    <row r="176" spans="1:33">
      <c r="A176" t="s">
        <v>196</v>
      </c>
      <c r="B176" t="str">
        <f>SUM('Satisfacción de los comités d'!B177:J177)</f>
        <v>0</v>
      </c>
      <c r="C176" t="str">
        <f>IF(B176&lt;=$M$19,"Bajo",IF(B176&lt;=$M$20,"Medio",IF(B176&lt;=$M$21,"Alto",0)))</f>
        <v>0</v>
      </c>
      <c r="D176" t="str">
        <f>SUM(B176:B176)</f>
        <v>0</v>
      </c>
      <c r="E176" t="str">
        <f>IF(D176&lt;=$Y$19,"Bajo",IF(D176&lt;=$Y$20,"Medio",IF(D176&lt;=$Y$21,"Alto",0)))</f>
        <v>0</v>
      </c>
    </row>
    <row r="177" spans="1:33">
      <c r="A177" t="s">
        <v>197</v>
      </c>
      <c r="B177" t="str">
        <f>SUM('Satisfacción de los comités d'!B178:J178)</f>
        <v>0</v>
      </c>
      <c r="C177" t="str">
        <f>IF(B177&lt;=$M$19,"Bajo",IF(B177&lt;=$M$20,"Medio",IF(B177&lt;=$M$21,"Alto",0)))</f>
        <v>0</v>
      </c>
      <c r="D177" t="str">
        <f>SUM(B177:B177)</f>
        <v>0</v>
      </c>
      <c r="E177" t="str">
        <f>IF(D177&lt;=$Y$19,"Bajo",IF(D177&lt;=$Y$20,"Medio",IF(D177&lt;=$Y$21,"Alto",0)))</f>
        <v>0</v>
      </c>
    </row>
    <row r="178" spans="1:33">
      <c r="A178" t="s">
        <v>198</v>
      </c>
      <c r="B178" t="str">
        <f>SUM('Satisfacción de los comités d'!B179:J179)</f>
        <v>0</v>
      </c>
      <c r="C178" t="str">
        <f>IF(B178&lt;=$M$19,"Bajo",IF(B178&lt;=$M$20,"Medio",IF(B178&lt;=$M$21,"Alto",0)))</f>
        <v>0</v>
      </c>
      <c r="D178" t="str">
        <f>SUM(B178:B178)</f>
        <v>0</v>
      </c>
      <c r="E178" t="str">
        <f>IF(D178&lt;=$Y$19,"Bajo",IF(D178&lt;=$Y$20,"Medio",IF(D178&lt;=$Y$21,"Alto",0)))</f>
        <v>0</v>
      </c>
    </row>
    <row r="179" spans="1:33">
      <c r="A179" t="s">
        <v>199</v>
      </c>
      <c r="B179" t="str">
        <f>SUM('Satisfacción de los comités d'!B180:J180)</f>
        <v>0</v>
      </c>
      <c r="C179" t="str">
        <f>IF(B179&lt;=$M$19,"Bajo",IF(B179&lt;=$M$20,"Medio",IF(B179&lt;=$M$21,"Alto",0)))</f>
        <v>0</v>
      </c>
      <c r="D179" t="str">
        <f>SUM(B179:B179)</f>
        <v>0</v>
      </c>
      <c r="E179" t="str">
        <f>IF(D179&lt;=$Y$19,"Bajo",IF(D179&lt;=$Y$20,"Medio",IF(D179&lt;=$Y$21,"Alto",0)))</f>
        <v>0</v>
      </c>
    </row>
    <row r="180" spans="1:33">
      <c r="A180" t="s">
        <v>200</v>
      </c>
      <c r="B180" t="str">
        <f>SUM('Satisfacción de los comités d'!B181:J181)</f>
        <v>0</v>
      </c>
      <c r="C180" t="str">
        <f>IF(B180&lt;=$M$19,"Bajo",IF(B180&lt;=$M$20,"Medio",IF(B180&lt;=$M$21,"Alto",0)))</f>
        <v>0</v>
      </c>
      <c r="D180" t="str">
        <f>SUM(B180:B180)</f>
        <v>0</v>
      </c>
      <c r="E180" t="str">
        <f>IF(D180&lt;=$Y$19,"Bajo",IF(D180&lt;=$Y$20,"Medio",IF(D180&lt;=$Y$21,"Alto",0)))</f>
        <v>0</v>
      </c>
    </row>
    <row r="181" spans="1:33">
      <c r="A181" t="s">
        <v>201</v>
      </c>
      <c r="B181" t="str">
        <f>SUM('Satisfacción de los comités d'!B182:J182)</f>
        <v>0</v>
      </c>
      <c r="C181" t="str">
        <f>IF(B181&lt;=$M$19,"Bajo",IF(B181&lt;=$M$20,"Medio",IF(B181&lt;=$M$21,"Alto",0)))</f>
        <v>0</v>
      </c>
      <c r="D181" t="str">
        <f>SUM(B181:B181)</f>
        <v>0</v>
      </c>
      <c r="E181" t="str">
        <f>IF(D181&lt;=$Y$19,"Bajo",IF(D181&lt;=$Y$20,"Medio",IF(D181&lt;=$Y$21,"Alto",0)))</f>
        <v>0</v>
      </c>
    </row>
    <row r="182" spans="1:33">
      <c r="A182" t="s">
        <v>202</v>
      </c>
      <c r="B182" t="str">
        <f>SUM('Satisfacción de los comités d'!B183:J183)</f>
        <v>0</v>
      </c>
      <c r="C182" t="str">
        <f>IF(B182&lt;=$M$19,"Bajo",IF(B182&lt;=$M$20,"Medio",IF(B182&lt;=$M$21,"Alto",0)))</f>
        <v>0</v>
      </c>
      <c r="D182" t="str">
        <f>SUM(B182:B182)</f>
        <v>0</v>
      </c>
      <c r="E182" t="str">
        <f>IF(D182&lt;=$Y$19,"Bajo",IF(D182&lt;=$Y$20,"Medio",IF(D182&lt;=$Y$21,"Alto",0)))</f>
        <v>0</v>
      </c>
    </row>
    <row r="183" spans="1:33">
      <c r="A183" t="s">
        <v>203</v>
      </c>
      <c r="B183" t="str">
        <f>SUM('Satisfacción de los comités d'!B184:J184)</f>
        <v>0</v>
      </c>
      <c r="C183" t="str">
        <f>IF(B183&lt;=$M$19,"Bajo",IF(B183&lt;=$M$20,"Medio",IF(B183&lt;=$M$21,"Alto",0)))</f>
        <v>0</v>
      </c>
      <c r="D183" t="str">
        <f>SUM(B183:B183)</f>
        <v>0</v>
      </c>
      <c r="E183" t="str">
        <f>IF(D183&lt;=$Y$19,"Bajo",IF(D183&lt;=$Y$20,"Medio",IF(D183&lt;=$Y$21,"Alto",0)))</f>
        <v>0</v>
      </c>
    </row>
    <row r="184" spans="1:33">
      <c r="A184" t="s">
        <v>204</v>
      </c>
      <c r="B184" t="str">
        <f>SUM('Satisfacción de los comités d'!B185:J185)</f>
        <v>0</v>
      </c>
      <c r="C184" t="str">
        <f>IF(B184&lt;=$M$19,"Bajo",IF(B184&lt;=$M$20,"Medio",IF(B184&lt;=$M$21,"Alto",0)))</f>
        <v>0</v>
      </c>
      <c r="D184" t="str">
        <f>SUM(B184:B184)</f>
        <v>0</v>
      </c>
      <c r="E184" t="str">
        <f>IF(D184&lt;=$Y$19,"Bajo",IF(D184&lt;=$Y$20,"Medio",IF(D184&lt;=$Y$21,"Alto",0)))</f>
        <v>0</v>
      </c>
    </row>
    <row r="185" spans="1:33">
      <c r="A185" t="s">
        <v>205</v>
      </c>
      <c r="B185" t="str">
        <f>SUM('Satisfacción de los comités d'!B186:J186)</f>
        <v>0</v>
      </c>
      <c r="C185" t="str">
        <f>IF(B185&lt;=$M$19,"Bajo",IF(B185&lt;=$M$20,"Medio",IF(B185&lt;=$M$21,"Alto",0)))</f>
        <v>0</v>
      </c>
      <c r="D185" t="str">
        <f>SUM(B185:B185)</f>
        <v>0</v>
      </c>
      <c r="E185" t="str">
        <f>IF(D185&lt;=$Y$19,"Bajo",IF(D185&lt;=$Y$20,"Medio",IF(D185&lt;=$Y$21,"Alto",0)))</f>
        <v>0</v>
      </c>
    </row>
    <row r="186" spans="1:33">
      <c r="A186" t="s">
        <v>206</v>
      </c>
      <c r="B186" t="str">
        <f>SUM('Satisfacción de los comités d'!B187:J187)</f>
        <v>0</v>
      </c>
      <c r="C186" t="str">
        <f>IF(B186&lt;=$M$19,"Bajo",IF(B186&lt;=$M$20,"Medio",IF(B186&lt;=$M$21,"Alto",0)))</f>
        <v>0</v>
      </c>
      <c r="D186" t="str">
        <f>SUM(B186:B186)</f>
        <v>0</v>
      </c>
      <c r="E186" t="str">
        <f>IF(D186&lt;=$Y$19,"Bajo",IF(D186&lt;=$Y$20,"Medio",IF(D186&lt;=$Y$21,"Alto",0)))</f>
        <v>0</v>
      </c>
    </row>
    <row r="187" spans="1:33">
      <c r="A187" t="s">
        <v>207</v>
      </c>
      <c r="B187" t="str">
        <f>SUM('Satisfacción de los comités d'!B188:J188)</f>
        <v>0</v>
      </c>
      <c r="C187" t="str">
        <f>IF(B187&lt;=$M$19,"Bajo",IF(B187&lt;=$M$20,"Medio",IF(B187&lt;=$M$21,"Alto",0)))</f>
        <v>0</v>
      </c>
      <c r="D187" t="str">
        <f>SUM(B187:B187)</f>
        <v>0</v>
      </c>
      <c r="E187" t="str">
        <f>IF(D187&lt;=$Y$19,"Bajo",IF(D187&lt;=$Y$20,"Medio",IF(D187&lt;=$Y$21,"Alto",0)))</f>
        <v>0</v>
      </c>
    </row>
    <row r="188" spans="1:33">
      <c r="A188" t="s">
        <v>208</v>
      </c>
      <c r="B188" t="str">
        <f>SUM('Satisfacción de los comités d'!B189:J189)</f>
        <v>0</v>
      </c>
      <c r="C188" t="str">
        <f>IF(B188&lt;=$M$19,"Bajo",IF(B188&lt;=$M$20,"Medio",IF(B188&lt;=$M$21,"Alto",0)))</f>
        <v>0</v>
      </c>
      <c r="D188" t="str">
        <f>SUM(B188:B188)</f>
        <v>0</v>
      </c>
      <c r="E188" t="str">
        <f>IF(D188&lt;=$Y$19,"Bajo",IF(D188&lt;=$Y$20,"Medio",IF(D188&lt;=$Y$21,"Alto",0)))</f>
        <v>0</v>
      </c>
    </row>
    <row r="189" spans="1:33">
      <c r="A189" t="s">
        <v>209</v>
      </c>
      <c r="B189" t="str">
        <f>SUM('Satisfacción de los comités d'!B190:J190)</f>
        <v>0</v>
      </c>
      <c r="C189" t="str">
        <f>IF(B189&lt;=$M$19,"Bajo",IF(B189&lt;=$M$20,"Medio",IF(B189&lt;=$M$21,"Alto",0)))</f>
        <v>0</v>
      </c>
      <c r="D189" t="str">
        <f>SUM(B189:B189)</f>
        <v>0</v>
      </c>
      <c r="E189" t="str">
        <f>IF(D189&lt;=$Y$19,"Bajo",IF(D189&lt;=$Y$20,"Medio",IF(D189&lt;=$Y$21,"Alto",0)))</f>
        <v>0</v>
      </c>
    </row>
    <row r="190" spans="1:33">
      <c r="A190" t="s">
        <v>210</v>
      </c>
      <c r="B190" t="str">
        <f>SUM('Satisfacción de los comités d'!B191:J191)</f>
        <v>0</v>
      </c>
      <c r="C190" t="str">
        <f>IF(B190&lt;=$M$19,"Bajo",IF(B190&lt;=$M$20,"Medio",IF(B190&lt;=$M$21,"Alto",0)))</f>
        <v>0</v>
      </c>
      <c r="D190" t="str">
        <f>SUM(B190:B190)</f>
        <v>0</v>
      </c>
      <c r="E190" t="str">
        <f>IF(D190&lt;=$Y$19,"Bajo",IF(D190&lt;=$Y$20,"Medio",IF(D190&lt;=$Y$21,"Alto",0)))</f>
        <v>0</v>
      </c>
    </row>
    <row r="191" spans="1:33">
      <c r="A191" t="s">
        <v>211</v>
      </c>
      <c r="B191" t="str">
        <f>SUM('Satisfacción de los comités d'!B192:J192)</f>
        <v>0</v>
      </c>
      <c r="C191" t="str">
        <f>IF(B191&lt;=$M$19,"Bajo",IF(B191&lt;=$M$20,"Medio",IF(B191&lt;=$M$21,"Alto",0)))</f>
        <v>0</v>
      </c>
      <c r="D191" t="str">
        <f>SUM(B191:B191)</f>
        <v>0</v>
      </c>
      <c r="E191" t="str">
        <f>IF(D191&lt;=$Y$19,"Bajo",IF(D191&lt;=$Y$20,"Medio",IF(D191&lt;=$Y$21,"Alto",0)))</f>
        <v>0</v>
      </c>
    </row>
    <row r="192" spans="1:33">
      <c r="A192" t="s">
        <v>212</v>
      </c>
      <c r="B192" t="str">
        <f>SUM('Satisfacción de los comités d'!B193:J193)</f>
        <v>0</v>
      </c>
      <c r="C192" t="str">
        <f>IF(B192&lt;=$M$19,"Bajo",IF(B192&lt;=$M$20,"Medio",IF(B192&lt;=$M$21,"Alto",0)))</f>
        <v>0</v>
      </c>
      <c r="D192" t="str">
        <f>SUM(B192:B192)</f>
        <v>0</v>
      </c>
      <c r="E192" t="str">
        <f>IF(D192&lt;=$Y$19,"Bajo",IF(D192&lt;=$Y$20,"Medio",IF(D192&lt;=$Y$21,"Alto",0)))</f>
        <v>0</v>
      </c>
    </row>
    <row r="193" spans="1:33">
      <c r="A193" t="s">
        <v>213</v>
      </c>
      <c r="B193" t="str">
        <f>SUM('Satisfacción de los comités d'!B194:J194)</f>
        <v>0</v>
      </c>
      <c r="C193" t="str">
        <f>IF(B193&lt;=$M$19,"Bajo",IF(B193&lt;=$M$20,"Medio",IF(B193&lt;=$M$21,"Alto",0)))</f>
        <v>0</v>
      </c>
      <c r="D193" t="str">
        <f>SUM(B193:B193)</f>
        <v>0</v>
      </c>
      <c r="E193" t="str">
        <f>IF(D193&lt;=$Y$19,"Bajo",IF(D193&lt;=$Y$20,"Medio",IF(D193&lt;=$Y$21,"Alto",0)))</f>
        <v>0</v>
      </c>
    </row>
    <row r="194" spans="1:33">
      <c r="A194" t="s">
        <v>214</v>
      </c>
      <c r="B194" t="str">
        <f>SUM('Satisfacción de los comités d'!B195:J195)</f>
        <v>0</v>
      </c>
      <c r="C194" t="str">
        <f>IF(B194&lt;=$M$19,"Bajo",IF(B194&lt;=$M$20,"Medio",IF(B194&lt;=$M$21,"Alto",0)))</f>
        <v>0</v>
      </c>
      <c r="D194" t="str">
        <f>SUM(B194:B194)</f>
        <v>0</v>
      </c>
      <c r="E194" t="str">
        <f>IF(D194&lt;=$Y$19,"Bajo",IF(D194&lt;=$Y$20,"Medio",IF(D194&lt;=$Y$21,"Alto",0)))</f>
        <v>0</v>
      </c>
    </row>
    <row r="195" spans="1:33">
      <c r="A195" t="s">
        <v>215</v>
      </c>
      <c r="B195" t="str">
        <f>SUM('Satisfacción de los comités d'!B196:J196)</f>
        <v>0</v>
      </c>
      <c r="C195" t="str">
        <f>IF(B195&lt;=$M$19,"Bajo",IF(B195&lt;=$M$20,"Medio",IF(B195&lt;=$M$21,"Alto",0)))</f>
        <v>0</v>
      </c>
      <c r="D195" t="str">
        <f>SUM(B195:B195)</f>
        <v>0</v>
      </c>
      <c r="E195" t="str">
        <f>IF(D195&lt;=$Y$19,"Bajo",IF(D195&lt;=$Y$20,"Medio",IF(D195&lt;=$Y$21,"Alto",0)))</f>
        <v>0</v>
      </c>
    </row>
    <row r="196" spans="1:33">
      <c r="A196" t="s">
        <v>216</v>
      </c>
      <c r="B196" t="str">
        <f>SUM('Satisfacción de los comités d'!B197:J197)</f>
        <v>0</v>
      </c>
      <c r="C196" t="str">
        <f>IF(B196&lt;=$M$19,"Bajo",IF(B196&lt;=$M$20,"Medio",IF(B196&lt;=$M$21,"Alto",0)))</f>
        <v>0</v>
      </c>
      <c r="D196" t="str">
        <f>SUM(B196:B196)</f>
        <v>0</v>
      </c>
      <c r="E196" t="str">
        <f>IF(D196&lt;=$Y$19,"Bajo",IF(D196&lt;=$Y$20,"Medio",IF(D196&lt;=$Y$21,"Alto",0)))</f>
        <v>0</v>
      </c>
    </row>
    <row r="197" spans="1:33">
      <c r="A197" t="s">
        <v>217</v>
      </c>
      <c r="B197" t="str">
        <f>SUM('Satisfacción de los comités d'!B198:J198)</f>
        <v>0</v>
      </c>
      <c r="C197" t="str">
        <f>IF(B197&lt;=$M$19,"Bajo",IF(B197&lt;=$M$20,"Medio",IF(B197&lt;=$M$21,"Alto",0)))</f>
        <v>0</v>
      </c>
      <c r="D197" t="str">
        <f>SUM(B197:B197)</f>
        <v>0</v>
      </c>
      <c r="E197" t="str">
        <f>IF(D197&lt;=$Y$19,"Bajo",IF(D197&lt;=$Y$20,"Medio",IF(D197&lt;=$Y$21,"Alto",0)))</f>
        <v>0</v>
      </c>
    </row>
    <row r="198" spans="1:33">
      <c r="A198" t="s">
        <v>218</v>
      </c>
      <c r="B198" t="str">
        <f>SUM('Satisfacción de los comités d'!B199:J199)</f>
        <v>0</v>
      </c>
      <c r="C198" t="str">
        <f>IF(B198&lt;=$M$19,"Bajo",IF(B198&lt;=$M$20,"Medio",IF(B198&lt;=$M$21,"Alto",0)))</f>
        <v>0</v>
      </c>
      <c r="D198" t="str">
        <f>SUM(B198:B198)</f>
        <v>0</v>
      </c>
      <c r="E198" t="str">
        <f>IF(D198&lt;=$Y$19,"Bajo",IF(D198&lt;=$Y$20,"Medio",IF(D198&lt;=$Y$21,"Alto",0)))</f>
        <v>0</v>
      </c>
    </row>
    <row r="199" spans="1:33">
      <c r="A199" t="s">
        <v>219</v>
      </c>
      <c r="B199" t="str">
        <f>SUM('Satisfacción de los comités d'!B200:J200)</f>
        <v>0</v>
      </c>
      <c r="C199" t="str">
        <f>IF(B199&lt;=$M$19,"Bajo",IF(B199&lt;=$M$20,"Medio",IF(B199&lt;=$M$21,"Alto",0)))</f>
        <v>0</v>
      </c>
      <c r="D199" t="str">
        <f>SUM(B199:B199)</f>
        <v>0</v>
      </c>
      <c r="E199" t="str">
        <f>IF(D199&lt;=$Y$19,"Bajo",IF(D199&lt;=$Y$20,"Medio",IF(D199&lt;=$Y$21,"Alto",0)))</f>
        <v>0</v>
      </c>
    </row>
    <row r="200" spans="1:33">
      <c r="A200" t="s">
        <v>220</v>
      </c>
      <c r="B200" t="str">
        <f>SUM('Satisfacción de los comités d'!B201:J201)</f>
        <v>0</v>
      </c>
      <c r="C200" t="str">
        <f>IF(B200&lt;=$M$19,"Bajo",IF(B200&lt;=$M$20,"Medio",IF(B200&lt;=$M$21,"Alto",0)))</f>
        <v>0</v>
      </c>
      <c r="D200" t="str">
        <f>SUM(B200:B200)</f>
        <v>0</v>
      </c>
      <c r="E200" t="str">
        <f>IF(D200&lt;=$Y$19,"Bajo",IF(D200&lt;=$Y$20,"Medio",IF(D200&lt;=$Y$21,"Alto",0)))</f>
        <v>0</v>
      </c>
    </row>
    <row r="201" spans="1:33">
      <c r="A201" t="s">
        <v>221</v>
      </c>
      <c r="B201" t="str">
        <f>SUM('Satisfacción de los comités d'!B202:J202)</f>
        <v>0</v>
      </c>
      <c r="C201" t="str">
        <f>IF(B201&lt;=$M$19,"Bajo",IF(B201&lt;=$M$20,"Medio",IF(B201&lt;=$M$21,"Alto",0)))</f>
        <v>0</v>
      </c>
      <c r="D201" t="str">
        <f>SUM(B201:B201)</f>
        <v>0</v>
      </c>
      <c r="E201" t="str">
        <f>IF(D201&lt;=$Y$19,"Bajo",IF(D201&lt;=$Y$20,"Medio",IF(D201&lt;=$Y$21,"Alto",0)))</f>
        <v>0</v>
      </c>
    </row>
    <row r="202" spans="1:33">
      <c r="A202" t="s">
        <v>222</v>
      </c>
      <c r="B202" t="str">
        <f>SUM('Satisfacción de los comités d'!B203:J203)</f>
        <v>0</v>
      </c>
      <c r="C202" t="str">
        <f>IF(B202&lt;=$M$19,"Bajo",IF(B202&lt;=$M$20,"Medio",IF(B202&lt;=$M$21,"Alto",0)))</f>
        <v>0</v>
      </c>
      <c r="D202" t="str">
        <f>SUM(B202:B202)</f>
        <v>0</v>
      </c>
      <c r="E202" t="str">
        <f>IF(D202&lt;=$Y$19,"Bajo",IF(D202&lt;=$Y$20,"Medio",IF(D202&lt;=$Y$21,"Alto",0)))</f>
        <v>0</v>
      </c>
    </row>
    <row r="203" spans="1:33">
      <c r="A203" t="s">
        <v>223</v>
      </c>
      <c r="B203" t="str">
        <f>SUM('Satisfacción de los comités d'!B204:J204)</f>
        <v>0</v>
      </c>
      <c r="C203" t="str">
        <f>IF(B203&lt;=$M$19,"Bajo",IF(B203&lt;=$M$20,"Medio",IF(B203&lt;=$M$21,"Alto",0)))</f>
        <v>0</v>
      </c>
      <c r="D203" t="str">
        <f>SUM(B203:B203)</f>
        <v>0</v>
      </c>
      <c r="E203" t="str">
        <f>IF(D203&lt;=$Y$19,"Bajo",IF(D203&lt;=$Y$20,"Medio",IF(D203&lt;=$Y$21,"Alto",0)))</f>
        <v>0</v>
      </c>
    </row>
    <row r="204" spans="1:33">
      <c r="A204" t="s">
        <v>224</v>
      </c>
      <c r="B204" t="str">
        <f>SUM('Satisfacción de los comités d'!B205:J205)</f>
        <v>0</v>
      </c>
      <c r="C204" t="str">
        <f>IF(B204&lt;=$M$19,"Bajo",IF(B204&lt;=$M$20,"Medio",IF(B204&lt;=$M$21,"Alto",0)))</f>
        <v>0</v>
      </c>
      <c r="D204" t="str">
        <f>SUM(B204:B204)</f>
        <v>0</v>
      </c>
      <c r="E204" t="str">
        <f>IF(D204&lt;=$Y$19,"Bajo",IF(D204&lt;=$Y$20,"Medio",IF(D204&lt;=$Y$21,"Alto",0)))</f>
        <v>0</v>
      </c>
    </row>
    <row r="205" spans="1:33">
      <c r="A205" t="s">
        <v>225</v>
      </c>
      <c r="B205" t="str">
        <f>SUM('Satisfacción de los comités d'!B206:J206)</f>
        <v>0</v>
      </c>
      <c r="C205" t="str">
        <f>IF(B205&lt;=$M$19,"Bajo",IF(B205&lt;=$M$20,"Medio",IF(B205&lt;=$M$21,"Alto",0)))</f>
        <v>0</v>
      </c>
      <c r="D205" t="str">
        <f>SUM(B205:B205)</f>
        <v>0</v>
      </c>
      <c r="E205" t="str">
        <f>IF(D205&lt;=$Y$19,"Bajo",IF(D205&lt;=$Y$20,"Medio",IF(D205&lt;=$Y$21,"Alto",0)))</f>
        <v>0</v>
      </c>
    </row>
    <row r="206" spans="1:33">
      <c r="A206" t="s">
        <v>226</v>
      </c>
      <c r="B206" t="str">
        <f>SUM('Satisfacción de los comités d'!B207:J207)</f>
        <v>0</v>
      </c>
      <c r="C206" t="str">
        <f>IF(B206&lt;=$M$19,"Bajo",IF(B206&lt;=$M$20,"Medio",IF(B206&lt;=$M$21,"Alto",0)))</f>
        <v>0</v>
      </c>
      <c r="D206" t="str">
        <f>SUM(B206:B206)</f>
        <v>0</v>
      </c>
      <c r="E206" t="str">
        <f>IF(D206&lt;=$Y$19,"Bajo",IF(D206&lt;=$Y$20,"Medio",IF(D206&lt;=$Y$21,"Alto",0)))</f>
        <v>0</v>
      </c>
    </row>
    <row r="207" spans="1:33">
      <c r="A207" t="s">
        <v>227</v>
      </c>
      <c r="B207" t="str">
        <f>SUM('Satisfacción de los comités d'!B208:J208)</f>
        <v>0</v>
      </c>
      <c r="C207" t="str">
        <f>IF(B207&lt;=$M$19,"Bajo",IF(B207&lt;=$M$20,"Medio",IF(B207&lt;=$M$21,"Alto",0)))</f>
        <v>0</v>
      </c>
      <c r="D207" t="str">
        <f>SUM(B207:B207)</f>
        <v>0</v>
      </c>
      <c r="E207" t="str">
        <f>IF(D207&lt;=$Y$19,"Bajo",IF(D207&lt;=$Y$20,"Medio",IF(D207&lt;=$Y$21,"Alto",0)))</f>
        <v>0</v>
      </c>
    </row>
    <row r="208" spans="1:33">
      <c r="A208" t="s">
        <v>228</v>
      </c>
      <c r="B208" t="str">
        <f>SUM('Satisfacción de los comités d'!B209:J209)</f>
        <v>0</v>
      </c>
      <c r="C208" t="str">
        <f>IF(B208&lt;=$M$19,"Bajo",IF(B208&lt;=$M$20,"Medio",IF(B208&lt;=$M$21,"Alto",0)))</f>
        <v>0</v>
      </c>
      <c r="D208" t="str">
        <f>SUM(B208:B208)</f>
        <v>0</v>
      </c>
      <c r="E208" t="str">
        <f>IF(D208&lt;=$Y$19,"Bajo",IF(D208&lt;=$Y$20,"Medio",IF(D208&lt;=$Y$21,"Alto",0)))</f>
        <v>0</v>
      </c>
    </row>
    <row r="209" spans="1:33">
      <c r="A209" t="s">
        <v>229</v>
      </c>
      <c r="B209" t="str">
        <f>SUM('Satisfacción de los comités d'!B210:J210)</f>
        <v>0</v>
      </c>
      <c r="C209" t="str">
        <f>IF(B209&lt;=$M$19,"Bajo",IF(B209&lt;=$M$20,"Medio",IF(B209&lt;=$M$21,"Alto",0)))</f>
        <v>0</v>
      </c>
      <c r="D209" t="str">
        <f>SUM(B209:B209)</f>
        <v>0</v>
      </c>
      <c r="E209" t="str">
        <f>IF(D209&lt;=$Y$19,"Bajo",IF(D209&lt;=$Y$20,"Medio",IF(D209&lt;=$Y$21,"Alto",0)))</f>
        <v>0</v>
      </c>
    </row>
    <row r="210" spans="1:33">
      <c r="A210" t="s">
        <v>230</v>
      </c>
      <c r="B210" t="str">
        <f>SUM('Satisfacción de los comités d'!B211:J211)</f>
        <v>0</v>
      </c>
      <c r="C210" t="str">
        <f>IF(B210&lt;=$M$19,"Bajo",IF(B210&lt;=$M$20,"Medio",IF(B210&lt;=$M$21,"Alto",0)))</f>
        <v>0</v>
      </c>
      <c r="D210" t="str">
        <f>SUM(B210:B210)</f>
        <v>0</v>
      </c>
      <c r="E210" t="str">
        <f>IF(D210&lt;=$Y$19,"Bajo",IF(D210&lt;=$Y$20,"Medio",IF(D210&lt;=$Y$21,"Alto",0)))</f>
        <v>0</v>
      </c>
    </row>
    <row r="211" spans="1:33">
      <c r="A211" t="s">
        <v>231</v>
      </c>
      <c r="B211" t="str">
        <f>SUM('Satisfacción de los comités d'!B212:J212)</f>
        <v>0</v>
      </c>
      <c r="C211" t="str">
        <f>IF(B211&lt;=$M$19,"Bajo",IF(B211&lt;=$M$20,"Medio",IF(B211&lt;=$M$21,"Alto",0)))</f>
        <v>0</v>
      </c>
      <c r="D211" t="str">
        <f>SUM(B211:B211)</f>
        <v>0</v>
      </c>
      <c r="E211" t="str">
        <f>IF(D211&lt;=$Y$19,"Bajo",IF(D211&lt;=$Y$20,"Medio",IF(D211&lt;=$Y$21,"Alto",0)))</f>
        <v>0</v>
      </c>
    </row>
    <row r="212" spans="1:33">
      <c r="A212" t="s">
        <v>232</v>
      </c>
      <c r="B212" t="str">
        <f>SUM('Satisfacción de los comités d'!B213:J213)</f>
        <v>0</v>
      </c>
      <c r="C212" t="str">
        <f>IF(B212&lt;=$M$19,"Bajo",IF(B212&lt;=$M$20,"Medio",IF(B212&lt;=$M$21,"Alto",0)))</f>
        <v>0</v>
      </c>
      <c r="D212" t="str">
        <f>SUM(B212:B212)</f>
        <v>0</v>
      </c>
      <c r="E212" t="str">
        <f>IF(D212&lt;=$Y$19,"Bajo",IF(D212&lt;=$Y$20,"Medio",IF(D212&lt;=$Y$21,"Alto",0)))</f>
        <v>0</v>
      </c>
    </row>
    <row r="213" spans="1:33">
      <c r="A213" t="s">
        <v>233</v>
      </c>
      <c r="B213" t="str">
        <f>SUM('Satisfacción de los comités d'!B214:J214)</f>
        <v>0</v>
      </c>
      <c r="C213" t="str">
        <f>IF(B213&lt;=$M$19,"Bajo",IF(B213&lt;=$M$20,"Medio",IF(B213&lt;=$M$21,"Alto",0)))</f>
        <v>0</v>
      </c>
      <c r="D213" t="str">
        <f>SUM(B213:B213)</f>
        <v>0</v>
      </c>
      <c r="E213" t="str">
        <f>IF(D213&lt;=$Y$19,"Bajo",IF(D213&lt;=$Y$20,"Medio",IF(D213&lt;=$Y$21,"Alto",0)))</f>
        <v>0</v>
      </c>
    </row>
    <row r="214" spans="1:33">
      <c r="A214" t="s">
        <v>234</v>
      </c>
      <c r="B214" t="str">
        <f>SUM('Satisfacción de los comités d'!B215:J215)</f>
        <v>0</v>
      </c>
      <c r="C214" t="str">
        <f>IF(B214&lt;=$M$19,"Bajo",IF(B214&lt;=$M$20,"Medio",IF(B214&lt;=$M$21,"Alto",0)))</f>
        <v>0</v>
      </c>
      <c r="D214" t="str">
        <f>SUM(B214:B214)</f>
        <v>0</v>
      </c>
      <c r="E214" t="str">
        <f>IF(D214&lt;=$Y$19,"Bajo",IF(D214&lt;=$Y$20,"Medio",IF(D214&lt;=$Y$21,"Alto",0)))</f>
        <v>0</v>
      </c>
    </row>
    <row r="215" spans="1:33">
      <c r="A215" t="s">
        <v>235</v>
      </c>
      <c r="B215" t="str">
        <f>SUM('Satisfacción de los comités d'!B216:J216)</f>
        <v>0</v>
      </c>
      <c r="C215" t="str">
        <f>IF(B215&lt;=$M$19,"Bajo",IF(B215&lt;=$M$20,"Medio",IF(B215&lt;=$M$21,"Alto",0)))</f>
        <v>0</v>
      </c>
      <c r="D215" t="str">
        <f>SUM(B215:B215)</f>
        <v>0</v>
      </c>
      <c r="E215" t="str">
        <f>IF(D215&lt;=$Y$19,"Bajo",IF(D215&lt;=$Y$20,"Medio",IF(D215&lt;=$Y$21,"Alto",0)))</f>
        <v>0</v>
      </c>
    </row>
    <row r="216" spans="1:33">
      <c r="A216" t="s">
        <v>236</v>
      </c>
      <c r="B216" t="str">
        <f>SUM('Satisfacción de los comités d'!B217:J217)</f>
        <v>0</v>
      </c>
      <c r="C216" t="str">
        <f>IF(B216&lt;=$M$19,"Bajo",IF(B216&lt;=$M$20,"Medio",IF(B216&lt;=$M$21,"Alto",0)))</f>
        <v>0</v>
      </c>
      <c r="D216" t="str">
        <f>SUM(B216:B216)</f>
        <v>0</v>
      </c>
      <c r="E216" t="str">
        <f>IF(D216&lt;=$Y$19,"Bajo",IF(D216&lt;=$Y$20,"Medio",IF(D216&lt;=$Y$21,"Alto",0)))</f>
        <v>0</v>
      </c>
    </row>
    <row r="217" spans="1:33">
      <c r="A217" t="s">
        <v>237</v>
      </c>
      <c r="B217" t="str">
        <f>SUM('Satisfacción de los comités d'!B218:J218)</f>
        <v>0</v>
      </c>
      <c r="C217" t="str">
        <f>IF(B217&lt;=$M$19,"Bajo",IF(B217&lt;=$M$20,"Medio",IF(B217&lt;=$M$21,"Alto",0)))</f>
        <v>0</v>
      </c>
      <c r="D217" t="str">
        <f>SUM(B217:B217)</f>
        <v>0</v>
      </c>
      <c r="E217" t="str">
        <f>IF(D217&lt;=$Y$19,"Bajo",IF(D217&lt;=$Y$20,"Medio",IF(D217&lt;=$Y$21,"Alto",0)))</f>
        <v>0</v>
      </c>
    </row>
    <row r="218" spans="1:33">
      <c r="A218" t="s">
        <v>238</v>
      </c>
      <c r="B218" t="str">
        <f>SUM('Satisfacción de los comités d'!B219:J219)</f>
        <v>0</v>
      </c>
      <c r="C218" t="str">
        <f>IF(B218&lt;=$M$19,"Bajo",IF(B218&lt;=$M$20,"Medio",IF(B218&lt;=$M$21,"Alto",0)))</f>
        <v>0</v>
      </c>
      <c r="D218" t="str">
        <f>SUM(B218:B218)</f>
        <v>0</v>
      </c>
      <c r="E218" t="str">
        <f>IF(D218&lt;=$Y$19,"Bajo",IF(D218&lt;=$Y$20,"Medio",IF(D218&lt;=$Y$21,"Alto",0)))</f>
        <v>0</v>
      </c>
    </row>
    <row r="219" spans="1:33">
      <c r="A219" t="s">
        <v>239</v>
      </c>
      <c r="B219" t="str">
        <f>SUM('Satisfacción de los comités d'!B220:J220)</f>
        <v>0</v>
      </c>
      <c r="C219" t="str">
        <f>IF(B219&lt;=$M$19,"Bajo",IF(B219&lt;=$M$20,"Medio",IF(B219&lt;=$M$21,"Alto",0)))</f>
        <v>0</v>
      </c>
      <c r="D219" t="str">
        <f>SUM(B219:B219)</f>
        <v>0</v>
      </c>
      <c r="E219" t="str">
        <f>IF(D219&lt;=$Y$19,"Bajo",IF(D219&lt;=$Y$20,"Medio",IF(D219&lt;=$Y$21,"Alto",0)))</f>
        <v>0</v>
      </c>
    </row>
    <row r="220" spans="1:33">
      <c r="A220" t="s">
        <v>240</v>
      </c>
      <c r="B220" t="str">
        <f>SUM('Satisfacción de los comités d'!B221:J221)</f>
        <v>0</v>
      </c>
      <c r="C220" t="str">
        <f>IF(B220&lt;=$M$19,"Bajo",IF(B220&lt;=$M$20,"Medio",IF(B220&lt;=$M$21,"Alto",0)))</f>
        <v>0</v>
      </c>
      <c r="D220" t="str">
        <f>SUM(B220:B220)</f>
        <v>0</v>
      </c>
      <c r="E220" t="str">
        <f>IF(D220&lt;=$Y$19,"Bajo",IF(D220&lt;=$Y$20,"Medio",IF(D220&lt;=$Y$21,"Alto",0)))</f>
        <v>0</v>
      </c>
    </row>
    <row r="221" spans="1:33">
      <c r="A221" t="s">
        <v>241</v>
      </c>
      <c r="B221" t="str">
        <f>SUM('Satisfacción de los comités d'!B222:J222)</f>
        <v>0</v>
      </c>
      <c r="C221" t="str">
        <f>IF(B221&lt;=$M$19,"Bajo",IF(B221&lt;=$M$20,"Medio",IF(B221&lt;=$M$21,"Alto",0)))</f>
        <v>0</v>
      </c>
      <c r="D221" t="str">
        <f>SUM(B221:B221)</f>
        <v>0</v>
      </c>
      <c r="E221" t="str">
        <f>IF(D221&lt;=$Y$19,"Bajo",IF(D221&lt;=$Y$20,"Medio",IF(D221&lt;=$Y$21,"Alto",0)))</f>
        <v>0</v>
      </c>
    </row>
    <row r="222" spans="1:33">
      <c r="A222" t="s">
        <v>242</v>
      </c>
      <c r="B222" t="str">
        <f>SUM('Satisfacción de los comités d'!B223:J223)</f>
        <v>0</v>
      </c>
      <c r="C222" t="str">
        <f>IF(B222&lt;=$M$19,"Bajo",IF(B222&lt;=$M$20,"Medio",IF(B222&lt;=$M$21,"Alto",0)))</f>
        <v>0</v>
      </c>
      <c r="D222" t="str">
        <f>SUM(B222:B222)</f>
        <v>0</v>
      </c>
      <c r="E222" t="str">
        <f>IF(D222&lt;=$Y$19,"Bajo",IF(D222&lt;=$Y$20,"Medio",IF(D222&lt;=$Y$21,"Alto",0)))</f>
        <v>0</v>
      </c>
    </row>
    <row r="223" spans="1:33">
      <c r="A223" t="s">
        <v>243</v>
      </c>
      <c r="B223" t="str">
        <f>SUM('Satisfacción de los comités d'!B224:J224)</f>
        <v>0</v>
      </c>
      <c r="C223" t="str">
        <f>IF(B223&lt;=$M$19,"Bajo",IF(B223&lt;=$M$20,"Medio",IF(B223&lt;=$M$21,"Alto",0)))</f>
        <v>0</v>
      </c>
      <c r="D223" t="str">
        <f>SUM(B223:B223)</f>
        <v>0</v>
      </c>
      <c r="E223" t="str">
        <f>IF(D223&lt;=$Y$19,"Bajo",IF(D223&lt;=$Y$20,"Medio",IF(D223&lt;=$Y$21,"Alto",0)))</f>
        <v>0</v>
      </c>
    </row>
    <row r="224" spans="1:33">
      <c r="A224" t="s">
        <v>244</v>
      </c>
      <c r="B224" t="str">
        <f>SUM('Satisfacción de los comités d'!B225:J225)</f>
        <v>0</v>
      </c>
      <c r="C224" t="str">
        <f>IF(B224&lt;=$M$19,"Bajo",IF(B224&lt;=$M$20,"Medio",IF(B224&lt;=$M$21,"Alto",0)))</f>
        <v>0</v>
      </c>
      <c r="D224" t="str">
        <f>SUM(B224:B224)</f>
        <v>0</v>
      </c>
      <c r="E224" t="str">
        <f>IF(D224&lt;=$Y$19,"Bajo",IF(D224&lt;=$Y$20,"Medio",IF(D224&lt;=$Y$21,"Alto",0)))</f>
        <v>0</v>
      </c>
    </row>
    <row r="225" spans="1:33">
      <c r="A225" t="s">
        <v>245</v>
      </c>
      <c r="B225" t="str">
        <f>SUM('Satisfacción de los comités d'!B226:J226)</f>
        <v>0</v>
      </c>
      <c r="C225" t="str">
        <f>IF(B225&lt;=$M$19,"Bajo",IF(B225&lt;=$M$20,"Medio",IF(B225&lt;=$M$21,"Alto",0)))</f>
        <v>0</v>
      </c>
      <c r="D225" t="str">
        <f>SUM(B225:B225)</f>
        <v>0</v>
      </c>
      <c r="E225" t="str">
        <f>IF(D225&lt;=$Y$19,"Bajo",IF(D225&lt;=$Y$20,"Medio",IF(D225&lt;=$Y$21,"Alto",0)))</f>
        <v>0</v>
      </c>
    </row>
    <row r="226" spans="1:33">
      <c r="A226" t="s">
        <v>246</v>
      </c>
      <c r="B226" t="str">
        <f>SUM('Satisfacción de los comités d'!B227:J227)</f>
        <v>0</v>
      </c>
      <c r="C226" t="str">
        <f>IF(B226&lt;=$M$19,"Bajo",IF(B226&lt;=$M$20,"Medio",IF(B226&lt;=$M$21,"Alto",0)))</f>
        <v>0</v>
      </c>
      <c r="D226" t="str">
        <f>SUM(B226:B226)</f>
        <v>0</v>
      </c>
      <c r="E226" t="str">
        <f>IF(D226&lt;=$Y$19,"Bajo",IF(D226&lt;=$Y$20,"Medio",IF(D226&lt;=$Y$21,"Alto",0)))</f>
        <v>0</v>
      </c>
    </row>
    <row r="227" spans="1:33">
      <c r="A227" t="s">
        <v>247</v>
      </c>
      <c r="B227" t="str">
        <f>SUM('Satisfacción de los comités d'!B228:J228)</f>
        <v>0</v>
      </c>
      <c r="C227" t="str">
        <f>IF(B227&lt;=$M$19,"Bajo",IF(B227&lt;=$M$20,"Medio",IF(B227&lt;=$M$21,"Alto",0)))</f>
        <v>0</v>
      </c>
      <c r="D227" t="str">
        <f>SUM(B227:B227)</f>
        <v>0</v>
      </c>
      <c r="E227" t="str">
        <f>IF(D227&lt;=$Y$19,"Bajo",IF(D227&lt;=$Y$20,"Medio",IF(D227&lt;=$Y$21,"Alto",0)))</f>
        <v>0</v>
      </c>
    </row>
    <row r="228" spans="1:33">
      <c r="A228" t="s">
        <v>248</v>
      </c>
      <c r="B228" t="str">
        <f>SUM('Satisfacción de los comités d'!B229:J229)</f>
        <v>0</v>
      </c>
      <c r="C228" t="str">
        <f>IF(B228&lt;=$M$19,"Bajo",IF(B228&lt;=$M$20,"Medio",IF(B228&lt;=$M$21,"Alto",0)))</f>
        <v>0</v>
      </c>
      <c r="D228" t="str">
        <f>SUM(B228:B228)</f>
        <v>0</v>
      </c>
      <c r="E228" t="str">
        <f>IF(D228&lt;=$Y$19,"Bajo",IF(D228&lt;=$Y$20,"Medio",IF(D228&lt;=$Y$21,"Alto",0)))</f>
        <v>0</v>
      </c>
    </row>
    <row r="229" spans="1:33">
      <c r="A229" t="s">
        <v>249</v>
      </c>
      <c r="B229" t="str">
        <f>SUM('Satisfacción de los comités d'!B230:J230)</f>
        <v>0</v>
      </c>
      <c r="C229" t="str">
        <f>IF(B229&lt;=$M$19,"Bajo",IF(B229&lt;=$M$20,"Medio",IF(B229&lt;=$M$21,"Alto",0)))</f>
        <v>0</v>
      </c>
      <c r="D229" t="str">
        <f>SUM(B229:B229)</f>
        <v>0</v>
      </c>
      <c r="E229" t="str">
        <f>IF(D229&lt;=$Y$19,"Bajo",IF(D229&lt;=$Y$20,"Medio",IF(D229&lt;=$Y$21,"Alto",0)))</f>
        <v>0</v>
      </c>
    </row>
    <row r="230" spans="1:33">
      <c r="A230" t="s">
        <v>250</v>
      </c>
      <c r="B230" t="str">
        <f>SUM('Satisfacción de los comités d'!B231:J231)</f>
        <v>0</v>
      </c>
      <c r="C230" t="str">
        <f>IF(B230&lt;=$M$19,"Bajo",IF(B230&lt;=$M$20,"Medio",IF(B230&lt;=$M$21,"Alto",0)))</f>
        <v>0</v>
      </c>
      <c r="D230" t="str">
        <f>SUM(B230:B230)</f>
        <v>0</v>
      </c>
      <c r="E230" t="str">
        <f>IF(D230&lt;=$Y$19,"Bajo",IF(D230&lt;=$Y$20,"Medio",IF(D230&lt;=$Y$21,"Alto",0)))</f>
        <v>0</v>
      </c>
    </row>
    <row r="231" spans="1:33">
      <c r="A231" t="s">
        <v>251</v>
      </c>
      <c r="B231" t="str">
        <f>SUM('Satisfacción de los comités d'!B232:J232)</f>
        <v>0</v>
      </c>
      <c r="C231" t="str">
        <f>IF(B231&lt;=$M$19,"Bajo",IF(B231&lt;=$M$20,"Medio",IF(B231&lt;=$M$21,"Alto",0)))</f>
        <v>0</v>
      </c>
      <c r="D231" t="str">
        <f>SUM(B231:B231)</f>
        <v>0</v>
      </c>
      <c r="E231" t="str">
        <f>IF(D231&lt;=$Y$19,"Bajo",IF(D231&lt;=$Y$20,"Medio",IF(D231&lt;=$Y$21,"Alto",0)))</f>
        <v>0</v>
      </c>
    </row>
    <row r="232" spans="1:33">
      <c r="A232" t="s">
        <v>252</v>
      </c>
      <c r="B232" t="str">
        <f>SUM('Satisfacción de los comités d'!B233:J233)</f>
        <v>0</v>
      </c>
      <c r="C232" t="str">
        <f>IF(B232&lt;=$M$19,"Bajo",IF(B232&lt;=$M$20,"Medio",IF(B232&lt;=$M$21,"Alto",0)))</f>
        <v>0</v>
      </c>
      <c r="D232" t="str">
        <f>SUM(B232:B232)</f>
        <v>0</v>
      </c>
      <c r="E232" t="str">
        <f>IF(D232&lt;=$Y$19,"Bajo",IF(D232&lt;=$Y$20,"Medio",IF(D232&lt;=$Y$21,"Alto",0)))</f>
        <v>0</v>
      </c>
    </row>
    <row r="233" spans="1:33">
      <c r="A233" t="s">
        <v>253</v>
      </c>
      <c r="B233" t="str">
        <f>SUM('Satisfacción de los comités d'!B234:J234)</f>
        <v>0</v>
      </c>
      <c r="C233" t="str">
        <f>IF(B233&lt;=$M$19,"Bajo",IF(B233&lt;=$M$20,"Medio",IF(B233&lt;=$M$21,"Alto",0)))</f>
        <v>0</v>
      </c>
      <c r="D233" t="str">
        <f>SUM(B233:B233)</f>
        <v>0</v>
      </c>
      <c r="E233" t="str">
        <f>IF(D233&lt;=$Y$19,"Bajo",IF(D233&lt;=$Y$20,"Medio",IF(D233&lt;=$Y$21,"Alto",0)))</f>
        <v>0</v>
      </c>
    </row>
    <row r="234" spans="1:33">
      <c r="A234" t="s">
        <v>254</v>
      </c>
      <c r="B234" t="str">
        <f>SUM('Satisfacción de los comités d'!B235:J235)</f>
        <v>0</v>
      </c>
      <c r="C234" t="str">
        <f>IF(B234&lt;=$M$19,"Bajo",IF(B234&lt;=$M$20,"Medio",IF(B234&lt;=$M$21,"Alto",0)))</f>
        <v>0</v>
      </c>
      <c r="D234" t="str">
        <f>SUM(B234:B234)</f>
        <v>0</v>
      </c>
      <c r="E234" t="str">
        <f>IF(D234&lt;=$Y$19,"Bajo",IF(D234&lt;=$Y$20,"Medio",IF(D234&lt;=$Y$21,"Alto",0)))</f>
        <v>0</v>
      </c>
    </row>
    <row r="235" spans="1:33">
      <c r="A235" t="s">
        <v>255</v>
      </c>
      <c r="B235" t="str">
        <f>SUM('Satisfacción de los comités d'!B236:J236)</f>
        <v>0</v>
      </c>
      <c r="C235" t="str">
        <f>IF(B235&lt;=$M$19,"Bajo",IF(B235&lt;=$M$20,"Medio",IF(B235&lt;=$M$21,"Alto",0)))</f>
        <v>0</v>
      </c>
      <c r="D235" t="str">
        <f>SUM(B235:B235)</f>
        <v>0</v>
      </c>
      <c r="E235" t="str">
        <f>IF(D235&lt;=$Y$19,"Bajo",IF(D235&lt;=$Y$20,"Medio",IF(D235&lt;=$Y$21,"Alto",0)))</f>
        <v>0</v>
      </c>
    </row>
    <row r="236" spans="1:33">
      <c r="A236" t="s">
        <v>256</v>
      </c>
      <c r="B236" t="str">
        <f>SUM('Satisfacción de los comités d'!B237:J237)</f>
        <v>0</v>
      </c>
      <c r="C236" t="str">
        <f>IF(B236&lt;=$M$19,"Bajo",IF(B236&lt;=$M$20,"Medio",IF(B236&lt;=$M$21,"Alto",0)))</f>
        <v>0</v>
      </c>
      <c r="D236" t="str">
        <f>SUM(B236:B236)</f>
        <v>0</v>
      </c>
      <c r="E236" t="str">
        <f>IF(D236&lt;=$Y$19,"Bajo",IF(D236&lt;=$Y$20,"Medio",IF(D236&lt;=$Y$21,"Alto",0)))</f>
        <v>0</v>
      </c>
    </row>
    <row r="237" spans="1:33">
      <c r="A237" t="s">
        <v>257</v>
      </c>
      <c r="B237" t="str">
        <f>SUM('Satisfacción de los comités d'!B238:J238)</f>
        <v>0</v>
      </c>
      <c r="C237" t="str">
        <f>IF(B237&lt;=$M$19,"Bajo",IF(B237&lt;=$M$20,"Medio",IF(B237&lt;=$M$21,"Alto",0)))</f>
        <v>0</v>
      </c>
      <c r="D237" t="str">
        <f>SUM(B237:B237)</f>
        <v>0</v>
      </c>
      <c r="E237" t="str">
        <f>IF(D237&lt;=$Y$19,"Bajo",IF(D237&lt;=$Y$20,"Medio",IF(D237&lt;=$Y$21,"Alto",0)))</f>
        <v>0</v>
      </c>
    </row>
    <row r="238" spans="1:33">
      <c r="A238" t="s">
        <v>258</v>
      </c>
      <c r="B238" t="str">
        <f>SUM('Satisfacción de los comités d'!B239:J239)</f>
        <v>0</v>
      </c>
      <c r="C238" t="str">
        <f>IF(B238&lt;=$M$19,"Bajo",IF(B238&lt;=$M$20,"Medio",IF(B238&lt;=$M$21,"Alto",0)))</f>
        <v>0</v>
      </c>
      <c r="D238" t="str">
        <f>SUM(B238:B238)</f>
        <v>0</v>
      </c>
      <c r="E238" t="str">
        <f>IF(D238&lt;=$Y$19,"Bajo",IF(D238&lt;=$Y$20,"Medio",IF(D238&lt;=$Y$21,"Alto",0)))</f>
        <v>0</v>
      </c>
    </row>
    <row r="239" spans="1:33">
      <c r="A239" t="s">
        <v>259</v>
      </c>
      <c r="B239" t="str">
        <f>SUM('Satisfacción de los comités d'!B240:J240)</f>
        <v>0</v>
      </c>
      <c r="C239" t="str">
        <f>IF(B239&lt;=$M$19,"Bajo",IF(B239&lt;=$M$20,"Medio",IF(B239&lt;=$M$21,"Alto",0)))</f>
        <v>0</v>
      </c>
      <c r="D239" t="str">
        <f>SUM(B239:B239)</f>
        <v>0</v>
      </c>
      <c r="E239" t="str">
        <f>IF(D239&lt;=$Y$19,"Bajo",IF(D239&lt;=$Y$20,"Medio",IF(D239&lt;=$Y$21,"Alto",0)))</f>
        <v>0</v>
      </c>
    </row>
    <row r="240" spans="1:33">
      <c r="A240" t="s">
        <v>260</v>
      </c>
      <c r="B240" t="str">
        <f>SUM('Satisfacción de los comités d'!B241:J241)</f>
        <v>0</v>
      </c>
      <c r="C240" t="str">
        <f>IF(B240&lt;=$M$19,"Bajo",IF(B240&lt;=$M$20,"Medio",IF(B240&lt;=$M$21,"Alto",0)))</f>
        <v>0</v>
      </c>
      <c r="D240" t="str">
        <f>SUM(B240:B240)</f>
        <v>0</v>
      </c>
      <c r="E240" t="str">
        <f>IF(D240&lt;=$Y$19,"Bajo",IF(D240&lt;=$Y$20,"Medio",IF(D240&lt;=$Y$21,"Alto",0)))</f>
        <v>0</v>
      </c>
    </row>
    <row r="241" spans="1:33">
      <c r="A241" t="s">
        <v>261</v>
      </c>
      <c r="B241" t="str">
        <f>SUM('Satisfacción de los comités d'!B242:J242)</f>
        <v>0</v>
      </c>
      <c r="C241" t="str">
        <f>IF(B241&lt;=$M$19,"Bajo",IF(B241&lt;=$M$20,"Medio",IF(B241&lt;=$M$21,"Alto",0)))</f>
        <v>0</v>
      </c>
      <c r="D241" t="str">
        <f>SUM(B241:B241)</f>
        <v>0</v>
      </c>
      <c r="E241" t="str">
        <f>IF(D241&lt;=$Y$19,"Bajo",IF(D241&lt;=$Y$20,"Medio",IF(D241&lt;=$Y$21,"Alto",0)))</f>
        <v>0</v>
      </c>
    </row>
    <row r="242" spans="1:33">
      <c r="A242" t="s">
        <v>262</v>
      </c>
      <c r="B242" t="str">
        <f>SUM('Satisfacción de los comités d'!B243:J243)</f>
        <v>0</v>
      </c>
      <c r="C242" t="str">
        <f>IF(B242&lt;=$M$19,"Bajo",IF(B242&lt;=$M$20,"Medio",IF(B242&lt;=$M$21,"Alto",0)))</f>
        <v>0</v>
      </c>
      <c r="D242" t="str">
        <f>SUM(B242:B242)</f>
        <v>0</v>
      </c>
      <c r="E242" t="str">
        <f>IF(D242&lt;=$Y$19,"Bajo",IF(D242&lt;=$Y$20,"Medio",IF(D242&lt;=$Y$21,"Alto",0)))</f>
        <v>0</v>
      </c>
    </row>
    <row r="243" spans="1:33">
      <c r="A243" t="s">
        <v>263</v>
      </c>
      <c r="B243" t="str">
        <f>SUM('Satisfacción de los comités d'!B244:J244)</f>
        <v>0</v>
      </c>
      <c r="C243" t="str">
        <f>IF(B243&lt;=$M$19,"Bajo",IF(B243&lt;=$M$20,"Medio",IF(B243&lt;=$M$21,"Alto",0)))</f>
        <v>0</v>
      </c>
      <c r="D243" t="str">
        <f>SUM(B243:B243)</f>
        <v>0</v>
      </c>
      <c r="E243" t="str">
        <f>IF(D243&lt;=$Y$19,"Bajo",IF(D243&lt;=$Y$20,"Medio",IF(D243&lt;=$Y$21,"Alto",0)))</f>
        <v>0</v>
      </c>
    </row>
    <row r="244" spans="1:33">
      <c r="A244" t="s">
        <v>264</v>
      </c>
      <c r="B244" t="str">
        <f>SUM('Satisfacción de los comités d'!B245:J245)</f>
        <v>0</v>
      </c>
      <c r="C244" t="str">
        <f>IF(B244&lt;=$M$19,"Bajo",IF(B244&lt;=$M$20,"Medio",IF(B244&lt;=$M$21,"Alto",0)))</f>
        <v>0</v>
      </c>
      <c r="D244" t="str">
        <f>SUM(B244:B244)</f>
        <v>0</v>
      </c>
      <c r="E244" t="str">
        <f>IF(D244&lt;=$Y$19,"Bajo",IF(D244&lt;=$Y$20,"Medio",IF(D244&lt;=$Y$21,"Alto",0)))</f>
        <v>0</v>
      </c>
    </row>
    <row r="245" spans="1:33">
      <c r="A245" t="s">
        <v>265</v>
      </c>
      <c r="B245" t="str">
        <f>SUM('Satisfacción de los comités d'!B246:J246)</f>
        <v>0</v>
      </c>
      <c r="C245" t="str">
        <f>IF(B245&lt;=$M$19,"Bajo",IF(B245&lt;=$M$20,"Medio",IF(B245&lt;=$M$21,"Alto",0)))</f>
        <v>0</v>
      </c>
      <c r="D245" t="str">
        <f>SUM(B245:B245)</f>
        <v>0</v>
      </c>
      <c r="E245" t="str">
        <f>IF(D245&lt;=$Y$19,"Bajo",IF(D245&lt;=$Y$20,"Medio",IF(D245&lt;=$Y$21,"Alto",0)))</f>
        <v>0</v>
      </c>
    </row>
    <row r="246" spans="1:33">
      <c r="A246" t="s">
        <v>266</v>
      </c>
      <c r="B246" t="str">
        <f>SUM('Satisfacción de los comités d'!B247:J247)</f>
        <v>0</v>
      </c>
      <c r="C246" t="str">
        <f>IF(B246&lt;=$M$19,"Bajo",IF(B246&lt;=$M$20,"Medio",IF(B246&lt;=$M$21,"Alto",0)))</f>
        <v>0</v>
      </c>
      <c r="D246" t="str">
        <f>SUM(B246:B246)</f>
        <v>0</v>
      </c>
      <c r="E246" t="str">
        <f>IF(D246&lt;=$Y$19,"Bajo",IF(D246&lt;=$Y$20,"Medio",IF(D246&lt;=$Y$21,"Alto",0)))</f>
        <v>0</v>
      </c>
    </row>
    <row r="247" spans="1:33">
      <c r="A247" t="s">
        <v>267</v>
      </c>
      <c r="B247" t="str">
        <f>SUM('Satisfacción de los comités d'!B248:J248)</f>
        <v>0</v>
      </c>
      <c r="C247" t="str">
        <f>IF(B247&lt;=$M$19,"Bajo",IF(B247&lt;=$M$20,"Medio",IF(B247&lt;=$M$21,"Alto",0)))</f>
        <v>0</v>
      </c>
      <c r="D247" t="str">
        <f>SUM(B247:B247)</f>
        <v>0</v>
      </c>
      <c r="E247" t="str">
        <f>IF(D247&lt;=$Y$19,"Bajo",IF(D247&lt;=$Y$20,"Medio",IF(D247&lt;=$Y$21,"Alto",0)))</f>
        <v>0</v>
      </c>
    </row>
    <row r="248" spans="1:33">
      <c r="A248" t="s">
        <v>268</v>
      </c>
      <c r="B248" t="str">
        <f>SUM('Satisfacción de los comités d'!B249:J249)</f>
        <v>0</v>
      </c>
      <c r="C248" t="str">
        <f>IF(B248&lt;=$M$19,"Bajo",IF(B248&lt;=$M$20,"Medio",IF(B248&lt;=$M$21,"Alto",0)))</f>
        <v>0</v>
      </c>
      <c r="D248" t="str">
        <f>SUM(B248:B248)</f>
        <v>0</v>
      </c>
      <c r="E248" t="str">
        <f>IF(D248&lt;=$Y$19,"Bajo",IF(D248&lt;=$Y$20,"Medio",IF(D248&lt;=$Y$21,"Alto",0)))</f>
        <v>0</v>
      </c>
    </row>
    <row r="249" spans="1:33">
      <c r="A249" t="s">
        <v>269</v>
      </c>
      <c r="B249" t="str">
        <f>SUM('Satisfacción de los comités d'!B250:J250)</f>
        <v>0</v>
      </c>
      <c r="C249" t="str">
        <f>IF(B249&lt;=$M$19,"Bajo",IF(B249&lt;=$M$20,"Medio",IF(B249&lt;=$M$21,"Alto",0)))</f>
        <v>0</v>
      </c>
      <c r="D249" t="str">
        <f>SUM(B249:B249)</f>
        <v>0</v>
      </c>
      <c r="E249" t="str">
        <f>IF(D249&lt;=$Y$19,"Bajo",IF(D249&lt;=$Y$20,"Medio",IF(D249&lt;=$Y$21,"Alto",0)))</f>
        <v>0</v>
      </c>
    </row>
    <row r="250" spans="1:33">
      <c r="A250" t="s">
        <v>270</v>
      </c>
      <c r="B250" t="str">
        <f>SUM('Satisfacción de los comités d'!B251:J251)</f>
        <v>0</v>
      </c>
      <c r="C250" t="str">
        <f>IF(B250&lt;=$M$19,"Bajo",IF(B250&lt;=$M$20,"Medio",IF(B250&lt;=$M$21,"Alto",0)))</f>
        <v>0</v>
      </c>
      <c r="D250" t="str">
        <f>SUM(B250:B250)</f>
        <v>0</v>
      </c>
      <c r="E250" t="str">
        <f>IF(D250&lt;=$Y$19,"Bajo",IF(D250&lt;=$Y$20,"Medio",IF(D250&lt;=$Y$21,"Alto",0)))</f>
        <v>0</v>
      </c>
    </row>
    <row r="251" spans="1:33">
      <c r="A251" t="s">
        <v>271</v>
      </c>
      <c r="B251" t="str">
        <f>SUM('Satisfacción de los comités d'!B252:J252)</f>
        <v>0</v>
      </c>
      <c r="C251" t="str">
        <f>IF(B251&lt;=$M$19,"Bajo",IF(B251&lt;=$M$20,"Medio",IF(B251&lt;=$M$21,"Alto",0)))</f>
        <v>0</v>
      </c>
      <c r="D251" t="str">
        <f>SUM(B251:B251)</f>
        <v>0</v>
      </c>
      <c r="E251" t="str">
        <f>IF(D251&lt;=$Y$19,"Bajo",IF(D251&lt;=$Y$20,"Medio",IF(D251&lt;=$Y$21,"Alto",0)))</f>
        <v>0</v>
      </c>
    </row>
    <row r="252" spans="1:33">
      <c r="A252" t="s">
        <v>272</v>
      </c>
      <c r="B252" t="str">
        <f>SUM('Satisfacción de los comités d'!B253:J253)</f>
        <v>0</v>
      </c>
      <c r="C252" t="str">
        <f>IF(B252&lt;=$M$19,"Bajo",IF(B252&lt;=$M$20,"Medio",IF(B252&lt;=$M$21,"Alto",0)))</f>
        <v>0</v>
      </c>
      <c r="D252" t="str">
        <f>SUM(B252:B252)</f>
        <v>0</v>
      </c>
      <c r="E252" t="str">
        <f>IF(D252&lt;=$Y$19,"Bajo",IF(D252&lt;=$Y$20,"Medio",IF(D252&lt;=$Y$21,"Alto",0)))</f>
        <v>0</v>
      </c>
    </row>
    <row r="253" spans="1:33">
      <c r="A253" t="s">
        <v>273</v>
      </c>
      <c r="B253" t="str">
        <f>SUM('Satisfacción de los comités d'!B254:J254)</f>
        <v>0</v>
      </c>
      <c r="C253" t="str">
        <f>IF(B253&lt;=$M$19,"Bajo",IF(B253&lt;=$M$20,"Medio",IF(B253&lt;=$M$21,"Alto",0)))</f>
        <v>0</v>
      </c>
      <c r="D253" t="str">
        <f>SUM(B253:B253)</f>
        <v>0</v>
      </c>
      <c r="E253" t="str">
        <f>IF(D253&lt;=$Y$19,"Bajo",IF(D253&lt;=$Y$20,"Medio",IF(D253&lt;=$Y$21,"Alto",0)))</f>
        <v>0</v>
      </c>
    </row>
    <row r="254" spans="1:33">
      <c r="A254" t="s">
        <v>274</v>
      </c>
      <c r="B254" t="str">
        <f>SUM('Satisfacción de los comités d'!B255:J255)</f>
        <v>0</v>
      </c>
      <c r="C254" t="str">
        <f>IF(B254&lt;=$M$19,"Bajo",IF(B254&lt;=$M$20,"Medio",IF(B254&lt;=$M$21,"Alto",0)))</f>
        <v>0</v>
      </c>
      <c r="D254" t="str">
        <f>SUM(B254:B254)</f>
        <v>0</v>
      </c>
      <c r="E254" t="str">
        <f>IF(D254&lt;=$Y$19,"Bajo",IF(D254&lt;=$Y$20,"Medio",IF(D254&lt;=$Y$21,"Alto",0)))</f>
        <v>0</v>
      </c>
    </row>
    <row r="255" spans="1:33">
      <c r="A255" t="s">
        <v>275</v>
      </c>
      <c r="B255" t="str">
        <f>SUM('Satisfacción de los comités d'!B256:J256)</f>
        <v>0</v>
      </c>
      <c r="C255" t="str">
        <f>IF(B255&lt;=$M$19,"Bajo",IF(B255&lt;=$M$20,"Medio",IF(B255&lt;=$M$21,"Alto",0)))</f>
        <v>0</v>
      </c>
      <c r="D255" t="str">
        <f>SUM(B255:B255)</f>
        <v>0</v>
      </c>
      <c r="E255" t="str">
        <f>IF(D255&lt;=$Y$19,"Bajo",IF(D255&lt;=$Y$20,"Medio",IF(D255&lt;=$Y$21,"Alto",0)))</f>
        <v>0</v>
      </c>
    </row>
    <row r="256" spans="1:33">
      <c r="A256" t="s">
        <v>276</v>
      </c>
      <c r="B256" t="str">
        <f>SUM('Satisfacción de los comités d'!B257:J257)</f>
        <v>0</v>
      </c>
      <c r="C256" t="str">
        <f>IF(B256&lt;=$M$19,"Bajo",IF(B256&lt;=$M$20,"Medio",IF(B256&lt;=$M$21,"Alto",0)))</f>
        <v>0</v>
      </c>
      <c r="D256" t="str">
        <f>SUM(B256:B256)</f>
        <v>0</v>
      </c>
      <c r="E256" t="str">
        <f>IF(D256&lt;=$Y$19,"Bajo",IF(D256&lt;=$Y$20,"Medio",IF(D256&lt;=$Y$21,"Alto",0)))</f>
        <v>0</v>
      </c>
    </row>
    <row r="257" spans="1:33">
      <c r="A257" t="s">
        <v>277</v>
      </c>
      <c r="B257" t="str">
        <f>SUM('Satisfacción de los comités d'!B258:J258)</f>
        <v>0</v>
      </c>
      <c r="C257" t="str">
        <f>IF(B257&lt;=$M$19,"Bajo",IF(B257&lt;=$M$20,"Medio",IF(B257&lt;=$M$21,"Alto",0)))</f>
        <v>0</v>
      </c>
      <c r="D257" t="str">
        <f>SUM(B257:B257)</f>
        <v>0</v>
      </c>
      <c r="E257" t="str">
        <f>IF(D257&lt;=$Y$19,"Bajo",IF(D257&lt;=$Y$20,"Medio",IF(D257&lt;=$Y$21,"Alto",0)))</f>
        <v>0</v>
      </c>
    </row>
    <row r="258" spans="1:33">
      <c r="A258" t="s">
        <v>278</v>
      </c>
      <c r="B258" t="str">
        <f>SUM('Satisfacción de los comités d'!B259:J259)</f>
        <v>0</v>
      </c>
      <c r="C258" t="str">
        <f>IF(B258&lt;=$M$19,"Bajo",IF(B258&lt;=$M$20,"Medio",IF(B258&lt;=$M$21,"Alto",0)))</f>
        <v>0</v>
      </c>
      <c r="D258" t="str">
        <f>SUM(B258:B258)</f>
        <v>0</v>
      </c>
      <c r="E258" t="str">
        <f>IF(D258&lt;=$Y$19,"Bajo",IF(D258&lt;=$Y$20,"Medio",IF(D258&lt;=$Y$21,"Alto",0)))</f>
        <v>0</v>
      </c>
    </row>
    <row r="259" spans="1:33">
      <c r="A259" t="s">
        <v>279</v>
      </c>
      <c r="B259" t="str">
        <f>SUM('Satisfacción de los comités d'!B260:J260)</f>
        <v>0</v>
      </c>
      <c r="C259" t="str">
        <f>IF(B259&lt;=$M$19,"Bajo",IF(B259&lt;=$M$20,"Medio",IF(B259&lt;=$M$21,"Alto",0)))</f>
        <v>0</v>
      </c>
      <c r="D259" t="str">
        <f>SUM(B259:B259)</f>
        <v>0</v>
      </c>
      <c r="E259" t="str">
        <f>IF(D259&lt;=$Y$19,"Bajo",IF(D259&lt;=$Y$20,"Medio",IF(D259&lt;=$Y$21,"Alto",0)))</f>
        <v>0</v>
      </c>
    </row>
    <row r="260" spans="1:33">
      <c r="A260" t="s">
        <v>280</v>
      </c>
      <c r="B260" t="str">
        <f>SUM('Satisfacción de los comités d'!B261:J261)</f>
        <v>0</v>
      </c>
      <c r="C260" t="str">
        <f>IF(B260&lt;=$M$19,"Bajo",IF(B260&lt;=$M$20,"Medio",IF(B260&lt;=$M$21,"Alto",0)))</f>
        <v>0</v>
      </c>
      <c r="D260" t="str">
        <f>SUM(B260:B260)</f>
        <v>0</v>
      </c>
      <c r="E260" t="str">
        <f>IF(D260&lt;=$Y$19,"Bajo",IF(D260&lt;=$Y$20,"Medio",IF(D260&lt;=$Y$21,"Alto",0)))</f>
        <v>0</v>
      </c>
    </row>
    <row r="261" spans="1:33">
      <c r="A261" t="s">
        <v>281</v>
      </c>
      <c r="B261" t="str">
        <f>SUM('Satisfacción de los comités d'!B262:J262)</f>
        <v>0</v>
      </c>
      <c r="C261" t="str">
        <f>IF(B261&lt;=$M$19,"Bajo",IF(B261&lt;=$M$20,"Medio",IF(B261&lt;=$M$21,"Alto",0)))</f>
        <v>0</v>
      </c>
      <c r="D261" t="str">
        <f>SUM(B261:B261)</f>
        <v>0</v>
      </c>
      <c r="E261" t="str">
        <f>IF(D261&lt;=$Y$19,"Bajo",IF(D261&lt;=$Y$20,"Medio",IF(D261&lt;=$Y$21,"Alto",0)))</f>
        <v>0</v>
      </c>
    </row>
    <row r="262" spans="1:33">
      <c r="A262" t="s">
        <v>282</v>
      </c>
      <c r="B262" t="str">
        <f>SUM('Satisfacción de los comités d'!B263:J263)</f>
        <v>0</v>
      </c>
      <c r="C262" t="str">
        <f>IF(B262&lt;=$M$19,"Bajo",IF(B262&lt;=$M$20,"Medio",IF(B262&lt;=$M$21,"Alto",0)))</f>
        <v>0</v>
      </c>
      <c r="D262" t="str">
        <f>SUM(B262:B262)</f>
        <v>0</v>
      </c>
      <c r="E262" t="str">
        <f>IF(D262&lt;=$Y$19,"Bajo",IF(D262&lt;=$Y$20,"Medio",IF(D262&lt;=$Y$21,"Alto",0)))</f>
        <v>0</v>
      </c>
    </row>
    <row r="263" spans="1:33">
      <c r="A263" t="s">
        <v>283</v>
      </c>
      <c r="B263" t="str">
        <f>SUM('Satisfacción de los comités d'!B264:J264)</f>
        <v>0</v>
      </c>
      <c r="C263" t="str">
        <f>IF(B263&lt;=$M$19,"Bajo",IF(B263&lt;=$M$20,"Medio",IF(B263&lt;=$M$21,"Alto",0)))</f>
        <v>0</v>
      </c>
      <c r="D263" t="str">
        <f>SUM(B263:B263)</f>
        <v>0</v>
      </c>
      <c r="E263" t="str">
        <f>IF(D263&lt;=$Y$19,"Bajo",IF(D263&lt;=$Y$20,"Medio",IF(D263&lt;=$Y$21,"Alto",0)))</f>
        <v>0</v>
      </c>
    </row>
    <row r="264" spans="1:33">
      <c r="A264" t="s">
        <v>284</v>
      </c>
      <c r="B264" t="str">
        <f>SUM('Satisfacción de los comités d'!B265:J265)</f>
        <v>0</v>
      </c>
      <c r="C264" t="str">
        <f>IF(B264&lt;=$M$19,"Bajo",IF(B264&lt;=$M$20,"Medio",IF(B264&lt;=$M$21,"Alto",0)))</f>
        <v>0</v>
      </c>
      <c r="D264" t="str">
        <f>SUM(B264:B264)</f>
        <v>0</v>
      </c>
      <c r="E264" t="str">
        <f>IF(D264&lt;=$Y$19,"Bajo",IF(D264&lt;=$Y$20,"Medio",IF(D264&lt;=$Y$21,"Alto",0)))</f>
        <v>0</v>
      </c>
    </row>
    <row r="265" spans="1:33">
      <c r="A265" t="s">
        <v>285</v>
      </c>
      <c r="B265" t="str">
        <f>SUM('Satisfacción de los comités d'!B266:J266)</f>
        <v>0</v>
      </c>
      <c r="C265" t="str">
        <f>IF(B265&lt;=$M$19,"Bajo",IF(B265&lt;=$M$20,"Medio",IF(B265&lt;=$M$21,"Alto",0)))</f>
        <v>0</v>
      </c>
      <c r="D265" t="str">
        <f>SUM(B265:B265)</f>
        <v>0</v>
      </c>
      <c r="E265" t="str">
        <f>IF(D265&lt;=$Y$19,"Bajo",IF(D265&lt;=$Y$20,"Medio",IF(D265&lt;=$Y$21,"Alto",0)))</f>
        <v>0</v>
      </c>
    </row>
    <row r="266" spans="1:33">
      <c r="A266" t="s">
        <v>286</v>
      </c>
      <c r="B266" t="str">
        <f>SUM('Satisfacción de los comités d'!B267:J267)</f>
        <v>0</v>
      </c>
      <c r="C266" t="str">
        <f>IF(B266&lt;=$M$19,"Bajo",IF(B266&lt;=$M$20,"Medio",IF(B266&lt;=$M$21,"Alto",0)))</f>
        <v>0</v>
      </c>
      <c r="D266" t="str">
        <f>SUM(B266:B266)</f>
        <v>0</v>
      </c>
      <c r="E266" t="str">
        <f>IF(D266&lt;=$Y$19,"Bajo",IF(D266&lt;=$Y$20,"Medio",IF(D266&lt;=$Y$21,"Alto",0)))</f>
        <v>0</v>
      </c>
    </row>
    <row r="267" spans="1:33">
      <c r="A267" t="s">
        <v>287</v>
      </c>
      <c r="B267" t="str">
        <f>SUM('Satisfacción de los comités d'!B268:J268)</f>
        <v>0</v>
      </c>
      <c r="C267" t="str">
        <f>IF(B267&lt;=$M$19,"Bajo",IF(B267&lt;=$M$20,"Medio",IF(B267&lt;=$M$21,"Alto",0)))</f>
        <v>0</v>
      </c>
      <c r="D267" t="str">
        <f>SUM(B267:B267)</f>
        <v>0</v>
      </c>
      <c r="E267" t="str">
        <f>IF(D267&lt;=$Y$19,"Bajo",IF(D267&lt;=$Y$20,"Medio",IF(D267&lt;=$Y$21,"Alto",0)))</f>
        <v>0</v>
      </c>
    </row>
    <row r="268" spans="1:33">
      <c r="A268" t="s">
        <v>288</v>
      </c>
      <c r="B268" t="str">
        <f>SUM('Satisfacción de los comités d'!B269:J269)</f>
        <v>0</v>
      </c>
      <c r="C268" t="str">
        <f>IF(B268&lt;=$M$19,"Bajo",IF(B268&lt;=$M$20,"Medio",IF(B268&lt;=$M$21,"Alto",0)))</f>
        <v>0</v>
      </c>
      <c r="D268" t="str">
        <f>SUM(B268:B268)</f>
        <v>0</v>
      </c>
      <c r="E268" t="str">
        <f>IF(D268&lt;=$Y$19,"Bajo",IF(D268&lt;=$Y$20,"Medio",IF(D268&lt;=$Y$21,"Alto",0)))</f>
        <v>0</v>
      </c>
    </row>
    <row r="269" spans="1:33">
      <c r="A269" t="s">
        <v>289</v>
      </c>
      <c r="B269" t="str">
        <f>SUM('Satisfacción de los comités d'!B270:J270)</f>
        <v>0</v>
      </c>
      <c r="C269" t="str">
        <f>IF(B269&lt;=$M$19,"Bajo",IF(B269&lt;=$M$20,"Medio",IF(B269&lt;=$M$21,"Alto",0)))</f>
        <v>0</v>
      </c>
      <c r="D269" t="str">
        <f>SUM(B269:B269)</f>
        <v>0</v>
      </c>
      <c r="E269" t="str">
        <f>IF(D269&lt;=$Y$19,"Bajo",IF(D269&lt;=$Y$20,"Medio",IF(D269&lt;=$Y$21,"Alto",0)))</f>
        <v>0</v>
      </c>
    </row>
    <row r="270" spans="1:33">
      <c r="A270" t="s">
        <v>290</v>
      </c>
      <c r="B270" t="str">
        <f>SUM('Satisfacción de los comités d'!B271:J271)</f>
        <v>0</v>
      </c>
      <c r="C270" t="str">
        <f>IF(B270&lt;=$M$19,"Bajo",IF(B270&lt;=$M$20,"Medio",IF(B270&lt;=$M$21,"Alto",0)))</f>
        <v>0</v>
      </c>
      <c r="D270" t="str">
        <f>SUM(B270:B270)</f>
        <v>0</v>
      </c>
      <c r="E270" t="str">
        <f>IF(D270&lt;=$Y$19,"Bajo",IF(D270&lt;=$Y$20,"Medio",IF(D270&lt;=$Y$21,"Alto",0)))</f>
        <v>0</v>
      </c>
    </row>
    <row r="271" spans="1:33">
      <c r="A271" t="s">
        <v>291</v>
      </c>
      <c r="B271" t="str">
        <f>SUM('Satisfacción de los comités d'!B272:J272)</f>
        <v>0</v>
      </c>
      <c r="C271" t="str">
        <f>IF(B271&lt;=$M$19,"Bajo",IF(B271&lt;=$M$20,"Medio",IF(B271&lt;=$M$21,"Alto",0)))</f>
        <v>0</v>
      </c>
      <c r="D271" t="str">
        <f>SUM(B271:B271)</f>
        <v>0</v>
      </c>
      <c r="E271" t="str">
        <f>IF(D271&lt;=$Y$19,"Bajo",IF(D271&lt;=$Y$20,"Medio",IF(D271&lt;=$Y$21,"Alto",0)))</f>
        <v>0</v>
      </c>
    </row>
    <row r="272" spans="1:33">
      <c r="A272" t="s">
        <v>292</v>
      </c>
      <c r="B272" t="str">
        <f>SUM('Satisfacción de los comités d'!B273:J273)</f>
        <v>0</v>
      </c>
      <c r="C272" t="str">
        <f>IF(B272&lt;=$M$19,"Bajo",IF(B272&lt;=$M$20,"Medio",IF(B272&lt;=$M$21,"Alto",0)))</f>
        <v>0</v>
      </c>
      <c r="D272" t="str">
        <f>SUM(B272:B272)</f>
        <v>0</v>
      </c>
      <c r="E272" t="str">
        <f>IF(D272&lt;=$Y$19,"Bajo",IF(D272&lt;=$Y$20,"Medio",IF(D272&lt;=$Y$21,"Alto",0)))</f>
        <v>0</v>
      </c>
    </row>
    <row r="273" spans="1:33">
      <c r="A273" t="s">
        <v>293</v>
      </c>
      <c r="B273" t="str">
        <f>SUM('Satisfacción de los comités d'!B274:J274)</f>
        <v>0</v>
      </c>
      <c r="C273" t="str">
        <f>IF(B273&lt;=$M$19,"Bajo",IF(B273&lt;=$M$20,"Medio",IF(B273&lt;=$M$21,"Alto",0)))</f>
        <v>0</v>
      </c>
      <c r="D273" t="str">
        <f>SUM(B273:B273)</f>
        <v>0</v>
      </c>
      <c r="E273" t="str">
        <f>IF(D273&lt;=$Y$19,"Bajo",IF(D273&lt;=$Y$20,"Medio",IF(D273&lt;=$Y$21,"Alto",0)))</f>
        <v>0</v>
      </c>
    </row>
    <row r="274" spans="1:33">
      <c r="A274" t="s">
        <v>294</v>
      </c>
      <c r="B274" t="str">
        <f>SUM('Satisfacción de los comités d'!B275:J275)</f>
        <v>0</v>
      </c>
      <c r="C274" t="str">
        <f>IF(B274&lt;=$M$19,"Bajo",IF(B274&lt;=$M$20,"Medio",IF(B274&lt;=$M$21,"Alto",0)))</f>
        <v>0</v>
      </c>
      <c r="D274" t="str">
        <f>SUM(B274:B274)</f>
        <v>0</v>
      </c>
      <c r="E274" t="str">
        <f>IF(D274&lt;=$Y$19,"Bajo",IF(D274&lt;=$Y$20,"Medio",IF(D274&lt;=$Y$21,"Alto",0)))</f>
        <v>0</v>
      </c>
    </row>
    <row r="275" spans="1:33">
      <c r="A275" t="s">
        <v>295</v>
      </c>
      <c r="B275" t="str">
        <f>SUM('Satisfacción de los comités d'!B276:J276)</f>
        <v>0</v>
      </c>
      <c r="C275" t="str">
        <f>IF(B275&lt;=$M$19,"Bajo",IF(B275&lt;=$M$20,"Medio",IF(B275&lt;=$M$21,"Alto",0)))</f>
        <v>0</v>
      </c>
      <c r="D275" t="str">
        <f>SUM(B275:B275)</f>
        <v>0</v>
      </c>
      <c r="E275" t="str">
        <f>IF(D275&lt;=$Y$19,"Bajo",IF(D275&lt;=$Y$20,"Medio",IF(D275&lt;=$Y$21,"Alto",0)))</f>
        <v>0</v>
      </c>
    </row>
    <row r="276" spans="1:33">
      <c r="A276" t="s">
        <v>296</v>
      </c>
      <c r="B276" t="str">
        <f>SUM('Satisfacción de los comités d'!B277:J277)</f>
        <v>0</v>
      </c>
      <c r="C276" t="str">
        <f>IF(B276&lt;=$M$19,"Bajo",IF(B276&lt;=$M$20,"Medio",IF(B276&lt;=$M$21,"Alto",0)))</f>
        <v>0</v>
      </c>
      <c r="D276" t="str">
        <f>SUM(B276:B276)</f>
        <v>0</v>
      </c>
      <c r="E276" t="str">
        <f>IF(D276&lt;=$Y$19,"Bajo",IF(D276&lt;=$Y$20,"Medio",IF(D276&lt;=$Y$21,"Alto",0)))</f>
        <v>0</v>
      </c>
    </row>
    <row r="277" spans="1:33">
      <c r="A277" t="s">
        <v>297</v>
      </c>
      <c r="B277" t="str">
        <f>SUM('Satisfacción de los comités d'!B278:J278)</f>
        <v>0</v>
      </c>
      <c r="C277" t="str">
        <f>IF(B277&lt;=$M$19,"Bajo",IF(B277&lt;=$M$20,"Medio",IF(B277&lt;=$M$21,"Alto",0)))</f>
        <v>0</v>
      </c>
      <c r="D277" t="str">
        <f>SUM(B277:B277)</f>
        <v>0</v>
      </c>
      <c r="E277" t="str">
        <f>IF(D277&lt;=$Y$19,"Bajo",IF(D277&lt;=$Y$20,"Medio",IF(D277&lt;=$Y$21,"Alto",0)))</f>
        <v>0</v>
      </c>
    </row>
    <row r="278" spans="1:33">
      <c r="A278" t="s">
        <v>298</v>
      </c>
      <c r="B278" t="str">
        <f>SUM('Satisfacción de los comités d'!B279:J279)</f>
        <v>0</v>
      </c>
      <c r="C278" t="str">
        <f>IF(B278&lt;=$M$19,"Bajo",IF(B278&lt;=$M$20,"Medio",IF(B278&lt;=$M$21,"Alto",0)))</f>
        <v>0</v>
      </c>
      <c r="D278" t="str">
        <f>SUM(B278:B278)</f>
        <v>0</v>
      </c>
      <c r="E278" t="str">
        <f>IF(D278&lt;=$Y$19,"Bajo",IF(D278&lt;=$Y$20,"Medio",IF(D278&lt;=$Y$21,"Alto",0)))</f>
        <v>0</v>
      </c>
    </row>
    <row r="279" spans="1:33">
      <c r="A279" t="s">
        <v>299</v>
      </c>
      <c r="B279" t="str">
        <f>SUM('Satisfacción de los comités d'!B280:J280)</f>
        <v>0</v>
      </c>
      <c r="C279" t="str">
        <f>IF(B279&lt;=$M$19,"Bajo",IF(B279&lt;=$M$20,"Medio",IF(B279&lt;=$M$21,"Alto",0)))</f>
        <v>0</v>
      </c>
      <c r="D279" t="str">
        <f>SUM(B279:B279)</f>
        <v>0</v>
      </c>
      <c r="E279" t="str">
        <f>IF(D279&lt;=$Y$19,"Bajo",IF(D279&lt;=$Y$20,"Medio",IF(D279&lt;=$Y$21,"Alto",0)))</f>
        <v>0</v>
      </c>
    </row>
    <row r="280" spans="1:33">
      <c r="A280" t="s">
        <v>300</v>
      </c>
      <c r="B280" t="str">
        <f>SUM('Satisfacción de los comités d'!B281:J281)</f>
        <v>0</v>
      </c>
      <c r="C280" t="str">
        <f>IF(B280&lt;=$M$19,"Bajo",IF(B280&lt;=$M$20,"Medio",IF(B280&lt;=$M$21,"Alto",0)))</f>
        <v>0</v>
      </c>
      <c r="D280" t="str">
        <f>SUM(B280:B280)</f>
        <v>0</v>
      </c>
      <c r="E280" t="str">
        <f>IF(D280&lt;=$Y$19,"Bajo",IF(D280&lt;=$Y$20,"Medio",IF(D280&lt;=$Y$21,"Alto",0)))</f>
        <v>0</v>
      </c>
    </row>
    <row r="281" spans="1:33">
      <c r="A281" t="s">
        <v>301</v>
      </c>
      <c r="B281" t="str">
        <f>SUM('Satisfacción de los comités d'!B282:J282)</f>
        <v>0</v>
      </c>
      <c r="C281" t="str">
        <f>IF(B281&lt;=$M$19,"Bajo",IF(B281&lt;=$M$20,"Medio",IF(B281&lt;=$M$21,"Alto",0)))</f>
        <v>0</v>
      </c>
      <c r="D281" t="str">
        <f>SUM(B281:B281)</f>
        <v>0</v>
      </c>
      <c r="E281" t="str">
        <f>IF(D281&lt;=$Y$19,"Bajo",IF(D281&lt;=$Y$20,"Medio",IF(D281&lt;=$Y$21,"Alto",0)))</f>
        <v>0</v>
      </c>
    </row>
    <row r="282" spans="1:33">
      <c r="A282" t="s">
        <v>302</v>
      </c>
      <c r="B282" t="str">
        <f>SUM('Satisfacción de los comités d'!B283:J283)</f>
        <v>0</v>
      </c>
      <c r="C282" t="str">
        <f>IF(B282&lt;=$M$19,"Bajo",IF(B282&lt;=$M$20,"Medio",IF(B282&lt;=$M$21,"Alto",0)))</f>
        <v>0</v>
      </c>
      <c r="D282" t="str">
        <f>SUM(B282:B282)</f>
        <v>0</v>
      </c>
      <c r="E282" t="str">
        <f>IF(D282&lt;=$Y$19,"Bajo",IF(D282&lt;=$Y$20,"Medio",IF(D282&lt;=$Y$21,"Alto",0)))</f>
        <v>0</v>
      </c>
    </row>
    <row r="283" spans="1:33">
      <c r="A283" t="s">
        <v>303</v>
      </c>
      <c r="B283" t="str">
        <f>SUM('Satisfacción de los comités d'!B284:J284)</f>
        <v>0</v>
      </c>
      <c r="C283" t="str">
        <f>IF(B283&lt;=$M$19,"Bajo",IF(B283&lt;=$M$20,"Medio",IF(B283&lt;=$M$21,"Alto",0)))</f>
        <v>0</v>
      </c>
      <c r="D283" t="str">
        <f>SUM(B283:B283)</f>
        <v>0</v>
      </c>
      <c r="E283" t="str">
        <f>IF(D283&lt;=$Y$19,"Bajo",IF(D283&lt;=$Y$20,"Medio",IF(D283&lt;=$Y$21,"Alto",0)))</f>
        <v>0</v>
      </c>
    </row>
    <row r="284" spans="1:33">
      <c r="A284" t="s">
        <v>304</v>
      </c>
      <c r="B284" t="str">
        <f>SUM('Satisfacción de los comités d'!B285:J285)</f>
        <v>0</v>
      </c>
      <c r="C284" t="str">
        <f>IF(B284&lt;=$M$19,"Bajo",IF(B284&lt;=$M$20,"Medio",IF(B284&lt;=$M$21,"Alto",0)))</f>
        <v>0</v>
      </c>
      <c r="D284" t="str">
        <f>SUM(B284:B284)</f>
        <v>0</v>
      </c>
      <c r="E284" t="str">
        <f>IF(D284&lt;=$Y$19,"Bajo",IF(D284&lt;=$Y$20,"Medio",IF(D284&lt;=$Y$21,"Alto",0)))</f>
        <v>0</v>
      </c>
    </row>
    <row r="285" spans="1:33">
      <c r="A285" t="s">
        <v>305</v>
      </c>
      <c r="B285" t="str">
        <f>SUM('Satisfacción de los comités d'!B286:J286)</f>
        <v>0</v>
      </c>
      <c r="C285" t="str">
        <f>IF(B285&lt;=$M$19,"Bajo",IF(B285&lt;=$M$20,"Medio",IF(B285&lt;=$M$21,"Alto",0)))</f>
        <v>0</v>
      </c>
      <c r="D285" t="str">
        <f>SUM(B285:B285)</f>
        <v>0</v>
      </c>
      <c r="E285" t="str">
        <f>IF(D285&lt;=$Y$19,"Bajo",IF(D285&lt;=$Y$20,"Medio",IF(D285&lt;=$Y$21,"Alto",0)))</f>
        <v>0</v>
      </c>
    </row>
    <row r="286" spans="1:33">
      <c r="A286" t="s">
        <v>306</v>
      </c>
      <c r="B286" t="str">
        <f>SUM('Satisfacción de los comités d'!B287:J287)</f>
        <v>0</v>
      </c>
      <c r="C286" t="str">
        <f>IF(B286&lt;=$M$19,"Bajo",IF(B286&lt;=$M$20,"Medio",IF(B286&lt;=$M$21,"Alto",0)))</f>
        <v>0</v>
      </c>
      <c r="D286" t="str">
        <f>SUM(B286:B286)</f>
        <v>0</v>
      </c>
      <c r="E286" t="str">
        <f>IF(D286&lt;=$Y$19,"Bajo",IF(D286&lt;=$Y$20,"Medio",IF(D286&lt;=$Y$21,"Alto",0)))</f>
        <v>0</v>
      </c>
    </row>
    <row r="287" spans="1:33">
      <c r="A287" t="s">
        <v>307</v>
      </c>
      <c r="B287" t="str">
        <f>SUM('Satisfacción de los comités d'!B288:J288)</f>
        <v>0</v>
      </c>
      <c r="C287" t="str">
        <f>IF(B287&lt;=$M$19,"Bajo",IF(B287&lt;=$M$20,"Medio",IF(B287&lt;=$M$21,"Alto",0)))</f>
        <v>0</v>
      </c>
      <c r="D287" t="str">
        <f>SUM(B287:B287)</f>
        <v>0</v>
      </c>
      <c r="E287" t="str">
        <f>IF(D287&lt;=$Y$19,"Bajo",IF(D287&lt;=$Y$20,"Medio",IF(D287&lt;=$Y$21,"Alto",0)))</f>
        <v>0</v>
      </c>
    </row>
    <row r="288" spans="1:33">
      <c r="A288" t="s">
        <v>308</v>
      </c>
      <c r="B288" t="str">
        <f>SUM('Satisfacción de los comités d'!B289:J289)</f>
        <v>0</v>
      </c>
      <c r="C288" t="str">
        <f>IF(B288&lt;=$M$19,"Bajo",IF(B288&lt;=$M$20,"Medio",IF(B288&lt;=$M$21,"Alto",0)))</f>
        <v>0</v>
      </c>
      <c r="D288" t="str">
        <f>SUM(B288:B288)</f>
        <v>0</v>
      </c>
      <c r="E288" t="str">
        <f>IF(D288&lt;=$Y$19,"Bajo",IF(D288&lt;=$Y$20,"Medio",IF(D288&lt;=$Y$21,"Alto",0)))</f>
        <v>0</v>
      </c>
    </row>
    <row r="289" spans="1:33">
      <c r="A289" t="s">
        <v>309</v>
      </c>
      <c r="B289" t="str">
        <f>SUM('Satisfacción de los comités d'!B290:J290)</f>
        <v>0</v>
      </c>
      <c r="C289" t="str">
        <f>IF(B289&lt;=$M$19,"Bajo",IF(B289&lt;=$M$20,"Medio",IF(B289&lt;=$M$21,"Alto",0)))</f>
        <v>0</v>
      </c>
      <c r="D289" t="str">
        <f>SUM(B289:B289)</f>
        <v>0</v>
      </c>
      <c r="E289" t="str">
        <f>IF(D289&lt;=$Y$19,"Bajo",IF(D289&lt;=$Y$20,"Medio",IF(D289&lt;=$Y$21,"Alto",0)))</f>
        <v>0</v>
      </c>
    </row>
    <row r="290" spans="1:33">
      <c r="A290" t="s">
        <v>310</v>
      </c>
      <c r="B290" t="str">
        <f>SUM('Satisfacción de los comités d'!B291:J291)</f>
        <v>0</v>
      </c>
      <c r="C290" t="str">
        <f>IF(B290&lt;=$M$19,"Bajo",IF(B290&lt;=$M$20,"Medio",IF(B290&lt;=$M$21,"Alto",0)))</f>
        <v>0</v>
      </c>
      <c r="D290" t="str">
        <f>SUM(B290:B290)</f>
        <v>0</v>
      </c>
      <c r="E290" t="str">
        <f>IF(D290&lt;=$Y$19,"Bajo",IF(D290&lt;=$Y$20,"Medio",IF(D290&lt;=$Y$21,"Alto",0)))</f>
        <v>0</v>
      </c>
    </row>
    <row r="291" spans="1:33">
      <c r="A291" t="s">
        <v>311</v>
      </c>
      <c r="B291" t="str">
        <f>SUM('Satisfacción de los comités d'!B292:J292)</f>
        <v>0</v>
      </c>
      <c r="C291" t="str">
        <f>IF(B291&lt;=$M$19,"Bajo",IF(B291&lt;=$M$20,"Medio",IF(B291&lt;=$M$21,"Alto",0)))</f>
        <v>0</v>
      </c>
      <c r="D291" t="str">
        <f>SUM(B291:B291)</f>
        <v>0</v>
      </c>
      <c r="E291" t="str">
        <f>IF(D291&lt;=$Y$19,"Bajo",IF(D291&lt;=$Y$20,"Medio",IF(D291&lt;=$Y$21,"Alto",0)))</f>
        <v>0</v>
      </c>
    </row>
    <row r="292" spans="1:33">
      <c r="A292" t="s">
        <v>312</v>
      </c>
      <c r="B292" t="str">
        <f>SUM('Satisfacción de los comités d'!B293:J293)</f>
        <v>0</v>
      </c>
      <c r="C292" t="str">
        <f>IF(B292&lt;=$M$19,"Bajo",IF(B292&lt;=$M$20,"Medio",IF(B292&lt;=$M$21,"Alto",0)))</f>
        <v>0</v>
      </c>
      <c r="D292" t="str">
        <f>SUM(B292:B292)</f>
        <v>0</v>
      </c>
      <c r="E292" t="str">
        <f>IF(D292&lt;=$Y$19,"Bajo",IF(D292&lt;=$Y$20,"Medio",IF(D292&lt;=$Y$21,"Alto",0)))</f>
        <v>0</v>
      </c>
    </row>
    <row r="901" spans="1:33">
      <c r="G901" s="10" t="s">
        <v>333</v>
      </c>
      <c r="H901" s="10" t="str">
        <f>(J4)</f>
        <v>0</v>
      </c>
      <c r="J901" s="10" t="s">
        <v>361</v>
      </c>
      <c r="S901" s="10" t="s">
        <v>333</v>
      </c>
      <c r="T901" s="10" t="str">
        <f>(V4)</f>
        <v>0</v>
      </c>
      <c r="V901" s="10" t="s">
        <v>361</v>
      </c>
    </row>
    <row r="902" spans="1:33">
      <c r="G902" s="10" t="s">
        <v>362</v>
      </c>
      <c r="H902" s="10" t="str">
        <f>(J5)</f>
        <v>0</v>
      </c>
      <c r="J902" s="10" t="s">
        <v>363</v>
      </c>
      <c r="S902" s="10" t="s">
        <v>362</v>
      </c>
      <c r="T902" s="10" t="str">
        <f>(V5)</f>
        <v>0</v>
      </c>
      <c r="V902" s="10" t="s">
        <v>363</v>
      </c>
    </row>
    <row r="904" spans="1:33">
      <c r="G904" s="10" t="s">
        <v>364</v>
      </c>
      <c r="H904" s="14" t="str">
        <f>MAX(O19:O21)</f>
        <v>0</v>
      </c>
      <c r="I904" s="10" t="str">
        <f>IF(H904=O19,K19,IF(H904=O20,K20,IF(H904=O21,K21,"algo esta mal")))</f>
        <v>0</v>
      </c>
      <c r="S904" s="10" t="s">
        <v>364</v>
      </c>
      <c r="T904" s="14" t="str">
        <f>MAX(AA19:AA21)</f>
        <v>0</v>
      </c>
      <c r="U904" s="10" t="str">
        <f>IF(T904=AA19,W19,IF(T904=AA20,W20,IF(T904=AA21,W21,"algo esta mal")))</f>
        <v>0</v>
      </c>
    </row>
    <row r="905" spans="1:33">
      <c r="I905" s="10" t="s">
        <v>365</v>
      </c>
      <c r="J905" s="10" t="s">
        <v>366</v>
      </c>
      <c r="K905" s="10" t="s">
        <v>319</v>
      </c>
      <c r="L905" s="10" t="s">
        <v>320</v>
      </c>
      <c r="M905" s="10" t="s">
        <v>321</v>
      </c>
      <c r="N905" s="10" t="s">
        <v>322</v>
      </c>
      <c r="O905" s="10" t="s">
        <v>323</v>
      </c>
    </row>
    <row r="906" spans="1:33">
      <c r="I906" s="10" t="s">
        <v>367</v>
      </c>
      <c r="J906" s="14" t="s">
        <v>367</v>
      </c>
      <c r="K906" t="str">
        <f>('Satisfacción de los comités d'!B306)</f>
        <v>0</v>
      </c>
      <c r="L906" t="str">
        <f>('Satisfacción de los comités d'!B307)</f>
        <v>0</v>
      </c>
      <c r="M906" t="str">
        <f>('Satisfacción de los comités d'!B308)</f>
        <v>0</v>
      </c>
      <c r="N906" t="str">
        <f>('Satisfacción de los comités d'!B309)</f>
        <v>0</v>
      </c>
      <c r="O906" t="str">
        <f>('Satisfacción de los comités d'!B310)</f>
        <v>0</v>
      </c>
    </row>
    <row r="907" spans="1:33">
      <c r="I907" s="10" t="s">
        <v>367</v>
      </c>
      <c r="J907" s="14" t="s">
        <v>367</v>
      </c>
      <c r="K907" t="str">
        <f>('Satisfacción de los comités d'!C306)</f>
        <v>0</v>
      </c>
      <c r="L907" t="str">
        <f>('Satisfacción de los comités d'!C307)</f>
        <v>0</v>
      </c>
      <c r="M907" t="str">
        <f>('Satisfacción de los comités d'!C308)</f>
        <v>0</v>
      </c>
      <c r="N907" t="str">
        <f>('Satisfacción de los comités d'!C309)</f>
        <v>0</v>
      </c>
      <c r="O907" t="str">
        <f>('Satisfacción de los comités d'!C310)</f>
        <v>0</v>
      </c>
    </row>
    <row r="908" spans="1:33">
      <c r="I908" s="10" t="s">
        <v>367</v>
      </c>
      <c r="J908" s="14" t="s">
        <v>367</v>
      </c>
      <c r="K908" t="str">
        <f>('Satisfacción de los comités d'!D306)</f>
        <v>0</v>
      </c>
      <c r="L908" t="str">
        <f>('Satisfacción de los comités d'!D307)</f>
        <v>0</v>
      </c>
      <c r="M908" t="str">
        <f>('Satisfacción de los comités d'!D308)</f>
        <v>0</v>
      </c>
      <c r="N908" t="str">
        <f>('Satisfacción de los comités d'!D309)</f>
        <v>0</v>
      </c>
      <c r="O908" t="str">
        <f>('Satisfacción de los comités d'!D310)</f>
        <v>0</v>
      </c>
    </row>
    <row r="909" spans="1:33">
      <c r="I909" s="10" t="s">
        <v>367</v>
      </c>
      <c r="J909" s="14" t="s">
        <v>367</v>
      </c>
      <c r="K909" t="str">
        <f>('Satisfacción de los comités d'!E306)</f>
        <v>0</v>
      </c>
      <c r="L909" t="str">
        <f>('Satisfacción de los comités d'!E307)</f>
        <v>0</v>
      </c>
      <c r="M909" t="str">
        <f>('Satisfacción de los comités d'!E308)</f>
        <v>0</v>
      </c>
      <c r="N909" t="str">
        <f>('Satisfacción de los comités d'!E309)</f>
        <v>0</v>
      </c>
      <c r="O909" t="str">
        <f>('Satisfacción de los comités d'!E310)</f>
        <v>0</v>
      </c>
    </row>
    <row r="910" spans="1:33">
      <c r="I910" s="10" t="s">
        <v>367</v>
      </c>
      <c r="J910" s="14" t="s">
        <v>367</v>
      </c>
      <c r="K910" t="str">
        <f>('Satisfacción de los comités d'!F306)</f>
        <v>0</v>
      </c>
      <c r="L910" t="str">
        <f>('Satisfacción de los comités d'!F307)</f>
        <v>0</v>
      </c>
      <c r="M910" t="str">
        <f>('Satisfacción de los comités d'!F308)</f>
        <v>0</v>
      </c>
      <c r="N910" t="str">
        <f>('Satisfacción de los comités d'!F309)</f>
        <v>0</v>
      </c>
      <c r="O910" t="str">
        <f>('Satisfacción de los comités d'!F310)</f>
        <v>0</v>
      </c>
    </row>
    <row r="911" spans="1:33">
      <c r="I911" s="10" t="s">
        <v>367</v>
      </c>
      <c r="J911" s="14" t="s">
        <v>367</v>
      </c>
      <c r="K911" t="str">
        <f>('Satisfacción de los comités d'!G306)</f>
        <v>0</v>
      </c>
      <c r="L911" t="str">
        <f>('Satisfacción de los comités d'!G307)</f>
        <v>0</v>
      </c>
      <c r="M911" t="str">
        <f>('Satisfacción de los comités d'!G308)</f>
        <v>0</v>
      </c>
      <c r="N911" t="str">
        <f>('Satisfacción de los comités d'!G309)</f>
        <v>0</v>
      </c>
      <c r="O911" t="str">
        <f>('Satisfacción de los comités d'!G310)</f>
        <v>0</v>
      </c>
    </row>
    <row r="912" spans="1:33">
      <c r="I912" s="10" t="s">
        <v>367</v>
      </c>
      <c r="J912" s="14" t="s">
        <v>367</v>
      </c>
      <c r="K912" t="str">
        <f>('Satisfacción de los comités d'!H306)</f>
        <v>0</v>
      </c>
      <c r="L912" t="str">
        <f>('Satisfacción de los comités d'!H307)</f>
        <v>0</v>
      </c>
      <c r="M912" t="str">
        <f>('Satisfacción de los comités d'!H308)</f>
        <v>0</v>
      </c>
      <c r="N912" t="str">
        <f>('Satisfacción de los comités d'!H309)</f>
        <v>0</v>
      </c>
      <c r="O912" t="str">
        <f>('Satisfacción de los comités d'!H310)</f>
        <v>0</v>
      </c>
    </row>
    <row r="913" spans="1:33">
      <c r="I913" s="10" t="s">
        <v>367</v>
      </c>
      <c r="J913" s="14" t="s">
        <v>367</v>
      </c>
      <c r="K913" t="str">
        <f>('Satisfacción de los comités d'!I306)</f>
        <v>0</v>
      </c>
      <c r="L913" t="str">
        <f>('Satisfacción de los comités d'!I307)</f>
        <v>0</v>
      </c>
      <c r="M913" t="str">
        <f>('Satisfacción de los comités d'!I308)</f>
        <v>0</v>
      </c>
      <c r="N913" t="str">
        <f>('Satisfacción de los comités d'!I309)</f>
        <v>0</v>
      </c>
      <c r="O913" t="str">
        <f>('Satisfacción de los comités d'!I310)</f>
        <v>0</v>
      </c>
    </row>
    <row r="914" spans="1:33">
      <c r="I914" s="10" t="s">
        <v>367</v>
      </c>
      <c r="J914" s="14" t="s">
        <v>367</v>
      </c>
      <c r="K914" t="str">
        <f>('Satisfacción de los comités d'!J306)</f>
        <v>0</v>
      </c>
      <c r="L914" t="str">
        <f>('Satisfacción de los comités d'!J307)</f>
        <v>0</v>
      </c>
      <c r="M914" t="str">
        <f>('Satisfacción de los comités d'!J308)</f>
        <v>0</v>
      </c>
      <c r="N914" t="str">
        <f>('Satisfacción de los comités d'!J309)</f>
        <v>0</v>
      </c>
      <c r="O914" t="str">
        <f>('Satisfacción de los comités d'!J310)</f>
        <v>0</v>
      </c>
    </row>
    <row r="1015" spans="1:33">
      <c r="I1015" s="10" t="s">
        <v>366</v>
      </c>
      <c r="J1015" s="10" t="str">
        <f>CONCATENATE(K905," y ",L905)</f>
        <v>0</v>
      </c>
      <c r="K1015" s="10" t="str">
        <f>(M905)</f>
        <v>0</v>
      </c>
      <c r="L1015" s="10" t="str">
        <f>CONCATENATE(N905," y ",O905)</f>
        <v>0</v>
      </c>
      <c r="M1015" s="10" t="s">
        <v>368</v>
      </c>
      <c r="N1015" s="10" t="s">
        <v>369</v>
      </c>
      <c r="O1015" s="10" t="s">
        <v>370</v>
      </c>
      <c r="P1015" s="10" t="s">
        <v>371</v>
      </c>
      <c r="Q1015" s="10" t="s">
        <v>372</v>
      </c>
      <c r="U1015" s="10" t="s">
        <v>373</v>
      </c>
      <c r="V1015" s="10" t="s">
        <v>352</v>
      </c>
      <c r="W1015" s="10" t="s">
        <v>460</v>
      </c>
      <c r="X1015" s="10" t="s">
        <v>354</v>
      </c>
      <c r="Y1015" s="10" t="s">
        <v>368</v>
      </c>
      <c r="Z1015" s="10" t="s">
        <v>374</v>
      </c>
      <c r="AA1015" s="10" t="s">
        <v>375</v>
      </c>
      <c r="AB1015" s="10" t="s">
        <v>376</v>
      </c>
      <c r="AC1015" s="10" t="s">
        <v>377</v>
      </c>
      <c r="AD1015" s="10" t="s">
        <v>378</v>
      </c>
      <c r="AE1015" s="10" t="s">
        <v>379</v>
      </c>
      <c r="AF1015" s="10" t="s">
        <v>380</v>
      </c>
      <c r="AG1015" s="10" t="s">
        <v>372</v>
      </c>
    </row>
    <row r="1016" spans="1:33">
      <c r="I1016" s="10" t="str">
        <f>(J906)</f>
        <v>0</v>
      </c>
      <c r="J1016" s="14" t="str">
        <f>SUM(K906:L906)</f>
        <v>0</v>
      </c>
      <c r="K1016" s="14" t="str">
        <f>(M906)</f>
        <v>0</v>
      </c>
      <c r="L1016" s="14" t="str">
        <f>SUM(N906:O906)</f>
        <v>0</v>
      </c>
      <c r="M1016" s="14" t="str">
        <f>MAX(J1016:L1016)</f>
        <v>0</v>
      </c>
      <c r="N1016" s="10" t="str">
        <f>IF(M1016=J1016,$J$1015,IF(M1016=K1016,$K$1015,IF(M1016=L1016,$L$1015,"ALGO ESTA MAL")))</f>
        <v>0</v>
      </c>
      <c r="O1016" s="10" t="str">
        <f>RANDBETWEEN(1,10)</f>
        <v>0</v>
      </c>
      <c r="P1016" s="10" t="str">
        <f>IF(O1016=$P$1100,$Q$1100,IF(O1016=$P$1101,$Q$1101,IF(O1016=$P$1102,$Q$1102,IF(O1016=$P$1103,$Q$1103,IF(O1016=$P$1104,$Q$1104,IF(O1016=$P$1105,$Q$1105,IF(O1016=$P$1106,$Q$1106,IF(O1016=$P$1107,$Q$1107,IF(O1016=$P$1108,$Q$1108,IF(O1016=$P$1109,$Q$1109,"algo esta mal"))))))))))</f>
        <v>0</v>
      </c>
      <c r="Q1016" s="10" t="str">
        <f>CONCATENATE("el ",ROUND(M1016*100,0),"% ",P1016," como ",N1016)</f>
        <v>0</v>
      </c>
      <c r="U1016" s="14" t="str">
        <f>(K16)</f>
        <v>0</v>
      </c>
      <c r="V1016" s="14" t="str">
        <f>(O19)</f>
        <v>0</v>
      </c>
      <c r="W1016" s="5" t="str">
        <f>(O20)</f>
        <v>0</v>
      </c>
      <c r="X1016" s="14" t="str">
        <f>(O21)</f>
        <v>0</v>
      </c>
      <c r="Y1016" s="14" t="str">
        <f>MAX(V1016:X1016)</f>
        <v>0</v>
      </c>
      <c r="Z1016" s="10" t="str">
        <f>IF(Y1016=V1016,$V$1015,IF(Y1016=W1016,$W$1015,IF(Y1016=X1016,$X$1015,"algo esta mal")))</f>
        <v>0</v>
      </c>
      <c r="AA1016" s="10" t="str">
        <f> RANDBETWEEN(1,10)</f>
        <v>0</v>
      </c>
      <c r="AB1016" s="10" t="str">
        <f>IF(AA1016=$AB$1100,$AC$1100,IF(AA1016=$AB$1101,$AC$1101,IF(AA1016=$AB$1102,$AC$1102,IF(AA1016=$AB$1103,$AC$1103,IF(AA1016=$AB$1104,$AC$1104,IF(AA1016=$AB$1105,$AC$1105,IF(AA1016=$AB$1106,$AC$1106,IF(AA1016=$AB$1107,$AC$1107,IF(AA1016=$AB$1108,$AC$1108,IF(AA1016=$AB$1109,$AC$1109,"algo esta mal"))))))))))</f>
        <v>0</v>
      </c>
      <c r="AC1016" s="10" t="str">
        <f> RANDBETWEEN(1,7)</f>
        <v>0</v>
      </c>
      <c r="AD1016" s="10" t="str">
        <f>IF(AC1016=$AB$1110,$AC$1110,IF(AC1016=$AB$1111,$AC$1111,IF(AC1016=$AB$1112,$AC$1112,IF(AC1016=$AB$1113,$AC$1113,IF(AC1016=$AB$1114,$AC$1114,IF(AC1016=$AB$1115,$AC$1115,IF(AC1016=$AB$1116,$AC$1116,IF(AC1016=$AB$1047,$AC$1047,IF(AC1016=$AB$1048,$AC$1048,IF(AC1016=$AB$1049,$AC$1049,"algo esta mal"))))))))))</f>
        <v>0</v>
      </c>
      <c r="AE1016" s="10" t="str">
        <f> RANDBETWEEN(1,2)</f>
        <v>0</v>
      </c>
      <c r="AF1016" s="10" t="str">
        <f>IF(AE1016=$AB$1120,$AC$1120,IF(AE1016=$AB$1121,$AC$1121,"algo esta mal"))</f>
        <v>0</v>
      </c>
      <c r="AG1016" s="10" t="str">
        <f>CONCATENATE("el ",ROUND(Y1016*100,0),"% de los ",AF1016," ",AB1016," a la dimensión ",U1016," como ",Z1016,", ",AD1016)</f>
        <v>0</v>
      </c>
    </row>
    <row r="1017" spans="1:33">
      <c r="I1017" s="10" t="str">
        <f>(J907)</f>
        <v>0</v>
      </c>
      <c r="J1017" s="14" t="str">
        <f>SUM(K907:L907)</f>
        <v>0</v>
      </c>
      <c r="K1017" s="14" t="str">
        <f>(M907)</f>
        <v>0</v>
      </c>
      <c r="L1017" s="14" t="str">
        <f>SUM(N907:O907)</f>
        <v>0</v>
      </c>
      <c r="M1017" s="14" t="str">
        <f>MAX(J1017:L1017)</f>
        <v>0</v>
      </c>
      <c r="N1017" s="10" t="str">
        <f>IF(M1017=J1017,$J$1015,IF(M1017=K1017,$K$1015,IF(M1017=L1017,$L$1015,"ALGO ESTA MAL")))</f>
        <v>0</v>
      </c>
      <c r="O1017" s="10" t="str">
        <f>RANDBETWEEN(1,10)</f>
        <v>0</v>
      </c>
      <c r="P1017" s="10" t="str">
        <f>IF(O1017=$P$1100,$Q$1100,IF(O1017=$P$1101,$Q$1101,IF(O1017=$P$1102,$Q$1102,IF(O1017=$P$1103,$Q$1103,IF(O1017=$P$1104,$Q$1104,IF(O1017=$P$1105,$Q$1105,IF(O1017=$P$1106,$Q$1106,IF(O1017=$P$1107,$Q$1107,IF(O1017=$P$1108,$Q$1108,IF(O1017=$P$1109,$Q$1109,"algo esta mal"))))))))))</f>
        <v>0</v>
      </c>
      <c r="Q1017" s="10" t="str">
        <f>CONCATENATE("el ",ROUND(M1017*100,0),"% de los ",J902," ",P1017," como ",N1017)</f>
        <v>0</v>
      </c>
    </row>
    <row r="1018" spans="1:33">
      <c r="I1018" s="10" t="str">
        <f>(J908)</f>
        <v>0</v>
      </c>
      <c r="J1018" s="14" t="str">
        <f>SUM(K908:L908)</f>
        <v>0</v>
      </c>
      <c r="K1018" s="14" t="str">
        <f>(M908)</f>
        <v>0</v>
      </c>
      <c r="L1018" s="14" t="str">
        <f>SUM(N908:O908)</f>
        <v>0</v>
      </c>
      <c r="M1018" s="14" t="str">
        <f>MAX(J1018:L1018)</f>
        <v>0</v>
      </c>
      <c r="N1018" s="10" t="str">
        <f>IF(M1018=J1018,$J$1015,IF(M1018=K1018,$K$1015,IF(M1018=L1018,$L$1015,"ALGO ESTA MAL")))</f>
        <v>0</v>
      </c>
      <c r="O1018" s="10" t="str">
        <f>RANDBETWEEN(1,10)</f>
        <v>0</v>
      </c>
      <c r="P1018" s="10" t="str">
        <f>IF(O1018=$P$1100,$Q$1100,IF(O1018=$P$1101,$Q$1101,IF(O1018=$P$1102,$Q$1102,IF(O1018=$P$1103,$Q$1103,IF(O1018=$P$1104,$Q$1104,IF(O1018=$P$1105,$Q$1105,IF(O1018=$P$1106,$Q$1106,IF(O1018=$P$1107,$Q$1107,IF(O1018=$P$1108,$Q$1108,IF(O1018=$P$1109,$Q$1109,"algo esta mal"))))))))))</f>
        <v>0</v>
      </c>
      <c r="Q1018" s="10" t="str">
        <f>CONCATENATE("el ",ROUND(M1018*100,0),"% ",P1018," como ",N1018)</f>
        <v>0</v>
      </c>
    </row>
    <row r="1019" spans="1:33">
      <c r="I1019" s="10" t="str">
        <f>(J909)</f>
        <v>0</v>
      </c>
      <c r="J1019" s="14" t="str">
        <f>SUM(K909:L909)</f>
        <v>0</v>
      </c>
      <c r="K1019" s="14" t="str">
        <f>(M909)</f>
        <v>0</v>
      </c>
      <c r="L1019" s="14" t="str">
        <f>SUM(N909:O909)</f>
        <v>0</v>
      </c>
      <c r="M1019" s="14" t="str">
        <f>MAX(J1019:L1019)</f>
        <v>0</v>
      </c>
      <c r="N1019" s="10" t="str">
        <f>IF(M1019=J1019,$J$1015,IF(M1019=K1019,$K$1015,IF(M1019=L1019,$L$1015,"ALGO ESTA MAL")))</f>
        <v>0</v>
      </c>
      <c r="O1019" s="10" t="str">
        <f>RANDBETWEEN(1,10)</f>
        <v>0</v>
      </c>
      <c r="P1019" s="10" t="str">
        <f>IF(O1019=$P$1100,$Q$1100,IF(O1019=$P$1101,$Q$1101,IF(O1019=$P$1102,$Q$1102,IF(O1019=$P$1103,$Q$1103,IF(O1019=$P$1104,$Q$1104,IF(O1019=$P$1105,$Q$1105,IF(O1019=$P$1106,$Q$1106,IF(O1019=$P$1107,$Q$1107,IF(O1019=$P$1108,$Q$1108,IF(O1019=$P$1109,$Q$1109,"algo esta mal"))))))))))</f>
        <v>0</v>
      </c>
      <c r="Q1019" s="10" t="str">
        <f>CONCATENATE("el ",ROUND(M1019*100,0),"% de los ",J902," ",P1019," como ",N1019)</f>
        <v>0</v>
      </c>
    </row>
    <row r="1020" spans="1:33">
      <c r="I1020" s="10" t="str">
        <f>(J910)</f>
        <v>0</v>
      </c>
      <c r="J1020" s="14" t="str">
        <f>SUM(K910:L910)</f>
        <v>0</v>
      </c>
      <c r="K1020" s="14" t="str">
        <f>(M910)</f>
        <v>0</v>
      </c>
      <c r="L1020" s="14" t="str">
        <f>SUM(N910:O910)</f>
        <v>0</v>
      </c>
      <c r="M1020" s="14" t="str">
        <f>MAX(J1020:L1020)</f>
        <v>0</v>
      </c>
      <c r="N1020" s="10" t="str">
        <f>IF(M1020=J1020,$J$1015,IF(M1020=K1020,$K$1015,IF(M1020=L1020,$L$1015,"ALGO ESTA MAL")))</f>
        <v>0</v>
      </c>
      <c r="O1020" s="10" t="str">
        <f>RANDBETWEEN(1,10)</f>
        <v>0</v>
      </c>
      <c r="P1020" s="10" t="str">
        <f>IF(O1020=$P$1100,$Q$1100,IF(O1020=$P$1101,$Q$1101,IF(O1020=$P$1102,$Q$1102,IF(O1020=$P$1103,$Q$1103,IF(O1020=$P$1104,$Q$1104,IF(O1020=$P$1105,$Q$1105,IF(O1020=$P$1106,$Q$1106,IF(O1020=$P$1107,$Q$1107,IF(O1020=$P$1108,$Q$1108,IF(O1020=$P$1109,$Q$1109,"algo esta mal"))))))))))</f>
        <v>0</v>
      </c>
      <c r="Q1020" s="10" t="str">
        <f>CONCATENATE("el ",ROUND(M1020*100,0),"% ",P1020," como ",N1020)</f>
        <v>0</v>
      </c>
    </row>
    <row r="1021" spans="1:33">
      <c r="I1021" s="10" t="str">
        <f>(J911)</f>
        <v>0</v>
      </c>
      <c r="J1021" s="14" t="str">
        <f>SUM(K911:L911)</f>
        <v>0</v>
      </c>
      <c r="K1021" s="14" t="str">
        <f>(M911)</f>
        <v>0</v>
      </c>
      <c r="L1021" s="14" t="str">
        <f>SUM(N911:O911)</f>
        <v>0</v>
      </c>
      <c r="M1021" s="14" t="str">
        <f>MAX(J1021:L1021)</f>
        <v>0</v>
      </c>
      <c r="N1021" s="10" t="str">
        <f>IF(M1021=J1021,$J$1015,IF(M1021=K1021,$K$1015,IF(M1021=L1021,$L$1015,"ALGO ESTA MAL")))</f>
        <v>0</v>
      </c>
      <c r="O1021" s="10" t="str">
        <f>RANDBETWEEN(1,10)</f>
        <v>0</v>
      </c>
      <c r="P1021" s="10" t="str">
        <f>IF(O1021=$P$1100,$Q$1100,IF(O1021=$P$1101,$Q$1101,IF(O1021=$P$1102,$Q$1102,IF(O1021=$P$1103,$Q$1103,IF(O1021=$P$1104,$Q$1104,IF(O1021=$P$1105,$Q$1105,IF(O1021=$P$1106,$Q$1106,IF(O1021=$P$1107,$Q$1107,IF(O1021=$P$1108,$Q$1108,IF(O1021=$P$1109,$Q$1109,"algo esta mal"))))))))))</f>
        <v>0</v>
      </c>
      <c r="Q1021" s="10" t="str">
        <f>CONCATENATE("el ",ROUND(M1021*100,0),"% ",P1021," como ",N1021)</f>
        <v>0</v>
      </c>
    </row>
    <row r="1022" spans="1:33">
      <c r="I1022" s="10" t="str">
        <f>(J912)</f>
        <v>0</v>
      </c>
      <c r="J1022" s="14" t="str">
        <f>SUM(K912:L912)</f>
        <v>0</v>
      </c>
      <c r="K1022" s="14" t="str">
        <f>(M912)</f>
        <v>0</v>
      </c>
      <c r="L1022" s="14" t="str">
        <f>SUM(N912:O912)</f>
        <v>0</v>
      </c>
      <c r="M1022" s="14" t="str">
        <f>MAX(J1022:L1022)</f>
        <v>0</v>
      </c>
      <c r="N1022" s="10" t="str">
        <f>IF(M1022=J1022,$J$1015,IF(M1022=K1022,$K$1015,IF(M1022=L1022,$L$1015,"ALGO ESTA MAL")))</f>
        <v>0</v>
      </c>
      <c r="O1022" s="10" t="str">
        <f>RANDBETWEEN(1,10)</f>
        <v>0</v>
      </c>
      <c r="P1022" s="10" t="str">
        <f>IF(O1022=$P$1100,$Q$1100,IF(O1022=$P$1101,$Q$1101,IF(O1022=$P$1102,$Q$1102,IF(O1022=$P$1103,$Q$1103,IF(O1022=$P$1104,$Q$1104,IF(O1022=$P$1105,$Q$1105,IF(O1022=$P$1106,$Q$1106,IF(O1022=$P$1107,$Q$1107,IF(O1022=$P$1108,$Q$1108,IF(O1022=$P$1109,$Q$1109,"algo esta mal"))))))))))</f>
        <v>0</v>
      </c>
      <c r="Q1022" s="10" t="str">
        <f>CONCATENATE("el ",ROUND(M1022*100,0),"% de los ",J902," ",P1022," como ",N1022)</f>
        <v>0</v>
      </c>
    </row>
    <row r="1023" spans="1:33">
      <c r="I1023" s="10" t="str">
        <f>(J913)</f>
        <v>0</v>
      </c>
      <c r="J1023" s="14" t="str">
        <f>SUM(K913:L913)</f>
        <v>0</v>
      </c>
      <c r="K1023" s="14" t="str">
        <f>(M913)</f>
        <v>0</v>
      </c>
      <c r="L1023" s="14" t="str">
        <f>SUM(N913:O913)</f>
        <v>0</v>
      </c>
      <c r="M1023" s="14" t="str">
        <f>MAX(J1023:L1023)</f>
        <v>0</v>
      </c>
      <c r="N1023" s="10" t="str">
        <f>IF(M1023=J1023,$J$1015,IF(M1023=K1023,$K$1015,IF(M1023=L1023,$L$1015,"ALGO ESTA MAL")))</f>
        <v>0</v>
      </c>
      <c r="O1023" s="10" t="str">
        <f>RANDBETWEEN(1,10)</f>
        <v>0</v>
      </c>
      <c r="P1023" s="10" t="str">
        <f>IF(O1023=$P$1100,$Q$1100,IF(O1023=$P$1101,$Q$1101,IF(O1023=$P$1102,$Q$1102,IF(O1023=$P$1103,$Q$1103,IF(O1023=$P$1104,$Q$1104,IF(O1023=$P$1105,$Q$1105,IF(O1023=$P$1106,$Q$1106,IF(O1023=$P$1107,$Q$1107,IF(O1023=$P$1108,$Q$1108,IF(O1023=$P$1109,$Q$1109,"algo esta mal"))))))))))</f>
        <v>0</v>
      </c>
      <c r="Q1023" s="10" t="str">
        <f>CONCATENATE("el ",ROUND(M1023*100,0),"% ",P1023," como ",N1023)</f>
        <v>0</v>
      </c>
    </row>
    <row r="1024" spans="1:33">
      <c r="I1024" s="10" t="str">
        <f>(J914)</f>
        <v>0</v>
      </c>
      <c r="J1024" s="14" t="str">
        <f>SUM(K914:L914)</f>
        <v>0</v>
      </c>
      <c r="K1024" s="14" t="str">
        <f>(M914)</f>
        <v>0</v>
      </c>
      <c r="L1024" s="14" t="str">
        <f>SUM(N914:O914)</f>
        <v>0</v>
      </c>
      <c r="M1024" s="14" t="str">
        <f>MAX(J1024:L1024)</f>
        <v>0</v>
      </c>
      <c r="N1024" s="10" t="str">
        <f>IF(M1024=J1024,$J$1015,IF(M1024=K1024,$K$1015,IF(M1024=L1024,$L$1015,"ALGO ESTA MAL")))</f>
        <v>0</v>
      </c>
      <c r="O1024" s="10" t="str">
        <f>RANDBETWEEN(1,10)</f>
        <v>0</v>
      </c>
      <c r="P1024" s="10" t="str">
        <f>IF(O1024=$P$1100,$Q$1100,IF(O1024=$P$1101,$Q$1101,IF(O1024=$P$1102,$Q$1102,IF(O1024=$P$1103,$Q$1103,IF(O1024=$P$1104,$Q$1104,IF(O1024=$P$1105,$Q$1105,IF(O1024=$P$1106,$Q$1106,IF(O1024=$P$1107,$Q$1107,IF(O1024=$P$1108,$Q$1108,IF(O1024=$P$1109,$Q$1109,"algo esta mal"))))))))))</f>
        <v>0</v>
      </c>
      <c r="Q1024" s="10" t="str">
        <f>CONCATENATE("el ",ROUND(M1024*100,0),"% ",P1024," como ",N1024)</f>
        <v>0</v>
      </c>
    </row>
    <row r="1100" spans="1:33">
      <c r="P1100" s="10">
        <v>1</v>
      </c>
      <c r="Q1100" s="10" t="s">
        <v>381</v>
      </c>
      <c r="AB1100" s="10">
        <v>1</v>
      </c>
      <c r="AC1100" s="10" t="s">
        <v>381</v>
      </c>
    </row>
    <row r="1101" spans="1:33">
      <c r="P1101" s="10">
        <v>2</v>
      </c>
      <c r="Q1101" s="10" t="s">
        <v>382</v>
      </c>
      <c r="AB1101" s="10">
        <v>2</v>
      </c>
      <c r="AC1101" s="10" t="s">
        <v>382</v>
      </c>
    </row>
    <row r="1102" spans="1:33">
      <c r="P1102" s="10">
        <v>3</v>
      </c>
      <c r="Q1102" s="10" t="s">
        <v>383</v>
      </c>
      <c r="AB1102" s="10">
        <v>3</v>
      </c>
      <c r="AC1102" s="10" t="s">
        <v>383</v>
      </c>
    </row>
    <row r="1103" spans="1:33">
      <c r="P1103" s="10">
        <v>4</v>
      </c>
      <c r="Q1103" s="10" t="s">
        <v>384</v>
      </c>
      <c r="AB1103" s="10">
        <v>4</v>
      </c>
      <c r="AC1103" s="10" t="s">
        <v>384</v>
      </c>
    </row>
    <row r="1104" spans="1:33">
      <c r="P1104" s="10">
        <v>5</v>
      </c>
      <c r="Q1104" s="10" t="s">
        <v>385</v>
      </c>
      <c r="AB1104" s="10">
        <v>5</v>
      </c>
      <c r="AC1104" s="10" t="s">
        <v>385</v>
      </c>
    </row>
    <row r="1105" spans="1:33">
      <c r="P1105" s="10">
        <v>6</v>
      </c>
      <c r="Q1105" s="10" t="s">
        <v>386</v>
      </c>
      <c r="AB1105" s="10">
        <v>6</v>
      </c>
      <c r="AC1105" s="10" t="s">
        <v>386</v>
      </c>
    </row>
    <row r="1106" spans="1:33">
      <c r="P1106" s="10">
        <v>7</v>
      </c>
      <c r="Q1106" s="10" t="s">
        <v>387</v>
      </c>
      <c r="AB1106" s="10">
        <v>7</v>
      </c>
      <c r="AC1106" s="10" t="s">
        <v>387</v>
      </c>
    </row>
    <row r="1107" spans="1:33">
      <c r="P1107" s="10">
        <v>8</v>
      </c>
      <c r="Q1107" s="10" t="s">
        <v>388</v>
      </c>
      <c r="AB1107" s="10">
        <v>8</v>
      </c>
      <c r="AC1107" s="10" t="s">
        <v>388</v>
      </c>
    </row>
    <row r="1108" spans="1:33">
      <c r="P1108" s="10">
        <v>9</v>
      </c>
      <c r="Q1108" s="10" t="s">
        <v>389</v>
      </c>
      <c r="AB1108" s="10">
        <v>9</v>
      </c>
      <c r="AC1108" s="10" t="s">
        <v>389</v>
      </c>
    </row>
    <row r="1109" spans="1:33">
      <c r="P1109" s="10">
        <v>10</v>
      </c>
      <c r="Q1109" s="10" t="s">
        <v>390</v>
      </c>
      <c r="AB1109" s="10">
        <v>10</v>
      </c>
      <c r="AC1109" s="10" t="s">
        <v>390</v>
      </c>
    </row>
    <row r="1110" spans="1:33">
      <c r="AB1110" s="10">
        <v>1</v>
      </c>
      <c r="AC1110" s="10" t="s">
        <v>391</v>
      </c>
    </row>
    <row r="1111" spans="1:33">
      <c r="AB1111" s="10">
        <v>2</v>
      </c>
      <c r="AC1111" s="10" t="s">
        <v>392</v>
      </c>
    </row>
    <row r="1112" spans="1:33">
      <c r="AB1112" s="10">
        <v>3</v>
      </c>
      <c r="AC1112" s="10" t="s">
        <v>393</v>
      </c>
    </row>
    <row r="1113" spans="1:33">
      <c r="AB1113" s="10">
        <v>4</v>
      </c>
      <c r="AC1113" s="10" t="s">
        <v>394</v>
      </c>
    </row>
    <row r="1114" spans="1:33">
      <c r="AB1114" s="10">
        <v>5</v>
      </c>
      <c r="AC1114" s="10" t="s">
        <v>395</v>
      </c>
    </row>
    <row r="1115" spans="1:33">
      <c r="AB1115" s="10">
        <v>6</v>
      </c>
      <c r="AC1115" s="10" t="s">
        <v>396</v>
      </c>
    </row>
    <row r="1116" spans="1:33">
      <c r="AB1116" s="10">
        <v>7</v>
      </c>
      <c r="AC1116" s="10" t="s">
        <v>397</v>
      </c>
    </row>
    <row r="1120" spans="1:33">
      <c r="AB1120" s="10">
        <v>1</v>
      </c>
      <c r="AC1120" s="10" t="str">
        <f>(V902)</f>
        <v>0</v>
      </c>
    </row>
    <row r="1121" spans="1:33">
      <c r="AB1121" s="10">
        <v>2</v>
      </c>
      <c r="AC1121" s="10" t="s">
        <v>398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3"/>
    <mergeCell ref="B2:C2"/>
    <mergeCell ref="B3:B3"/>
    <mergeCell ref="C3:C3"/>
    <mergeCell ref="D2:E2"/>
    <mergeCell ref="D3:D3"/>
    <mergeCell ref="E3:E3"/>
    <mergeCell ref="K17:K18"/>
    <mergeCell ref="L17:M17"/>
    <mergeCell ref="N17:N18"/>
    <mergeCell ref="O17:O18"/>
    <mergeCell ref="I47:N53"/>
    <mergeCell ref="W17:W18"/>
    <mergeCell ref="X17:Y17"/>
    <mergeCell ref="Z17:Z18"/>
    <mergeCell ref="AA17:AA18"/>
    <mergeCell ref="U47:Z5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CB1062"/>
  <sheetViews>
    <sheetView tabSelected="0" workbookViewId="0" showGridLines="true" showRowColHeaders="1">
      <selection activeCell="BX35" sqref="BX35"/>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 min="22" max="22" width="26" customWidth="true" style="0"/>
    <col min="23" max="23" width="26" customWidth="true" style="0"/>
    <col min="24" max="24" width="26" customWidth="true" style="0"/>
    <col min="31" max="31" width="26" customWidth="true" style="0"/>
    <col min="32" max="32" width="26" customWidth="true" style="0"/>
    <col min="33" max="33" width="26" customWidth="true" style="0"/>
    <col min="40" max="40" width="26" customWidth="true" style="0"/>
    <col min="41" max="41" width="26" customWidth="true" style="0"/>
    <col min="42" max="42" width="26" customWidth="true" style="0"/>
    <col min="49" max="49" width="26" customWidth="true" style="0"/>
    <col min="50" max="50" width="26" customWidth="true" style="0"/>
    <col min="51" max="51" width="26" customWidth="true" style="0"/>
    <col min="58" max="58" width="26" customWidth="true" style="0"/>
    <col min="59" max="59" width="26" customWidth="true" style="0"/>
    <col min="60" max="60" width="26" customWidth="true" style="0"/>
    <col min="67" max="67" width="26" customWidth="true" style="0"/>
    <col min="68" max="68" width="26" customWidth="true" style="0"/>
    <col min="69" max="69" width="26" customWidth="true" style="0"/>
    <col min="76" max="76" width="26" customWidth="true" style="0"/>
    <col min="77" max="77" width="26" customWidth="true" style="0"/>
    <col min="78" max="78" width="26" customWidth="true" style="0"/>
  </cols>
  <sheetData>
    <row r="3" spans="1:80">
      <c r="B3" s="11"/>
      <c r="C3" s="11"/>
      <c r="D3" s="11"/>
      <c r="E3" s="11"/>
      <c r="F3" s="11"/>
      <c r="G3" s="11"/>
      <c r="H3" s="11"/>
      <c r="K3" s="11"/>
      <c r="L3" s="11"/>
      <c r="M3" s="11"/>
      <c r="N3" s="11"/>
      <c r="O3" s="11"/>
      <c r="P3" s="11"/>
      <c r="Q3" s="11"/>
      <c r="T3" s="11"/>
      <c r="U3" s="11"/>
      <c r="V3" s="11"/>
      <c r="W3" s="11"/>
      <c r="X3" s="11"/>
      <c r="Y3" s="11"/>
      <c r="Z3" s="11"/>
      <c r="AC3" s="11"/>
      <c r="AD3" s="11"/>
      <c r="AE3" s="11"/>
      <c r="AF3" s="11"/>
      <c r="AG3" s="11"/>
      <c r="AH3" s="11"/>
      <c r="AI3" s="11"/>
      <c r="AL3" s="11"/>
      <c r="AM3" s="11"/>
      <c r="AN3" s="11"/>
      <c r="AO3" s="11"/>
      <c r="AP3" s="11"/>
      <c r="AQ3" s="11"/>
      <c r="AR3" s="11"/>
      <c r="AU3" s="11"/>
      <c r="AV3" s="11"/>
      <c r="AW3" s="11"/>
      <c r="AX3" s="11"/>
      <c r="AY3" s="11"/>
      <c r="AZ3" s="11"/>
      <c r="BA3" s="11"/>
      <c r="BD3" s="11"/>
      <c r="BE3" s="11"/>
      <c r="BF3" s="11"/>
      <c r="BG3" s="11"/>
      <c r="BH3" s="11"/>
      <c r="BI3" s="11"/>
      <c r="BJ3" s="11"/>
      <c r="BM3" s="11"/>
      <c r="BN3" s="11"/>
      <c r="BO3" s="11"/>
      <c r="BP3" s="11"/>
      <c r="BQ3" s="11"/>
      <c r="BR3" s="11"/>
      <c r="BS3" s="11"/>
      <c r="BV3" s="11"/>
      <c r="BW3" s="11"/>
      <c r="BX3" s="11"/>
      <c r="BY3" s="11"/>
      <c r="BZ3" s="11"/>
      <c r="CA3" s="11"/>
      <c r="CB3" s="11"/>
    </row>
    <row r="4" spans="1:80">
      <c r="B4" s="11"/>
      <c r="D4" s="30" t="s">
        <v>399</v>
      </c>
      <c r="E4" s="29"/>
      <c r="F4" s="29"/>
      <c r="H4" s="11"/>
      <c r="K4" s="11"/>
      <c r="M4" s="30" t="s">
        <v>400</v>
      </c>
      <c r="N4" s="29"/>
      <c r="O4" s="29"/>
      <c r="Q4" s="11"/>
      <c r="T4" s="11"/>
      <c r="V4" s="30" t="s">
        <v>401</v>
      </c>
      <c r="W4" s="29"/>
      <c r="X4" s="29"/>
      <c r="Z4" s="11"/>
      <c r="AC4" s="11"/>
      <c r="AE4" s="30" t="s">
        <v>402</v>
      </c>
      <c r="AF4" s="29"/>
      <c r="AG4" s="29"/>
      <c r="AI4" s="11"/>
      <c r="AL4" s="11"/>
      <c r="AN4" s="30" t="s">
        <v>403</v>
      </c>
      <c r="AO4" s="29"/>
      <c r="AP4" s="29"/>
      <c r="AR4" s="11"/>
      <c r="AU4" s="11"/>
      <c r="AW4" s="30" t="s">
        <v>404</v>
      </c>
      <c r="AX4" s="29"/>
      <c r="AY4" s="29"/>
      <c r="BA4" s="11"/>
      <c r="BD4" s="11"/>
      <c r="BF4" s="30" t="s">
        <v>405</v>
      </c>
      <c r="BG4" s="29"/>
      <c r="BH4" s="29"/>
      <c r="BJ4" s="11"/>
      <c r="BM4" s="11"/>
      <c r="BO4" s="30" t="s">
        <v>406</v>
      </c>
      <c r="BP4" s="29"/>
      <c r="BQ4" s="29"/>
      <c r="BS4" s="11"/>
      <c r="BV4" s="11"/>
      <c r="BX4" s="30" t="s">
        <v>407</v>
      </c>
      <c r="BY4" s="29"/>
      <c r="BZ4" s="29"/>
      <c r="CB4" s="11"/>
    </row>
    <row r="5" spans="1:80">
      <c r="B5" s="11"/>
      <c r="D5" s="10" t="s">
        <v>343</v>
      </c>
      <c r="H5" s="11"/>
      <c r="K5" s="11"/>
      <c r="M5" s="10" t="s">
        <v>344</v>
      </c>
      <c r="Q5" s="11"/>
      <c r="T5" s="11"/>
      <c r="V5" s="10" t="s">
        <v>345</v>
      </c>
      <c r="Z5" s="11"/>
      <c r="AC5" s="11"/>
      <c r="AE5" s="10" t="s">
        <v>346</v>
      </c>
      <c r="AI5" s="11"/>
      <c r="AL5" s="11"/>
      <c r="AN5" s="10" t="s">
        <v>417</v>
      </c>
      <c r="AR5" s="11"/>
      <c r="AU5" s="11"/>
      <c r="AW5" s="10" t="s">
        <v>418</v>
      </c>
      <c r="BA5" s="11"/>
      <c r="BD5" s="11"/>
      <c r="BF5" s="10" t="s">
        <v>419</v>
      </c>
      <c r="BJ5" s="11"/>
      <c r="BM5" s="11"/>
      <c r="BO5" s="10" t="s">
        <v>420</v>
      </c>
      <c r="BS5" s="11"/>
      <c r="BV5" s="11"/>
      <c r="BX5" s="10" t="s">
        <v>421</v>
      </c>
      <c r="CB5" s="11"/>
    </row>
    <row r="6" spans="1:80">
      <c r="B6" s="11"/>
      <c r="D6" s="10" t="s">
        <v>367</v>
      </c>
      <c r="H6" s="11"/>
      <c r="K6" s="11"/>
      <c r="M6" s="10" t="s">
        <v>367</v>
      </c>
      <c r="Q6" s="11"/>
      <c r="T6" s="11"/>
      <c r="V6" s="10" t="s">
        <v>367</v>
      </c>
      <c r="Z6" s="11"/>
      <c r="AC6" s="11"/>
      <c r="AE6" s="10" t="s">
        <v>367</v>
      </c>
      <c r="AI6" s="11"/>
      <c r="AL6" s="11"/>
      <c r="AN6" s="10" t="s">
        <v>367</v>
      </c>
      <c r="AR6" s="11"/>
      <c r="AU6" s="11"/>
      <c r="AW6" s="10" t="s">
        <v>367</v>
      </c>
      <c r="BA6" s="11"/>
      <c r="BD6" s="11"/>
      <c r="BF6" s="10" t="s">
        <v>367</v>
      </c>
      <c r="BJ6" s="11"/>
      <c r="BM6" s="11"/>
      <c r="BO6" s="10" t="s">
        <v>367</v>
      </c>
      <c r="BS6" s="11"/>
      <c r="BV6" s="11"/>
      <c r="BX6" s="10" t="s">
        <v>367</v>
      </c>
      <c r="CB6" s="11"/>
    </row>
    <row r="7" spans="1:80">
      <c r="B7" s="11"/>
      <c r="D7" s="13"/>
      <c r="E7" s="19" t="s">
        <v>348</v>
      </c>
      <c r="F7" s="19" t="s">
        <v>349</v>
      </c>
      <c r="H7" s="11"/>
      <c r="K7" s="11"/>
      <c r="M7" s="13"/>
      <c r="N7" s="19" t="s">
        <v>348</v>
      </c>
      <c r="O7" s="19" t="s">
        <v>349</v>
      </c>
      <c r="Q7" s="11"/>
      <c r="T7" s="11"/>
      <c r="V7" s="13"/>
      <c r="W7" s="19" t="s">
        <v>348</v>
      </c>
      <c r="X7" s="19" t="s">
        <v>349</v>
      </c>
      <c r="Z7" s="11"/>
      <c r="AC7" s="11"/>
      <c r="AE7" s="13"/>
      <c r="AF7" s="19" t="s">
        <v>348</v>
      </c>
      <c r="AG7" s="19" t="s">
        <v>349</v>
      </c>
      <c r="AI7" s="11"/>
      <c r="AL7" s="11"/>
      <c r="AN7" s="13"/>
      <c r="AO7" s="19" t="s">
        <v>348</v>
      </c>
      <c r="AP7" s="19" t="s">
        <v>349</v>
      </c>
      <c r="AR7" s="11"/>
      <c r="AU7" s="11"/>
      <c r="AW7" s="13"/>
      <c r="AX7" s="19" t="s">
        <v>348</v>
      </c>
      <c r="AY7" s="19" t="s">
        <v>349</v>
      </c>
      <c r="BA7" s="11"/>
      <c r="BD7" s="11"/>
      <c r="BF7" s="13"/>
      <c r="BG7" s="19" t="s">
        <v>348</v>
      </c>
      <c r="BH7" s="19" t="s">
        <v>349</v>
      </c>
      <c r="BJ7" s="11"/>
      <c r="BM7" s="11"/>
      <c r="BO7" s="13"/>
      <c r="BP7" s="19" t="s">
        <v>348</v>
      </c>
      <c r="BQ7" s="19" t="s">
        <v>349</v>
      </c>
      <c r="BS7" s="11"/>
      <c r="BV7" s="11"/>
      <c r="BX7" s="13"/>
      <c r="BY7" s="19" t="s">
        <v>348</v>
      </c>
      <c r="BZ7" s="19" t="s">
        <v>349</v>
      </c>
      <c r="CB7" s="11"/>
    </row>
    <row r="8" spans="1:80">
      <c r="B8" s="11"/>
      <c r="D8" s="26" t="str">
        <f>('Satisfacción de los comités d'!A300)</f>
        <v>0</v>
      </c>
      <c r="E8" s="18" t="str">
        <f>('Satisfacción de los comités d'!B300)</f>
        <v>0</v>
      </c>
      <c r="F8" s="22" t="str">
        <f>('Satisfacción de los comités d'!B306)</f>
        <v>0</v>
      </c>
      <c r="H8" s="11"/>
      <c r="K8" s="11"/>
      <c r="M8" s="26" t="str">
        <f>('Satisfacción de los comités d'!A300)</f>
        <v>0</v>
      </c>
      <c r="N8" s="18" t="str">
        <f>('Satisfacción de los comités d'!C300)</f>
        <v>0</v>
      </c>
      <c r="O8" s="22" t="str">
        <f>('Satisfacción de los comités d'!C306)</f>
        <v>0</v>
      </c>
      <c r="Q8" s="11"/>
      <c r="T8" s="11"/>
      <c r="V8" s="26" t="str">
        <f>('Satisfacción de los comités d'!A300)</f>
        <v>0</v>
      </c>
      <c r="W8" s="18" t="str">
        <f>('Satisfacción de los comités d'!D300)</f>
        <v>0</v>
      </c>
      <c r="X8" s="22" t="str">
        <f>('Satisfacción de los comités d'!D306)</f>
        <v>0</v>
      </c>
      <c r="Z8" s="11"/>
      <c r="AC8" s="11"/>
      <c r="AE8" s="26" t="str">
        <f>('Satisfacción de los comités d'!A300)</f>
        <v>0</v>
      </c>
      <c r="AF8" s="18" t="str">
        <f>('Satisfacción de los comités d'!E300)</f>
        <v>0</v>
      </c>
      <c r="AG8" s="22" t="str">
        <f>('Satisfacción de los comités d'!E306)</f>
        <v>0</v>
      </c>
      <c r="AI8" s="11"/>
      <c r="AL8" s="11"/>
      <c r="AN8" s="26" t="str">
        <f>('Satisfacción de los comités d'!A300)</f>
        <v>0</v>
      </c>
      <c r="AO8" s="18" t="str">
        <f>('Satisfacción de los comités d'!F300)</f>
        <v>0</v>
      </c>
      <c r="AP8" s="22" t="str">
        <f>('Satisfacción de los comités d'!F306)</f>
        <v>0</v>
      </c>
      <c r="AR8" s="11"/>
      <c r="AU8" s="11"/>
      <c r="AW8" s="26" t="str">
        <f>('Satisfacción de los comités d'!A300)</f>
        <v>0</v>
      </c>
      <c r="AX8" s="18" t="str">
        <f>('Satisfacción de los comités d'!G300)</f>
        <v>0</v>
      </c>
      <c r="AY8" s="22" t="str">
        <f>('Satisfacción de los comités d'!G306)</f>
        <v>0</v>
      </c>
      <c r="BA8" s="11"/>
      <c r="BD8" s="11"/>
      <c r="BF8" s="26" t="str">
        <f>('Satisfacción de los comités d'!A300)</f>
        <v>0</v>
      </c>
      <c r="BG8" s="18" t="str">
        <f>('Satisfacción de los comités d'!H300)</f>
        <v>0</v>
      </c>
      <c r="BH8" s="22" t="str">
        <f>('Satisfacción de los comités d'!H306)</f>
        <v>0</v>
      </c>
      <c r="BJ8" s="11"/>
      <c r="BM8" s="11"/>
      <c r="BO8" s="26" t="str">
        <f>('Satisfacción de los comités d'!A300)</f>
        <v>0</v>
      </c>
      <c r="BP8" s="18" t="str">
        <f>('Satisfacción de los comités d'!I300)</f>
        <v>0</v>
      </c>
      <c r="BQ8" s="22" t="str">
        <f>('Satisfacción de los comités d'!I306)</f>
        <v>0</v>
      </c>
      <c r="BS8" s="11"/>
      <c r="BV8" s="11"/>
      <c r="BX8" s="26" t="str">
        <f>('Satisfacción de los comités d'!A300)</f>
        <v>0</v>
      </c>
      <c r="BY8" s="18" t="str">
        <f>('Satisfacción de los comités d'!J300)</f>
        <v>0</v>
      </c>
      <c r="BZ8" s="22" t="str">
        <f>('Satisfacción de los comités d'!J306)</f>
        <v>0</v>
      </c>
      <c r="CB8" s="11"/>
    </row>
    <row r="9" spans="1:80">
      <c r="B9" s="11"/>
      <c r="D9" s="26" t="str">
        <f>('Satisfacción de los comités d'!A301)</f>
        <v>0</v>
      </c>
      <c r="E9" s="18" t="str">
        <f>('Satisfacción de los comités d'!B301)</f>
        <v>0</v>
      </c>
      <c r="F9" s="22" t="str">
        <f>('Satisfacción de los comités d'!B307)</f>
        <v>0</v>
      </c>
      <c r="H9" s="11"/>
      <c r="K9" s="11"/>
      <c r="M9" s="26" t="str">
        <f>('Satisfacción de los comités d'!A301)</f>
        <v>0</v>
      </c>
      <c r="N9" s="18" t="str">
        <f>('Satisfacción de los comités d'!C301)</f>
        <v>0</v>
      </c>
      <c r="O9" s="22" t="str">
        <f>('Satisfacción de los comités d'!C307)</f>
        <v>0</v>
      </c>
      <c r="Q9" s="11"/>
      <c r="T9" s="11"/>
      <c r="V9" s="26" t="str">
        <f>('Satisfacción de los comités d'!A301)</f>
        <v>0</v>
      </c>
      <c r="W9" s="18" t="str">
        <f>('Satisfacción de los comités d'!D301)</f>
        <v>0</v>
      </c>
      <c r="X9" s="22" t="str">
        <f>('Satisfacción de los comités d'!D307)</f>
        <v>0</v>
      </c>
      <c r="Z9" s="11"/>
      <c r="AC9" s="11"/>
      <c r="AE9" s="26" t="str">
        <f>('Satisfacción de los comités d'!A301)</f>
        <v>0</v>
      </c>
      <c r="AF9" s="18" t="str">
        <f>('Satisfacción de los comités d'!E301)</f>
        <v>0</v>
      </c>
      <c r="AG9" s="22" t="str">
        <f>('Satisfacción de los comités d'!E307)</f>
        <v>0</v>
      </c>
      <c r="AI9" s="11"/>
      <c r="AL9" s="11"/>
      <c r="AN9" s="26" t="str">
        <f>('Satisfacción de los comités d'!A301)</f>
        <v>0</v>
      </c>
      <c r="AO9" s="18" t="str">
        <f>('Satisfacción de los comités d'!F301)</f>
        <v>0</v>
      </c>
      <c r="AP9" s="22" t="str">
        <f>('Satisfacción de los comités d'!F307)</f>
        <v>0</v>
      </c>
      <c r="AR9" s="11"/>
      <c r="AU9" s="11"/>
      <c r="AW9" s="26" t="str">
        <f>('Satisfacción de los comités d'!A301)</f>
        <v>0</v>
      </c>
      <c r="AX9" s="18" t="str">
        <f>('Satisfacción de los comités d'!G301)</f>
        <v>0</v>
      </c>
      <c r="AY9" s="22" t="str">
        <f>('Satisfacción de los comités d'!G307)</f>
        <v>0</v>
      </c>
      <c r="BA9" s="11"/>
      <c r="BD9" s="11"/>
      <c r="BF9" s="26" t="str">
        <f>('Satisfacción de los comités d'!A301)</f>
        <v>0</v>
      </c>
      <c r="BG9" s="18" t="str">
        <f>('Satisfacción de los comités d'!H301)</f>
        <v>0</v>
      </c>
      <c r="BH9" s="22" t="str">
        <f>('Satisfacción de los comités d'!H307)</f>
        <v>0</v>
      </c>
      <c r="BJ9" s="11"/>
      <c r="BM9" s="11"/>
      <c r="BO9" s="26" t="str">
        <f>('Satisfacción de los comités d'!A301)</f>
        <v>0</v>
      </c>
      <c r="BP9" s="18" t="str">
        <f>('Satisfacción de los comités d'!I301)</f>
        <v>0</v>
      </c>
      <c r="BQ9" s="22" t="str">
        <f>('Satisfacción de los comités d'!I307)</f>
        <v>0</v>
      </c>
      <c r="BS9" s="11"/>
      <c r="BV9" s="11"/>
      <c r="BX9" s="26" t="str">
        <f>('Satisfacción de los comités d'!A301)</f>
        <v>0</v>
      </c>
      <c r="BY9" s="18" t="str">
        <f>('Satisfacción de los comités d'!J301)</f>
        <v>0</v>
      </c>
      <c r="BZ9" s="22" t="str">
        <f>('Satisfacción de los comités d'!J307)</f>
        <v>0</v>
      </c>
      <c r="CB9" s="11"/>
    </row>
    <row r="10" spans="1:80">
      <c r="B10" s="11"/>
      <c r="D10" s="26" t="str">
        <f>('Satisfacción de los comités d'!A302)</f>
        <v>0</v>
      </c>
      <c r="E10" s="18" t="str">
        <f>('Satisfacción de los comités d'!B302)</f>
        <v>0</v>
      </c>
      <c r="F10" s="22" t="str">
        <f>('Satisfacción de los comités d'!B308)</f>
        <v>0</v>
      </c>
      <c r="H10" s="11"/>
      <c r="K10" s="11"/>
      <c r="M10" s="26" t="str">
        <f>('Satisfacción de los comités d'!A302)</f>
        <v>0</v>
      </c>
      <c r="N10" s="18" t="str">
        <f>('Satisfacción de los comités d'!C302)</f>
        <v>0</v>
      </c>
      <c r="O10" s="22" t="str">
        <f>('Satisfacción de los comités d'!C308)</f>
        <v>0</v>
      </c>
      <c r="Q10" s="11"/>
      <c r="T10" s="11"/>
      <c r="V10" s="26" t="str">
        <f>('Satisfacción de los comités d'!A302)</f>
        <v>0</v>
      </c>
      <c r="W10" s="18" t="str">
        <f>('Satisfacción de los comités d'!D302)</f>
        <v>0</v>
      </c>
      <c r="X10" s="22" t="str">
        <f>('Satisfacción de los comités d'!D308)</f>
        <v>0</v>
      </c>
      <c r="Z10" s="11"/>
      <c r="AC10" s="11"/>
      <c r="AE10" s="26" t="str">
        <f>('Satisfacción de los comités d'!A302)</f>
        <v>0</v>
      </c>
      <c r="AF10" s="18" t="str">
        <f>('Satisfacción de los comités d'!E302)</f>
        <v>0</v>
      </c>
      <c r="AG10" s="22" t="str">
        <f>('Satisfacción de los comités d'!E308)</f>
        <v>0</v>
      </c>
      <c r="AI10" s="11"/>
      <c r="AL10" s="11"/>
      <c r="AN10" s="26" t="str">
        <f>('Satisfacción de los comités d'!A302)</f>
        <v>0</v>
      </c>
      <c r="AO10" s="18" t="str">
        <f>('Satisfacción de los comités d'!F302)</f>
        <v>0</v>
      </c>
      <c r="AP10" s="22" t="str">
        <f>('Satisfacción de los comités d'!F308)</f>
        <v>0</v>
      </c>
      <c r="AR10" s="11"/>
      <c r="AU10" s="11"/>
      <c r="AW10" s="26" t="str">
        <f>('Satisfacción de los comités d'!A302)</f>
        <v>0</v>
      </c>
      <c r="AX10" s="18" t="str">
        <f>('Satisfacción de los comités d'!G302)</f>
        <v>0</v>
      </c>
      <c r="AY10" s="22" t="str">
        <f>('Satisfacción de los comités d'!G308)</f>
        <v>0</v>
      </c>
      <c r="BA10" s="11"/>
      <c r="BD10" s="11"/>
      <c r="BF10" s="26" t="str">
        <f>('Satisfacción de los comités d'!A302)</f>
        <v>0</v>
      </c>
      <c r="BG10" s="18" t="str">
        <f>('Satisfacción de los comités d'!H302)</f>
        <v>0</v>
      </c>
      <c r="BH10" s="22" t="str">
        <f>('Satisfacción de los comités d'!H308)</f>
        <v>0</v>
      </c>
      <c r="BJ10" s="11"/>
      <c r="BM10" s="11"/>
      <c r="BO10" s="26" t="str">
        <f>('Satisfacción de los comités d'!A302)</f>
        <v>0</v>
      </c>
      <c r="BP10" s="18" t="str">
        <f>('Satisfacción de los comités d'!I302)</f>
        <v>0</v>
      </c>
      <c r="BQ10" s="22" t="str">
        <f>('Satisfacción de los comités d'!I308)</f>
        <v>0</v>
      </c>
      <c r="BS10" s="11"/>
      <c r="BV10" s="11"/>
      <c r="BX10" s="26" t="str">
        <f>('Satisfacción de los comités d'!A302)</f>
        <v>0</v>
      </c>
      <c r="BY10" s="18" t="str">
        <f>('Satisfacción de los comités d'!J302)</f>
        <v>0</v>
      </c>
      <c r="BZ10" s="22" t="str">
        <f>('Satisfacción de los comités d'!J308)</f>
        <v>0</v>
      </c>
      <c r="CB10" s="11"/>
    </row>
    <row r="11" spans="1:80">
      <c r="B11" s="11"/>
      <c r="D11" s="26" t="str">
        <f>('Satisfacción de los comités d'!A303)</f>
        <v>0</v>
      </c>
      <c r="E11" s="18" t="str">
        <f>('Satisfacción de los comités d'!B303)</f>
        <v>0</v>
      </c>
      <c r="F11" s="22" t="str">
        <f>('Satisfacción de los comités d'!B309)</f>
        <v>0</v>
      </c>
      <c r="H11" s="11"/>
      <c r="K11" s="11"/>
      <c r="M11" s="26" t="str">
        <f>('Satisfacción de los comités d'!A303)</f>
        <v>0</v>
      </c>
      <c r="N11" s="18" t="str">
        <f>('Satisfacción de los comités d'!C303)</f>
        <v>0</v>
      </c>
      <c r="O11" s="22" t="str">
        <f>('Satisfacción de los comités d'!C309)</f>
        <v>0</v>
      </c>
      <c r="Q11" s="11"/>
      <c r="T11" s="11"/>
      <c r="V11" s="26" t="str">
        <f>('Satisfacción de los comités d'!A303)</f>
        <v>0</v>
      </c>
      <c r="W11" s="18" t="str">
        <f>('Satisfacción de los comités d'!D303)</f>
        <v>0</v>
      </c>
      <c r="X11" s="22" t="str">
        <f>('Satisfacción de los comités d'!D309)</f>
        <v>0</v>
      </c>
      <c r="Z11" s="11"/>
      <c r="AC11" s="11"/>
      <c r="AE11" s="26" t="str">
        <f>('Satisfacción de los comités d'!A303)</f>
        <v>0</v>
      </c>
      <c r="AF11" s="18" t="str">
        <f>('Satisfacción de los comités d'!E303)</f>
        <v>0</v>
      </c>
      <c r="AG11" s="22" t="str">
        <f>('Satisfacción de los comités d'!E309)</f>
        <v>0</v>
      </c>
      <c r="AI11" s="11"/>
      <c r="AL11" s="11"/>
      <c r="AN11" s="26" t="str">
        <f>('Satisfacción de los comités d'!A303)</f>
        <v>0</v>
      </c>
      <c r="AO11" s="18" t="str">
        <f>('Satisfacción de los comités d'!F303)</f>
        <v>0</v>
      </c>
      <c r="AP11" s="22" t="str">
        <f>('Satisfacción de los comités d'!F309)</f>
        <v>0</v>
      </c>
      <c r="AR11" s="11"/>
      <c r="AU11" s="11"/>
      <c r="AW11" s="26" t="str">
        <f>('Satisfacción de los comités d'!A303)</f>
        <v>0</v>
      </c>
      <c r="AX11" s="18" t="str">
        <f>('Satisfacción de los comités d'!G303)</f>
        <v>0</v>
      </c>
      <c r="AY11" s="22" t="str">
        <f>('Satisfacción de los comités d'!G309)</f>
        <v>0</v>
      </c>
      <c r="BA11" s="11"/>
      <c r="BD11" s="11"/>
      <c r="BF11" s="26" t="str">
        <f>('Satisfacción de los comités d'!A303)</f>
        <v>0</v>
      </c>
      <c r="BG11" s="18" t="str">
        <f>('Satisfacción de los comités d'!H303)</f>
        <v>0</v>
      </c>
      <c r="BH11" s="22" t="str">
        <f>('Satisfacción de los comités d'!H309)</f>
        <v>0</v>
      </c>
      <c r="BJ11" s="11"/>
      <c r="BM11" s="11"/>
      <c r="BO11" s="26" t="str">
        <f>('Satisfacción de los comités d'!A303)</f>
        <v>0</v>
      </c>
      <c r="BP11" s="18" t="str">
        <f>('Satisfacción de los comités d'!I303)</f>
        <v>0</v>
      </c>
      <c r="BQ11" s="22" t="str">
        <f>('Satisfacción de los comités d'!I309)</f>
        <v>0</v>
      </c>
      <c r="BS11" s="11"/>
      <c r="BV11" s="11"/>
      <c r="BX11" s="26" t="str">
        <f>('Satisfacción de los comités d'!A303)</f>
        <v>0</v>
      </c>
      <c r="BY11" s="18" t="str">
        <f>('Satisfacción de los comités d'!J303)</f>
        <v>0</v>
      </c>
      <c r="BZ11" s="22" t="str">
        <f>('Satisfacción de los comités d'!J309)</f>
        <v>0</v>
      </c>
      <c r="CB11" s="11"/>
    </row>
    <row r="12" spans="1:80">
      <c r="B12" s="11"/>
      <c r="D12" s="26" t="str">
        <f>('Satisfacción de los comités d'!A304)</f>
        <v>0</v>
      </c>
      <c r="E12" s="18" t="str">
        <f>('Satisfacción de los comités d'!B304)</f>
        <v>0</v>
      </c>
      <c r="F12" s="22" t="str">
        <f>('Satisfacción de los comités d'!B310)</f>
        <v>0</v>
      </c>
      <c r="H12" s="11"/>
      <c r="K12" s="11"/>
      <c r="M12" s="26" t="str">
        <f>('Satisfacción de los comités d'!A304)</f>
        <v>0</v>
      </c>
      <c r="N12" s="18" t="str">
        <f>('Satisfacción de los comités d'!C304)</f>
        <v>0</v>
      </c>
      <c r="O12" s="22" t="str">
        <f>('Satisfacción de los comités d'!C310)</f>
        <v>0</v>
      </c>
      <c r="Q12" s="11"/>
      <c r="T12" s="11"/>
      <c r="V12" s="26" t="str">
        <f>('Satisfacción de los comités d'!A304)</f>
        <v>0</v>
      </c>
      <c r="W12" s="18" t="str">
        <f>('Satisfacción de los comités d'!D304)</f>
        <v>0</v>
      </c>
      <c r="X12" s="22" t="str">
        <f>('Satisfacción de los comités d'!D310)</f>
        <v>0</v>
      </c>
      <c r="Z12" s="11"/>
      <c r="AC12" s="11"/>
      <c r="AE12" s="26" t="str">
        <f>('Satisfacción de los comités d'!A304)</f>
        <v>0</v>
      </c>
      <c r="AF12" s="18" t="str">
        <f>('Satisfacción de los comités d'!E304)</f>
        <v>0</v>
      </c>
      <c r="AG12" s="22" t="str">
        <f>('Satisfacción de los comités d'!E310)</f>
        <v>0</v>
      </c>
      <c r="AI12" s="11"/>
      <c r="AL12" s="11"/>
      <c r="AN12" s="26" t="str">
        <f>('Satisfacción de los comités d'!A304)</f>
        <v>0</v>
      </c>
      <c r="AO12" s="18" t="str">
        <f>('Satisfacción de los comités d'!F304)</f>
        <v>0</v>
      </c>
      <c r="AP12" s="22" t="str">
        <f>('Satisfacción de los comités d'!F310)</f>
        <v>0</v>
      </c>
      <c r="AR12" s="11"/>
      <c r="AU12" s="11"/>
      <c r="AW12" s="26" t="str">
        <f>('Satisfacción de los comités d'!A304)</f>
        <v>0</v>
      </c>
      <c r="AX12" s="18" t="str">
        <f>('Satisfacción de los comités d'!G304)</f>
        <v>0</v>
      </c>
      <c r="AY12" s="22" t="str">
        <f>('Satisfacción de los comités d'!G310)</f>
        <v>0</v>
      </c>
      <c r="BA12" s="11"/>
      <c r="BD12" s="11"/>
      <c r="BF12" s="26" t="str">
        <f>('Satisfacción de los comités d'!A304)</f>
        <v>0</v>
      </c>
      <c r="BG12" s="18" t="str">
        <f>('Satisfacción de los comités d'!H304)</f>
        <v>0</v>
      </c>
      <c r="BH12" s="22" t="str">
        <f>('Satisfacción de los comités d'!H310)</f>
        <v>0</v>
      </c>
      <c r="BJ12" s="11"/>
      <c r="BM12" s="11"/>
      <c r="BO12" s="26" t="str">
        <f>('Satisfacción de los comités d'!A304)</f>
        <v>0</v>
      </c>
      <c r="BP12" s="18" t="str">
        <f>('Satisfacción de los comités d'!I304)</f>
        <v>0</v>
      </c>
      <c r="BQ12" s="22" t="str">
        <f>('Satisfacción de los comités d'!I310)</f>
        <v>0</v>
      </c>
      <c r="BS12" s="11"/>
      <c r="BV12" s="11"/>
      <c r="BX12" s="26" t="str">
        <f>('Satisfacción de los comités d'!A304)</f>
        <v>0</v>
      </c>
      <c r="BY12" s="18" t="str">
        <f>('Satisfacción de los comités d'!J304)</f>
        <v>0</v>
      </c>
      <c r="BZ12" s="22" t="str">
        <f>('Satisfacción de los comités d'!J310)</f>
        <v>0</v>
      </c>
      <c r="CB12" s="11"/>
    </row>
    <row r="13" spans="1:80">
      <c r="B13" s="11"/>
      <c r="D13" s="32" t="str">
        <f>('Satisfacción de los comités d'!A305)</f>
        <v>0</v>
      </c>
      <c r="E13" s="19" t="str">
        <f>('Satisfacción de los comités d'!B305)</f>
        <v>0</v>
      </c>
      <c r="F13" s="23" t="str">
        <f>('Satisfacción de los comités d'!B311)</f>
        <v>0</v>
      </c>
      <c r="H13" s="11"/>
      <c r="K13" s="11"/>
      <c r="M13" s="32" t="str">
        <f>('Satisfacción de los comités d'!A305)</f>
        <v>0</v>
      </c>
      <c r="N13" s="19" t="str">
        <f>('Satisfacción de los comités d'!C305)</f>
        <v>0</v>
      </c>
      <c r="O13" s="23" t="str">
        <f>('Satisfacción de los comités d'!C311)</f>
        <v>0</v>
      </c>
      <c r="Q13" s="11"/>
      <c r="T13" s="11"/>
      <c r="V13" s="32" t="str">
        <f>('Satisfacción de los comités d'!A305)</f>
        <v>0</v>
      </c>
      <c r="W13" s="19" t="str">
        <f>('Satisfacción de los comités d'!D305)</f>
        <v>0</v>
      </c>
      <c r="X13" s="23" t="str">
        <f>('Satisfacción de los comités d'!D311)</f>
        <v>0</v>
      </c>
      <c r="Z13" s="11"/>
      <c r="AC13" s="11"/>
      <c r="AE13" s="32" t="str">
        <f>('Satisfacción de los comités d'!A305)</f>
        <v>0</v>
      </c>
      <c r="AF13" s="19" t="str">
        <f>('Satisfacción de los comités d'!E305)</f>
        <v>0</v>
      </c>
      <c r="AG13" s="23" t="str">
        <f>('Satisfacción de los comités d'!E311)</f>
        <v>0</v>
      </c>
      <c r="AI13" s="11"/>
      <c r="AL13" s="11"/>
      <c r="AN13" s="32" t="str">
        <f>('Satisfacción de los comités d'!A305)</f>
        <v>0</v>
      </c>
      <c r="AO13" s="19" t="str">
        <f>('Satisfacción de los comités d'!F305)</f>
        <v>0</v>
      </c>
      <c r="AP13" s="23" t="str">
        <f>('Satisfacción de los comités d'!F311)</f>
        <v>0</v>
      </c>
      <c r="AR13" s="11"/>
      <c r="AU13" s="11"/>
      <c r="AW13" s="32" t="str">
        <f>('Satisfacción de los comités d'!A305)</f>
        <v>0</v>
      </c>
      <c r="AX13" s="19" t="str">
        <f>('Satisfacción de los comités d'!G305)</f>
        <v>0</v>
      </c>
      <c r="AY13" s="23" t="str">
        <f>('Satisfacción de los comités d'!G311)</f>
        <v>0</v>
      </c>
      <c r="BA13" s="11"/>
      <c r="BD13" s="11"/>
      <c r="BF13" s="32" t="str">
        <f>('Satisfacción de los comités d'!A305)</f>
        <v>0</v>
      </c>
      <c r="BG13" s="19" t="str">
        <f>('Satisfacción de los comités d'!H305)</f>
        <v>0</v>
      </c>
      <c r="BH13" s="23" t="str">
        <f>('Satisfacción de los comités d'!H311)</f>
        <v>0</v>
      </c>
      <c r="BJ13" s="11"/>
      <c r="BM13" s="11"/>
      <c r="BO13" s="32" t="str">
        <f>('Satisfacción de los comités d'!A305)</f>
        <v>0</v>
      </c>
      <c r="BP13" s="19" t="str">
        <f>('Satisfacción de los comités d'!I305)</f>
        <v>0</v>
      </c>
      <c r="BQ13" s="23" t="str">
        <f>('Satisfacción de los comités d'!I311)</f>
        <v>0</v>
      </c>
      <c r="BS13" s="11"/>
      <c r="BV13" s="11"/>
      <c r="BX13" s="32" t="str">
        <f>('Satisfacción de los comités d'!A305)</f>
        <v>0</v>
      </c>
      <c r="BY13" s="19" t="str">
        <f>('Satisfacción de los comités d'!J305)</f>
        <v>0</v>
      </c>
      <c r="BZ13" s="23" t="str">
        <f>('Satisfacción de los comités d'!J311)</f>
        <v>0</v>
      </c>
      <c r="CB13" s="11"/>
    </row>
    <row r="14" spans="1:80">
      <c r="B14" s="11"/>
      <c r="D14" s="10" t="s">
        <v>356</v>
      </c>
      <c r="H14" s="11"/>
      <c r="K14" s="11"/>
      <c r="M14" s="10" t="s">
        <v>356</v>
      </c>
      <c r="Q14" s="11"/>
      <c r="T14" s="11"/>
      <c r="V14" s="10" t="s">
        <v>356</v>
      </c>
      <c r="Z14" s="11"/>
      <c r="AC14" s="11"/>
      <c r="AE14" s="10" t="s">
        <v>356</v>
      </c>
      <c r="AI14" s="11"/>
      <c r="AL14" s="11"/>
      <c r="AN14" s="10" t="s">
        <v>356</v>
      </c>
      <c r="AR14" s="11"/>
      <c r="AU14" s="11"/>
      <c r="AW14" s="10" t="s">
        <v>356</v>
      </c>
      <c r="BA14" s="11"/>
      <c r="BD14" s="11"/>
      <c r="BF14" s="10" t="s">
        <v>356</v>
      </c>
      <c r="BJ14" s="11"/>
      <c r="BM14" s="11"/>
      <c r="BO14" s="10" t="s">
        <v>356</v>
      </c>
      <c r="BS14" s="11"/>
      <c r="BV14" s="11"/>
      <c r="BX14" s="10" t="s">
        <v>356</v>
      </c>
      <c r="CB14" s="11"/>
    </row>
    <row r="15" spans="1:80">
      <c r="B15" s="11"/>
      <c r="D15" s="10" t="s">
        <v>355</v>
      </c>
      <c r="H15" s="11"/>
      <c r="K15" s="11"/>
      <c r="M15" s="10" t="s">
        <v>355</v>
      </c>
      <c r="Q15" s="11"/>
      <c r="T15" s="11"/>
      <c r="V15" s="10" t="s">
        <v>355</v>
      </c>
      <c r="Z15" s="11"/>
      <c r="AC15" s="11"/>
      <c r="AE15" s="10" t="s">
        <v>355</v>
      </c>
      <c r="AI15" s="11"/>
      <c r="AL15" s="11"/>
      <c r="AN15" s="10" t="s">
        <v>355</v>
      </c>
      <c r="AR15" s="11"/>
      <c r="AU15" s="11"/>
      <c r="AW15" s="10" t="s">
        <v>355</v>
      </c>
      <c r="BA15" s="11"/>
      <c r="BD15" s="11"/>
      <c r="BF15" s="10" t="s">
        <v>355</v>
      </c>
      <c r="BJ15" s="11"/>
      <c r="BM15" s="11"/>
      <c r="BO15" s="10" t="s">
        <v>355</v>
      </c>
      <c r="BS15" s="11"/>
      <c r="BV15" s="11"/>
      <c r="BX15" s="10" t="s">
        <v>355</v>
      </c>
      <c r="CB15" s="11"/>
    </row>
    <row r="16" spans="1:80">
      <c r="B16" s="11"/>
      <c r="H16" s="11"/>
      <c r="K16" s="11"/>
      <c r="Q16" s="11"/>
      <c r="T16" s="11"/>
      <c r="Z16" s="11"/>
      <c r="AC16" s="11"/>
      <c r="AI16" s="11"/>
      <c r="AL16" s="11"/>
      <c r="AR16" s="11"/>
      <c r="AU16" s="11"/>
      <c r="BA16" s="11"/>
      <c r="BD16" s="11"/>
      <c r="BJ16" s="11"/>
      <c r="BM16" s="11"/>
      <c r="BS16" s="11"/>
      <c r="BV16" s="11"/>
      <c r="CB16" s="11"/>
    </row>
    <row r="17" spans="1:80">
      <c r="B17" s="11"/>
      <c r="H17" s="11"/>
      <c r="K17" s="11"/>
      <c r="Q17" s="11"/>
      <c r="T17" s="11"/>
      <c r="Z17" s="11"/>
      <c r="AC17" s="11"/>
      <c r="AI17" s="11"/>
      <c r="AL17" s="11"/>
      <c r="AR17" s="11"/>
      <c r="AU17" s="11"/>
      <c r="BA17" s="11"/>
      <c r="BD17" s="11"/>
      <c r="BJ17" s="11"/>
      <c r="BM17" s="11"/>
      <c r="BS17" s="11"/>
      <c r="BV17" s="11"/>
      <c r="CB17" s="11"/>
    </row>
    <row r="18" spans="1:80">
      <c r="B18" s="11"/>
      <c r="H18" s="11"/>
      <c r="K18" s="11"/>
      <c r="Q18" s="11"/>
      <c r="T18" s="11"/>
      <c r="Z18" s="11"/>
      <c r="AC18" s="11"/>
      <c r="AI18" s="11"/>
      <c r="AL18" s="11"/>
      <c r="AR18" s="11"/>
      <c r="AU18" s="11"/>
      <c r="BA18" s="11"/>
      <c r="BD18" s="11"/>
      <c r="BJ18" s="11"/>
      <c r="BM18" s="11"/>
      <c r="BS18" s="11"/>
      <c r="BV18" s="11"/>
      <c r="CB18" s="11"/>
    </row>
    <row r="19" spans="1:80">
      <c r="B19" s="11"/>
      <c r="H19" s="11"/>
      <c r="K19" s="11"/>
      <c r="Q19" s="11"/>
      <c r="T19" s="11"/>
      <c r="Z19" s="11"/>
      <c r="AC19" s="11"/>
      <c r="AI19" s="11"/>
      <c r="AL19" s="11"/>
      <c r="AR19" s="11"/>
      <c r="AU19" s="11"/>
      <c r="BA19" s="11"/>
      <c r="BD19" s="11"/>
      <c r="BJ19" s="11"/>
      <c r="BM19" s="11"/>
      <c r="BS19" s="11"/>
      <c r="BV19" s="11"/>
      <c r="CB19" s="11"/>
    </row>
    <row r="20" spans="1:80">
      <c r="B20" s="11"/>
      <c r="H20" s="11"/>
      <c r="K20" s="11"/>
      <c r="Q20" s="11"/>
      <c r="T20" s="11"/>
      <c r="Z20" s="11"/>
      <c r="AC20" s="11"/>
      <c r="AI20" s="11"/>
      <c r="AL20" s="11"/>
      <c r="AR20" s="11"/>
      <c r="AU20" s="11"/>
      <c r="BA20" s="11"/>
      <c r="BD20" s="11"/>
      <c r="BJ20" s="11"/>
      <c r="BM20" s="11"/>
      <c r="BS20" s="11"/>
      <c r="BV20" s="11"/>
      <c r="CB20" s="11"/>
    </row>
    <row r="21" spans="1:80">
      <c r="B21" s="11"/>
      <c r="H21" s="11"/>
      <c r="K21" s="11"/>
      <c r="Q21" s="11"/>
      <c r="T21" s="11"/>
      <c r="Z21" s="11"/>
      <c r="AC21" s="11"/>
      <c r="AI21" s="11"/>
      <c r="AL21" s="11"/>
      <c r="AR21" s="11"/>
      <c r="AU21" s="11"/>
      <c r="BA21" s="11"/>
      <c r="BD21" s="11"/>
      <c r="BJ21" s="11"/>
      <c r="BM21" s="11"/>
      <c r="BS21" s="11"/>
      <c r="BV21" s="11"/>
      <c r="CB21" s="11"/>
    </row>
    <row r="22" spans="1:80">
      <c r="B22" s="11"/>
      <c r="H22" s="11"/>
      <c r="K22" s="11"/>
      <c r="Q22" s="11"/>
      <c r="T22" s="11"/>
      <c r="Z22" s="11"/>
      <c r="AC22" s="11"/>
      <c r="AI22" s="11"/>
      <c r="AL22" s="11"/>
      <c r="AR22" s="11"/>
      <c r="AU22" s="11"/>
      <c r="BA22" s="11"/>
      <c r="BD22" s="11"/>
      <c r="BJ22" s="11"/>
      <c r="BM22" s="11"/>
      <c r="BS22" s="11"/>
      <c r="BV22" s="11"/>
      <c r="CB22" s="11"/>
    </row>
    <row r="23" spans="1:80">
      <c r="B23" s="11"/>
      <c r="H23" s="11"/>
      <c r="K23" s="11"/>
      <c r="Q23" s="11"/>
      <c r="T23" s="11"/>
      <c r="Z23" s="11"/>
      <c r="AC23" s="11"/>
      <c r="AI23" s="11"/>
      <c r="AL23" s="11"/>
      <c r="AR23" s="11"/>
      <c r="AU23" s="11"/>
      <c r="BA23" s="11"/>
      <c r="BD23" s="11"/>
      <c r="BJ23" s="11"/>
      <c r="BM23" s="11"/>
      <c r="BS23" s="11"/>
      <c r="BV23" s="11"/>
      <c r="CB23" s="11"/>
    </row>
    <row r="24" spans="1:80">
      <c r="B24" s="11"/>
      <c r="H24" s="11"/>
      <c r="K24" s="11"/>
      <c r="Q24" s="11"/>
      <c r="T24" s="11"/>
      <c r="Z24" s="11"/>
      <c r="AC24" s="11"/>
      <c r="AI24" s="11"/>
      <c r="AL24" s="11"/>
      <c r="AR24" s="11"/>
      <c r="AU24" s="11"/>
      <c r="BA24" s="11"/>
      <c r="BD24" s="11"/>
      <c r="BJ24" s="11"/>
      <c r="BM24" s="11"/>
      <c r="BS24" s="11"/>
      <c r="BV24" s="11"/>
      <c r="CB24" s="11"/>
    </row>
    <row r="25" spans="1:80">
      <c r="B25" s="11"/>
      <c r="H25" s="11"/>
      <c r="K25" s="11"/>
      <c r="Q25" s="11"/>
      <c r="T25" s="11"/>
      <c r="Z25" s="11"/>
      <c r="AC25" s="11"/>
      <c r="AI25" s="11"/>
      <c r="AL25" s="11"/>
      <c r="AR25" s="11"/>
      <c r="AU25" s="11"/>
      <c r="BA25" s="11"/>
      <c r="BD25" s="11"/>
      <c r="BJ25" s="11"/>
      <c r="BM25" s="11"/>
      <c r="BS25" s="11"/>
      <c r="BV25" s="11"/>
      <c r="CB25" s="11"/>
    </row>
    <row r="26" spans="1:80">
      <c r="B26" s="11"/>
      <c r="H26" s="11"/>
      <c r="K26" s="11"/>
      <c r="Q26" s="11"/>
      <c r="T26" s="11"/>
      <c r="Z26" s="11"/>
      <c r="AC26" s="11"/>
      <c r="AI26" s="11"/>
      <c r="AL26" s="11"/>
      <c r="AR26" s="11"/>
      <c r="AU26" s="11"/>
      <c r="BA26" s="11"/>
      <c r="BD26" s="11"/>
      <c r="BJ26" s="11"/>
      <c r="BM26" s="11"/>
      <c r="BS26" s="11"/>
      <c r="BV26" s="11"/>
      <c r="CB26" s="11"/>
    </row>
    <row r="27" spans="1:80">
      <c r="B27" s="11"/>
      <c r="H27" s="11"/>
      <c r="K27" s="11"/>
      <c r="Q27" s="11"/>
      <c r="T27" s="11"/>
      <c r="Z27" s="11"/>
      <c r="AC27" s="11"/>
      <c r="AI27" s="11"/>
      <c r="AL27" s="11"/>
      <c r="AR27" s="11"/>
      <c r="AU27" s="11"/>
      <c r="BA27" s="11"/>
      <c r="BD27" s="11"/>
      <c r="BJ27" s="11"/>
      <c r="BM27" s="11"/>
      <c r="BS27" s="11"/>
      <c r="BV27" s="11"/>
      <c r="CB27" s="11"/>
    </row>
    <row r="28" spans="1:80">
      <c r="B28" s="11"/>
      <c r="H28" s="11"/>
      <c r="K28" s="11"/>
      <c r="Q28" s="11"/>
      <c r="T28" s="11"/>
      <c r="Z28" s="11"/>
      <c r="AC28" s="11"/>
      <c r="AI28" s="11"/>
      <c r="AL28" s="11"/>
      <c r="AR28" s="11"/>
      <c r="AU28" s="11"/>
      <c r="BA28" s="11"/>
      <c r="BD28" s="11"/>
      <c r="BJ28" s="11"/>
      <c r="BM28" s="11"/>
      <c r="BS28" s="11"/>
      <c r="BV28" s="11"/>
      <c r="CB28" s="11"/>
    </row>
    <row r="29" spans="1:80">
      <c r="B29" s="11"/>
      <c r="H29" s="11"/>
      <c r="K29" s="11"/>
      <c r="Q29" s="11"/>
      <c r="T29" s="11"/>
      <c r="Z29" s="11"/>
      <c r="AC29" s="11"/>
      <c r="AI29" s="11"/>
      <c r="AL29" s="11"/>
      <c r="AR29" s="11"/>
      <c r="AU29" s="11"/>
      <c r="BA29" s="11"/>
      <c r="BD29" s="11"/>
      <c r="BJ29" s="11"/>
      <c r="BM29" s="11"/>
      <c r="BS29" s="11"/>
      <c r="BV29" s="11"/>
      <c r="CB29" s="11"/>
    </row>
    <row r="30" spans="1:80">
      <c r="B30" s="11"/>
      <c r="H30" s="11"/>
      <c r="K30" s="11"/>
      <c r="Q30" s="11"/>
      <c r="T30" s="11"/>
      <c r="Z30" s="11"/>
      <c r="AC30" s="11"/>
      <c r="AI30" s="11"/>
      <c r="AL30" s="11"/>
      <c r="AR30" s="11"/>
      <c r="AU30" s="11"/>
      <c r="BA30" s="11"/>
      <c r="BD30" s="11"/>
      <c r="BJ30" s="11"/>
      <c r="BM30" s="11"/>
      <c r="BS30" s="11"/>
      <c r="BV30" s="11"/>
      <c r="CB30" s="11"/>
    </row>
    <row r="31" spans="1:80">
      <c r="B31" s="11"/>
      <c r="H31" s="11"/>
      <c r="K31" s="11"/>
      <c r="Q31" s="11"/>
      <c r="T31" s="11"/>
      <c r="Z31" s="11"/>
      <c r="AC31" s="11"/>
      <c r="AI31" s="11"/>
      <c r="AL31" s="11"/>
      <c r="AR31" s="11"/>
      <c r="AU31" s="11"/>
      <c r="BA31" s="11"/>
      <c r="BD31" s="11"/>
      <c r="BJ31" s="11"/>
      <c r="BM31" s="11"/>
      <c r="BS31" s="11"/>
      <c r="BV31" s="11"/>
      <c r="CB31" s="11"/>
    </row>
    <row r="32" spans="1:80">
      <c r="B32" s="11"/>
      <c r="H32" s="11"/>
      <c r="K32" s="11"/>
      <c r="Q32" s="11"/>
      <c r="T32" s="11"/>
      <c r="Z32" s="11"/>
      <c r="AC32" s="11"/>
      <c r="AI32" s="11"/>
      <c r="AL32" s="11"/>
      <c r="AR32" s="11"/>
      <c r="AU32" s="11"/>
      <c r="BA32" s="11"/>
      <c r="BD32" s="11"/>
      <c r="BJ32" s="11"/>
      <c r="BM32" s="11"/>
      <c r="BS32" s="11"/>
      <c r="BV32" s="11"/>
      <c r="CB32" s="11"/>
    </row>
    <row r="33" spans="1:80">
      <c r="B33" s="11"/>
      <c r="D33" s="10" t="s">
        <v>431</v>
      </c>
      <c r="H33" s="11"/>
      <c r="K33" s="11"/>
      <c r="M33" s="10" t="s">
        <v>432</v>
      </c>
      <c r="Q33" s="11"/>
      <c r="T33" s="11"/>
      <c r="V33" s="10" t="s">
        <v>433</v>
      </c>
      <c r="Z33" s="11"/>
      <c r="AC33" s="11"/>
      <c r="AE33" s="10" t="s">
        <v>434</v>
      </c>
      <c r="AI33" s="11"/>
      <c r="AL33" s="11"/>
      <c r="AN33" s="10" t="s">
        <v>435</v>
      </c>
      <c r="AR33" s="11"/>
      <c r="AU33" s="11"/>
      <c r="AW33" s="10" t="s">
        <v>436</v>
      </c>
      <c r="BA33" s="11"/>
      <c r="BD33" s="11"/>
      <c r="BF33" s="10" t="s">
        <v>437</v>
      </c>
      <c r="BJ33" s="11"/>
      <c r="BM33" s="11"/>
      <c r="BO33" s="10" t="s">
        <v>438</v>
      </c>
      <c r="BS33" s="11"/>
      <c r="BV33" s="11"/>
      <c r="BX33" s="10" t="s">
        <v>439</v>
      </c>
      <c r="CB33" s="11"/>
    </row>
    <row r="34" spans="1:80">
      <c r="B34" s="11"/>
      <c r="D34" s="10" t="s">
        <v>367</v>
      </c>
      <c r="H34" s="11"/>
      <c r="K34" s="11"/>
      <c r="M34" s="10" t="s">
        <v>367</v>
      </c>
      <c r="Q34" s="11"/>
      <c r="T34" s="11"/>
      <c r="V34" s="10" t="s">
        <v>367</v>
      </c>
      <c r="Z34" s="11"/>
      <c r="AC34" s="11"/>
      <c r="AE34" s="10" t="s">
        <v>367</v>
      </c>
      <c r="AI34" s="11"/>
      <c r="AL34" s="11"/>
      <c r="AN34" s="10" t="s">
        <v>367</v>
      </c>
      <c r="AR34" s="11"/>
      <c r="AU34" s="11"/>
      <c r="AW34" s="10" t="s">
        <v>367</v>
      </c>
      <c r="BA34" s="11"/>
      <c r="BD34" s="11"/>
      <c r="BF34" s="10" t="s">
        <v>367</v>
      </c>
      <c r="BJ34" s="11"/>
      <c r="BM34" s="11"/>
      <c r="BO34" s="10" t="s">
        <v>367</v>
      </c>
      <c r="BS34" s="11"/>
      <c r="BV34" s="11"/>
      <c r="BX34" s="10" t="s">
        <v>367</v>
      </c>
      <c r="CB34" s="11"/>
    </row>
    <row r="35" spans="1:80">
      <c r="B35" s="11"/>
      <c r="D35" s="27" t="str">
        <f>CONCATENATE("En ","la ",D5," y ",D33," se observa los resultados  del  ",D4," el cual aborda ",E1062,",en donde se demuestra que el ",ROUND(F8*100,0),"%"," de los ",D1045," tienen una percepción de ",G1046,", el ",ROUND(F9*100,0),"%"," ",G1047,", un ",ROUND(F10*100,0),"%"," ",G1048,",",IF(E1049&gt;0,CONCATENATE(" ademas el ",ROUND(F11*100,0),"%"," ",G1049,)," "),IF(E1049&gt;0,CONCATENATE(" y ",ROUND(F12*100,0),"%",", ",G1050,)," "),"en tal sentido la mayoría de los ",D1045," es decir el ",ROUND(E1053*100,0),"%"," tienen una percepción con una inclinación a un valor ",D1056,","," para ",E1062,".")</f>
        <v>0</v>
      </c>
      <c r="H35" s="11"/>
      <c r="K35" s="11"/>
      <c r="M35" s="27" t="str">
        <f>CONCATENATE("En ","la ",M5," y ",M33," se observa los resultados  del  ",M4," el cual aborda ",N1062,",en donde se demuestra que el ",ROUND(O8*100,0),"%"," de los ",M1045," tienen una percepción de ",P1046,", el ",ROUND(O9*100,0),"%"," ",P1047,", un ",ROUND(O10*100,0),"%"," ",P1048,",",IF(N1049&gt;0,CONCATENATE(" ademas el ",ROUND(O11*100,0),"%"," ",P1049,)," "),IF(N1049&gt;0,CONCATENATE(" y ",ROUND(O12*100,0),"%",", ",P1050,)," "),"en tal sentido la mayoría de los ",M1045," es decir el ",ROUND(N1053*100,0),"%"," tienen una percepción con una inclinación a un valor ",M1056,","," para ",N1062,".")</f>
        <v>0</v>
      </c>
      <c r="Q35" s="11"/>
      <c r="T35" s="11"/>
      <c r="V35" s="27" t="str">
        <f>CONCATENATE("En ","la ",V5," y ",V33," se observa los resultados  del  ",V4," el cual aborda ",W1062,",en donde se demuestra que el ",ROUND(X8*100,0),"%"," de los ",V1045," tienen una percepción de ",Y1046,", el ",ROUND(X9*100,0),"%"," ",Y1047,", un ",ROUND(X10*100,0),"%"," ",Y1048,",",IF(W1049&gt;0,CONCATENATE(" ademas el ",ROUND(X11*100,0),"%"," ",Y1049,)," "),IF(W1049&gt;0,CONCATENATE(" y ",ROUND(X12*100,0),"%",", ",Y1050,)," "),"en tal sentido la mayoría de los ",V1045," es decir el ",ROUND(W1053*100,0),"%"," tienen una percepción con una inclinación a un valor ",V1056,","," para ",W1062,".")</f>
        <v>0</v>
      </c>
      <c r="Z35" s="11"/>
      <c r="AC35" s="11"/>
      <c r="AE35" s="27" t="str">
        <f>CONCATENATE("En ","la ",AE5," y ",AE33," se observa los resultados  del  ",AE4," el cual aborda ",AF1062,",en donde se demuestra que el ",ROUND(AG8*100,0),"%"," de los ",AE1045," tienen una percepción de ",AH1046,", el ",ROUND(AG9*100,0),"%"," ",AH1047,", un ",ROUND(AG10*100,0),"%"," ",AH1048,",",IF(AF1049&gt;0,CONCATENATE(" ademas el ",ROUND(AG11*100,0),"%"," ",AH1049,)," "),IF(AF1049&gt;0,CONCATENATE(" y ",ROUND(AG12*100,0),"%",", ",AH1050,)," "),"en tal sentido la mayoría de los ",AE1045," es decir el ",ROUND(AF1053*100,0),"%"," tienen una percepción con una inclinación a un valor ",AE1056,","," para ",AF1062,".")</f>
        <v>0</v>
      </c>
      <c r="AI35" s="11"/>
      <c r="AL35" s="11"/>
      <c r="AN35" s="27" t="str">
        <f>CONCATENATE("En ","la ",AN5," y ",AN33," se observa los resultados  del  ",AN4," el cual aborda ",AO1062,",en donde se demuestra que el ",ROUND(AP8*100,0),"%"," de los ",AN1045," tienen una percepción de ",AQ1046,", el ",ROUND(AP9*100,0),"%"," ",AQ1047,", un ",ROUND(AP10*100,0),"%"," ",AQ1048,",",IF(AO1049&gt;0,CONCATENATE(" ademas el ",ROUND(AP11*100,0),"%"," ",AQ1049,)," "),IF(AO1049&gt;0,CONCATENATE(" y ",ROUND(AP12*100,0),"%",", ",AQ1050,)," "),"en tal sentido la mayoría de los ",AN1045," es decir el ",ROUND(AO1053*100,0),"%"," tienen una percepción con una inclinación a un valor ",AN1056,","," para ",AO1062,".")</f>
        <v>0</v>
      </c>
      <c r="AR35" s="11"/>
      <c r="AU35" s="11"/>
      <c r="AW35" s="27" t="str">
        <f>CONCATENATE("En ","la ",AW5," y ",AW33," se observa los resultados  del  ",AW4," el cual aborda ",AX1062,",en donde se demuestra que el ",ROUND(AY8*100,0),"%"," de los ",AW1045," tienen una percepción de ",AZ1046,", el ",ROUND(AY9*100,0),"%"," ",AZ1047,", un ",ROUND(AY10*100,0),"%"," ",AZ1048,",",IF(AX1049&gt;0,CONCATENATE(" ademas el ",ROUND(AY11*100,0),"%"," ",AZ1049,)," "),IF(AX1049&gt;0,CONCATENATE(" y ",ROUND(AY12*100,0),"%",", ",AZ1050,)," "),"en tal sentido la mayoría de los ",AW1045," es decir el ",ROUND(AX1053*100,0),"%"," tienen una percepción con una inclinación a un valor ",AW1056,","," para ",AX1062,".")</f>
        <v>0</v>
      </c>
      <c r="BA35" s="11"/>
      <c r="BD35" s="11"/>
      <c r="BF35" s="27" t="str">
        <f>CONCATENATE("En ","la ",BF5," y ",BF33," se observa los resultados  del  ",BF4," el cual aborda ",BG1062,",en donde se demuestra que el ",ROUND(BH8*100,0),"%"," de los ",BF1045," tienen una percepción de ",BI1046,", el ",ROUND(BH9*100,0),"%"," ",BI1047,", un ",ROUND(BH10*100,0),"%"," ",BI1048,",",IF(BG1049&gt;0,CONCATENATE(" ademas el ",ROUND(BH11*100,0),"%"," ",BI1049,)," "),IF(BG1049&gt;0,CONCATENATE(" y ",ROUND(BH12*100,0),"%",", ",BI1050,)," "),"en tal sentido la mayoría de los ",BF1045," es decir el ",ROUND(BG1053*100,0),"%"," tienen una percepción con una inclinación a un valor ",BF1056,","," para ",BG1062,".")</f>
        <v>0</v>
      </c>
      <c r="BJ35" s="11"/>
      <c r="BM35" s="11"/>
      <c r="BO35" s="27" t="str">
        <f>CONCATENATE("En ","la ",BO5," y ",BO33," se observa los resultados  del  ",BO4," el cual aborda ",BP1062,",en donde se demuestra que el ",ROUND(BQ8*100,0),"%"," de los ",BO1045," tienen una percepción de ",BR1046,", el ",ROUND(BQ9*100,0),"%"," ",BR1047,", un ",ROUND(BQ10*100,0),"%"," ",BR1048,",",IF(BP1049&gt;0,CONCATENATE(" ademas el ",ROUND(BQ11*100,0),"%"," ",BR1049,)," "),IF(BP1049&gt;0,CONCATENATE(" y ",ROUND(BQ12*100,0),"%",", ",BR1050,)," "),"en tal sentido la mayoría de los ",BO1045," es decir el ",ROUND(BP1053*100,0),"%"," tienen una percepción con una inclinación a un valor ",BO1056,","," para ",BP1062,".")</f>
        <v>0</v>
      </c>
      <c r="BS35" s="11"/>
      <c r="BV35" s="11"/>
      <c r="BX35" s="27" t="str">
        <f>CONCATENATE("En ","la ",BX5," y ",BX33," se observa los resultados  del  ",BX4," el cual aborda ",BY1062,",en donde se demuestra que el ",ROUND(BZ8*100,0),"%"," de los ",BX1045," tienen una percepción de ",CA1046,", el ",ROUND(BZ9*100,0),"%"," ",CA1047,", un ",ROUND(BZ10*100,0),"%"," ",CA1048,",",IF(BY1049&gt;0,CONCATENATE(" ademas el ",ROUND(BZ11*100,0),"%"," ",CA1049,)," "),IF(BY1049&gt;0,CONCATENATE(" y ",ROUND(BZ12*100,0),"%",", ",CA1050,)," "),"en tal sentido la mayoría de los ",BX1045," es decir el ",ROUND(BY1053*100,0),"%"," tienen una percepción con una inclinación a un valor ",BX1056,","," para ",BY1062,".")</f>
        <v>0</v>
      </c>
      <c r="CB35" s="11"/>
    </row>
    <row r="36" spans="1:80">
      <c r="B36" s="11"/>
      <c r="H36" s="11"/>
      <c r="K36" s="11"/>
      <c r="Q36" s="11"/>
      <c r="T36" s="11"/>
      <c r="Z36" s="11"/>
      <c r="AC36" s="11"/>
      <c r="AI36" s="11"/>
      <c r="AL36" s="11"/>
      <c r="AR36" s="11"/>
      <c r="AU36" s="11"/>
      <c r="BA36" s="11"/>
      <c r="BD36" s="11"/>
      <c r="BJ36" s="11"/>
      <c r="BM36" s="11"/>
      <c r="BS36" s="11"/>
      <c r="BV36" s="11"/>
      <c r="CB36" s="11"/>
    </row>
    <row r="37" spans="1:80">
      <c r="B37" s="11"/>
      <c r="H37" s="11"/>
      <c r="K37" s="11"/>
      <c r="Q37" s="11"/>
      <c r="T37" s="11"/>
      <c r="Z37" s="11"/>
      <c r="AC37" s="11"/>
      <c r="AI37" s="11"/>
      <c r="AL37" s="11"/>
      <c r="AR37" s="11"/>
      <c r="AU37" s="11"/>
      <c r="BA37" s="11"/>
      <c r="BD37" s="11"/>
      <c r="BJ37" s="11"/>
      <c r="BM37" s="11"/>
      <c r="BS37" s="11"/>
      <c r="BV37" s="11"/>
      <c r="CB37" s="11"/>
    </row>
    <row r="38" spans="1:80">
      <c r="B38" s="11"/>
      <c r="H38" s="11"/>
      <c r="K38" s="11"/>
      <c r="Q38" s="11"/>
      <c r="T38" s="11"/>
      <c r="Z38" s="11"/>
      <c r="AC38" s="11"/>
      <c r="AI38" s="11"/>
      <c r="AL38" s="11"/>
      <c r="AR38" s="11"/>
      <c r="AU38" s="11"/>
      <c r="BA38" s="11"/>
      <c r="BD38" s="11"/>
      <c r="BJ38" s="11"/>
      <c r="BM38" s="11"/>
      <c r="BS38" s="11"/>
      <c r="BV38" s="11"/>
      <c r="CB38" s="11"/>
    </row>
    <row r="39" spans="1:80">
      <c r="B39" s="11"/>
      <c r="H39" s="11"/>
      <c r="K39" s="11"/>
      <c r="Q39" s="11"/>
      <c r="T39" s="11"/>
      <c r="Z39" s="11"/>
      <c r="AC39" s="11"/>
      <c r="AI39" s="11"/>
      <c r="AL39" s="11"/>
      <c r="AR39" s="11"/>
      <c r="AU39" s="11"/>
      <c r="BA39" s="11"/>
      <c r="BD39" s="11"/>
      <c r="BJ39" s="11"/>
      <c r="BM39" s="11"/>
      <c r="BS39" s="11"/>
      <c r="BV39" s="11"/>
      <c r="CB39" s="11"/>
    </row>
    <row r="1045" spans="1:80">
      <c r="D1045" s="33" t="s">
        <v>363</v>
      </c>
      <c r="E1045" s="33" t="s">
        <v>367</v>
      </c>
      <c r="M1045" s="33" t="s">
        <v>363</v>
      </c>
      <c r="N1045" s="33" t="s">
        <v>367</v>
      </c>
      <c r="V1045" s="33" t="s">
        <v>363</v>
      </c>
      <c r="W1045" s="33" t="s">
        <v>367</v>
      </c>
      <c r="AE1045" s="33" t="s">
        <v>363</v>
      </c>
      <c r="AF1045" s="33" t="s">
        <v>367</v>
      </c>
      <c r="AN1045" s="33" t="s">
        <v>363</v>
      </c>
      <c r="AO1045" s="33" t="s">
        <v>367</v>
      </c>
      <c r="AW1045" s="33" t="s">
        <v>363</v>
      </c>
      <c r="AX1045" s="33" t="s">
        <v>367</v>
      </c>
      <c r="BF1045" s="33" t="s">
        <v>363</v>
      </c>
      <c r="BG1045" s="33" t="s">
        <v>367</v>
      </c>
      <c r="BO1045" s="33" t="s">
        <v>363</v>
      </c>
      <c r="BP1045" s="33" t="s">
        <v>367</v>
      </c>
      <c r="BX1045" s="33" t="s">
        <v>363</v>
      </c>
      <c r="BY1045" s="33" t="s">
        <v>367</v>
      </c>
    </row>
    <row r="1046" spans="1:80">
      <c r="C1046" s="33">
        <v>1</v>
      </c>
      <c r="D1046" s="33" t="str">
        <f>IF(E1046=F8,D8,IF(E1046=F9,D9,IF(E1046=F10,D10,IF(E1046=F11,D11,IF(E1046=F12,D12,"ALGO ESTA MAL")))))</f>
        <v>0</v>
      </c>
      <c r="E1046" s="34" t="str">
        <f>LARGE($F$8:$F$12,C1046)</f>
        <v>0</v>
      </c>
      <c r="F1046" s="34" t="str">
        <f>IF(E1046&gt;0.1%,E1046,"Algo Esta Mal")</f>
        <v>0</v>
      </c>
      <c r="G1046" s="33" t="str">
        <f>IF(F1046=E1046,D1046," ")</f>
        <v>0</v>
      </c>
      <c r="L1046" s="33">
        <v>1</v>
      </c>
      <c r="M1046" s="33" t="str">
        <f>IF(N1046=O8,M8,IF(N1046=O9,M9,IF(N1046=O10,M10,IF(N1046=O11,M11,IF(N1046=O12,M12,"ALGO ESTA MAL")))))</f>
        <v>0</v>
      </c>
      <c r="N1046" s="34" t="str">
        <f>LARGE($O$8:$O$12,L1046)</f>
        <v>0</v>
      </c>
      <c r="O1046" s="34" t="str">
        <f>IF(N1046&gt;0.1%,N1046,"Algo Esta Mal")</f>
        <v>0</v>
      </c>
      <c r="P1046" s="33" t="str">
        <f>IF(O1046=N1046,M1046," ")</f>
        <v>0</v>
      </c>
      <c r="U1046" s="33">
        <v>1</v>
      </c>
      <c r="V1046" s="33" t="str">
        <f>IF(W1046=X8,V8,IF(W1046=X9,V9,IF(W1046=X10,V10,IF(W1046=X11,V11,IF(W1046=X12,V12,"ALGO ESTA MAL")))))</f>
        <v>0</v>
      </c>
      <c r="W1046" s="34" t="str">
        <f>LARGE($X$8:$X$12,U1046)</f>
        <v>0</v>
      </c>
      <c r="X1046" s="34" t="str">
        <f>IF(W1046&gt;0.1%,W1046,"Algo Esta Mal")</f>
        <v>0</v>
      </c>
      <c r="Y1046" s="33" t="str">
        <f>IF(X1046=W1046,V1046," ")</f>
        <v>0</v>
      </c>
      <c r="AD1046" s="33">
        <v>1</v>
      </c>
      <c r="AE1046" s="33" t="str">
        <f>IF(AF1046=AG8,AE8,IF(AF1046=AG9,AE9,IF(AF1046=AG10,AE10,IF(AF1046=AG11,AE11,IF(AF1046=AG12,AE12,"ALGO ESTA MAL")))))</f>
        <v>0</v>
      </c>
      <c r="AF1046" s="34" t="str">
        <f>LARGE($AG$8:$AG$12,AD1046)</f>
        <v>0</v>
      </c>
      <c r="AG1046" s="34" t="str">
        <f>IF(AF1046&gt;0.1%,AF1046,"Algo Esta Mal")</f>
        <v>0</v>
      </c>
      <c r="AH1046" s="33" t="str">
        <f>IF(AG1046=AF1046,AE1046," ")</f>
        <v>0</v>
      </c>
      <c r="AM1046" s="33">
        <v>1</v>
      </c>
      <c r="AN1046" s="33" t="str">
        <f>IF(AO1046=AP8,AN8,IF(AO1046=AP9,AN9,IF(AO1046=AP10,AN10,IF(AO1046=AP11,AN11,IF(AO1046=AP12,AN12,"ALGO ESTA MAL")))))</f>
        <v>0</v>
      </c>
      <c r="AO1046" s="34" t="str">
        <f>LARGE($AP$8:$AP$12,AM1046)</f>
        <v>0</v>
      </c>
      <c r="AP1046" s="34" t="str">
        <f>IF(AO1046&gt;0.1%,AO1046,"Algo Esta Mal")</f>
        <v>0</v>
      </c>
      <c r="AQ1046" s="33" t="str">
        <f>IF(AP1046=AO1046,AN1046," ")</f>
        <v>0</v>
      </c>
      <c r="AV1046" s="33">
        <v>1</v>
      </c>
      <c r="AW1046" s="33" t="str">
        <f>IF(AX1046=AY8,AW8,IF(AX1046=AY9,AW9,IF(AX1046=AY10,AW10,IF(AX1046=AY11,AW11,IF(AX1046=AY12,AW12,"ALGO ESTA MAL")))))</f>
        <v>0</v>
      </c>
      <c r="AX1046" s="34" t="str">
        <f>LARGE($AY$8:$AY$12,AV1046)</f>
        <v>0</v>
      </c>
      <c r="AY1046" s="34" t="str">
        <f>IF(AX1046&gt;0.1%,AX1046,"Algo Esta Mal")</f>
        <v>0</v>
      </c>
      <c r="AZ1046" s="33" t="str">
        <f>IF(AY1046=AX1046,AW1046," ")</f>
        <v>0</v>
      </c>
      <c r="BE1046" s="33">
        <v>1</v>
      </c>
      <c r="BF1046" s="33" t="str">
        <f>IF(BG1046=BH8,BF8,IF(BG1046=BH9,BF9,IF(BG1046=BH10,BF10,IF(BG1046=BH11,BF11,IF(BG1046=BH12,BF12,"ALGO ESTA MAL")))))</f>
        <v>0</v>
      </c>
      <c r="BG1046" s="34" t="str">
        <f>LARGE($BH$8:$BH$12,BE1046)</f>
        <v>0</v>
      </c>
      <c r="BH1046" s="34" t="str">
        <f>IF(BG1046&gt;0.1%,BG1046,"Algo Esta Mal")</f>
        <v>0</v>
      </c>
      <c r="BI1046" s="33" t="str">
        <f>IF(BH1046=BG1046,BF1046," ")</f>
        <v>0</v>
      </c>
      <c r="BN1046" s="33">
        <v>1</v>
      </c>
      <c r="BO1046" s="33" t="str">
        <f>IF(BP1046=BQ8,BO8,IF(BP1046=BQ9,BO9,IF(BP1046=BQ10,BO10,IF(BP1046=BQ11,BO11,IF(BP1046=BQ12,BO12,"ALGO ESTA MAL")))))</f>
        <v>0</v>
      </c>
      <c r="BP1046" s="34" t="str">
        <f>LARGE($BQ$8:$BQ$12,BN1046)</f>
        <v>0</v>
      </c>
      <c r="BQ1046" s="34" t="str">
        <f>IF(BP1046&gt;0.1%,BP1046,"Algo Esta Mal")</f>
        <v>0</v>
      </c>
      <c r="BR1046" s="33" t="str">
        <f>IF(BQ1046=BP1046,BO1046," ")</f>
        <v>0</v>
      </c>
      <c r="BW1046" s="33">
        <v>1</v>
      </c>
      <c r="BX1046" s="33" t="str">
        <f>IF(BY1046=BZ8,BX8,IF(BY1046=BZ9,BX9,IF(BY1046=BZ10,BX10,IF(BY1046=BZ11,BX11,IF(BY1046=BZ12,BX12,"ALGO ESTA MAL")))))</f>
        <v>0</v>
      </c>
      <c r="BY1046" s="34" t="str">
        <f>LARGE($BZ$8:$BZ$12,BW1046)</f>
        <v>0</v>
      </c>
      <c r="BZ1046" s="34" t="str">
        <f>IF(BY1046&gt;0.1%,BY1046,"Algo Esta Mal")</f>
        <v>0</v>
      </c>
      <c r="CA1046" s="33" t="str">
        <f>IF(BZ1046=BY1046,BX1046," ")</f>
        <v>0</v>
      </c>
    </row>
    <row r="1047" spans="1:80">
      <c r="C1047" s="33">
        <v>2</v>
      </c>
      <c r="D1047" s="33" t="str">
        <f>IF(E1047=F8,D8,IF(E1047=F9,D9,IF(E1047=F10,D10,IF(E1047=F11,D11,IF(E1047=F12,D12,"ALGO ESTA MAL")))))</f>
        <v>0</v>
      </c>
      <c r="E1047" s="34" t="str">
        <f>LARGE($F$8:$F$12,C1047)</f>
        <v>0</v>
      </c>
      <c r="F1047" s="34" t="str">
        <f>IF(E1047&gt;0.1%,E1047,"Algo Esta Mal")</f>
        <v>0</v>
      </c>
      <c r="G1047" s="33" t="str">
        <f>IF(F1047=E1047,D1047," ")</f>
        <v>0</v>
      </c>
      <c r="L1047" s="33">
        <v>2</v>
      </c>
      <c r="M1047" s="33" t="str">
        <f>IF(N1047=O8,M8,IF(N1047=O9,M9,IF(N1047=O10,M10,IF(N1047=O11,M11,IF(N1047=O12,M12,"ALGO ESTA MAL")))))</f>
        <v>0</v>
      </c>
      <c r="N1047" s="34" t="str">
        <f>LARGE($O$8:$O$12,L1047)</f>
        <v>0</v>
      </c>
      <c r="O1047" s="34" t="str">
        <f>IF(N1047&gt;0.1%,N1047,"Algo Esta Mal")</f>
        <v>0</v>
      </c>
      <c r="P1047" s="33" t="str">
        <f>IF(O1047=N1047,M1047," ")</f>
        <v>0</v>
      </c>
      <c r="U1047" s="33">
        <v>2</v>
      </c>
      <c r="V1047" s="33" t="str">
        <f>IF(W1047=X8,V8,IF(W1047=X9,V9,IF(W1047=X10,V10,IF(W1047=X11,V11,IF(W1047=X12,V12,"ALGO ESTA MAL")))))</f>
        <v>0</v>
      </c>
      <c r="W1047" s="34" t="str">
        <f>LARGE($X$8:$X$12,U1047)</f>
        <v>0</v>
      </c>
      <c r="X1047" s="34" t="str">
        <f>IF(W1047&gt;0.1%,W1047,"Algo Esta Mal")</f>
        <v>0</v>
      </c>
      <c r="Y1047" s="33" t="str">
        <f>IF(X1047=W1047,V1047," ")</f>
        <v>0</v>
      </c>
      <c r="AD1047" s="33">
        <v>2</v>
      </c>
      <c r="AE1047" s="33" t="str">
        <f>IF(AF1047=AG8,AE8,IF(AF1047=AG9,AE9,IF(AF1047=AG10,AE10,IF(AF1047=AG11,AE11,IF(AF1047=AG12,AE12,"ALGO ESTA MAL")))))</f>
        <v>0</v>
      </c>
      <c r="AF1047" s="34" t="str">
        <f>LARGE($AG$8:$AG$12,AD1047)</f>
        <v>0</v>
      </c>
      <c r="AG1047" s="34" t="str">
        <f>IF(AF1047&gt;0.1%,AF1047,"Algo Esta Mal")</f>
        <v>0</v>
      </c>
      <c r="AH1047" s="33" t="str">
        <f>IF(AG1047=AF1047,AE1047," ")</f>
        <v>0</v>
      </c>
      <c r="AM1047" s="33">
        <v>2</v>
      </c>
      <c r="AN1047" s="33" t="str">
        <f>IF(AO1047=AP8,AN8,IF(AO1047=AP9,AN9,IF(AO1047=AP10,AN10,IF(AO1047=AP11,AN11,IF(AO1047=AP12,AN12,"ALGO ESTA MAL")))))</f>
        <v>0</v>
      </c>
      <c r="AO1047" s="34" t="str">
        <f>LARGE($AP$8:$AP$12,AM1047)</f>
        <v>0</v>
      </c>
      <c r="AP1047" s="34" t="str">
        <f>IF(AO1047&gt;0.1%,AO1047,"Algo Esta Mal")</f>
        <v>0</v>
      </c>
      <c r="AQ1047" s="33" t="str">
        <f>IF(AP1047=AO1047,AN1047," ")</f>
        <v>0</v>
      </c>
      <c r="AV1047" s="33">
        <v>2</v>
      </c>
      <c r="AW1047" s="33" t="str">
        <f>IF(AX1047=AY8,AW8,IF(AX1047=AY9,AW9,IF(AX1047=AY10,AW10,IF(AX1047=AY11,AW11,IF(AX1047=AY12,AW12,"ALGO ESTA MAL")))))</f>
        <v>0</v>
      </c>
      <c r="AX1047" s="34" t="str">
        <f>LARGE($AY$8:$AY$12,AV1047)</f>
        <v>0</v>
      </c>
      <c r="AY1047" s="34" t="str">
        <f>IF(AX1047&gt;0.1%,AX1047,"Algo Esta Mal")</f>
        <v>0</v>
      </c>
      <c r="AZ1047" s="33" t="str">
        <f>IF(AY1047=AX1047,AW1047," ")</f>
        <v>0</v>
      </c>
      <c r="BE1047" s="33">
        <v>2</v>
      </c>
      <c r="BF1047" s="33" t="str">
        <f>IF(BG1047=BH8,BF8,IF(BG1047=BH9,BF9,IF(BG1047=BH10,BF10,IF(BG1047=BH11,BF11,IF(BG1047=BH12,BF12,"ALGO ESTA MAL")))))</f>
        <v>0</v>
      </c>
      <c r="BG1047" s="34" t="str">
        <f>LARGE($BH$8:$BH$12,BE1047)</f>
        <v>0</v>
      </c>
      <c r="BH1047" s="34" t="str">
        <f>IF(BG1047&gt;0.1%,BG1047,"Algo Esta Mal")</f>
        <v>0</v>
      </c>
      <c r="BI1047" s="33" t="str">
        <f>IF(BH1047=BG1047,BF1047," ")</f>
        <v>0</v>
      </c>
      <c r="BN1047" s="33">
        <v>2</v>
      </c>
      <c r="BO1047" s="33" t="str">
        <f>IF(BP1047=BQ8,BO8,IF(BP1047=BQ9,BO9,IF(BP1047=BQ10,BO10,IF(BP1047=BQ11,BO11,IF(BP1047=BQ12,BO12,"ALGO ESTA MAL")))))</f>
        <v>0</v>
      </c>
      <c r="BP1047" s="34" t="str">
        <f>LARGE($BQ$8:$BQ$12,BN1047)</f>
        <v>0</v>
      </c>
      <c r="BQ1047" s="34" t="str">
        <f>IF(BP1047&gt;0.1%,BP1047,"Algo Esta Mal")</f>
        <v>0</v>
      </c>
      <c r="BR1047" s="33" t="str">
        <f>IF(BQ1047=BP1047,BO1047," ")</f>
        <v>0</v>
      </c>
      <c r="BW1047" s="33">
        <v>2</v>
      </c>
      <c r="BX1047" s="33" t="str">
        <f>IF(BY1047=BZ8,BX8,IF(BY1047=BZ9,BX9,IF(BY1047=BZ10,BX10,IF(BY1047=BZ11,BX11,IF(BY1047=BZ12,BX12,"ALGO ESTA MAL")))))</f>
        <v>0</v>
      </c>
      <c r="BY1047" s="34" t="str">
        <f>LARGE($BZ$8:$BZ$12,BW1047)</f>
        <v>0</v>
      </c>
      <c r="BZ1047" s="34" t="str">
        <f>IF(BY1047&gt;0.1%,BY1047,"Algo Esta Mal")</f>
        <v>0</v>
      </c>
      <c r="CA1047" s="33" t="str">
        <f>IF(BZ1047=BY1047,BX1047," ")</f>
        <v>0</v>
      </c>
    </row>
    <row r="1048" spans="1:80">
      <c r="C1048" s="33">
        <v>3</v>
      </c>
      <c r="D1048" s="33" t="str">
        <f>IF(E1048=F8,D8,IF(E1048=F9,D9,IF(E1048=F10,D10,IF(E1048=F11,D11,IF(E1048=F12,D12,"ALGO ESTA MAL")))))</f>
        <v>0</v>
      </c>
      <c r="E1048" s="34" t="str">
        <f>LARGE($F$8:$F$12,C1048)</f>
        <v>0</v>
      </c>
      <c r="F1048" s="34" t="str">
        <f>IF(E1048&gt;0.1%,E1048,"Algo Esta Mal")</f>
        <v>0</v>
      </c>
      <c r="G1048" s="33" t="str">
        <f>IF(F1048=E1048,D1048," ")</f>
        <v>0</v>
      </c>
      <c r="L1048" s="33">
        <v>3</v>
      </c>
      <c r="M1048" s="33" t="str">
        <f>IF(N1048=O8,M8,IF(N1048=O9,M9,IF(N1048=O10,M10,IF(N1048=O11,M11,IF(N1048=O12,M12,"ALGO ESTA MAL")))))</f>
        <v>0</v>
      </c>
      <c r="N1048" s="34" t="str">
        <f>LARGE($O$8:$O$12,L1048)</f>
        <v>0</v>
      </c>
      <c r="O1048" s="34" t="str">
        <f>IF(N1048&gt;0.1%,N1048,"Algo Esta Mal")</f>
        <v>0</v>
      </c>
      <c r="P1048" s="33" t="str">
        <f>IF(O1048=N1048,M1048," ")</f>
        <v>0</v>
      </c>
      <c r="U1048" s="33">
        <v>3</v>
      </c>
      <c r="V1048" s="33" t="str">
        <f>IF(W1048=X8,V8,IF(W1048=X9,V9,IF(W1048=X10,V10,IF(W1048=X11,V11,IF(W1048=X12,V12,"ALGO ESTA MAL")))))</f>
        <v>0</v>
      </c>
      <c r="W1048" s="34" t="str">
        <f>LARGE($X$8:$X$12,U1048)</f>
        <v>0</v>
      </c>
      <c r="X1048" s="34" t="str">
        <f>IF(W1048&gt;0.1%,W1048,"Algo Esta Mal")</f>
        <v>0</v>
      </c>
      <c r="Y1048" s="33" t="str">
        <f>IF(X1048=W1048,V1048," ")</f>
        <v>0</v>
      </c>
      <c r="AD1048" s="33">
        <v>3</v>
      </c>
      <c r="AE1048" s="33" t="str">
        <f>IF(AF1048=AG8,AE8,IF(AF1048=AG9,AE9,IF(AF1048=AG10,AE10,IF(AF1048=AG11,AE11,IF(AF1048=AG12,AE12,"ALGO ESTA MAL")))))</f>
        <v>0</v>
      </c>
      <c r="AF1048" s="34" t="str">
        <f>LARGE($AG$8:$AG$12,AD1048)</f>
        <v>0</v>
      </c>
      <c r="AG1048" s="34" t="str">
        <f>IF(AF1048&gt;0.1%,AF1048,"Algo Esta Mal")</f>
        <v>0</v>
      </c>
      <c r="AH1048" s="33" t="str">
        <f>IF(AG1048=AF1048,AE1048," ")</f>
        <v>0</v>
      </c>
      <c r="AM1048" s="33">
        <v>3</v>
      </c>
      <c r="AN1048" s="33" t="str">
        <f>IF(AO1048=AP8,AN8,IF(AO1048=AP9,AN9,IF(AO1048=AP10,AN10,IF(AO1048=AP11,AN11,IF(AO1048=AP12,AN12,"ALGO ESTA MAL")))))</f>
        <v>0</v>
      </c>
      <c r="AO1048" s="34" t="str">
        <f>LARGE($AP$8:$AP$12,AM1048)</f>
        <v>0</v>
      </c>
      <c r="AP1048" s="34" t="str">
        <f>IF(AO1048&gt;0.1%,AO1048,"Algo Esta Mal")</f>
        <v>0</v>
      </c>
      <c r="AQ1048" s="33" t="str">
        <f>IF(AP1048=AO1048,AN1048," ")</f>
        <v>0</v>
      </c>
      <c r="AV1048" s="33">
        <v>3</v>
      </c>
      <c r="AW1048" s="33" t="str">
        <f>IF(AX1048=AY8,AW8,IF(AX1048=AY9,AW9,IF(AX1048=AY10,AW10,IF(AX1048=AY11,AW11,IF(AX1048=AY12,AW12,"ALGO ESTA MAL")))))</f>
        <v>0</v>
      </c>
      <c r="AX1048" s="34" t="str">
        <f>LARGE($AY$8:$AY$12,AV1048)</f>
        <v>0</v>
      </c>
      <c r="AY1048" s="34" t="str">
        <f>IF(AX1048&gt;0.1%,AX1048,"Algo Esta Mal")</f>
        <v>0</v>
      </c>
      <c r="AZ1048" s="33" t="str">
        <f>IF(AY1048=AX1048,AW1048," ")</f>
        <v>0</v>
      </c>
      <c r="BE1048" s="33">
        <v>3</v>
      </c>
      <c r="BF1048" s="33" t="str">
        <f>IF(BG1048=BH8,BF8,IF(BG1048=BH9,BF9,IF(BG1048=BH10,BF10,IF(BG1048=BH11,BF11,IF(BG1048=BH12,BF12,"ALGO ESTA MAL")))))</f>
        <v>0</v>
      </c>
      <c r="BG1048" s="34" t="str">
        <f>LARGE($BH$8:$BH$12,BE1048)</f>
        <v>0</v>
      </c>
      <c r="BH1048" s="34" t="str">
        <f>IF(BG1048&gt;0.1%,BG1048,"Algo Esta Mal")</f>
        <v>0</v>
      </c>
      <c r="BI1048" s="33" t="str">
        <f>IF(BH1048=BG1048,BF1048," ")</f>
        <v>0</v>
      </c>
      <c r="BN1048" s="33">
        <v>3</v>
      </c>
      <c r="BO1048" s="33" t="str">
        <f>IF(BP1048=BQ8,BO8,IF(BP1048=BQ9,BO9,IF(BP1048=BQ10,BO10,IF(BP1048=BQ11,BO11,IF(BP1048=BQ12,BO12,"ALGO ESTA MAL")))))</f>
        <v>0</v>
      </c>
      <c r="BP1048" s="34" t="str">
        <f>LARGE($BQ$8:$BQ$12,BN1048)</f>
        <v>0</v>
      </c>
      <c r="BQ1048" s="34" t="str">
        <f>IF(BP1048&gt;0.1%,BP1048,"Algo Esta Mal")</f>
        <v>0</v>
      </c>
      <c r="BR1048" s="33" t="str">
        <f>IF(BQ1048=BP1048,BO1048," ")</f>
        <v>0</v>
      </c>
      <c r="BW1048" s="33">
        <v>3</v>
      </c>
      <c r="BX1048" s="33" t="str">
        <f>IF(BY1048=BZ8,BX8,IF(BY1048=BZ9,BX9,IF(BY1048=BZ10,BX10,IF(BY1048=BZ11,BX11,IF(BY1048=BZ12,BX12,"ALGO ESTA MAL")))))</f>
        <v>0</v>
      </c>
      <c r="BY1048" s="34" t="str">
        <f>LARGE($BZ$8:$BZ$12,BW1048)</f>
        <v>0</v>
      </c>
      <c r="BZ1048" s="34" t="str">
        <f>IF(BY1048&gt;0.1%,BY1048,"Algo Esta Mal")</f>
        <v>0</v>
      </c>
      <c r="CA1048" s="33" t="str">
        <f>IF(BZ1048=BY1048,BX1048," ")</f>
        <v>0</v>
      </c>
    </row>
    <row r="1049" spans="1:80">
      <c r="C1049" s="33">
        <v>4</v>
      </c>
      <c r="D1049" s="33" t="str">
        <f>IF(E1049=F8,D8,IF(E1049=F9,D9,IF(E1049=F10,D10,IF(E1049=F11,D11,IF(E1049=F12,D12,"ALGO ESTA MAL")))))</f>
        <v>0</v>
      </c>
      <c r="E1049" s="34" t="str">
        <f>LARGE($F$8:$F$12,C1049)</f>
        <v>0</v>
      </c>
      <c r="F1049" s="34" t="str">
        <f>IF(E1049&gt;0.1%,E1049,"Algo Esta Mal")</f>
        <v>0</v>
      </c>
      <c r="G1049" s="33" t="str">
        <f>IF(F1049=E1049,D1049," ")</f>
        <v>0</v>
      </c>
      <c r="L1049" s="33">
        <v>4</v>
      </c>
      <c r="M1049" s="33" t="str">
        <f>IF(N1049=O8,M8,IF(N1049=O9,M9,IF(N1049=O10,M10,IF(N1049=O11,M11,IF(N1049=O12,M12,"ALGO ESTA MAL")))))</f>
        <v>0</v>
      </c>
      <c r="N1049" s="34" t="str">
        <f>LARGE($O$8:$O$12,L1049)</f>
        <v>0</v>
      </c>
      <c r="O1049" s="34" t="str">
        <f>IF(N1049&gt;0.1%,N1049,"Algo Esta Mal")</f>
        <v>0</v>
      </c>
      <c r="P1049" s="33" t="str">
        <f>IF(O1049=N1049,M1049," ")</f>
        <v>0</v>
      </c>
      <c r="U1049" s="33">
        <v>4</v>
      </c>
      <c r="V1049" s="33" t="str">
        <f>IF(W1049=X8,V8,IF(W1049=X9,V9,IF(W1049=X10,V10,IF(W1049=X11,V11,IF(W1049=X12,V12,"ALGO ESTA MAL")))))</f>
        <v>0</v>
      </c>
      <c r="W1049" s="34" t="str">
        <f>LARGE($X$8:$X$12,U1049)</f>
        <v>0</v>
      </c>
      <c r="X1049" s="34" t="str">
        <f>IF(W1049&gt;0.1%,W1049,"Algo Esta Mal")</f>
        <v>0</v>
      </c>
      <c r="Y1049" s="33" t="str">
        <f>IF(X1049=W1049,V1049," ")</f>
        <v>0</v>
      </c>
      <c r="AD1049" s="33">
        <v>4</v>
      </c>
      <c r="AE1049" s="33" t="str">
        <f>IF(AF1049=AG8,AE8,IF(AF1049=AG9,AE9,IF(AF1049=AG10,AE10,IF(AF1049=AG11,AE11,IF(AF1049=AG12,AE12,"ALGO ESTA MAL")))))</f>
        <v>0</v>
      </c>
      <c r="AF1049" s="34" t="str">
        <f>LARGE($AG$8:$AG$12,AD1049)</f>
        <v>0</v>
      </c>
      <c r="AG1049" s="34" t="str">
        <f>IF(AF1049&gt;0.1%,AF1049,"Algo Esta Mal")</f>
        <v>0</v>
      </c>
      <c r="AH1049" s="33" t="str">
        <f>IF(AG1049=AF1049,AE1049," ")</f>
        <v>0</v>
      </c>
      <c r="AM1049" s="33">
        <v>4</v>
      </c>
      <c r="AN1049" s="33" t="str">
        <f>IF(AO1049=AP8,AN8,IF(AO1049=AP9,AN9,IF(AO1049=AP10,AN10,IF(AO1049=AP11,AN11,IF(AO1049=AP12,AN12,"ALGO ESTA MAL")))))</f>
        <v>0</v>
      </c>
      <c r="AO1049" s="34" t="str">
        <f>LARGE($AP$8:$AP$12,AM1049)</f>
        <v>0</v>
      </c>
      <c r="AP1049" s="34" t="str">
        <f>IF(AO1049&gt;0.1%,AO1049,"Algo Esta Mal")</f>
        <v>0</v>
      </c>
      <c r="AQ1049" s="33" t="str">
        <f>IF(AP1049=AO1049,AN1049," ")</f>
        <v>0</v>
      </c>
      <c r="AV1049" s="33">
        <v>4</v>
      </c>
      <c r="AW1049" s="33" t="str">
        <f>IF(AX1049=AY8,AW8,IF(AX1049=AY9,AW9,IF(AX1049=AY10,AW10,IF(AX1049=AY11,AW11,IF(AX1049=AY12,AW12,"ALGO ESTA MAL")))))</f>
        <v>0</v>
      </c>
      <c r="AX1049" s="34" t="str">
        <f>LARGE($AY$8:$AY$12,AV1049)</f>
        <v>0</v>
      </c>
      <c r="AY1049" s="34" t="str">
        <f>IF(AX1049&gt;0.1%,AX1049,"Algo Esta Mal")</f>
        <v>0</v>
      </c>
      <c r="AZ1049" s="33" t="str">
        <f>IF(AY1049=AX1049,AW1049," ")</f>
        <v>0</v>
      </c>
      <c r="BE1049" s="33">
        <v>4</v>
      </c>
      <c r="BF1049" s="33" t="str">
        <f>IF(BG1049=BH8,BF8,IF(BG1049=BH9,BF9,IF(BG1049=BH10,BF10,IF(BG1049=BH11,BF11,IF(BG1049=BH12,BF12,"ALGO ESTA MAL")))))</f>
        <v>0</v>
      </c>
      <c r="BG1049" s="34" t="str">
        <f>LARGE($BH$8:$BH$12,BE1049)</f>
        <v>0</v>
      </c>
      <c r="BH1049" s="34" t="str">
        <f>IF(BG1049&gt;0.1%,BG1049,"Algo Esta Mal")</f>
        <v>0</v>
      </c>
      <c r="BI1049" s="33" t="str">
        <f>IF(BH1049=BG1049,BF1049," ")</f>
        <v>0</v>
      </c>
      <c r="BN1049" s="33">
        <v>4</v>
      </c>
      <c r="BO1049" s="33" t="str">
        <f>IF(BP1049=BQ8,BO8,IF(BP1049=BQ9,BO9,IF(BP1049=BQ10,BO10,IF(BP1049=BQ11,BO11,IF(BP1049=BQ12,BO12,"ALGO ESTA MAL")))))</f>
        <v>0</v>
      </c>
      <c r="BP1049" s="34" t="str">
        <f>LARGE($BQ$8:$BQ$12,BN1049)</f>
        <v>0</v>
      </c>
      <c r="BQ1049" s="34" t="str">
        <f>IF(BP1049&gt;0.1%,BP1049,"Algo Esta Mal")</f>
        <v>0</v>
      </c>
      <c r="BR1049" s="33" t="str">
        <f>IF(BQ1049=BP1049,BO1049," ")</f>
        <v>0</v>
      </c>
      <c r="BW1049" s="33">
        <v>4</v>
      </c>
      <c r="BX1049" s="33" t="str">
        <f>IF(BY1049=BZ8,BX8,IF(BY1049=BZ9,BX9,IF(BY1049=BZ10,BX10,IF(BY1049=BZ11,BX11,IF(BY1049=BZ12,BX12,"ALGO ESTA MAL")))))</f>
        <v>0</v>
      </c>
      <c r="BY1049" s="34" t="str">
        <f>LARGE($BZ$8:$BZ$12,BW1049)</f>
        <v>0</v>
      </c>
      <c r="BZ1049" s="34" t="str">
        <f>IF(BY1049&gt;0.1%,BY1049,"Algo Esta Mal")</f>
        <v>0</v>
      </c>
      <c r="CA1049" s="33" t="str">
        <f>IF(BZ1049=BY1049,BX1049," ")</f>
        <v>0</v>
      </c>
    </row>
    <row r="1050" spans="1:80">
      <c r="C1050" s="33">
        <v>5</v>
      </c>
      <c r="D1050" s="33" t="str">
        <f>IF(E1050=F8,D8,IF(E1050=F9,D9,IF(E1050=F10,D10,IF(E1050=F11,D11,IF(E1050=F12,D12,"ALGO ESTA MAL")))))</f>
        <v>0</v>
      </c>
      <c r="E1050" s="34" t="str">
        <f>LARGE($F$8:$F$12,C1050)</f>
        <v>0</v>
      </c>
      <c r="F1050" s="34" t="str">
        <f>IF(E1050&gt;0.1%,E1050,"Algo Esta Mal")</f>
        <v>0</v>
      </c>
      <c r="G1050" s="33" t="str">
        <f>IF(F1050=E1050,D1050," ")</f>
        <v>0</v>
      </c>
      <c r="L1050" s="33">
        <v>5</v>
      </c>
      <c r="M1050" s="33" t="str">
        <f>IF(N1050=O8,M8,IF(N1050=O9,M9,IF(N1050=O10,M10,IF(N1050=O11,M11,IF(N1050=O12,M12,"ALGO ESTA MAL")))))</f>
        <v>0</v>
      </c>
      <c r="N1050" s="34" t="str">
        <f>LARGE($O$8:$O$12,L1050)</f>
        <v>0</v>
      </c>
      <c r="O1050" s="34" t="str">
        <f>IF(N1050&gt;0.1%,N1050,"Algo Esta Mal")</f>
        <v>0</v>
      </c>
      <c r="P1050" s="33" t="str">
        <f>IF(O1050=N1050,M1050," ")</f>
        <v>0</v>
      </c>
      <c r="U1050" s="33">
        <v>5</v>
      </c>
      <c r="V1050" s="33" t="str">
        <f>IF(W1050=X8,V8,IF(W1050=X9,V9,IF(W1050=X10,V10,IF(W1050=X11,V11,IF(W1050=X12,V12,"ALGO ESTA MAL")))))</f>
        <v>0</v>
      </c>
      <c r="W1050" s="34" t="str">
        <f>LARGE($X$8:$X$12,U1050)</f>
        <v>0</v>
      </c>
      <c r="X1050" s="34" t="str">
        <f>IF(W1050&gt;0.1%,W1050,"Algo Esta Mal")</f>
        <v>0</v>
      </c>
      <c r="Y1050" s="33" t="str">
        <f>IF(X1050=W1050,V1050," ")</f>
        <v>0</v>
      </c>
      <c r="AD1050" s="33">
        <v>5</v>
      </c>
      <c r="AE1050" s="33" t="str">
        <f>IF(AF1050=AG8,AE8,IF(AF1050=AG9,AE9,IF(AF1050=AG10,AE10,IF(AF1050=AG11,AE11,IF(AF1050=AG12,AE12,"ALGO ESTA MAL")))))</f>
        <v>0</v>
      </c>
      <c r="AF1050" s="34" t="str">
        <f>LARGE($AG$8:$AG$12,AD1050)</f>
        <v>0</v>
      </c>
      <c r="AG1050" s="34" t="str">
        <f>IF(AF1050&gt;0.1%,AF1050,"Algo Esta Mal")</f>
        <v>0</v>
      </c>
      <c r="AH1050" s="33" t="str">
        <f>IF(AG1050=AF1050,AE1050," ")</f>
        <v>0</v>
      </c>
      <c r="AM1050" s="33">
        <v>5</v>
      </c>
      <c r="AN1050" s="33" t="str">
        <f>IF(AO1050=AP8,AN8,IF(AO1050=AP9,AN9,IF(AO1050=AP10,AN10,IF(AO1050=AP11,AN11,IF(AO1050=AP12,AN12,"ALGO ESTA MAL")))))</f>
        <v>0</v>
      </c>
      <c r="AO1050" s="34" t="str">
        <f>LARGE($AP$8:$AP$12,AM1050)</f>
        <v>0</v>
      </c>
      <c r="AP1050" s="34" t="str">
        <f>IF(AO1050&gt;0.1%,AO1050,"Algo Esta Mal")</f>
        <v>0</v>
      </c>
      <c r="AQ1050" s="33" t="str">
        <f>IF(AP1050=AO1050,AN1050," ")</f>
        <v>0</v>
      </c>
      <c r="AV1050" s="33">
        <v>5</v>
      </c>
      <c r="AW1050" s="33" t="str">
        <f>IF(AX1050=AY8,AW8,IF(AX1050=AY9,AW9,IF(AX1050=AY10,AW10,IF(AX1050=AY11,AW11,IF(AX1050=AY12,AW12,"ALGO ESTA MAL")))))</f>
        <v>0</v>
      </c>
      <c r="AX1050" s="34" t="str">
        <f>LARGE($AY$8:$AY$12,AV1050)</f>
        <v>0</v>
      </c>
      <c r="AY1050" s="34" t="str">
        <f>IF(AX1050&gt;0.1%,AX1050,"Algo Esta Mal")</f>
        <v>0</v>
      </c>
      <c r="AZ1050" s="33" t="str">
        <f>IF(AY1050=AX1050,AW1050," ")</f>
        <v>0</v>
      </c>
      <c r="BE1050" s="33">
        <v>5</v>
      </c>
      <c r="BF1050" s="33" t="str">
        <f>IF(BG1050=BH8,BF8,IF(BG1050=BH9,BF9,IF(BG1050=BH10,BF10,IF(BG1050=BH11,BF11,IF(BG1050=BH12,BF12,"ALGO ESTA MAL")))))</f>
        <v>0</v>
      </c>
      <c r="BG1050" s="34" t="str">
        <f>LARGE($BH$8:$BH$12,BE1050)</f>
        <v>0</v>
      </c>
      <c r="BH1050" s="34" t="str">
        <f>IF(BG1050&gt;0.1%,BG1050,"Algo Esta Mal")</f>
        <v>0</v>
      </c>
      <c r="BI1050" s="33" t="str">
        <f>IF(BH1050=BG1050,BF1050," ")</f>
        <v>0</v>
      </c>
      <c r="BN1050" s="33">
        <v>5</v>
      </c>
      <c r="BO1050" s="33" t="str">
        <f>IF(BP1050=BQ8,BO8,IF(BP1050=BQ9,BO9,IF(BP1050=BQ10,BO10,IF(BP1050=BQ11,BO11,IF(BP1050=BQ12,BO12,"ALGO ESTA MAL")))))</f>
        <v>0</v>
      </c>
      <c r="BP1050" s="34" t="str">
        <f>LARGE($BQ$8:$BQ$12,BN1050)</f>
        <v>0</v>
      </c>
      <c r="BQ1050" s="34" t="str">
        <f>IF(BP1050&gt;0.1%,BP1050,"Algo Esta Mal")</f>
        <v>0</v>
      </c>
      <c r="BR1050" s="33" t="str">
        <f>IF(BQ1050=BP1050,BO1050," ")</f>
        <v>0</v>
      </c>
      <c r="BW1050" s="33">
        <v>5</v>
      </c>
      <c r="BX1050" s="33" t="str">
        <f>IF(BY1050=BZ8,BX8,IF(BY1050=BZ9,BX9,IF(BY1050=BZ10,BX10,IF(BY1050=BZ11,BX11,IF(BY1050=BZ12,BX12,"ALGO ESTA MAL")))))</f>
        <v>0</v>
      </c>
      <c r="BY1050" s="34" t="str">
        <f>LARGE($BZ$8:$BZ$12,BW1050)</f>
        <v>0</v>
      </c>
      <c r="BZ1050" s="34" t="str">
        <f>IF(BY1050&gt;0.1%,BY1050,"Algo Esta Mal")</f>
        <v>0</v>
      </c>
      <c r="CA1050" s="33" t="str">
        <f>IF(BZ1050=BY1050,BX1050," ")</f>
        <v>0</v>
      </c>
    </row>
    <row r="1052" spans="1:80">
      <c r="D1052" s="33" t="s">
        <v>449</v>
      </c>
      <c r="M1052" s="33" t="s">
        <v>449</v>
      </c>
      <c r="V1052" s="33" t="s">
        <v>449</v>
      </c>
      <c r="AE1052" s="33" t="s">
        <v>449</v>
      </c>
      <c r="AN1052" s="33" t="s">
        <v>449</v>
      </c>
      <c r="AW1052" s="33" t="s">
        <v>449</v>
      </c>
      <c r="BF1052" s="33" t="s">
        <v>449</v>
      </c>
      <c r="BO1052" s="33" t="s">
        <v>449</v>
      </c>
      <c r="BX1052" s="33" t="s">
        <v>449</v>
      </c>
    </row>
    <row r="1053" spans="1:80">
      <c r="D1053" s="34" t="str">
        <f>SUM(F8:F10)</f>
        <v>0</v>
      </c>
      <c r="E1053" s="34" t="str">
        <f>MAX(D1053:D1054)</f>
        <v>0</v>
      </c>
      <c r="M1053" s="34" t="str">
        <f>SUM(O8:O10)</f>
        <v>0</v>
      </c>
      <c r="N1053" s="34" t="str">
        <f>MAX(M1053:M1054)</f>
        <v>0</v>
      </c>
      <c r="V1053" s="34" t="str">
        <f>SUM(X8:X10)</f>
        <v>0</v>
      </c>
      <c r="W1053" s="34" t="str">
        <f>MAX(V1053:V1054)</f>
        <v>0</v>
      </c>
      <c r="AE1053" s="34" t="str">
        <f>SUM(AG8:AG10)</f>
        <v>0</v>
      </c>
      <c r="AF1053" s="34" t="str">
        <f>MAX(AE1053:AE1054)</f>
        <v>0</v>
      </c>
      <c r="AN1053" s="34" t="str">
        <f>SUM(AP8:AP10)</f>
        <v>0</v>
      </c>
      <c r="AO1053" s="34" t="str">
        <f>MAX(AN1053:AN1054)</f>
        <v>0</v>
      </c>
      <c r="AW1053" s="34" t="str">
        <f>SUM(AY8:AY10)</f>
        <v>0</v>
      </c>
      <c r="AX1053" s="34" t="str">
        <f>MAX(AW1053:AW1054)</f>
        <v>0</v>
      </c>
      <c r="BF1053" s="34" t="str">
        <f>SUM(BH8:BH10)</f>
        <v>0</v>
      </c>
      <c r="BG1053" s="34" t="str">
        <f>MAX(BF1053:BF1054)</f>
        <v>0</v>
      </c>
      <c r="BO1053" s="34" t="str">
        <f>SUM(BQ8:BQ10)</f>
        <v>0</v>
      </c>
      <c r="BP1053" s="34" t="str">
        <f>MAX(BO1053:BO1054)</f>
        <v>0</v>
      </c>
      <c r="BX1053" s="34" t="str">
        <f>SUM(BZ8:BZ10)</f>
        <v>0</v>
      </c>
      <c r="BY1053" s="34" t="str">
        <f>MAX(BX1053:BX1054)</f>
        <v>0</v>
      </c>
    </row>
    <row r="1054" spans="1:80">
      <c r="D1054" s="34" t="str">
        <f>SUM(F10:F12)</f>
        <v>0</v>
      </c>
      <c r="M1054" s="34" t="str">
        <f>SUM(O10:O12)</f>
        <v>0</v>
      </c>
      <c r="V1054" s="34" t="str">
        <f>SUM(X10:X12)</f>
        <v>0</v>
      </c>
      <c r="AE1054" s="34" t="str">
        <f>SUM(AG10:AG12)</f>
        <v>0</v>
      </c>
      <c r="AN1054" s="34" t="str">
        <f>SUM(AP10:AP12)</f>
        <v>0</v>
      </c>
      <c r="AW1054" s="34" t="str">
        <f>SUM(AY10:AY12)</f>
        <v>0</v>
      </c>
      <c r="BF1054" s="34" t="str">
        <f>SUM(BH10:BH12)</f>
        <v>0</v>
      </c>
      <c r="BO1054" s="34" t="str">
        <f>SUM(BQ10:BQ12)</f>
        <v>0</v>
      </c>
      <c r="BX1054" s="34" t="str">
        <f>SUM(BZ10:BZ12)</f>
        <v>0</v>
      </c>
    </row>
    <row r="1056" spans="1:80">
      <c r="D1056" s="33" t="s">
        <v>352</v>
      </c>
      <c r="E1056" s="34" t="str">
        <f>SUM(F8:F9)</f>
        <v>0</v>
      </c>
      <c r="M1056" s="33" t="s">
        <v>352</v>
      </c>
      <c r="N1056" s="34" t="str">
        <f>SUM(O8:O9)</f>
        <v>0</v>
      </c>
      <c r="V1056" s="33" t="s">
        <v>352</v>
      </c>
      <c r="W1056" s="34" t="str">
        <f>SUM(X8:X9)</f>
        <v>0</v>
      </c>
      <c r="AE1056" s="33" t="s">
        <v>352</v>
      </c>
      <c r="AF1056" s="34" t="str">
        <f>SUM(AG8:AG9)</f>
        <v>0</v>
      </c>
      <c r="AN1056" s="33" t="s">
        <v>352</v>
      </c>
      <c r="AO1056" s="34" t="str">
        <f>SUM(AP8:AP9)</f>
        <v>0</v>
      </c>
      <c r="AW1056" s="33" t="s">
        <v>352</v>
      </c>
      <c r="AX1056" s="34" t="str">
        <f>SUM(AY8:AY9)</f>
        <v>0</v>
      </c>
      <c r="BF1056" s="33" t="s">
        <v>352</v>
      </c>
      <c r="BG1056" s="34" t="str">
        <f>SUM(BH8:BH9)</f>
        <v>0</v>
      </c>
      <c r="BO1056" s="33" t="s">
        <v>352</v>
      </c>
      <c r="BP1056" s="34" t="str">
        <f>SUM(BQ8:BQ9)</f>
        <v>0</v>
      </c>
      <c r="BX1056" s="33" t="s">
        <v>352</v>
      </c>
      <c r="BY1056" s="34" t="str">
        <f>SUM(BZ8:BZ9)</f>
        <v>0</v>
      </c>
    </row>
    <row r="1057" spans="1:80">
      <c r="D1057" s="33" t="s">
        <v>460</v>
      </c>
      <c r="E1057" s="34" t="str">
        <f>SUM(F10)</f>
        <v>0</v>
      </c>
      <c r="M1057" s="33" t="s">
        <v>460</v>
      </c>
      <c r="N1057" s="34" t="str">
        <f>SUM(O10)</f>
        <v>0</v>
      </c>
      <c r="V1057" s="33" t="s">
        <v>460</v>
      </c>
      <c r="W1057" s="34" t="str">
        <f>SUM(X10)</f>
        <v>0</v>
      </c>
      <c r="AE1057" s="33" t="s">
        <v>460</v>
      </c>
      <c r="AF1057" s="34" t="str">
        <f>SUM(AG10)</f>
        <v>0</v>
      </c>
      <c r="AN1057" s="33" t="s">
        <v>460</v>
      </c>
      <c r="AO1057" s="34" t="str">
        <f>SUM(AP10)</f>
        <v>0</v>
      </c>
      <c r="AW1057" s="33" t="s">
        <v>460</v>
      </c>
      <c r="AX1057" s="34" t="str">
        <f>SUM(AY10)</f>
        <v>0</v>
      </c>
      <c r="BF1057" s="33" t="s">
        <v>460</v>
      </c>
      <c r="BG1057" s="34" t="str">
        <f>SUM(BH10)</f>
        <v>0</v>
      </c>
      <c r="BO1057" s="33" t="s">
        <v>460</v>
      </c>
      <c r="BP1057" s="34" t="str">
        <f>SUM(BQ10)</f>
        <v>0</v>
      </c>
      <c r="BX1057" s="33" t="s">
        <v>460</v>
      </c>
      <c r="BY1057" s="34" t="str">
        <f>SUM(BZ10)</f>
        <v>0</v>
      </c>
    </row>
    <row r="1058" spans="1:80">
      <c r="D1058" s="33" t="s">
        <v>354</v>
      </c>
      <c r="E1058" s="34" t="str">
        <f>SUM(F11:F12)</f>
        <v>0</v>
      </c>
      <c r="M1058" s="33" t="s">
        <v>354</v>
      </c>
      <c r="N1058" s="34" t="str">
        <f>SUM(O11:O12)</f>
        <v>0</v>
      </c>
      <c r="V1058" s="33" t="s">
        <v>354</v>
      </c>
      <c r="W1058" s="34" t="str">
        <f>SUM(X11:X12)</f>
        <v>0</v>
      </c>
      <c r="AE1058" s="33" t="s">
        <v>354</v>
      </c>
      <c r="AF1058" s="34" t="str">
        <f>SUM(AG11:AG12)</f>
        <v>0</v>
      </c>
      <c r="AN1058" s="33" t="s">
        <v>354</v>
      </c>
      <c r="AO1058" s="34" t="str">
        <f>SUM(AP11:AP12)</f>
        <v>0</v>
      </c>
      <c r="AW1058" s="33" t="s">
        <v>354</v>
      </c>
      <c r="AX1058" s="34" t="str">
        <f>SUM(AY11:AY12)</f>
        <v>0</v>
      </c>
      <c r="BF1058" s="33" t="s">
        <v>354</v>
      </c>
      <c r="BG1058" s="34" t="str">
        <f>SUM(BH11:BH12)</f>
        <v>0</v>
      </c>
      <c r="BO1058" s="33" t="s">
        <v>354</v>
      </c>
      <c r="BP1058" s="34" t="str">
        <f>SUM(BQ11:BQ12)</f>
        <v>0</v>
      </c>
      <c r="BX1058" s="33" t="s">
        <v>354</v>
      </c>
      <c r="BY1058" s="34" t="str">
        <f>SUM(BZ11:BZ12)</f>
        <v>0</v>
      </c>
    </row>
    <row r="1060" spans="1:80">
      <c r="E1060" s="33" t="str">
        <f>IF(E1056&gt;=51%,D1056,IF(E1057&gt;=51%,D1057,IF(E1058&gt;=51%,D1058,IF(SUM(E1056:E1057)&gt;SUM(E1057:E1058),D1056,IF(SUM(E1056:E1057)&lt;SUM(E1057:E1058),D1058,"Algo esta Mal")))))</f>
        <v>0</v>
      </c>
      <c r="N1060" s="33" t="str">
        <f>IF(N1056&gt;=51%,M1056,IF(N1057&gt;=51%,M1057,IF(N1058&gt;=51%,M1058,IF(SUM(N1056:N1057)&gt;SUM(N1057:N1058),M1056,IF(SUM(N1056:N1057)&lt;SUM(N1057:N1058),M1058,"Algo esta Mal")))))</f>
        <v>0</v>
      </c>
      <c r="W1060" s="33" t="str">
        <f>IF(W1056&gt;=51%,V1056,IF(W1057&gt;=51%,V1057,IF(W1058&gt;=51%,V1058,IF(SUM(W1056:W1057)&gt;SUM(W1057:W1058),V1056,IF(SUM(W1056:W1057)&lt;SUM(W1057:W1058),V1058,"Algo esta Mal")))))</f>
        <v>0</v>
      </c>
      <c r="AF1060" s="33" t="str">
        <f>IF(AF1056&gt;=51%,AE1056,IF(AF1057&gt;=51%,AE1057,IF(AF1058&gt;=51%,AE1058,IF(SUM(AF1056:AF1057)&gt;SUM(AF1057:AF1058),AE1056,IF(SUM(AF1056:AF1057)&lt;SUM(AF1057:AF1058),AE1058,"Algo esta Mal")))))</f>
        <v>0</v>
      </c>
      <c r="AO1060" s="33" t="str">
        <f>IF(AO1056&gt;=51%,AN1056,IF(AO1057&gt;=51%,AN1057,IF(AO1058&gt;=51%,AN1058,IF(SUM(AO1056:AO1057)&gt;SUM(AO1057:AO1058),AN1056,IF(SUM(AO1056:AO1057)&lt;SUM(AO1057:AO1058),AN1058,"Algo esta Mal")))))</f>
        <v>0</v>
      </c>
      <c r="AX1060" s="33" t="str">
        <f>IF(AX1056&gt;=51%,AW1056,IF(AX1057&gt;=51%,AW1057,IF(AX1058&gt;=51%,AW1058,IF(SUM(AX1056:AX1057)&gt;SUM(AX1057:AX1058),AW1056,IF(SUM(AX1056:AX1057)&lt;SUM(AX1057:AX1058),AW1058,"Algo esta Mal")))))</f>
        <v>0</v>
      </c>
      <c r="BG1060" s="33" t="str">
        <f>IF(BG1056&gt;=51%,BF1056,IF(BG1057&gt;=51%,BF1057,IF(BG1058&gt;=51%,BF1058,IF(SUM(BG1056:BG1057)&gt;SUM(BG1057:BG1058),BF1056,IF(SUM(BG1056:BG1057)&lt;SUM(BG1057:BG1058),BF1058,"Algo esta Mal")))))</f>
        <v>0</v>
      </c>
      <c r="BP1060" s="33" t="str">
        <f>IF(BP1056&gt;=51%,BO1056,IF(BP1057&gt;=51%,BO1057,IF(BP1058&gt;=51%,BO1058,IF(SUM(BP1056:BP1057)&gt;SUM(BP1057:BP1058),BO1056,IF(SUM(BP1056:BP1057)&lt;SUM(BP1057:BP1058),BO1058,"Algo esta Mal")))))</f>
        <v>0</v>
      </c>
      <c r="BY1060" s="33" t="str">
        <f>IF(BY1056&gt;=51%,BX1056,IF(BY1057&gt;=51%,BX1057,IF(BY1058&gt;=51%,BX1058,IF(SUM(BY1056:BY1057)&gt;SUM(BY1057:BY1058),BX1056,IF(SUM(BY1056:BY1057)&lt;SUM(BY1057:BY1058),BX1058,"Algo esta Mal")))))</f>
        <v>0</v>
      </c>
    </row>
    <row r="1062" spans="1:80">
      <c r="E1062" s="33" t="s">
        <v>367</v>
      </c>
      <c r="N1062" s="33" t="s">
        <v>367</v>
      </c>
      <c r="W1062" s="33" t="s">
        <v>367</v>
      </c>
      <c r="AF1062" s="33" t="s">
        <v>367</v>
      </c>
      <c r="AO1062" s="33" t="s">
        <v>367</v>
      </c>
      <c r="AX1062" s="33" t="s">
        <v>367</v>
      </c>
      <c r="BG1062" s="33" t="s">
        <v>367</v>
      </c>
      <c r="BP1062" s="33" t="s">
        <v>367</v>
      </c>
      <c r="BY1062" s="33" t="s">
        <v>367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5:F43"/>
    <mergeCell ref="M4:O4"/>
    <mergeCell ref="M35:O43"/>
    <mergeCell ref="V4:X4"/>
    <mergeCell ref="V35:X43"/>
    <mergeCell ref="AE4:AG4"/>
    <mergeCell ref="AE35:AG43"/>
    <mergeCell ref="AN4:AP4"/>
    <mergeCell ref="AN35:AP43"/>
    <mergeCell ref="AW4:AY4"/>
    <mergeCell ref="AW35:AY43"/>
    <mergeCell ref="BF4:BH4"/>
    <mergeCell ref="BF35:BH43"/>
    <mergeCell ref="BO4:BQ4"/>
    <mergeCell ref="BO35:BQ43"/>
    <mergeCell ref="BX4:BZ4"/>
    <mergeCell ref="BX35:BZ4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Z1076"/>
  <sheetViews>
    <sheetView tabSelected="0" workbookViewId="0" showGridLines="true" showRowColHeaders="1">
      <selection activeCell="M36" sqref="M36"/>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s>
  <sheetData>
    <row r="3" spans="1:26">
      <c r="B3" s="11"/>
      <c r="C3" s="11"/>
      <c r="D3" s="11"/>
      <c r="E3" s="11"/>
      <c r="F3" s="11"/>
      <c r="G3" s="11"/>
      <c r="H3" s="11"/>
      <c r="K3" s="28"/>
      <c r="L3" s="28"/>
      <c r="M3" s="28"/>
      <c r="N3" s="28"/>
      <c r="O3" s="28"/>
      <c r="P3" s="28"/>
      <c r="Q3" s="28"/>
    </row>
    <row r="4" spans="1:26">
      <c r="B4" s="11"/>
      <c r="D4" s="30" t="s">
        <v>450</v>
      </c>
      <c r="E4" s="29"/>
      <c r="F4" s="29"/>
      <c r="H4" s="11"/>
      <c r="K4" s="28"/>
      <c r="M4" s="30" t="s">
        <v>453</v>
      </c>
      <c r="N4" s="29"/>
      <c r="O4" s="29"/>
      <c r="Q4" s="28"/>
    </row>
    <row r="5" spans="1:26">
      <c r="B5" s="11"/>
      <c r="D5" s="10" t="s">
        <v>343</v>
      </c>
      <c r="H5" s="11"/>
      <c r="K5" s="28"/>
      <c r="M5" s="10" t="s">
        <v>344</v>
      </c>
      <c r="Q5" s="28"/>
    </row>
    <row r="6" spans="1:26">
      <c r="B6" s="11"/>
      <c r="D6" s="10" t="s">
        <v>458</v>
      </c>
      <c r="H6" s="11"/>
      <c r="K6" s="28"/>
      <c r="M6" s="10" t="s">
        <v>459</v>
      </c>
      <c r="Q6" s="28"/>
    </row>
    <row r="7" spans="1:26">
      <c r="B7" s="11"/>
      <c r="D7" s="13"/>
      <c r="E7" s="19" t="s">
        <v>348</v>
      </c>
      <c r="F7" s="19" t="s">
        <v>349</v>
      </c>
      <c r="H7" s="11"/>
      <c r="K7" s="28"/>
      <c r="M7" s="13"/>
      <c r="N7" s="19" t="s">
        <v>348</v>
      </c>
      <c r="O7" s="19" t="s">
        <v>349</v>
      </c>
      <c r="Q7" s="28"/>
    </row>
    <row r="8" spans="1:26">
      <c r="B8" s="11"/>
      <c r="D8" s="26" t="str">
        <f>('Satisfacción de los comités d'!A300)</f>
        <v>0</v>
      </c>
      <c r="E8" s="18" t="str">
        <f>COUNTIF('Satisfacción de los comités d'!B5:J293,1)</f>
        <v>0</v>
      </c>
      <c r="F8" s="22" t="str">
        <f>(E8/E13)</f>
        <v>0</v>
      </c>
      <c r="H8" s="11"/>
      <c r="K8" s="28"/>
      <c r="M8" s="26" t="str">
        <f>('Satisfacción de los comités d'!A300)</f>
        <v>0</v>
      </c>
      <c r="N8" s="18" t="str">
        <f>COUNTIF('Satisfacción de los comités d'!B5:J293,1)</f>
        <v>0</v>
      </c>
      <c r="O8" s="22" t="str">
        <f>(N8/N13)</f>
        <v>0</v>
      </c>
      <c r="Q8" s="28"/>
    </row>
    <row r="9" spans="1:26">
      <c r="B9" s="11"/>
      <c r="D9" s="26" t="str">
        <f>('Satisfacción de los comités d'!A301)</f>
        <v>0</v>
      </c>
      <c r="E9" s="18" t="str">
        <f>COUNTIF('Satisfacción de los comités d'!B5:J293,2)</f>
        <v>0</v>
      </c>
      <c r="F9" s="22" t="str">
        <f>(E9/E13)</f>
        <v>0</v>
      </c>
      <c r="H9" s="11"/>
      <c r="K9" s="28"/>
      <c r="M9" s="26" t="str">
        <f>('Satisfacción de los comités d'!A301)</f>
        <v>0</v>
      </c>
      <c r="N9" s="18" t="str">
        <f>COUNTIF('Satisfacción de los comités d'!B5:J293,2)</f>
        <v>0</v>
      </c>
      <c r="O9" s="22" t="str">
        <f>(N9/N13)</f>
        <v>0</v>
      </c>
      <c r="Q9" s="28"/>
    </row>
    <row r="10" spans="1:26">
      <c r="B10" s="11"/>
      <c r="D10" s="26" t="str">
        <f>('Satisfacción de los comités d'!A302)</f>
        <v>0</v>
      </c>
      <c r="E10" s="18" t="str">
        <f>COUNTIF('Satisfacción de los comités d'!B5:J293,3)</f>
        <v>0</v>
      </c>
      <c r="F10" s="22" t="str">
        <f>(E10/E13)</f>
        <v>0</v>
      </c>
      <c r="H10" s="11"/>
      <c r="K10" s="28"/>
      <c r="M10" s="26" t="str">
        <f>('Satisfacción de los comités d'!A302)</f>
        <v>0</v>
      </c>
      <c r="N10" s="18" t="str">
        <f>COUNTIF('Satisfacción de los comités d'!B5:J293,3)</f>
        <v>0</v>
      </c>
      <c r="O10" s="22" t="str">
        <f>(N10/N13)</f>
        <v>0</v>
      </c>
      <c r="Q10" s="28"/>
    </row>
    <row r="11" spans="1:26">
      <c r="B11" s="11"/>
      <c r="D11" s="26" t="str">
        <f>('Satisfacción de los comités d'!A303)</f>
        <v>0</v>
      </c>
      <c r="E11" s="18" t="str">
        <f>COUNTIF('Satisfacción de los comités d'!B5:J293,4)</f>
        <v>0</v>
      </c>
      <c r="F11" s="22" t="str">
        <f>(E11/E13)</f>
        <v>0</v>
      </c>
      <c r="H11" s="11"/>
      <c r="K11" s="28"/>
      <c r="M11" s="26" t="str">
        <f>('Satisfacción de los comités d'!A303)</f>
        <v>0</v>
      </c>
      <c r="N11" s="18" t="str">
        <f>COUNTIF('Satisfacción de los comités d'!B5:J293,4)</f>
        <v>0</v>
      </c>
      <c r="O11" s="22" t="str">
        <f>(N11/N13)</f>
        <v>0</v>
      </c>
      <c r="Q11" s="28"/>
    </row>
    <row r="12" spans="1:26">
      <c r="B12" s="11"/>
      <c r="D12" s="26" t="str">
        <f>('Satisfacción de los comités d'!A304)</f>
        <v>0</v>
      </c>
      <c r="E12" s="18" t="str">
        <f>COUNTIF('Satisfacción de los comités d'!B5:J293,5)</f>
        <v>0</v>
      </c>
      <c r="F12" s="22" t="str">
        <f>(E12/E13)</f>
        <v>0</v>
      </c>
      <c r="H12" s="11"/>
      <c r="K12" s="28"/>
      <c r="M12" s="26" t="str">
        <f>('Satisfacción de los comités d'!A304)</f>
        <v>0</v>
      </c>
      <c r="N12" s="18" t="str">
        <f>COUNTIF('Satisfacción de los comités d'!B5:J293,5)</f>
        <v>0</v>
      </c>
      <c r="O12" s="22" t="str">
        <f>(N12/N13)</f>
        <v>0</v>
      </c>
      <c r="Q12" s="28"/>
    </row>
    <row r="13" spans="1:26">
      <c r="B13" s="11"/>
      <c r="D13" s="32" t="str">
        <f>('Satisfacción de los comités d'!A305)</f>
        <v>0</v>
      </c>
      <c r="E13" s="19" t="str">
        <f>SUM(E8:E12)</f>
        <v>0</v>
      </c>
      <c r="F13" s="23" t="str">
        <f>SUM(F8:F12)</f>
        <v>0</v>
      </c>
      <c r="H13" s="11"/>
      <c r="K13" s="28"/>
      <c r="M13" s="32" t="str">
        <f>('Satisfacción de los comités d'!A305)</f>
        <v>0</v>
      </c>
      <c r="N13" s="19" t="str">
        <f>SUM(N8:N12)</f>
        <v>0</v>
      </c>
      <c r="O13" s="23" t="str">
        <f>SUM(O8:O12)</f>
        <v>0</v>
      </c>
      <c r="Q13" s="28"/>
    </row>
    <row r="14" spans="1:26">
      <c r="B14" s="11"/>
      <c r="D14" s="10" t="s">
        <v>356</v>
      </c>
      <c r="H14" s="11"/>
      <c r="K14" s="28"/>
      <c r="M14" s="10" t="s">
        <v>356</v>
      </c>
      <c r="Q14" s="28"/>
    </row>
    <row r="15" spans="1:26">
      <c r="B15" s="11"/>
      <c r="D15" s="10" t="s">
        <v>355</v>
      </c>
      <c r="H15" s="11"/>
      <c r="K15" s="28"/>
      <c r="M15" s="10" t="s">
        <v>355</v>
      </c>
      <c r="Q15" s="28"/>
    </row>
    <row r="16" spans="1:26">
      <c r="B16" s="11"/>
      <c r="H16" s="11"/>
      <c r="K16" s="28"/>
      <c r="Q16" s="28"/>
    </row>
    <row r="17" spans="1:26">
      <c r="B17" s="11"/>
      <c r="H17" s="11"/>
      <c r="K17" s="28"/>
      <c r="Q17" s="28"/>
    </row>
    <row r="18" spans="1:26">
      <c r="B18" s="11"/>
      <c r="H18" s="11"/>
      <c r="K18" s="28"/>
      <c r="Q18" s="28"/>
    </row>
    <row r="19" spans="1:26">
      <c r="B19" s="11"/>
      <c r="H19" s="11"/>
      <c r="K19" s="28"/>
      <c r="Q19" s="28"/>
    </row>
    <row r="20" spans="1:26">
      <c r="B20" s="11"/>
      <c r="H20" s="11"/>
      <c r="K20" s="28"/>
      <c r="Q20" s="28"/>
    </row>
    <row r="21" spans="1:26">
      <c r="B21" s="11"/>
      <c r="H21" s="11"/>
      <c r="K21" s="28"/>
      <c r="Q21" s="28"/>
    </row>
    <row r="22" spans="1:26">
      <c r="B22" s="11"/>
      <c r="H22" s="11"/>
      <c r="K22" s="28"/>
      <c r="Q22" s="28"/>
    </row>
    <row r="23" spans="1:26">
      <c r="B23" s="11"/>
      <c r="H23" s="11"/>
      <c r="K23" s="28"/>
      <c r="Q23" s="28"/>
    </row>
    <row r="24" spans="1:26">
      <c r="B24" s="11"/>
      <c r="H24" s="11"/>
      <c r="K24" s="28"/>
      <c r="Q24" s="28"/>
    </row>
    <row r="25" spans="1:26">
      <c r="B25" s="11"/>
      <c r="H25" s="11"/>
      <c r="K25" s="28"/>
      <c r="Q25" s="28"/>
    </row>
    <row r="26" spans="1:26">
      <c r="B26" s="11"/>
      <c r="H26" s="11"/>
      <c r="K26" s="28"/>
      <c r="Q26" s="28"/>
    </row>
    <row r="27" spans="1:26">
      <c r="B27" s="11"/>
      <c r="H27" s="11"/>
      <c r="K27" s="28"/>
      <c r="Q27" s="28"/>
    </row>
    <row r="28" spans="1:26">
      <c r="B28" s="11"/>
      <c r="H28" s="11"/>
      <c r="K28" s="28"/>
      <c r="Q28" s="28"/>
    </row>
    <row r="29" spans="1:26">
      <c r="B29" s="11"/>
      <c r="H29" s="11"/>
      <c r="K29" s="28"/>
      <c r="Q29" s="28"/>
    </row>
    <row r="30" spans="1:26">
      <c r="B30" s="11"/>
      <c r="H30" s="11"/>
      <c r="K30" s="28"/>
      <c r="Q30" s="28"/>
    </row>
    <row r="31" spans="1:26">
      <c r="B31" s="11"/>
      <c r="H31" s="11"/>
      <c r="K31" s="28"/>
      <c r="Q31" s="28"/>
    </row>
    <row r="32" spans="1:26">
      <c r="B32" s="11"/>
      <c r="H32" s="11"/>
      <c r="K32" s="28"/>
      <c r="Q32" s="28"/>
    </row>
    <row r="33" spans="1:26">
      <c r="B33" s="11"/>
      <c r="D33" s="10" t="s">
        <v>357</v>
      </c>
      <c r="H33" s="11"/>
      <c r="K33" s="28"/>
      <c r="M33" s="10" t="s">
        <v>358</v>
      </c>
      <c r="Q33" s="28"/>
    </row>
    <row r="34" spans="1:26">
      <c r="B34" s="11"/>
      <c r="D34" s="10" t="s">
        <v>458</v>
      </c>
      <c r="H34" s="11"/>
      <c r="K34" s="28"/>
      <c r="M34" s="10" t="s">
        <v>459</v>
      </c>
      <c r="Q34" s="28"/>
    </row>
    <row r="35" spans="1:26">
      <c r="B35" s="11"/>
      <c r="H35" s="11"/>
      <c r="K35" s="28"/>
      <c r="Q35" s="28"/>
    </row>
    <row r="36" spans="1:26">
      <c r="B36" s="11"/>
      <c r="D36" s="27" t="str">
        <f>CONCATENATE("En la ",D5," y ",D33," se puede observar que la variable ",E1001," en base a su dimensión ",E1002," es calificado como ",E1008," ya que el ",ROUND(D1006*100,0),"% de los resultados lo califican como ",D1005,", el ",ROUND(E1006*100,0),"% ",E1005," y el ",ROUND(F1006*100,0),"% lo califico como ",F1005," estos resultados son originados debido a que, ",D1011," ",E1011,",","asi mismo ",D1012," ",E1012,", también ",D1013," ",E1013,", así ",D1014," ",E1014,", también ",D1015," ",E1015,", también ",D1016," ",E1016,", sin embargo ",D1017," ",E1017,", no obstante ",D1018," ",E1018, ", ","asi mismo ",D1019," ",E1019,","," por todas estas razones, es que la variable ",E1001," basado en su dimensión ",E1002," y calificado por los ",E1003," es considerado como ",E1008,".")</f>
        <v>0</v>
      </c>
      <c r="E36" s="35"/>
      <c r="F36" s="35"/>
      <c r="G36" s="35"/>
      <c r="H36" s="36"/>
      <c r="I36" s="35"/>
      <c r="J36" s="35"/>
      <c r="K36" s="28"/>
      <c r="L36" s="35"/>
      <c r="M36" s="27" t="str">
        <f>CONCATENATE("En la ",M5," y ",M33," se puede observar que la variable ",N1001," tiene una calificación de ",N1008,","," ello debido a que el ",ROUND(N1006*100,0),"% de los resultados estan en las categorias de ",M1005," mientras que el ",ROUND(N1006*100,0),"% ",N1005," y el ",ROUND(O1006*100,0),"% ",O1005," en tal sentido se puede observar que la mayoria de los resultados es decir el ",ROUND(P1007*100,0),"% tiene una calificación inclinada para un valor ",N1008," estos resultados se originaron debido a que ",X1016,", finalmente dentro de las dimensiones evaluadas la que cuenta con mayor deficiencia es la dimensión ",L1076,)</f>
        <v>0</v>
      </c>
      <c r="N36" s="35"/>
      <c r="O36" s="35"/>
      <c r="P36" s="35"/>
      <c r="Q36" s="37"/>
      <c r="R36" s="35"/>
      <c r="S36" s="35"/>
      <c r="T36" s="35"/>
      <c r="U36" s="35"/>
    </row>
    <row r="37" spans="1:26">
      <c r="B37" s="11"/>
      <c r="H37" s="11"/>
      <c r="K37" s="28"/>
      <c r="Q37" s="28"/>
    </row>
    <row r="38" spans="1:26">
      <c r="B38" s="11"/>
      <c r="H38" s="11"/>
      <c r="K38" s="28"/>
      <c r="Q38" s="28"/>
    </row>
    <row r="39" spans="1:26">
      <c r="B39" s="11"/>
      <c r="H39" s="11"/>
      <c r="K39" s="28"/>
      <c r="Q39" s="28"/>
    </row>
    <row r="1001" spans="1:26">
      <c r="D1001" s="10" t="s">
        <v>333</v>
      </c>
      <c r="E1001" s="10" t="str">
        <f>(M6)</f>
        <v>0</v>
      </c>
      <c r="M1001" s="10" t="s">
        <v>333</v>
      </c>
      <c r="N1001" s="10" t="str">
        <f>(M6)</f>
        <v>0</v>
      </c>
    </row>
    <row r="1002" spans="1:26">
      <c r="D1002" s="10" t="s">
        <v>362</v>
      </c>
      <c r="E1002" s="10" t="str">
        <f>(D6)</f>
        <v>0</v>
      </c>
      <c r="M1002" s="10" t="s">
        <v>362</v>
      </c>
      <c r="N1002" s="10" t="str">
        <f>(M6)</f>
        <v>0</v>
      </c>
    </row>
    <row r="1003" spans="1:26">
      <c r="D1003" s="10" t="s">
        <v>454</v>
      </c>
      <c r="E1003" s="10" t="s">
        <v>363</v>
      </c>
      <c r="M1003" s="10" t="s">
        <v>454</v>
      </c>
      <c r="N1003" s="10" t="s">
        <v>363</v>
      </c>
    </row>
    <row r="1004" spans="1:26">
      <c r="C1004" s="10" t="s">
        <v>369</v>
      </c>
      <c r="D1004" s="10" t="s">
        <v>352</v>
      </c>
      <c r="E1004" s="10" t="s">
        <v>460</v>
      </c>
      <c r="F1004" s="10" t="s">
        <v>354</v>
      </c>
      <c r="L1004" s="10" t="s">
        <v>369</v>
      </c>
      <c r="M1004" s="10" t="s">
        <v>352</v>
      </c>
      <c r="N1004" s="10" t="s">
        <v>460</v>
      </c>
      <c r="O1004" s="10" t="s">
        <v>354</v>
      </c>
    </row>
    <row r="1005" spans="1:26">
      <c r="C1005" s="10" t="s">
        <v>347</v>
      </c>
      <c r="D1005" s="10" t="str">
        <f>CONCATENATE(D8," y ",D9)</f>
        <v>0</v>
      </c>
      <c r="E1005" s="10" t="str">
        <f>D10</f>
        <v>0</v>
      </c>
      <c r="F1005" s="10" t="str">
        <f>CONCATENATE(D11," y ",D12)</f>
        <v>0</v>
      </c>
      <c r="L1005" s="10" t="s">
        <v>347</v>
      </c>
      <c r="M1005" s="10" t="str">
        <f>CONCATENATE(M8," y ",M9)</f>
        <v>0</v>
      </c>
      <c r="N1005" s="10" t="str">
        <f>M10</f>
        <v>0</v>
      </c>
      <c r="O1005" s="10" t="str">
        <f>CONCATENATE(M11," y ",M12)</f>
        <v>0</v>
      </c>
    </row>
    <row r="1006" spans="1:26">
      <c r="D1006" s="14" t="str">
        <f>SUM(F8:F9)</f>
        <v>0</v>
      </c>
      <c r="E1006" s="14" t="str">
        <f>F10</f>
        <v>0</v>
      </c>
      <c r="F1006" s="14" t="str">
        <f>SUM(F11:F12)</f>
        <v>0</v>
      </c>
      <c r="M1006" s="14" t="str">
        <f>SUM(O8:O9)</f>
        <v>0</v>
      </c>
      <c r="N1006" s="14" t="str">
        <f>O10</f>
        <v>0</v>
      </c>
      <c r="O1006" s="14" t="str">
        <f>SUM(O11:O12)</f>
        <v>0</v>
      </c>
    </row>
    <row r="1007" spans="1:26">
      <c r="C1007" s="10" t="s">
        <v>455</v>
      </c>
      <c r="D1007" s="14" t="str">
        <f>SUM(D1006:E1006)</f>
        <v>0</v>
      </c>
      <c r="E1007" s="14" t="str">
        <f>SUM(E1006:F1006)</f>
        <v>0</v>
      </c>
      <c r="F1007" s="14" t="str">
        <f>(D1007-E1007)</f>
        <v>0</v>
      </c>
      <c r="L1007" s="10" t="s">
        <v>455</v>
      </c>
      <c r="M1007" s="14" t="str">
        <f>SUM(M1006:N1006)</f>
        <v>0</v>
      </c>
      <c r="N1007" s="14" t="str">
        <f>SUM(N1006:O1006)</f>
        <v>0</v>
      </c>
      <c r="O1007" s="14" t="str">
        <f>(M1007-N1007)</f>
        <v>0</v>
      </c>
      <c r="P1007" s="14" t="str">
        <f>MAX(M1007:N1007)</f>
        <v>0</v>
      </c>
    </row>
    <row r="1008" spans="1:26">
      <c r="D1008" s="10" t="s">
        <v>456</v>
      </c>
      <c r="E1008" t="str">
        <f>IF(AND(F1007&gt;=-5%,F1007&lt;=5%),E1004,IF(F1007&gt;=6%,D1004,IF(F1007&lt;=-5%,F1004,E1004)))</f>
        <v>0</v>
      </c>
      <c r="M1008" s="10" t="s">
        <v>456</v>
      </c>
      <c r="N1008" t="str">
        <f>IF(AND(O1007&gt;=-5%,O1007&lt;=5%),N1004,IF(O1007&gt;=6%,M1004,IF(O1007&lt;=-5%,O1004,N1004)))</f>
        <v>0</v>
      </c>
    </row>
    <row r="1011" spans="1:26">
      <c r="D1011" s="10" t="str">
        <f>'Por Valoracion (3) Dimension 2'!Q1016</f>
        <v>0</v>
      </c>
      <c r="E1011" s="10" t="str">
        <f>'Por Valoracion (3) Dimension 2'!I1016</f>
        <v>0</v>
      </c>
    </row>
    <row r="1012" spans="1:26">
      <c r="D1012" s="10" t="str">
        <f>'Por Valoracion (3) Dimension 2'!Q1017</f>
        <v>0</v>
      </c>
      <c r="E1012" s="10" t="str">
        <f>'Por Valoracion (3) Dimension 2'!I1017</f>
        <v>0</v>
      </c>
    </row>
    <row r="1013" spans="1:26">
      <c r="D1013" s="10" t="str">
        <f>'Por Valoracion (3) Dimension 2'!Q1018</f>
        <v>0</v>
      </c>
      <c r="E1013" s="10" t="str">
        <f>'Por Valoracion (3) Dimension 2'!I1018</f>
        <v>0</v>
      </c>
    </row>
    <row r="1014" spans="1:26">
      <c r="D1014" s="10" t="str">
        <f>'Por Valoracion (3) Dimension 2'!Q1019</f>
        <v>0</v>
      </c>
      <c r="E1014" s="10" t="str">
        <f>'Por Valoracion (3) Dimension 2'!I1019</f>
        <v>0</v>
      </c>
    </row>
    <row r="1015" spans="1:26">
      <c r="D1015" s="10" t="str">
        <f>'Por Valoracion (3) Dimension 2'!Q1020</f>
        <v>0</v>
      </c>
      <c r="E1015" s="10" t="str">
        <f>'Por Valoracion (3) Dimension 2'!I1020</f>
        <v>0</v>
      </c>
      <c r="L1015" s="10" t="s">
        <v>373</v>
      </c>
      <c r="M1015" s="10" t="str">
        <f>M1005</f>
        <v>0</v>
      </c>
      <c r="N1015" s="10" t="str">
        <f>N1005</f>
        <v>0</v>
      </c>
      <c r="O1015" s="10" t="str">
        <f>O1005</f>
        <v>0</v>
      </c>
      <c r="P1015" s="10" t="s">
        <v>457</v>
      </c>
      <c r="Q1015" s="10" t="s">
        <v>374</v>
      </c>
      <c r="R1015" s="10" t="s">
        <v>375</v>
      </c>
      <c r="S1015" s="10" t="s">
        <v>376</v>
      </c>
      <c r="T1015" s="10" t="s">
        <v>377</v>
      </c>
      <c r="U1015" s="10" t="s">
        <v>378</v>
      </c>
      <c r="V1015" s="10" t="s">
        <v>379</v>
      </c>
      <c r="W1015" s="10" t="s">
        <v>380</v>
      </c>
      <c r="X1015" s="10" t="s">
        <v>372</v>
      </c>
      <c r="Y1015" s="10"/>
      <c r="Z1015" s="10"/>
    </row>
    <row r="1016" spans="1:26">
      <c r="D1016" s="10" t="str">
        <f>'Por Valoracion (3) Dimension 2'!Q1021</f>
        <v>0</v>
      </c>
      <c r="E1016" s="10" t="str">
        <f>'Por Valoracion (3) Dimension 2'!I1021</f>
        <v>0</v>
      </c>
      <c r="L1016" s="10" t="str">
        <f>(D6)</f>
        <v>0</v>
      </c>
      <c r="M1016" s="14" t="str">
        <f>(D1006)</f>
        <v>0</v>
      </c>
      <c r="N1016" s="14" t="str">
        <f>(E1006)</f>
        <v>0</v>
      </c>
      <c r="O1016" s="14" t="str">
        <f>(F1006)</f>
        <v>0</v>
      </c>
      <c r="P1016" s="14" t="str">
        <f>MAX(M1016:O1016)</f>
        <v>0</v>
      </c>
      <c r="Q1016" s="10" t="str">
        <f>IF(P1016=M1016,$M$1015,IF(P1016=N1016,$N$1015,IF(P1016=O1016,$O$1015,"algo esta mal")))</f>
        <v>0</v>
      </c>
      <c r="R1016" s="10" t="str">
        <f> RANDBETWEEN(1,10)</f>
        <v>0</v>
      </c>
      <c r="S1016" s="10" t="str">
        <f>IF(R1016='Por Valoracion (3) Dimension 2'!$AB$1100,'Por Valoracion (3) Dimension 2'!$AC$1100,IF(R1016='Por Valoracion (3) Dimension 2'!$AB$1101,'Por Valoracion (3) Dimension 2'!$AC$1101,IF(R1016='Por Valoracion (3) Dimension 2'!$AB$1102,'Por Valoracion (3) Dimension 2'!$AC$1102,IF(R1016='Por Valoracion (3) Dimension 2'!$AB$1103,'Por Valoracion (3) Dimension 2'!$AC$1103,IF(R1016='Por Valoracion (3) Dimension 2'!$AB$1104,'Por Valoracion (3) Dimension 2'!$AC$1104,IF(R1016='Por Valoracion (3) Dimension 2'!$AB$1105,'Por Valoracion (3) Dimension 2'!$AC$1105,IF(R1016='Por Valoracion (3) Dimension 2'!$AB$1106,'Por Valoracion (3) Dimension 2'!$AC$1106,IF(R1016='Por Valoracion (3) Dimension 2'!$AB$1107,'Por Valoracion (3) Dimension 2'!$AC$1107,IF(R1016='Por Valoracion (3) Dimension 2'!$AB$1108,'Por Valoracion (3) Dimension 2'!$AC$1108,IF(R1016='Por Valoracion (3) Dimension 2'!$AB$1109,'Por Valoracion (3) Dimension 2'!$AC$1109, A4000))))))))))</f>
        <v>0</v>
      </c>
      <c r="T1016" s="10" t="str">
        <f> RANDBETWEEN(1,7)</f>
        <v>0</v>
      </c>
      <c r="U1016" s="10" t="str">
        <f>IF(T1016='Por Valoracion (3) Dimension 2'!$AB$1110,'Por Valoracion (3) Dimension 2'!$AC$1110,IF(T1016='Por Valoracion (3) Dimension 2'!$AB$1111,'Por Valoracion (3) Dimension 2'!$AC$1111,IF(T1016='Por Valoracion (3) Dimension 2'!$AB$1112,'Por Valoracion (3) Dimension 2'!$AC$1112,IF(T1016='Por Valoracion (3) Dimension 2'!$AB$1113,'Por Valoracion (3) Dimension 2'!$AC$1113,IF(T1016='Por Valoracion (3) Dimension 2'!$AB$1114,'Por Valoracion (3) Dimension 2'!$AC$1114,IF(T1016='Por Valoracion (3) Dimension 2'!$AB$1115,'Por Valoracion (3) Dimension 2'!$AC$1115,IF(T1016='Por Valoracion (3) Dimension 2'!$AB$1116,'Por Valoracion (3) Dimension 2'!$AC$1116,IF(T1016='Por Valoracion (3) Dimension 2'!$AB$1117,'Por Valoracion (3) Dimension 2'!$AC$1117,IF(T1016='Por Valoracion (3) Dimension 2'!$AB$1118,'Por Valoracion (3) Dimension 2'!$AC$1118,IF(T1016='Por Valoracion (3) Dimension 2'!$AB$1119,'Por Valoracion (3) Dimension 2'!$AC$1119, A4000))))))))))</f>
        <v>0</v>
      </c>
      <c r="V1016" s="10" t="str">
        <f> RANDBETWEEN(1,2)</f>
        <v>0</v>
      </c>
      <c r="W1016" s="10" t="str">
        <f>IF(V1016='Por Valoracion (3) Dimension 2'!$AB$1120,'Por Valoracion (3) Dimension 2'!$AC$1120,IF(V1016='Por Valoracion (3) Dimension 2'!$AB$1121,'Por Valoracion (3) Dimension 2'!$AC$1121,A4000))</f>
        <v>0</v>
      </c>
      <c r="X1016" s="10" t="str">
        <f>CONCATENATE("el ",ROUND(P1016*100,0),"% de los ",W1016," ",S1016," a la dimensión ",L1016," como ",Q1016)</f>
        <v>0</v>
      </c>
    </row>
    <row r="1017" spans="1:26">
      <c r="D1017" s="10" t="str">
        <f>'Por Valoracion (3) Dimension 2'!Q1022</f>
        <v>0</v>
      </c>
      <c r="E1017" s="10" t="str">
        <f>'Por Valoracion (3) Dimension 2'!I1022</f>
        <v>0</v>
      </c>
    </row>
    <row r="1018" spans="1:26">
      <c r="D1018" s="10" t="str">
        <f>'Por Valoracion (3) Dimension 2'!Q1023</f>
        <v>0</v>
      </c>
      <c r="E1018" s="10" t="str">
        <f>'Por Valoracion (3) Dimension 2'!I1023</f>
        <v>0</v>
      </c>
    </row>
    <row r="1019" spans="1:26">
      <c r="D1019" s="10" t="str">
        <f>'Por Valoracion (3) Dimension 2'!Q1024</f>
        <v>0</v>
      </c>
      <c r="E1019" s="10" t="str">
        <f>'Por Valoracion (3) Dimension 2'!I1024</f>
        <v>0</v>
      </c>
    </row>
    <row r="1076" spans="1:26">
      <c r="L1076" s="10" t="str">
        <f>IF(M1076=M1016,L1016)</f>
        <v>0</v>
      </c>
      <c r="M1076" s="14" t="str">
        <f>MAX(M1016:M1016)</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6:F47"/>
    <mergeCell ref="M4:O4"/>
    <mergeCell ref="M36:O4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CB303"/>
  <sheetViews>
    <sheetView tabSelected="0" workbookViewId="0" showGridLines="true" showRowColHeaders="1">
      <selection activeCell="BZ12" sqref="BZ12"/>
    </sheetView>
  </sheetViews>
  <sheetFormatPr defaultRowHeight="14.4" outlineLevelRow="0" outlineLevelCol="0"/>
  <cols>
    <col min="3" max="3" width="20" customWidth="true" style="0"/>
    <col min="4" max="4" width="12" customWidth="true" style="0"/>
    <col min="5" max="5" width="12" customWidth="true" style="0"/>
    <col min="7" max="7" width="2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 min="15" max="15" width="23" customWidth="true" style="0"/>
    <col min="16" max="16" width="15" customWidth="true" style="0"/>
    <col min="17" max="17" width="20" customWidth="true" style="0"/>
    <col min="18" max="18" width="20" customWidth="true" style="0"/>
    <col min="20" max="20" width="22" customWidth="true" style="0"/>
    <col min="21" max="21" width="22" customWidth="true" style="0"/>
    <col min="22" max="22" width="15" customWidth="true" style="0"/>
    <col min="23" max="23" width="20" customWidth="true" style="0"/>
    <col min="30" max="30" width="20" customWidth="true" style="0"/>
    <col min="31" max="31" width="12" customWidth="true" style="0"/>
    <col min="32" max="32" width="12" customWidth="true" style="0"/>
    <col min="34" max="34" width="20" customWidth="true" style="0"/>
    <col min="35" max="35" width="10" customWidth="true" style="0"/>
    <col min="36" max="36" width="10" customWidth="true" style="0"/>
    <col min="37" max="37" width="10" customWidth="true" style="0"/>
    <col min="38" max="38" width="10" customWidth="true" style="0"/>
    <col min="39" max="39" width="10" customWidth="true" style="0"/>
    <col min="40" max="40" width="10" customWidth="true" style="0"/>
    <col min="42" max="42" width="23" customWidth="true" style="0"/>
    <col min="43" max="43" width="15" customWidth="true" style="0"/>
    <col min="44" max="44" width="20" customWidth="true" style="0"/>
    <col min="45" max="45" width="20" customWidth="true" style="0"/>
    <col min="47" max="47" width="22" customWidth="true" style="0"/>
    <col min="48" max="48" width="22" customWidth="true" style="0"/>
    <col min="49" max="49" width="15" customWidth="true" style="0"/>
    <col min="50" max="50" width="20" customWidth="true" style="0"/>
    <col min="57" max="57" width="20" customWidth="true" style="0"/>
    <col min="58" max="58" width="12" customWidth="true" style="0"/>
    <col min="59" max="59" width="12" customWidth="true" style="0"/>
    <col min="61" max="61" width="20" customWidth="true" style="0"/>
    <col min="62" max="62" width="10" customWidth="true" style="0"/>
    <col min="63" max="63" width="10" customWidth="true" style="0"/>
    <col min="64" max="64" width="10" customWidth="true" style="0"/>
    <col min="65" max="65" width="10" customWidth="true" style="0"/>
    <col min="66" max="66" width="10" customWidth="true" style="0"/>
    <col min="67" max="67" width="10" customWidth="true" style="0"/>
    <col min="69" max="69" width="23" customWidth="true" style="0"/>
    <col min="70" max="70" width="15" customWidth="true" style="0"/>
    <col min="71" max="71" width="20" customWidth="true" style="0"/>
    <col min="72" max="72" width="20" customWidth="true" style="0"/>
    <col min="74" max="74" width="22" customWidth="true" style="0"/>
    <col min="75" max="75" width="22" customWidth="true" style="0"/>
    <col min="76" max="76" width="15" customWidth="true" style="0"/>
    <col min="77" max="77" width="20" customWidth="true" style="0"/>
  </cols>
  <sheetData>
    <row r="1" spans="1:80">
      <c r="A1" s="38"/>
      <c r="B1" s="38"/>
      <c r="C1" s="38"/>
      <c r="D1" s="38"/>
      <c r="E1" s="38"/>
      <c r="F1" s="38"/>
      <c r="G1" s="38"/>
      <c r="H1" s="38"/>
      <c r="I1" s="38"/>
      <c r="J1" s="38"/>
      <c r="K1" s="38"/>
      <c r="L1" s="38"/>
      <c r="M1" s="38"/>
      <c r="N1" s="38"/>
      <c r="O1" s="38"/>
      <c r="P1" s="38"/>
      <c r="Q1" s="38"/>
      <c r="R1" s="38"/>
      <c r="S1" s="38"/>
      <c r="T1" s="38"/>
      <c r="U1" s="38"/>
      <c r="V1" s="38"/>
      <c r="W1" s="38"/>
      <c r="X1" s="38"/>
      <c r="Y1" s="38"/>
      <c r="Z1" s="38"/>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row>
    <row r="2" spans="1:80">
      <c r="A2" s="38"/>
      <c r="D2" s="40" t="s">
        <v>461</v>
      </c>
      <c r="E2" s="40" t="s">
        <v>462</v>
      </c>
      <c r="Z2" s="38"/>
      <c r="AB2" s="46"/>
      <c r="AE2" s="40" t="s">
        <v>463</v>
      </c>
      <c r="AF2" s="40" t="s">
        <v>462</v>
      </c>
      <c r="BA2" s="46"/>
      <c r="BC2" s="47"/>
      <c r="BF2" s="40" t="s">
        <v>464</v>
      </c>
      <c r="BG2" s="40" t="s">
        <v>462</v>
      </c>
      <c r="CB2" s="47"/>
    </row>
    <row r="3" spans="1:80">
      <c r="A3" s="38"/>
      <c r="D3" s="40" t="str">
        <f>'Por Valoracion (3) Dimension'!B2</f>
        <v>0</v>
      </c>
      <c r="E3" s="40" t="str">
        <f>'Por Valoracion (3) Dimension 2'!B2</f>
        <v>0</v>
      </c>
      <c r="Z3" s="38"/>
      <c r="AB3" s="46"/>
      <c r="AE3" s="40" t="str">
        <f>'Por Valoracion (3) Dimension'!D2</f>
        <v>0</v>
      </c>
      <c r="AF3" s="40" t="str">
        <f>'Por Valoracion (3) Dimension 2'!B2</f>
        <v>0</v>
      </c>
      <c r="BA3" s="46"/>
      <c r="BC3" s="47"/>
      <c r="BF3" s="40" t="str">
        <f>'Por Valoracion (3) Dimension'!F2</f>
        <v>0</v>
      </c>
      <c r="BG3" s="40" t="str">
        <f>'Por Valoracion (3) Dimension 2'!B2</f>
        <v>0</v>
      </c>
      <c r="CB3" s="47"/>
    </row>
    <row r="4" spans="1:80">
      <c r="A4" s="38"/>
      <c r="C4" t="str">
        <f>('Gestión de abastecimiento'!A5)</f>
        <v>0</v>
      </c>
      <c r="D4" s="39" t="str">
        <f>'Por Valoracion (3) Dimension'!B4</f>
        <v>0</v>
      </c>
      <c r="E4" s="39" t="str">
        <f>'Por Valoracion (3) Dimension 2'!B4</f>
        <v>0</v>
      </c>
      <c r="G4" s="10" t="s">
        <v>343</v>
      </c>
      <c r="Z4" s="38"/>
      <c r="AB4" s="46"/>
      <c r="AD4" t="str">
        <f>('Gestión de abastecimiento'!A5)</f>
        <v>0</v>
      </c>
      <c r="AE4" s="39" t="str">
        <f>'Por Valoracion (3) Dimension'!D4</f>
        <v>0</v>
      </c>
      <c r="AF4" s="39" t="str">
        <f>'Por Valoracion (3) Dimension 2'!B4</f>
        <v>0</v>
      </c>
      <c r="AH4" s="10" t="s">
        <v>344</v>
      </c>
      <c r="BA4" s="46"/>
      <c r="BC4" s="47"/>
      <c r="BE4" t="str">
        <f>('Gestión de abastecimiento'!A5)</f>
        <v>0</v>
      </c>
      <c r="BF4" s="39" t="str">
        <f>'Por Valoracion (3) Dimension'!F4</f>
        <v>0</v>
      </c>
      <c r="BG4" s="39" t="str">
        <f>'Por Valoracion (3) Dimension 2'!B4</f>
        <v>0</v>
      </c>
      <c r="BI4" s="10" t="s">
        <v>345</v>
      </c>
      <c r="CB4" s="47"/>
    </row>
    <row r="5" spans="1:80">
      <c r="A5" s="38"/>
      <c r="C5" t="str">
        <f>('Gestión de abastecimiento'!A6)</f>
        <v>0</v>
      </c>
      <c r="D5" s="39" t="str">
        <f>'Por Valoracion (3) Dimension'!B5</f>
        <v>0</v>
      </c>
      <c r="E5" s="39" t="str">
        <f>'Por Valoracion (3) Dimension 2'!B5</f>
        <v>0</v>
      </c>
      <c r="G5" s="42" t="s">
        <v>465</v>
      </c>
      <c r="H5" s="12"/>
      <c r="I5" s="12"/>
      <c r="J5" s="12"/>
      <c r="K5" s="12"/>
      <c r="L5" s="12"/>
      <c r="M5" s="12"/>
      <c r="Z5" s="38"/>
      <c r="AB5" s="46"/>
      <c r="AD5" t="str">
        <f>('Gestión de abastecimiento'!A6)</f>
        <v>0</v>
      </c>
      <c r="AE5" s="39" t="str">
        <f>'Por Valoracion (3) Dimension'!D5</f>
        <v>0</v>
      </c>
      <c r="AF5" s="39" t="str">
        <f>'Por Valoracion (3) Dimension 2'!B5</f>
        <v>0</v>
      </c>
      <c r="AH5" s="42" t="s">
        <v>465</v>
      </c>
      <c r="AI5" s="12"/>
      <c r="AJ5" s="12"/>
      <c r="AK5" s="12"/>
      <c r="AL5" s="12"/>
      <c r="AM5" s="12"/>
      <c r="AN5" s="12"/>
      <c r="BA5" s="46"/>
      <c r="BC5" s="47"/>
      <c r="BE5" t="str">
        <f>('Gestión de abastecimiento'!A6)</f>
        <v>0</v>
      </c>
      <c r="BF5" s="39" t="str">
        <f>'Por Valoracion (3) Dimension'!F5</f>
        <v>0</v>
      </c>
      <c r="BG5" s="39" t="str">
        <f>'Por Valoracion (3) Dimension 2'!B5</f>
        <v>0</v>
      </c>
      <c r="BI5" s="42" t="s">
        <v>465</v>
      </c>
      <c r="BJ5" s="12"/>
      <c r="BK5" s="12"/>
      <c r="BL5" s="12"/>
      <c r="BM5" s="12"/>
      <c r="BN5" s="12"/>
      <c r="BO5" s="12"/>
      <c r="CB5" s="47"/>
    </row>
    <row r="6" spans="1:80">
      <c r="A6" s="38"/>
      <c r="C6" t="str">
        <f>('Gestión de abastecimiento'!A7)</f>
        <v>0</v>
      </c>
      <c r="D6" s="39" t="str">
        <f>'Por Valoracion (3) Dimension'!B6</f>
        <v>0</v>
      </c>
      <c r="E6" s="39" t="str">
        <f>'Por Valoracion (3) Dimension 2'!B6</f>
        <v>0</v>
      </c>
      <c r="G6"/>
      <c r="H6" s="41" t="s">
        <v>466</v>
      </c>
      <c r="K6" s="41" t="s">
        <v>467</v>
      </c>
      <c r="Z6" s="38"/>
      <c r="AB6" s="46"/>
      <c r="AD6" t="str">
        <f>('Gestión de abastecimiento'!A7)</f>
        <v>0</v>
      </c>
      <c r="AE6" s="39" t="str">
        <f>'Por Valoracion (3) Dimension'!D6</f>
        <v>0</v>
      </c>
      <c r="AF6" s="39" t="str">
        <f>'Por Valoracion (3) Dimension 2'!B6</f>
        <v>0</v>
      </c>
      <c r="AH6"/>
      <c r="AI6" s="41" t="s">
        <v>466</v>
      </c>
      <c r="AL6" s="41" t="s">
        <v>467</v>
      </c>
      <c r="BA6" s="46"/>
      <c r="BC6" s="47"/>
      <c r="BE6" t="str">
        <f>('Gestión de abastecimiento'!A7)</f>
        <v>0</v>
      </c>
      <c r="BF6" s="39" t="str">
        <f>'Por Valoracion (3) Dimension'!F6</f>
        <v>0</v>
      </c>
      <c r="BG6" s="39" t="str">
        <f>'Por Valoracion (3) Dimension 2'!B6</f>
        <v>0</v>
      </c>
      <c r="BI6"/>
      <c r="BJ6" s="41" t="s">
        <v>466</v>
      </c>
      <c r="BM6" s="41" t="s">
        <v>467</v>
      </c>
      <c r="CB6" s="47"/>
    </row>
    <row r="7" spans="1:80">
      <c r="A7" s="38"/>
      <c r="C7" t="str">
        <f>('Gestión de abastecimiento'!A8)</f>
        <v>0</v>
      </c>
      <c r="D7" s="39" t="str">
        <f>'Por Valoracion (3) Dimension'!B7</f>
        <v>0</v>
      </c>
      <c r="E7" s="39" t="str">
        <f>'Por Valoracion (3) Dimension 2'!B7</f>
        <v>0</v>
      </c>
      <c r="G7" s="12"/>
      <c r="H7" s="43" t="s">
        <v>468</v>
      </c>
      <c r="I7" s="43" t="s">
        <v>469</v>
      </c>
      <c r="J7" s="43" t="s">
        <v>470</v>
      </c>
      <c r="K7" s="43" t="s">
        <v>468</v>
      </c>
      <c r="L7" s="45" t="s">
        <v>469</v>
      </c>
      <c r="M7" s="43" t="s">
        <v>470</v>
      </c>
      <c r="Z7" s="38"/>
      <c r="AB7" s="46"/>
      <c r="AD7" t="str">
        <f>('Gestión de abastecimiento'!A8)</f>
        <v>0</v>
      </c>
      <c r="AE7" s="39" t="str">
        <f>'Por Valoracion (3) Dimension'!D7</f>
        <v>0</v>
      </c>
      <c r="AF7" s="39" t="str">
        <f>'Por Valoracion (3) Dimension 2'!B7</f>
        <v>0</v>
      </c>
      <c r="AH7" s="12"/>
      <c r="AI7" s="43" t="s">
        <v>468</v>
      </c>
      <c r="AJ7" s="43" t="s">
        <v>469</v>
      </c>
      <c r="AK7" s="43" t="s">
        <v>470</v>
      </c>
      <c r="AL7" s="43" t="s">
        <v>468</v>
      </c>
      <c r="AM7" s="45" t="s">
        <v>469</v>
      </c>
      <c r="AN7" s="43" t="s">
        <v>470</v>
      </c>
      <c r="BA7" s="46"/>
      <c r="BC7" s="47"/>
      <c r="BE7" t="str">
        <f>('Gestión de abastecimiento'!A8)</f>
        <v>0</v>
      </c>
      <c r="BF7" s="39" t="str">
        <f>'Por Valoracion (3) Dimension'!F7</f>
        <v>0</v>
      </c>
      <c r="BG7" s="39" t="str">
        <f>'Por Valoracion (3) Dimension 2'!B7</f>
        <v>0</v>
      </c>
      <c r="BI7" s="12"/>
      <c r="BJ7" s="43" t="s">
        <v>468</v>
      </c>
      <c r="BK7" s="43" t="s">
        <v>469</v>
      </c>
      <c r="BL7" s="43" t="s">
        <v>470</v>
      </c>
      <c r="BM7" s="43" t="s">
        <v>468</v>
      </c>
      <c r="BN7" s="45" t="s">
        <v>469</v>
      </c>
      <c r="BO7" s="43" t="s">
        <v>470</v>
      </c>
      <c r="CB7" s="47"/>
    </row>
    <row r="8" spans="1:80">
      <c r="A8" s="38"/>
      <c r="C8" t="str">
        <f>('Gestión de abastecimiento'!A9)</f>
        <v>0</v>
      </c>
      <c r="D8" s="39" t="str">
        <f>'Por Valoracion (3) Dimension'!B8</f>
        <v>0</v>
      </c>
      <c r="E8" s="39" t="str">
        <f>'Por Valoracion (3) Dimension 2'!B8</f>
        <v>0</v>
      </c>
      <c r="G8" s="41" t="str">
        <f>D3</f>
        <v>0</v>
      </c>
      <c r="H8" s="44"/>
      <c r="I8" s="44"/>
      <c r="J8" s="44"/>
      <c r="K8" s="44"/>
      <c r="L8" s="44"/>
      <c r="M8" s="44"/>
      <c r="Z8" s="38"/>
      <c r="AB8" s="46"/>
      <c r="AD8" t="str">
        <f>('Gestión de abastecimiento'!A9)</f>
        <v>0</v>
      </c>
      <c r="AE8" s="39" t="str">
        <f>'Por Valoracion (3) Dimension'!D8</f>
        <v>0</v>
      </c>
      <c r="AF8" s="39" t="str">
        <f>'Por Valoracion (3) Dimension 2'!B8</f>
        <v>0</v>
      </c>
      <c r="AH8" s="41" t="str">
        <f>AE3</f>
        <v>0</v>
      </c>
      <c r="AI8" s="44"/>
      <c r="AJ8" s="44"/>
      <c r="AK8" s="44"/>
      <c r="AL8" s="44"/>
      <c r="AM8" s="44"/>
      <c r="AN8" s="44"/>
      <c r="BA8" s="46"/>
      <c r="BC8" s="47"/>
      <c r="BE8" t="str">
        <f>('Gestión de abastecimiento'!A9)</f>
        <v>0</v>
      </c>
      <c r="BF8" s="39" t="str">
        <f>'Por Valoracion (3) Dimension'!F8</f>
        <v>0</v>
      </c>
      <c r="BG8" s="39" t="str">
        <f>'Por Valoracion (3) Dimension 2'!B8</f>
        <v>0</v>
      </c>
      <c r="BI8" s="41" t="str">
        <f>BF3</f>
        <v>0</v>
      </c>
      <c r="BJ8" s="44"/>
      <c r="BK8" s="44"/>
      <c r="BL8" s="44"/>
      <c r="BM8" s="44"/>
      <c r="BN8" s="44"/>
      <c r="BO8" s="44"/>
      <c r="CB8" s="47"/>
    </row>
    <row r="9" spans="1:80">
      <c r="A9" s="38"/>
      <c r="C9" t="str">
        <f>('Gestión de abastecimiento'!A10)</f>
        <v>0</v>
      </c>
      <c r="D9" s="39" t="str">
        <f>'Por Valoracion (3) Dimension'!B9</f>
        <v>0</v>
      </c>
      <c r="E9" s="39" t="str">
        <f>'Por Valoracion (3) Dimension 2'!B9</f>
        <v>0</v>
      </c>
      <c r="G9" s="42" t="str">
        <f>E3</f>
        <v>0</v>
      </c>
      <c r="H9" s="12"/>
      <c r="I9" s="12"/>
      <c r="J9" s="12"/>
      <c r="K9" s="12"/>
      <c r="L9" s="12"/>
      <c r="M9" s="12"/>
      <c r="Z9" s="38"/>
      <c r="AB9" s="46"/>
      <c r="AD9" t="str">
        <f>('Gestión de abastecimiento'!A10)</f>
        <v>0</v>
      </c>
      <c r="AE9" s="39" t="str">
        <f>'Por Valoracion (3) Dimension'!D9</f>
        <v>0</v>
      </c>
      <c r="AF9" s="39" t="str">
        <f>'Por Valoracion (3) Dimension 2'!B9</f>
        <v>0</v>
      </c>
      <c r="AH9" s="42" t="str">
        <f>AF3</f>
        <v>0</v>
      </c>
      <c r="AI9" s="43" t="str">
        <f>H9</f>
        <v>0</v>
      </c>
      <c r="AJ9" s="45" t="str">
        <f>I9</f>
        <v>0</v>
      </c>
      <c r="AK9" s="43" t="str">
        <f>J9</f>
        <v>0</v>
      </c>
      <c r="AL9" s="43" t="str">
        <f>K9</f>
        <v>0</v>
      </c>
      <c r="AM9" s="43" t="str">
        <f>L9</f>
        <v>0</v>
      </c>
      <c r="AN9" s="45" t="str">
        <f>M9</f>
        <v>0</v>
      </c>
      <c r="BA9" s="46"/>
      <c r="BC9" s="47"/>
      <c r="BE9" t="str">
        <f>('Gestión de abastecimiento'!A10)</f>
        <v>0</v>
      </c>
      <c r="BF9" s="39" t="str">
        <f>'Por Valoracion (3) Dimension'!F9</f>
        <v>0</v>
      </c>
      <c r="BG9" s="39" t="str">
        <f>'Por Valoracion (3) Dimension 2'!B9</f>
        <v>0</v>
      </c>
      <c r="BI9" s="42" t="str">
        <f>BG3</f>
        <v>0</v>
      </c>
      <c r="BJ9" s="43" t="str">
        <f>H9</f>
        <v>0</v>
      </c>
      <c r="BK9" s="45" t="str">
        <f>I9</f>
        <v>0</v>
      </c>
      <c r="BL9" s="43" t="str">
        <f>J9</f>
        <v>0</v>
      </c>
      <c r="BM9" s="43" t="str">
        <f>K9</f>
        <v>0</v>
      </c>
      <c r="BN9" s="43" t="str">
        <f>L9</f>
        <v>0</v>
      </c>
      <c r="BO9" s="45" t="str">
        <f>M9</f>
        <v>0</v>
      </c>
      <c r="CB9" s="47"/>
    </row>
    <row r="10" spans="1:80">
      <c r="A10" s="38"/>
      <c r="C10" t="str">
        <f>('Gestión de abastecimiento'!A11)</f>
        <v>0</v>
      </c>
      <c r="D10" s="39" t="str">
        <f>'Por Valoracion (3) Dimension'!B10</f>
        <v>0</v>
      </c>
      <c r="E10" s="39" t="str">
        <f>'Por Valoracion (3) Dimension 2'!B10</f>
        <v>0</v>
      </c>
      <c r="G10" s="41" t="s">
        <v>471</v>
      </c>
      <c r="O10" s="10" t="s">
        <v>343</v>
      </c>
      <c r="T10" s="10" t="s">
        <v>343</v>
      </c>
      <c r="Z10" s="38"/>
      <c r="AB10" s="46"/>
      <c r="AD10" t="str">
        <f>('Gestión de abastecimiento'!A11)</f>
        <v>0</v>
      </c>
      <c r="AE10" s="39" t="str">
        <f>'Por Valoracion (3) Dimension'!D10</f>
        <v>0</v>
      </c>
      <c r="AF10" s="39" t="str">
        <f>'Por Valoracion (3) Dimension 2'!B10</f>
        <v>0</v>
      </c>
      <c r="AH10" s="41" t="s">
        <v>471</v>
      </c>
      <c r="AP10" s="10" t="s">
        <v>344</v>
      </c>
      <c r="AU10" s="10" t="s">
        <v>344</v>
      </c>
      <c r="BA10" s="46"/>
      <c r="BC10" s="47"/>
      <c r="BE10" t="str">
        <f>('Gestión de abastecimiento'!A11)</f>
        <v>0</v>
      </c>
      <c r="BF10" s="39" t="str">
        <f>'Por Valoracion (3) Dimension'!F10</f>
        <v>0</v>
      </c>
      <c r="BG10" s="39" t="str">
        <f>'Por Valoracion (3) Dimension 2'!B10</f>
        <v>0</v>
      </c>
      <c r="BI10" s="41" t="s">
        <v>471</v>
      </c>
      <c r="BQ10" s="10" t="s">
        <v>345</v>
      </c>
      <c r="BV10" s="10" t="s">
        <v>345</v>
      </c>
      <c r="CB10" s="47"/>
    </row>
    <row r="11" spans="1:80">
      <c r="A11" s="38"/>
      <c r="C11" t="str">
        <f>('Gestión de abastecimiento'!A12)</f>
        <v>0</v>
      </c>
      <c r="D11" s="39" t="str">
        <f>'Por Valoracion (3) Dimension'!B11</f>
        <v>0</v>
      </c>
      <c r="E11" s="39" t="str">
        <f>'Por Valoracion (3) Dimension 2'!B11</f>
        <v>0</v>
      </c>
      <c r="O11" s="42" t="s">
        <v>472</v>
      </c>
      <c r="P11" s="12"/>
      <c r="Q11" s="12"/>
      <c r="R11" s="12"/>
      <c r="T11" s="42" t="s">
        <v>472</v>
      </c>
      <c r="U11" s="12"/>
      <c r="V11" s="12"/>
      <c r="W11" s="12"/>
      <c r="X11" s="12"/>
      <c r="Z11" s="38"/>
      <c r="AB11" s="46"/>
      <c r="AD11" t="str">
        <f>('Gestión de abastecimiento'!A12)</f>
        <v>0</v>
      </c>
      <c r="AE11" s="39" t="str">
        <f>'Por Valoracion (3) Dimension'!D11</f>
        <v>0</v>
      </c>
      <c r="AF11" s="39" t="str">
        <f>'Por Valoracion (3) Dimension 2'!B11</f>
        <v>0</v>
      </c>
      <c r="AP11" s="42" t="s">
        <v>472</v>
      </c>
      <c r="AQ11" s="12"/>
      <c r="AR11" s="12"/>
      <c r="AS11" s="12"/>
      <c r="AU11" s="42" t="s">
        <v>472</v>
      </c>
      <c r="AV11" s="12"/>
      <c r="AW11" s="12"/>
      <c r="AX11" s="12"/>
      <c r="AY11" s="12"/>
      <c r="BA11" s="46"/>
      <c r="BC11" s="47"/>
      <c r="BE11" t="str">
        <f>('Gestión de abastecimiento'!A12)</f>
        <v>0</v>
      </c>
      <c r="BF11" s="39" t="str">
        <f>'Por Valoracion (3) Dimension'!F11</f>
        <v>0</v>
      </c>
      <c r="BG11" s="39" t="str">
        <f>'Por Valoracion (3) Dimension 2'!B11</f>
        <v>0</v>
      </c>
      <c r="BQ11" s="42" t="s">
        <v>472</v>
      </c>
      <c r="BR11" s="12"/>
      <c r="BS11" s="12"/>
      <c r="BT11" s="12"/>
      <c r="BV11" s="42" t="s">
        <v>472</v>
      </c>
      <c r="BW11" s="12"/>
      <c r="BX11" s="12"/>
      <c r="BY11" s="12"/>
      <c r="BZ11" s="12"/>
      <c r="CB11" s="47"/>
    </row>
    <row r="12" spans="1:80">
      <c r="A12" s="38"/>
      <c r="C12" t="str">
        <f>('Gestión de abastecimiento'!A13)</f>
        <v>0</v>
      </c>
      <c r="D12" s="39" t="str">
        <f>'Por Valoracion (3) Dimension'!B12</f>
        <v>0</v>
      </c>
      <c r="E12" s="39" t="str">
        <f>'Por Valoracion (3) Dimension 2'!B12</f>
        <v>0</v>
      </c>
      <c r="G12" s="27" t="str">
        <f>CONCATENATE("en la ",G4," y basándose en la prueba de ",F298," se puede observar que, ","con una probabilidad de error de ",D299,"% para la ",D297," ",D298," y ",E299,"% para la ",E297," ",E298,", ",G298,H298, " por tal motivo se procederá a utilizar ",I298,".")</f>
        <v>0</v>
      </c>
      <c r="O12" s="12"/>
      <c r="P12" s="12"/>
      <c r="Q12" s="42" t="str">
        <f>D3</f>
        <v>0</v>
      </c>
      <c r="R12" s="42" t="str">
        <f>E3</f>
        <v>0</v>
      </c>
      <c r="T12" s="12"/>
      <c r="U12" s="12"/>
      <c r="V12" s="12"/>
      <c r="W12" s="42" t="str">
        <f>D3</f>
        <v>0</v>
      </c>
      <c r="X12" s="42" t="str">
        <f>E3</f>
        <v>0</v>
      </c>
      <c r="Z12" s="38"/>
      <c r="AB12" s="46"/>
      <c r="AD12" t="str">
        <f>('Gestión de abastecimiento'!A13)</f>
        <v>0</v>
      </c>
      <c r="AE12" s="39" t="str">
        <f>'Por Valoracion (3) Dimension'!D12</f>
        <v>0</v>
      </c>
      <c r="AF12" s="39" t="str">
        <f>'Por Valoracion (3) Dimension 2'!B12</f>
        <v>0</v>
      </c>
      <c r="AH12" s="27" t="str">
        <f>CONCATENATE("en la ",AH4," y basándose en la prueba de ",AG298," se puede observar que, ","con una probabilidad de error de ",AE299,"% para la ",AE297," ",AE298," y ",AF299,"% para la ",AF297," ",AF298,", ",AH298,AI298, " por tal motivo se procederá a utilizar ",AJ298,".")</f>
        <v>0</v>
      </c>
      <c r="AP12" s="12"/>
      <c r="AQ12" s="12"/>
      <c r="AR12" s="42" t="str">
        <f>AE3</f>
        <v>0</v>
      </c>
      <c r="AS12" s="42" t="str">
        <f>AF3</f>
        <v>0</v>
      </c>
      <c r="AU12" s="12"/>
      <c r="AV12" s="12"/>
      <c r="AW12" s="12"/>
      <c r="AX12" s="42" t="str">
        <f>AE3</f>
        <v>0</v>
      </c>
      <c r="AY12" s="42" t="str">
        <f>AF3</f>
        <v>0</v>
      </c>
      <c r="BA12" s="46"/>
      <c r="BC12" s="47"/>
      <c r="BE12" t="str">
        <f>('Gestión de abastecimiento'!A13)</f>
        <v>0</v>
      </c>
      <c r="BF12" s="39" t="str">
        <f>'Por Valoracion (3) Dimension'!F12</f>
        <v>0</v>
      </c>
      <c r="BG12" s="39" t="str">
        <f>'Por Valoracion (3) Dimension 2'!B12</f>
        <v>0</v>
      </c>
      <c r="BI12" s="27" t="str">
        <f>CONCATENATE("en la ",BI4," y basándose en la prueba de ",BH298," se puede observar que, ","con una probabilidad de error de ",BF299,"% para la ",BF297," ",BF298," y ",BG299,"% para la ",BG297," ",BG298,", ",BI298,BJ298, " por tal motivo se procederá a utilizar ",BK298,".")</f>
        <v>0</v>
      </c>
      <c r="BQ12" s="12"/>
      <c r="BR12" s="12"/>
      <c r="BS12" s="42" t="str">
        <f>BF3</f>
        <v>0</v>
      </c>
      <c r="BT12" s="42" t="str">
        <f>BG3</f>
        <v>0</v>
      </c>
      <c r="BV12" s="12"/>
      <c r="BW12" s="12"/>
      <c r="BX12" s="12"/>
      <c r="BY12" s="42" t="str">
        <f>BF3</f>
        <v>0</v>
      </c>
      <c r="BZ12" s="42" t="str">
        <f>BG3</f>
        <v>0</v>
      </c>
      <c r="CB12" s="47"/>
    </row>
    <row r="13" spans="1:80">
      <c r="A13" s="38"/>
      <c r="C13" t="str">
        <f>('Gestión de abastecimiento'!A14)</f>
        <v>0</v>
      </c>
      <c r="D13" s="39" t="str">
        <f>'Por Valoracion (3) Dimension'!B13</f>
        <v>0</v>
      </c>
      <c r="E13" s="39" t="str">
        <f>'Por Valoracion (3) Dimension 2'!B13</f>
        <v>0</v>
      </c>
      <c r="O13" s="41" t="str">
        <f>D3</f>
        <v>0</v>
      </c>
      <c r="P13" s="44" t="s">
        <v>473</v>
      </c>
      <c r="T13" s="44" t="s">
        <v>474</v>
      </c>
      <c r="U13" s="41" t="str">
        <f>D3</f>
        <v>0</v>
      </c>
      <c r="V13" s="44" t="s">
        <v>475</v>
      </c>
      <c r="Z13" s="38"/>
      <c r="AB13" s="46"/>
      <c r="AD13" t="str">
        <f>('Gestión de abastecimiento'!A14)</f>
        <v>0</v>
      </c>
      <c r="AE13" s="39" t="str">
        <f>'Por Valoracion (3) Dimension'!D13</f>
        <v>0</v>
      </c>
      <c r="AF13" s="39" t="str">
        <f>'Por Valoracion (3) Dimension 2'!B13</f>
        <v>0</v>
      </c>
      <c r="AP13" s="41" t="str">
        <f>AE3</f>
        <v>0</v>
      </c>
      <c r="AQ13" s="44" t="s">
        <v>473</v>
      </c>
      <c r="AU13" s="44" t="s">
        <v>474</v>
      </c>
      <c r="AV13" s="41" t="str">
        <f>AE3</f>
        <v>0</v>
      </c>
      <c r="AW13" s="44" t="s">
        <v>475</v>
      </c>
      <c r="BA13" s="46"/>
      <c r="BC13" s="47"/>
      <c r="BE13" t="str">
        <f>('Gestión de abastecimiento'!A14)</f>
        <v>0</v>
      </c>
      <c r="BF13" s="39" t="str">
        <f>'Por Valoracion (3) Dimension'!F13</f>
        <v>0</v>
      </c>
      <c r="BG13" s="39" t="str">
        <f>'Por Valoracion (3) Dimension 2'!B13</f>
        <v>0</v>
      </c>
      <c r="BQ13" s="41" t="str">
        <f>BF3</f>
        <v>0</v>
      </c>
      <c r="BR13" s="44" t="s">
        <v>473</v>
      </c>
      <c r="BV13" s="44" t="s">
        <v>474</v>
      </c>
      <c r="BW13" s="41" t="str">
        <f>BF3</f>
        <v>0</v>
      </c>
      <c r="BX13" s="44" t="s">
        <v>475</v>
      </c>
      <c r="CB13" s="47"/>
    </row>
    <row r="14" spans="1:80">
      <c r="A14" s="38"/>
      <c r="C14" t="str">
        <f>('Gestión de abastecimiento'!A15)</f>
        <v>0</v>
      </c>
      <c r="D14" s="39" t="str">
        <f>'Por Valoracion (3) Dimension'!B14</f>
        <v>0</v>
      </c>
      <c r="E14" s="39" t="str">
        <f>'Por Valoracion (3) Dimension 2'!B14</f>
        <v>0</v>
      </c>
      <c r="P14" s="44" t="s">
        <v>476</v>
      </c>
      <c r="V14" s="44" t="s">
        <v>476</v>
      </c>
      <c r="Z14" s="38"/>
      <c r="AB14" s="46"/>
      <c r="AD14" t="str">
        <f>('Gestión de abastecimiento'!A15)</f>
        <v>0</v>
      </c>
      <c r="AE14" s="39" t="str">
        <f>'Por Valoracion (3) Dimension'!D14</f>
        <v>0</v>
      </c>
      <c r="AF14" s="39" t="str">
        <f>'Por Valoracion (3) Dimension 2'!B14</f>
        <v>0</v>
      </c>
      <c r="AQ14" s="44" t="s">
        <v>476</v>
      </c>
      <c r="AW14" s="44" t="s">
        <v>476</v>
      </c>
      <c r="BA14" s="46"/>
      <c r="BC14" s="47"/>
      <c r="BE14" t="str">
        <f>('Gestión de abastecimiento'!A15)</f>
        <v>0</v>
      </c>
      <c r="BF14" s="39" t="str">
        <f>'Por Valoracion (3) Dimension'!F14</f>
        <v>0</v>
      </c>
      <c r="BG14" s="39" t="str">
        <f>'Por Valoracion (3) Dimension 2'!B14</f>
        <v>0</v>
      </c>
      <c r="BR14" s="44" t="s">
        <v>476</v>
      </c>
      <c r="BX14" s="44" t="s">
        <v>476</v>
      </c>
      <c r="CB14" s="47"/>
    </row>
    <row r="15" spans="1:80">
      <c r="A15" s="38"/>
      <c r="C15" t="str">
        <f>('Gestión de abastecimiento'!A16)</f>
        <v>0</v>
      </c>
      <c r="D15" s="39" t="str">
        <f>'Por Valoracion (3) Dimension'!B15</f>
        <v>0</v>
      </c>
      <c r="E15" s="39" t="str">
        <f>'Por Valoracion (3) Dimension 2'!B15</f>
        <v>0</v>
      </c>
      <c r="P15" s="44" t="s">
        <v>477</v>
      </c>
      <c r="V15" s="44" t="s">
        <v>477</v>
      </c>
      <c r="Z15" s="38"/>
      <c r="AB15" s="46"/>
      <c r="AD15" t="str">
        <f>('Gestión de abastecimiento'!A16)</f>
        <v>0</v>
      </c>
      <c r="AE15" s="39" t="str">
        <f>'Por Valoracion (3) Dimension'!D15</f>
        <v>0</v>
      </c>
      <c r="AF15" s="39" t="str">
        <f>'Por Valoracion (3) Dimension 2'!B15</f>
        <v>0</v>
      </c>
      <c r="AQ15" s="44" t="s">
        <v>477</v>
      </c>
      <c r="AW15" s="44" t="s">
        <v>477</v>
      </c>
      <c r="BA15" s="46"/>
      <c r="BC15" s="47"/>
      <c r="BE15" t="str">
        <f>('Gestión de abastecimiento'!A16)</f>
        <v>0</v>
      </c>
      <c r="BF15" s="39" t="str">
        <f>'Por Valoracion (3) Dimension'!F15</f>
        <v>0</v>
      </c>
      <c r="BG15" s="39" t="str">
        <f>'Por Valoracion (3) Dimension 2'!B15</f>
        <v>0</v>
      </c>
      <c r="BR15" s="44" t="s">
        <v>477</v>
      </c>
      <c r="BX15" s="44" t="s">
        <v>477</v>
      </c>
      <c r="CB15" s="47"/>
    </row>
    <row r="16" spans="1:80">
      <c r="A16" s="38"/>
      <c r="C16" t="str">
        <f>('Gestión de abastecimiento'!A17)</f>
        <v>0</v>
      </c>
      <c r="D16" s="39" t="str">
        <f>'Por Valoracion (3) Dimension'!B16</f>
        <v>0</v>
      </c>
      <c r="E16" s="39" t="str">
        <f>'Por Valoracion (3) Dimension 2'!B16</f>
        <v>0</v>
      </c>
      <c r="O16" s="41" t="str">
        <f>E3</f>
        <v>0</v>
      </c>
      <c r="P16" s="44" t="s">
        <v>473</v>
      </c>
      <c r="U16" s="41" t="str">
        <f>E3</f>
        <v>0</v>
      </c>
      <c r="V16" s="44" t="s">
        <v>475</v>
      </c>
      <c r="Z16" s="38"/>
      <c r="AB16" s="46"/>
      <c r="AD16" t="str">
        <f>('Gestión de abastecimiento'!A17)</f>
        <v>0</v>
      </c>
      <c r="AE16" s="39" t="str">
        <f>'Por Valoracion (3) Dimension'!D16</f>
        <v>0</v>
      </c>
      <c r="AF16" s="39" t="str">
        <f>'Por Valoracion (3) Dimension 2'!B16</f>
        <v>0</v>
      </c>
      <c r="AP16" s="41" t="str">
        <f>AF3</f>
        <v>0</v>
      </c>
      <c r="AQ16" s="44" t="s">
        <v>473</v>
      </c>
      <c r="AV16" s="41" t="str">
        <f>AF3</f>
        <v>0</v>
      </c>
      <c r="AW16" s="44" t="s">
        <v>475</v>
      </c>
      <c r="BA16" s="46"/>
      <c r="BC16" s="47"/>
      <c r="BE16" t="str">
        <f>('Gestión de abastecimiento'!A17)</f>
        <v>0</v>
      </c>
      <c r="BF16" s="39" t="str">
        <f>'Por Valoracion (3) Dimension'!F16</f>
        <v>0</v>
      </c>
      <c r="BG16" s="39" t="str">
        <f>'Por Valoracion (3) Dimension 2'!B16</f>
        <v>0</v>
      </c>
      <c r="BQ16" s="41" t="str">
        <f>BG3</f>
        <v>0</v>
      </c>
      <c r="BR16" s="44" t="s">
        <v>473</v>
      </c>
      <c r="BW16" s="41" t="str">
        <f>BG3</f>
        <v>0</v>
      </c>
      <c r="BX16" s="44" t="s">
        <v>475</v>
      </c>
      <c r="CB16" s="47"/>
    </row>
    <row r="17" spans="1:80">
      <c r="A17" s="38"/>
      <c r="C17" t="str">
        <f>('Gestión de abastecimiento'!A18)</f>
        <v>0</v>
      </c>
      <c r="D17" s="39" t="str">
        <f>'Por Valoracion (3) Dimension'!B17</f>
        <v>0</v>
      </c>
      <c r="E17" s="39" t="str">
        <f>'Por Valoracion (3) Dimension 2'!B17</f>
        <v>0</v>
      </c>
      <c r="P17" s="44" t="s">
        <v>476</v>
      </c>
      <c r="V17" s="44" t="s">
        <v>476</v>
      </c>
      <c r="Z17" s="38"/>
      <c r="AB17" s="46"/>
      <c r="AD17" t="str">
        <f>('Gestión de abastecimiento'!A18)</f>
        <v>0</v>
      </c>
      <c r="AE17" s="39" t="str">
        <f>'Por Valoracion (3) Dimension'!D17</f>
        <v>0</v>
      </c>
      <c r="AF17" s="39" t="str">
        <f>'Por Valoracion (3) Dimension 2'!B17</f>
        <v>0</v>
      </c>
      <c r="AQ17" s="44" t="s">
        <v>476</v>
      </c>
      <c r="AW17" s="44" t="s">
        <v>476</v>
      </c>
      <c r="BA17" s="46"/>
      <c r="BC17" s="47"/>
      <c r="BE17" t="str">
        <f>('Gestión de abastecimiento'!A18)</f>
        <v>0</v>
      </c>
      <c r="BF17" s="39" t="str">
        <f>'Por Valoracion (3) Dimension'!F17</f>
        <v>0</v>
      </c>
      <c r="BG17" s="39" t="str">
        <f>'Por Valoracion (3) Dimension 2'!B17</f>
        <v>0</v>
      </c>
      <c r="BR17" s="44" t="s">
        <v>476</v>
      </c>
      <c r="BX17" s="44" t="s">
        <v>476</v>
      </c>
      <c r="CB17" s="47"/>
    </row>
    <row r="18" spans="1:80">
      <c r="A18" s="38"/>
      <c r="C18" t="str">
        <f>('Gestión de abastecimiento'!A19)</f>
        <v>0</v>
      </c>
      <c r="D18" s="39" t="str">
        <f>'Por Valoracion (3) Dimension'!B18</f>
        <v>0</v>
      </c>
      <c r="E18" s="39" t="str">
        <f>'Por Valoracion (3) Dimension 2'!B18</f>
        <v>0</v>
      </c>
      <c r="O18" s="12"/>
      <c r="P18" s="43" t="s">
        <v>477</v>
      </c>
      <c r="Q18" s="12"/>
      <c r="R18" s="12"/>
      <c r="T18" s="12"/>
      <c r="U18" s="12"/>
      <c r="V18" s="43" t="s">
        <v>477</v>
      </c>
      <c r="W18" s="12"/>
      <c r="X18" s="12"/>
      <c r="Z18" s="38"/>
      <c r="AB18" s="46"/>
      <c r="AD18" t="str">
        <f>('Gestión de abastecimiento'!A19)</f>
        <v>0</v>
      </c>
      <c r="AE18" s="39" t="str">
        <f>'Por Valoracion (3) Dimension'!D18</f>
        <v>0</v>
      </c>
      <c r="AF18" s="39" t="str">
        <f>'Por Valoracion (3) Dimension 2'!B18</f>
        <v>0</v>
      </c>
      <c r="AP18" s="12"/>
      <c r="AQ18" s="43" t="s">
        <v>477</v>
      </c>
      <c r="AR18" s="12"/>
      <c r="AS18" s="12"/>
      <c r="AU18" s="12"/>
      <c r="AV18" s="12"/>
      <c r="AW18" s="43" t="s">
        <v>477</v>
      </c>
      <c r="AX18" s="12"/>
      <c r="AY18" s="12"/>
      <c r="BA18" s="46"/>
      <c r="BC18" s="47"/>
      <c r="BE18" t="str">
        <f>('Gestión de abastecimiento'!A19)</f>
        <v>0</v>
      </c>
      <c r="BF18" s="39" t="str">
        <f>'Por Valoracion (3) Dimension'!F18</f>
        <v>0</v>
      </c>
      <c r="BG18" s="39" t="str">
        <f>'Por Valoracion (3) Dimension 2'!B18</f>
        <v>0</v>
      </c>
      <c r="BQ18" s="12"/>
      <c r="BR18" s="43" t="s">
        <v>477</v>
      </c>
      <c r="BS18" s="12"/>
      <c r="BT18" s="12"/>
      <c r="BV18" s="12"/>
      <c r="BW18" s="12"/>
      <c r="BX18" s="43" t="s">
        <v>477</v>
      </c>
      <c r="BY18" s="12"/>
      <c r="BZ18" s="12"/>
      <c r="CB18" s="47"/>
    </row>
    <row r="19" spans="1:80">
      <c r="A19" s="38"/>
      <c r="C19" t="str">
        <f>('Gestión de abastecimiento'!A20)</f>
        <v>0</v>
      </c>
      <c r="D19" s="39" t="str">
        <f>'Por Valoracion (3) Dimension'!B19</f>
        <v>0</v>
      </c>
      <c r="E19" s="39" t="str">
        <f>'Por Valoracion (3) Dimension 2'!B19</f>
        <v>0</v>
      </c>
      <c r="O19" s="41" t="s">
        <v>478</v>
      </c>
      <c r="T19" s="41" t="s">
        <v>478</v>
      </c>
      <c r="Z19" s="38"/>
      <c r="AB19" s="46"/>
      <c r="AD19" t="str">
        <f>('Gestión de abastecimiento'!A20)</f>
        <v>0</v>
      </c>
      <c r="AE19" s="39" t="str">
        <f>'Por Valoracion (3) Dimension'!D19</f>
        <v>0</v>
      </c>
      <c r="AF19" s="39" t="str">
        <f>'Por Valoracion (3) Dimension 2'!B19</f>
        <v>0</v>
      </c>
      <c r="AP19" s="41" t="s">
        <v>478</v>
      </c>
      <c r="AU19" s="41" t="s">
        <v>478</v>
      </c>
      <c r="BA19" s="46"/>
      <c r="BC19" s="47"/>
      <c r="BE19" t="str">
        <f>('Gestión de abastecimiento'!A20)</f>
        <v>0</v>
      </c>
      <c r="BF19" s="39" t="str">
        <f>'Por Valoracion (3) Dimension'!F19</f>
        <v>0</v>
      </c>
      <c r="BG19" s="39" t="str">
        <f>'Por Valoracion (3) Dimension 2'!B19</f>
        <v>0</v>
      </c>
      <c r="BQ19" s="41" t="s">
        <v>478</v>
      </c>
      <c r="BV19" s="41" t="s">
        <v>478</v>
      </c>
      <c r="CB19" s="47"/>
    </row>
    <row r="20" spans="1:80">
      <c r="A20" s="38"/>
      <c r="C20" t="str">
        <f>('Gestión de abastecimiento'!A21)</f>
        <v>0</v>
      </c>
      <c r="D20" s="39" t="str">
        <f>'Por Valoracion (3) Dimension'!B20</f>
        <v>0</v>
      </c>
      <c r="E20" s="39" t="str">
        <f>'Por Valoracion (3) Dimension 2'!B20</f>
        <v>0</v>
      </c>
      <c r="Z20" s="38"/>
      <c r="AB20" s="46"/>
      <c r="AD20" t="str">
        <f>('Gestión de abastecimiento'!A21)</f>
        <v>0</v>
      </c>
      <c r="AE20" s="39" t="str">
        <f>'Por Valoracion (3) Dimension'!D20</f>
        <v>0</v>
      </c>
      <c r="AF20" s="39" t="str">
        <f>'Por Valoracion (3) Dimension 2'!B20</f>
        <v>0</v>
      </c>
      <c r="BA20" s="46"/>
      <c r="BC20" s="47"/>
      <c r="BE20" t="str">
        <f>('Gestión de abastecimiento'!A21)</f>
        <v>0</v>
      </c>
      <c r="BF20" s="39" t="str">
        <f>'Por Valoracion (3) Dimension'!F20</f>
        <v>0</v>
      </c>
      <c r="BG20" s="39" t="str">
        <f>'Por Valoracion (3) Dimension 2'!B20</f>
        <v>0</v>
      </c>
      <c r="CB20" s="47"/>
    </row>
    <row r="21" spans="1:80">
      <c r="A21" s="38"/>
      <c r="C21" t="str">
        <f>('Gestión de abastecimiento'!A22)</f>
        <v>0</v>
      </c>
      <c r="D21" s="39" t="str">
        <f>'Por Valoracion (3) Dimension'!B21</f>
        <v>0</v>
      </c>
      <c r="E21" s="39" t="str">
        <f>'Por Valoracion (3) Dimension 2'!B21</f>
        <v>0</v>
      </c>
      <c r="Z21" s="38"/>
      <c r="AB21" s="46"/>
      <c r="AD21" t="str">
        <f>('Gestión de abastecimiento'!A22)</f>
        <v>0</v>
      </c>
      <c r="AE21" s="39" t="str">
        <f>'Por Valoracion (3) Dimension'!D21</f>
        <v>0</v>
      </c>
      <c r="AF21" s="39" t="str">
        <f>'Por Valoracion (3) Dimension 2'!B21</f>
        <v>0</v>
      </c>
      <c r="BA21" s="46"/>
      <c r="BC21" s="47"/>
      <c r="BE21" t="str">
        <f>('Gestión de abastecimiento'!A22)</f>
        <v>0</v>
      </c>
      <c r="BF21" s="39" t="str">
        <f>'Por Valoracion (3) Dimension'!F21</f>
        <v>0</v>
      </c>
      <c r="BG21" s="39" t="str">
        <f>'Por Valoracion (3) Dimension 2'!B21</f>
        <v>0</v>
      </c>
      <c r="CB21" s="47"/>
    </row>
    <row r="22" spans="1:80">
      <c r="A22" s="38"/>
      <c r="C22" t="str">
        <f>('Gestión de abastecimiento'!A23)</f>
        <v>0</v>
      </c>
      <c r="D22" s="39" t="str">
        <f>'Por Valoracion (3) Dimension'!B22</f>
        <v>0</v>
      </c>
      <c r="E22" s="39" t="str">
        <f>'Por Valoracion (3) Dimension 2'!B22</f>
        <v>0</v>
      </c>
      <c r="Z22" s="38"/>
      <c r="AB22" s="46"/>
      <c r="AD22" t="str">
        <f>('Gestión de abastecimiento'!A23)</f>
        <v>0</v>
      </c>
      <c r="AE22" s="39" t="str">
        <f>'Por Valoracion (3) Dimension'!D22</f>
        <v>0</v>
      </c>
      <c r="AF22" s="39" t="str">
        <f>'Por Valoracion (3) Dimension 2'!B22</f>
        <v>0</v>
      </c>
      <c r="BA22" s="46"/>
      <c r="BC22" s="47"/>
      <c r="BE22" t="str">
        <f>('Gestión de abastecimiento'!A23)</f>
        <v>0</v>
      </c>
      <c r="BF22" s="39" t="str">
        <f>'Por Valoracion (3) Dimension'!F22</f>
        <v>0</v>
      </c>
      <c r="BG22" s="39" t="str">
        <f>'Por Valoracion (3) Dimension 2'!B22</f>
        <v>0</v>
      </c>
      <c r="CB22" s="47"/>
    </row>
    <row r="23" spans="1:80">
      <c r="A23" s="38"/>
      <c r="C23" t="str">
        <f>('Gestión de abastecimiento'!A24)</f>
        <v>0</v>
      </c>
      <c r="D23" s="39" t="str">
        <f>'Por Valoracion (3) Dimension'!B23</f>
        <v>0</v>
      </c>
      <c r="E23" s="39" t="str">
        <f>'Por Valoracion (3) Dimension 2'!B23</f>
        <v>0</v>
      </c>
      <c r="Z23" s="38"/>
      <c r="AB23" s="46"/>
      <c r="AD23" t="str">
        <f>('Gestión de abastecimiento'!A24)</f>
        <v>0</v>
      </c>
      <c r="AE23" s="39" t="str">
        <f>'Por Valoracion (3) Dimension'!D23</f>
        <v>0</v>
      </c>
      <c r="AF23" s="39" t="str">
        <f>'Por Valoracion (3) Dimension 2'!B23</f>
        <v>0</v>
      </c>
      <c r="BA23" s="46"/>
      <c r="BC23" s="47"/>
      <c r="BE23" t="str">
        <f>('Gestión de abastecimiento'!A24)</f>
        <v>0</v>
      </c>
      <c r="BF23" s="39" t="str">
        <f>'Por Valoracion (3) Dimension'!F23</f>
        <v>0</v>
      </c>
      <c r="BG23" s="39" t="str">
        <f>'Por Valoracion (3) Dimension 2'!B23</f>
        <v>0</v>
      </c>
      <c r="CB23" s="47"/>
    </row>
    <row r="24" spans="1:80">
      <c r="A24" s="38"/>
      <c r="C24" t="str">
        <f>('Gestión de abastecimiento'!A25)</f>
        <v>0</v>
      </c>
      <c r="D24" s="39" t="str">
        <f>'Por Valoracion (3) Dimension'!B24</f>
        <v>0</v>
      </c>
      <c r="E24" s="39" t="str">
        <f>'Por Valoracion (3) Dimension 2'!B24</f>
        <v>0</v>
      </c>
      <c r="Z24" s="38"/>
      <c r="AB24" s="46"/>
      <c r="AD24" t="str">
        <f>('Gestión de abastecimiento'!A25)</f>
        <v>0</v>
      </c>
      <c r="AE24" s="39" t="str">
        <f>'Por Valoracion (3) Dimension'!D24</f>
        <v>0</v>
      </c>
      <c r="AF24" s="39" t="str">
        <f>'Por Valoracion (3) Dimension 2'!B24</f>
        <v>0</v>
      </c>
      <c r="BA24" s="46"/>
      <c r="BC24" s="47"/>
      <c r="BE24" t="str">
        <f>('Gestión de abastecimiento'!A25)</f>
        <v>0</v>
      </c>
      <c r="BF24" s="39" t="str">
        <f>'Por Valoracion (3) Dimension'!F24</f>
        <v>0</v>
      </c>
      <c r="BG24" s="39" t="str">
        <f>'Por Valoracion (3) Dimension 2'!B24</f>
        <v>0</v>
      </c>
      <c r="CB24" s="47"/>
    </row>
    <row r="25" spans="1:80">
      <c r="A25" s="38"/>
      <c r="C25" t="str">
        <f>('Gestión de abastecimiento'!A26)</f>
        <v>0</v>
      </c>
      <c r="D25" s="39" t="str">
        <f>'Por Valoracion (3) Dimension'!B25</f>
        <v>0</v>
      </c>
      <c r="E25" s="39" t="str">
        <f>'Por Valoracion (3) Dimension 2'!B25</f>
        <v>0</v>
      </c>
      <c r="Z25" s="38"/>
      <c r="AB25" s="46"/>
      <c r="AD25" t="str">
        <f>('Gestión de abastecimiento'!A26)</f>
        <v>0</v>
      </c>
      <c r="AE25" s="39" t="str">
        <f>'Por Valoracion (3) Dimension'!D25</f>
        <v>0</v>
      </c>
      <c r="AF25" s="39" t="str">
        <f>'Por Valoracion (3) Dimension 2'!B25</f>
        <v>0</v>
      </c>
      <c r="BA25" s="46"/>
      <c r="BC25" s="47"/>
      <c r="BE25" t="str">
        <f>('Gestión de abastecimiento'!A26)</f>
        <v>0</v>
      </c>
      <c r="BF25" s="39" t="str">
        <f>'Por Valoracion (3) Dimension'!F25</f>
        <v>0</v>
      </c>
      <c r="BG25" s="39" t="str">
        <f>'Por Valoracion (3) Dimension 2'!B25</f>
        <v>0</v>
      </c>
      <c r="CB25" s="47"/>
    </row>
    <row r="26" spans="1:80">
      <c r="A26" s="38"/>
      <c r="C26" t="str">
        <f>('Gestión de abastecimiento'!A27)</f>
        <v>0</v>
      </c>
      <c r="D26" s="39" t="str">
        <f>'Por Valoracion (3) Dimension'!B26</f>
        <v>0</v>
      </c>
      <c r="E26" s="39" t="str">
        <f>'Por Valoracion (3) Dimension 2'!B26</f>
        <v>0</v>
      </c>
      <c r="Z26" s="38"/>
      <c r="AB26" s="46"/>
      <c r="AD26" t="str">
        <f>('Gestión de abastecimiento'!A27)</f>
        <v>0</v>
      </c>
      <c r="AE26" s="39" t="str">
        <f>'Por Valoracion (3) Dimension'!D26</f>
        <v>0</v>
      </c>
      <c r="AF26" s="39" t="str">
        <f>'Por Valoracion (3) Dimension 2'!B26</f>
        <v>0</v>
      </c>
      <c r="BA26" s="46"/>
      <c r="BC26" s="47"/>
      <c r="BE26" t="str">
        <f>('Gestión de abastecimiento'!A27)</f>
        <v>0</v>
      </c>
      <c r="BF26" s="39" t="str">
        <f>'Por Valoracion (3) Dimension'!F26</f>
        <v>0</v>
      </c>
      <c r="BG26" s="39" t="str">
        <f>'Por Valoracion (3) Dimension 2'!B26</f>
        <v>0</v>
      </c>
      <c r="CB26" s="47"/>
    </row>
    <row r="27" spans="1:80">
      <c r="A27" s="38"/>
      <c r="C27" t="str">
        <f>('Gestión de abastecimiento'!A28)</f>
        <v>0</v>
      </c>
      <c r="D27" s="39" t="str">
        <f>'Por Valoracion (3) Dimension'!B27</f>
        <v>0</v>
      </c>
      <c r="E27" s="39" t="str">
        <f>'Por Valoracion (3) Dimension 2'!B27</f>
        <v>0</v>
      </c>
      <c r="Z27" s="38"/>
      <c r="AB27" s="46"/>
      <c r="AD27" t="str">
        <f>('Gestión de abastecimiento'!A28)</f>
        <v>0</v>
      </c>
      <c r="AE27" s="39" t="str">
        <f>'Por Valoracion (3) Dimension'!D27</f>
        <v>0</v>
      </c>
      <c r="AF27" s="39" t="str">
        <f>'Por Valoracion (3) Dimension 2'!B27</f>
        <v>0</v>
      </c>
      <c r="BA27" s="46"/>
      <c r="BC27" s="47"/>
      <c r="BE27" t="str">
        <f>('Gestión de abastecimiento'!A28)</f>
        <v>0</v>
      </c>
      <c r="BF27" s="39" t="str">
        <f>'Por Valoracion (3) Dimension'!F27</f>
        <v>0</v>
      </c>
      <c r="BG27" s="39" t="str">
        <f>'Por Valoracion (3) Dimension 2'!B27</f>
        <v>0</v>
      </c>
      <c r="CB27" s="47"/>
    </row>
    <row r="28" spans="1:80">
      <c r="A28" s="38"/>
      <c r="C28" t="str">
        <f>('Gestión de abastecimiento'!A29)</f>
        <v>0</v>
      </c>
      <c r="D28" s="39" t="str">
        <f>'Por Valoracion (3) Dimension'!B28</f>
        <v>0</v>
      </c>
      <c r="E28" s="39" t="str">
        <f>'Por Valoracion (3) Dimension 2'!B28</f>
        <v>0</v>
      </c>
      <c r="Z28" s="38"/>
      <c r="AB28" s="46"/>
      <c r="AD28" t="str">
        <f>('Gestión de abastecimiento'!A29)</f>
        <v>0</v>
      </c>
      <c r="AE28" s="39" t="str">
        <f>'Por Valoracion (3) Dimension'!D28</f>
        <v>0</v>
      </c>
      <c r="AF28" s="39" t="str">
        <f>'Por Valoracion (3) Dimension 2'!B28</f>
        <v>0</v>
      </c>
      <c r="BA28" s="46"/>
      <c r="BC28" s="47"/>
      <c r="BE28" t="str">
        <f>('Gestión de abastecimiento'!A29)</f>
        <v>0</v>
      </c>
      <c r="BF28" s="39" t="str">
        <f>'Por Valoracion (3) Dimension'!F28</f>
        <v>0</v>
      </c>
      <c r="BG28" s="39" t="str">
        <f>'Por Valoracion (3) Dimension 2'!B28</f>
        <v>0</v>
      </c>
      <c r="CB28" s="47"/>
    </row>
    <row r="29" spans="1:80">
      <c r="A29" s="38"/>
      <c r="C29" t="str">
        <f>('Gestión de abastecimiento'!A30)</f>
        <v>0</v>
      </c>
      <c r="D29" s="39" t="str">
        <f>'Por Valoracion (3) Dimension'!B29</f>
        <v>0</v>
      </c>
      <c r="E29" s="39" t="str">
        <f>'Por Valoracion (3) Dimension 2'!B29</f>
        <v>0</v>
      </c>
      <c r="Z29" s="38"/>
      <c r="AB29" s="46"/>
      <c r="AD29" t="str">
        <f>('Gestión de abastecimiento'!A30)</f>
        <v>0</v>
      </c>
      <c r="AE29" s="39" t="str">
        <f>'Por Valoracion (3) Dimension'!D29</f>
        <v>0</v>
      </c>
      <c r="AF29" s="39" t="str">
        <f>'Por Valoracion (3) Dimension 2'!B29</f>
        <v>0</v>
      </c>
      <c r="BA29" s="46"/>
      <c r="BC29" s="47"/>
      <c r="BE29" t="str">
        <f>('Gestión de abastecimiento'!A30)</f>
        <v>0</v>
      </c>
      <c r="BF29" s="39" t="str">
        <f>'Por Valoracion (3) Dimension'!F29</f>
        <v>0</v>
      </c>
      <c r="BG29" s="39" t="str">
        <f>'Por Valoracion (3) Dimension 2'!B29</f>
        <v>0</v>
      </c>
      <c r="CB29" s="47"/>
    </row>
    <row r="30" spans="1:80">
      <c r="A30" s="38"/>
      <c r="C30" t="str">
        <f>('Gestión de abastecimiento'!A31)</f>
        <v>0</v>
      </c>
      <c r="D30" s="39" t="str">
        <f>'Por Valoracion (3) Dimension'!B30</f>
        <v>0</v>
      </c>
      <c r="E30" s="39" t="str">
        <f>'Por Valoracion (3) Dimension 2'!B30</f>
        <v>0</v>
      </c>
      <c r="Z30" s="38"/>
      <c r="AB30" s="46"/>
      <c r="AD30" t="str">
        <f>('Gestión de abastecimiento'!A31)</f>
        <v>0</v>
      </c>
      <c r="AE30" s="39" t="str">
        <f>'Por Valoracion (3) Dimension'!D30</f>
        <v>0</v>
      </c>
      <c r="AF30" s="39" t="str">
        <f>'Por Valoracion (3) Dimension 2'!B30</f>
        <v>0</v>
      </c>
      <c r="BA30" s="46"/>
      <c r="BC30" s="47"/>
      <c r="BE30" t="str">
        <f>('Gestión de abastecimiento'!A31)</f>
        <v>0</v>
      </c>
      <c r="BF30" s="39" t="str">
        <f>'Por Valoracion (3) Dimension'!F30</f>
        <v>0</v>
      </c>
      <c r="BG30" s="39" t="str">
        <f>'Por Valoracion (3) Dimension 2'!B30</f>
        <v>0</v>
      </c>
      <c r="CB30" s="47"/>
    </row>
    <row r="31" spans="1:80">
      <c r="A31" s="38"/>
      <c r="C31" t="str">
        <f>('Gestión de abastecimiento'!A32)</f>
        <v>0</v>
      </c>
      <c r="D31" s="39" t="str">
        <f>'Por Valoracion (3) Dimension'!B31</f>
        <v>0</v>
      </c>
      <c r="E31" s="39" t="str">
        <f>'Por Valoracion (3) Dimension 2'!B31</f>
        <v>0</v>
      </c>
      <c r="Z31" s="38"/>
      <c r="AB31" s="46"/>
      <c r="AD31" t="str">
        <f>('Gestión de abastecimiento'!A32)</f>
        <v>0</v>
      </c>
      <c r="AE31" s="39" t="str">
        <f>'Por Valoracion (3) Dimension'!D31</f>
        <v>0</v>
      </c>
      <c r="AF31" s="39" t="str">
        <f>'Por Valoracion (3) Dimension 2'!B31</f>
        <v>0</v>
      </c>
      <c r="BA31" s="46"/>
      <c r="BC31" s="47"/>
      <c r="BE31" t="str">
        <f>('Gestión de abastecimiento'!A32)</f>
        <v>0</v>
      </c>
      <c r="BF31" s="39" t="str">
        <f>'Por Valoracion (3) Dimension'!F31</f>
        <v>0</v>
      </c>
      <c r="BG31" s="39" t="str">
        <f>'Por Valoracion (3) Dimension 2'!B31</f>
        <v>0</v>
      </c>
      <c r="CB31" s="47"/>
    </row>
    <row r="32" spans="1:80">
      <c r="A32" s="38"/>
      <c r="C32" t="str">
        <f>('Gestión de abastecimiento'!A33)</f>
        <v>0</v>
      </c>
      <c r="D32" s="39" t="str">
        <f>'Por Valoracion (3) Dimension'!B32</f>
        <v>0</v>
      </c>
      <c r="E32" s="39" t="str">
        <f>'Por Valoracion (3) Dimension 2'!B32</f>
        <v>0</v>
      </c>
      <c r="Z32" s="38"/>
      <c r="AB32" s="46"/>
      <c r="AD32" t="str">
        <f>('Gestión de abastecimiento'!A33)</f>
        <v>0</v>
      </c>
      <c r="AE32" s="39" t="str">
        <f>'Por Valoracion (3) Dimension'!D32</f>
        <v>0</v>
      </c>
      <c r="AF32" s="39" t="str">
        <f>'Por Valoracion (3) Dimension 2'!B32</f>
        <v>0</v>
      </c>
      <c r="BA32" s="46"/>
      <c r="BC32" s="47"/>
      <c r="BE32" t="str">
        <f>('Gestión de abastecimiento'!A33)</f>
        <v>0</v>
      </c>
      <c r="BF32" s="39" t="str">
        <f>'Por Valoracion (3) Dimension'!F32</f>
        <v>0</v>
      </c>
      <c r="BG32" s="39" t="str">
        <f>'Por Valoracion (3) Dimension 2'!B32</f>
        <v>0</v>
      </c>
      <c r="CB32" s="47"/>
    </row>
    <row r="33" spans="1:80">
      <c r="A33" s="38"/>
      <c r="C33" t="str">
        <f>('Gestión de abastecimiento'!A34)</f>
        <v>0</v>
      </c>
      <c r="D33" s="39" t="str">
        <f>'Por Valoracion (3) Dimension'!B33</f>
        <v>0</v>
      </c>
      <c r="E33" s="39" t="str">
        <f>'Por Valoracion (3) Dimension 2'!B33</f>
        <v>0</v>
      </c>
      <c r="Z33" s="38"/>
      <c r="AB33" s="46"/>
      <c r="AD33" t="str">
        <f>('Gestión de abastecimiento'!A34)</f>
        <v>0</v>
      </c>
      <c r="AE33" s="39" t="str">
        <f>'Por Valoracion (3) Dimension'!D33</f>
        <v>0</v>
      </c>
      <c r="AF33" s="39" t="str">
        <f>'Por Valoracion (3) Dimension 2'!B33</f>
        <v>0</v>
      </c>
      <c r="BA33" s="46"/>
      <c r="BC33" s="47"/>
      <c r="BE33" t="str">
        <f>('Gestión de abastecimiento'!A34)</f>
        <v>0</v>
      </c>
      <c r="BF33" s="39" t="str">
        <f>'Por Valoracion (3) Dimension'!F33</f>
        <v>0</v>
      </c>
      <c r="BG33" s="39" t="str">
        <f>'Por Valoracion (3) Dimension 2'!B33</f>
        <v>0</v>
      </c>
      <c r="CB33" s="47"/>
    </row>
    <row r="34" spans="1:80">
      <c r="A34" s="38"/>
      <c r="C34" t="str">
        <f>('Gestión de abastecimiento'!A35)</f>
        <v>0</v>
      </c>
      <c r="D34" s="39" t="str">
        <f>'Por Valoracion (3) Dimension'!B34</f>
        <v>0</v>
      </c>
      <c r="E34" s="39" t="str">
        <f>'Por Valoracion (3) Dimension 2'!B34</f>
        <v>0</v>
      </c>
      <c r="Z34" s="38"/>
      <c r="AB34" s="46"/>
      <c r="AD34" t="str">
        <f>('Gestión de abastecimiento'!A35)</f>
        <v>0</v>
      </c>
      <c r="AE34" s="39" t="str">
        <f>'Por Valoracion (3) Dimension'!D34</f>
        <v>0</v>
      </c>
      <c r="AF34" s="39" t="str">
        <f>'Por Valoracion (3) Dimension 2'!B34</f>
        <v>0</v>
      </c>
      <c r="BA34" s="46"/>
      <c r="BC34" s="47"/>
      <c r="BE34" t="str">
        <f>('Gestión de abastecimiento'!A35)</f>
        <v>0</v>
      </c>
      <c r="BF34" s="39" t="str">
        <f>'Por Valoracion (3) Dimension'!F34</f>
        <v>0</v>
      </c>
      <c r="BG34" s="39" t="str">
        <f>'Por Valoracion (3) Dimension 2'!B34</f>
        <v>0</v>
      </c>
      <c r="CB34" s="47"/>
    </row>
    <row r="35" spans="1:80">
      <c r="A35" s="38"/>
      <c r="C35" t="str">
        <f>('Gestión de abastecimiento'!A36)</f>
        <v>0</v>
      </c>
      <c r="D35" s="39" t="str">
        <f>'Por Valoracion (3) Dimension'!B35</f>
        <v>0</v>
      </c>
      <c r="E35" s="39" t="str">
        <f>'Por Valoracion (3) Dimension 2'!B35</f>
        <v>0</v>
      </c>
      <c r="Z35" s="38"/>
      <c r="AB35" s="46"/>
      <c r="AD35" t="str">
        <f>('Gestión de abastecimiento'!A36)</f>
        <v>0</v>
      </c>
      <c r="AE35" s="39" t="str">
        <f>'Por Valoracion (3) Dimension'!D35</f>
        <v>0</v>
      </c>
      <c r="AF35" s="39" t="str">
        <f>'Por Valoracion (3) Dimension 2'!B35</f>
        <v>0</v>
      </c>
      <c r="BA35" s="46"/>
      <c r="BC35" s="47"/>
      <c r="BE35" t="str">
        <f>('Gestión de abastecimiento'!A36)</f>
        <v>0</v>
      </c>
      <c r="BF35" s="39" t="str">
        <f>'Por Valoracion (3) Dimension'!F35</f>
        <v>0</v>
      </c>
      <c r="BG35" s="39" t="str">
        <f>'Por Valoracion (3) Dimension 2'!B35</f>
        <v>0</v>
      </c>
      <c r="CB35" s="47"/>
    </row>
    <row r="36" spans="1:80">
      <c r="A36" s="38"/>
      <c r="C36" t="str">
        <f>('Gestión de abastecimiento'!A37)</f>
        <v>0</v>
      </c>
      <c r="D36" s="39" t="str">
        <f>'Por Valoracion (3) Dimension'!B36</f>
        <v>0</v>
      </c>
      <c r="E36" s="39" t="str">
        <f>'Por Valoracion (3) Dimension 2'!B36</f>
        <v>0</v>
      </c>
      <c r="Z36" s="38"/>
      <c r="AB36" s="46"/>
      <c r="AD36" t="str">
        <f>('Gestión de abastecimiento'!A37)</f>
        <v>0</v>
      </c>
      <c r="AE36" s="39" t="str">
        <f>'Por Valoracion (3) Dimension'!D36</f>
        <v>0</v>
      </c>
      <c r="AF36" s="39" t="str">
        <f>'Por Valoracion (3) Dimension 2'!B36</f>
        <v>0</v>
      </c>
      <c r="BA36" s="46"/>
      <c r="BC36" s="47"/>
      <c r="BE36" t="str">
        <f>('Gestión de abastecimiento'!A37)</f>
        <v>0</v>
      </c>
      <c r="BF36" s="39" t="str">
        <f>'Por Valoracion (3) Dimension'!F36</f>
        <v>0</v>
      </c>
      <c r="BG36" s="39" t="str">
        <f>'Por Valoracion (3) Dimension 2'!B36</f>
        <v>0</v>
      </c>
      <c r="CB36" s="47"/>
    </row>
    <row r="37" spans="1:80">
      <c r="A37" s="38"/>
      <c r="C37" t="str">
        <f>('Gestión de abastecimiento'!A38)</f>
        <v>0</v>
      </c>
      <c r="D37" s="39" t="str">
        <f>'Por Valoracion (3) Dimension'!B37</f>
        <v>0</v>
      </c>
      <c r="E37" s="39" t="str">
        <f>'Por Valoracion (3) Dimension 2'!B37</f>
        <v>0</v>
      </c>
      <c r="Z37" s="38"/>
      <c r="AB37" s="46"/>
      <c r="AD37" t="str">
        <f>('Gestión de abastecimiento'!A38)</f>
        <v>0</v>
      </c>
      <c r="AE37" s="39" t="str">
        <f>'Por Valoracion (3) Dimension'!D37</f>
        <v>0</v>
      </c>
      <c r="AF37" s="39" t="str">
        <f>'Por Valoracion (3) Dimension 2'!B37</f>
        <v>0</v>
      </c>
      <c r="BA37" s="46"/>
      <c r="BC37" s="47"/>
      <c r="BE37" t="str">
        <f>('Gestión de abastecimiento'!A38)</f>
        <v>0</v>
      </c>
      <c r="BF37" s="39" t="str">
        <f>'Por Valoracion (3) Dimension'!F37</f>
        <v>0</v>
      </c>
      <c r="BG37" s="39" t="str">
        <f>'Por Valoracion (3) Dimension 2'!B37</f>
        <v>0</v>
      </c>
      <c r="CB37" s="47"/>
    </row>
    <row r="38" spans="1:80">
      <c r="A38" s="38"/>
      <c r="C38" t="str">
        <f>('Gestión de abastecimiento'!A39)</f>
        <v>0</v>
      </c>
      <c r="D38" s="39" t="str">
        <f>'Por Valoracion (3) Dimension'!B38</f>
        <v>0</v>
      </c>
      <c r="E38" s="39" t="str">
        <f>'Por Valoracion (3) Dimension 2'!B38</f>
        <v>0</v>
      </c>
      <c r="Z38" s="38"/>
      <c r="AB38" s="46"/>
      <c r="AD38" t="str">
        <f>('Gestión de abastecimiento'!A39)</f>
        <v>0</v>
      </c>
      <c r="AE38" s="39" t="str">
        <f>'Por Valoracion (3) Dimension'!D38</f>
        <v>0</v>
      </c>
      <c r="AF38" s="39" t="str">
        <f>'Por Valoracion (3) Dimension 2'!B38</f>
        <v>0</v>
      </c>
      <c r="BA38" s="46"/>
      <c r="BC38" s="47"/>
      <c r="BE38" t="str">
        <f>('Gestión de abastecimiento'!A39)</f>
        <v>0</v>
      </c>
      <c r="BF38" s="39" t="str">
        <f>'Por Valoracion (3) Dimension'!F38</f>
        <v>0</v>
      </c>
      <c r="BG38" s="39" t="str">
        <f>'Por Valoracion (3) Dimension 2'!B38</f>
        <v>0</v>
      </c>
      <c r="CB38" s="47"/>
    </row>
    <row r="39" spans="1:80">
      <c r="A39" s="38"/>
      <c r="C39" t="str">
        <f>('Gestión de abastecimiento'!A40)</f>
        <v>0</v>
      </c>
      <c r="D39" s="39" t="str">
        <f>'Por Valoracion (3) Dimension'!B39</f>
        <v>0</v>
      </c>
      <c r="E39" s="39" t="str">
        <f>'Por Valoracion (3) Dimension 2'!B39</f>
        <v>0</v>
      </c>
      <c r="Z39" s="38"/>
      <c r="AB39" s="46"/>
      <c r="AD39" t="str">
        <f>('Gestión de abastecimiento'!A40)</f>
        <v>0</v>
      </c>
      <c r="AE39" s="39" t="str">
        <f>'Por Valoracion (3) Dimension'!D39</f>
        <v>0</v>
      </c>
      <c r="AF39" s="39" t="str">
        <f>'Por Valoracion (3) Dimension 2'!B39</f>
        <v>0</v>
      </c>
      <c r="BA39" s="46"/>
      <c r="BC39" s="47"/>
      <c r="BE39" t="str">
        <f>('Gestión de abastecimiento'!A40)</f>
        <v>0</v>
      </c>
      <c r="BF39" s="39" t="str">
        <f>'Por Valoracion (3) Dimension'!F39</f>
        <v>0</v>
      </c>
      <c r="BG39" s="39" t="str">
        <f>'Por Valoracion (3) Dimension 2'!B39</f>
        <v>0</v>
      </c>
      <c r="CB39" s="47"/>
    </row>
    <row r="40" spans="1:80">
      <c r="A40" s="38"/>
      <c r="C40" t="str">
        <f>('Gestión de abastecimiento'!A41)</f>
        <v>0</v>
      </c>
      <c r="D40" s="39" t="str">
        <f>'Por Valoracion (3) Dimension'!B40</f>
        <v>0</v>
      </c>
      <c r="E40" s="39" t="str">
        <f>'Por Valoracion (3) Dimension 2'!B40</f>
        <v>0</v>
      </c>
      <c r="Z40" s="38"/>
      <c r="AB40" s="46"/>
      <c r="AD40" t="str">
        <f>('Gestión de abastecimiento'!A41)</f>
        <v>0</v>
      </c>
      <c r="AE40" s="39" t="str">
        <f>'Por Valoracion (3) Dimension'!D40</f>
        <v>0</v>
      </c>
      <c r="AF40" s="39" t="str">
        <f>'Por Valoracion (3) Dimension 2'!B40</f>
        <v>0</v>
      </c>
      <c r="BA40" s="46"/>
      <c r="BC40" s="47"/>
      <c r="BE40" t="str">
        <f>('Gestión de abastecimiento'!A41)</f>
        <v>0</v>
      </c>
      <c r="BF40" s="39" t="str">
        <f>'Por Valoracion (3) Dimension'!F40</f>
        <v>0</v>
      </c>
      <c r="BG40" s="39" t="str">
        <f>'Por Valoracion (3) Dimension 2'!B40</f>
        <v>0</v>
      </c>
      <c r="CB40" s="47"/>
    </row>
    <row r="41" spans="1:80">
      <c r="A41" s="38"/>
      <c r="C41" t="str">
        <f>('Gestión de abastecimiento'!A42)</f>
        <v>0</v>
      </c>
      <c r="D41" s="39" t="str">
        <f>'Por Valoracion (3) Dimension'!B41</f>
        <v>0</v>
      </c>
      <c r="E41" s="39" t="str">
        <f>'Por Valoracion (3) Dimension 2'!B41</f>
        <v>0</v>
      </c>
      <c r="Z41" s="38"/>
      <c r="AB41" s="46"/>
      <c r="AD41" t="str">
        <f>('Gestión de abastecimiento'!A42)</f>
        <v>0</v>
      </c>
      <c r="AE41" s="39" t="str">
        <f>'Por Valoracion (3) Dimension'!D41</f>
        <v>0</v>
      </c>
      <c r="AF41" s="39" t="str">
        <f>'Por Valoracion (3) Dimension 2'!B41</f>
        <v>0</v>
      </c>
      <c r="BA41" s="46"/>
      <c r="BC41" s="47"/>
      <c r="BE41" t="str">
        <f>('Gestión de abastecimiento'!A42)</f>
        <v>0</v>
      </c>
      <c r="BF41" s="39" t="str">
        <f>'Por Valoracion (3) Dimension'!F41</f>
        <v>0</v>
      </c>
      <c r="BG41" s="39" t="str">
        <f>'Por Valoracion (3) Dimension 2'!B41</f>
        <v>0</v>
      </c>
      <c r="CB41" s="47"/>
    </row>
    <row r="42" spans="1:80">
      <c r="A42" s="38"/>
      <c r="C42" t="str">
        <f>('Gestión de abastecimiento'!A43)</f>
        <v>0</v>
      </c>
      <c r="D42" s="39" t="str">
        <f>'Por Valoracion (3) Dimension'!B42</f>
        <v>0</v>
      </c>
      <c r="E42" s="39" t="str">
        <f>'Por Valoracion (3) Dimension 2'!B42</f>
        <v>0</v>
      </c>
      <c r="Z42" s="38"/>
      <c r="AB42" s="46"/>
      <c r="AD42" t="str">
        <f>('Gestión de abastecimiento'!A43)</f>
        <v>0</v>
      </c>
      <c r="AE42" s="39" t="str">
        <f>'Por Valoracion (3) Dimension'!D42</f>
        <v>0</v>
      </c>
      <c r="AF42" s="39" t="str">
        <f>'Por Valoracion (3) Dimension 2'!B42</f>
        <v>0</v>
      </c>
      <c r="BA42" s="46"/>
      <c r="BC42" s="47"/>
      <c r="BE42" t="str">
        <f>('Gestión de abastecimiento'!A43)</f>
        <v>0</v>
      </c>
      <c r="BF42" s="39" t="str">
        <f>'Por Valoracion (3) Dimension'!F42</f>
        <v>0</v>
      </c>
      <c r="BG42" s="39" t="str">
        <f>'Por Valoracion (3) Dimension 2'!B42</f>
        <v>0</v>
      </c>
      <c r="CB42" s="47"/>
    </row>
    <row r="43" spans="1:80">
      <c r="A43" s="38"/>
      <c r="C43" t="str">
        <f>('Gestión de abastecimiento'!A44)</f>
        <v>0</v>
      </c>
      <c r="D43" s="39" t="str">
        <f>'Por Valoracion (3) Dimension'!B43</f>
        <v>0</v>
      </c>
      <c r="E43" s="39" t="str">
        <f>'Por Valoracion (3) Dimension 2'!B43</f>
        <v>0</v>
      </c>
      <c r="Z43" s="38"/>
      <c r="AB43" s="46"/>
      <c r="AD43" t="str">
        <f>('Gestión de abastecimiento'!A44)</f>
        <v>0</v>
      </c>
      <c r="AE43" s="39" t="str">
        <f>'Por Valoracion (3) Dimension'!D43</f>
        <v>0</v>
      </c>
      <c r="AF43" s="39" t="str">
        <f>'Por Valoracion (3) Dimension 2'!B43</f>
        <v>0</v>
      </c>
      <c r="BA43" s="46"/>
      <c r="BC43" s="47"/>
      <c r="BE43" t="str">
        <f>('Gestión de abastecimiento'!A44)</f>
        <v>0</v>
      </c>
      <c r="BF43" s="39" t="str">
        <f>'Por Valoracion (3) Dimension'!F43</f>
        <v>0</v>
      </c>
      <c r="BG43" s="39" t="str">
        <f>'Por Valoracion (3) Dimension 2'!B43</f>
        <v>0</v>
      </c>
      <c r="CB43" s="47"/>
    </row>
    <row r="44" spans="1:80">
      <c r="A44" s="38"/>
      <c r="C44" t="str">
        <f>('Gestión de abastecimiento'!A45)</f>
        <v>0</v>
      </c>
      <c r="D44" s="39" t="str">
        <f>'Por Valoracion (3) Dimension'!B44</f>
        <v>0</v>
      </c>
      <c r="E44" s="39" t="str">
        <f>'Por Valoracion (3) Dimension 2'!B44</f>
        <v>0</v>
      </c>
      <c r="Z44" s="38"/>
      <c r="AB44" s="46"/>
      <c r="AD44" t="str">
        <f>('Gestión de abastecimiento'!A45)</f>
        <v>0</v>
      </c>
      <c r="AE44" s="39" t="str">
        <f>'Por Valoracion (3) Dimension'!D44</f>
        <v>0</v>
      </c>
      <c r="AF44" s="39" t="str">
        <f>'Por Valoracion (3) Dimension 2'!B44</f>
        <v>0</v>
      </c>
      <c r="BA44" s="46"/>
      <c r="BC44" s="47"/>
      <c r="BE44" t="str">
        <f>('Gestión de abastecimiento'!A45)</f>
        <v>0</v>
      </c>
      <c r="BF44" s="39" t="str">
        <f>'Por Valoracion (3) Dimension'!F44</f>
        <v>0</v>
      </c>
      <c r="BG44" s="39" t="str">
        <f>'Por Valoracion (3) Dimension 2'!B44</f>
        <v>0</v>
      </c>
      <c r="CB44" s="47"/>
    </row>
    <row r="45" spans="1:80">
      <c r="A45" s="38"/>
      <c r="C45" t="str">
        <f>('Gestión de abastecimiento'!A46)</f>
        <v>0</v>
      </c>
      <c r="D45" s="39" t="str">
        <f>'Por Valoracion (3) Dimension'!B45</f>
        <v>0</v>
      </c>
      <c r="E45" s="39" t="str">
        <f>'Por Valoracion (3) Dimension 2'!B45</f>
        <v>0</v>
      </c>
      <c r="Z45" s="38"/>
      <c r="AB45" s="46"/>
      <c r="AD45" t="str">
        <f>('Gestión de abastecimiento'!A46)</f>
        <v>0</v>
      </c>
      <c r="AE45" s="39" t="str">
        <f>'Por Valoracion (3) Dimension'!D45</f>
        <v>0</v>
      </c>
      <c r="AF45" s="39" t="str">
        <f>'Por Valoracion (3) Dimension 2'!B45</f>
        <v>0</v>
      </c>
      <c r="BA45" s="46"/>
      <c r="BC45" s="47"/>
      <c r="BE45" t="str">
        <f>('Gestión de abastecimiento'!A46)</f>
        <v>0</v>
      </c>
      <c r="BF45" s="39" t="str">
        <f>'Por Valoracion (3) Dimension'!F45</f>
        <v>0</v>
      </c>
      <c r="BG45" s="39" t="str">
        <f>'Por Valoracion (3) Dimension 2'!B45</f>
        <v>0</v>
      </c>
      <c r="CB45" s="47"/>
    </row>
    <row r="46" spans="1:80">
      <c r="A46" s="38"/>
      <c r="C46" t="str">
        <f>('Gestión de abastecimiento'!A47)</f>
        <v>0</v>
      </c>
      <c r="D46" s="39" t="str">
        <f>'Por Valoracion (3) Dimension'!B46</f>
        <v>0</v>
      </c>
      <c r="E46" s="39" t="str">
        <f>'Por Valoracion (3) Dimension 2'!B46</f>
        <v>0</v>
      </c>
      <c r="Z46" s="38"/>
      <c r="AB46" s="46"/>
      <c r="AD46" t="str">
        <f>('Gestión de abastecimiento'!A47)</f>
        <v>0</v>
      </c>
      <c r="AE46" s="39" t="str">
        <f>'Por Valoracion (3) Dimension'!D46</f>
        <v>0</v>
      </c>
      <c r="AF46" s="39" t="str">
        <f>'Por Valoracion (3) Dimension 2'!B46</f>
        <v>0</v>
      </c>
      <c r="BA46" s="46"/>
      <c r="BC46" s="47"/>
      <c r="BE46" t="str">
        <f>('Gestión de abastecimiento'!A47)</f>
        <v>0</v>
      </c>
      <c r="BF46" s="39" t="str">
        <f>'Por Valoracion (3) Dimension'!F46</f>
        <v>0</v>
      </c>
      <c r="BG46" s="39" t="str">
        <f>'Por Valoracion (3) Dimension 2'!B46</f>
        <v>0</v>
      </c>
      <c r="CB46" s="47"/>
    </row>
    <row r="47" spans="1:80">
      <c r="A47" s="38"/>
      <c r="C47" t="str">
        <f>('Gestión de abastecimiento'!A48)</f>
        <v>0</v>
      </c>
      <c r="D47" s="39" t="str">
        <f>'Por Valoracion (3) Dimension'!B47</f>
        <v>0</v>
      </c>
      <c r="E47" s="39" t="str">
        <f>'Por Valoracion (3) Dimension 2'!B47</f>
        <v>0</v>
      </c>
      <c r="Z47" s="38"/>
      <c r="AB47" s="46"/>
      <c r="AD47" t="str">
        <f>('Gestión de abastecimiento'!A48)</f>
        <v>0</v>
      </c>
      <c r="AE47" s="39" t="str">
        <f>'Por Valoracion (3) Dimension'!D47</f>
        <v>0</v>
      </c>
      <c r="AF47" s="39" t="str">
        <f>'Por Valoracion (3) Dimension 2'!B47</f>
        <v>0</v>
      </c>
      <c r="BA47" s="46"/>
      <c r="BC47" s="47"/>
      <c r="BE47" t="str">
        <f>('Gestión de abastecimiento'!A48)</f>
        <v>0</v>
      </c>
      <c r="BF47" s="39" t="str">
        <f>'Por Valoracion (3) Dimension'!F47</f>
        <v>0</v>
      </c>
      <c r="BG47" s="39" t="str">
        <f>'Por Valoracion (3) Dimension 2'!B47</f>
        <v>0</v>
      </c>
      <c r="CB47" s="47"/>
    </row>
    <row r="48" spans="1:80">
      <c r="A48" s="38"/>
      <c r="C48" t="str">
        <f>('Gestión de abastecimiento'!A49)</f>
        <v>0</v>
      </c>
      <c r="D48" s="39" t="str">
        <f>'Por Valoracion (3) Dimension'!B48</f>
        <v>0</v>
      </c>
      <c r="E48" s="39" t="str">
        <f>'Por Valoracion (3) Dimension 2'!B48</f>
        <v>0</v>
      </c>
      <c r="Z48" s="38"/>
      <c r="AB48" s="46"/>
      <c r="AD48" t="str">
        <f>('Gestión de abastecimiento'!A49)</f>
        <v>0</v>
      </c>
      <c r="AE48" s="39" t="str">
        <f>'Por Valoracion (3) Dimension'!D48</f>
        <v>0</v>
      </c>
      <c r="AF48" s="39" t="str">
        <f>'Por Valoracion (3) Dimension 2'!B48</f>
        <v>0</v>
      </c>
      <c r="BA48" s="46"/>
      <c r="BC48" s="47"/>
      <c r="BE48" t="str">
        <f>('Gestión de abastecimiento'!A49)</f>
        <v>0</v>
      </c>
      <c r="BF48" s="39" t="str">
        <f>'Por Valoracion (3) Dimension'!F48</f>
        <v>0</v>
      </c>
      <c r="BG48" s="39" t="str">
        <f>'Por Valoracion (3) Dimension 2'!B48</f>
        <v>0</v>
      </c>
      <c r="CB48" s="47"/>
    </row>
    <row r="49" spans="1:80">
      <c r="A49" s="38"/>
      <c r="C49" t="str">
        <f>('Gestión de abastecimiento'!A50)</f>
        <v>0</v>
      </c>
      <c r="D49" s="39" t="str">
        <f>'Por Valoracion (3) Dimension'!B49</f>
        <v>0</v>
      </c>
      <c r="E49" s="39" t="str">
        <f>'Por Valoracion (3) Dimension 2'!B49</f>
        <v>0</v>
      </c>
      <c r="Z49" s="38"/>
      <c r="AB49" s="46"/>
      <c r="AD49" t="str">
        <f>('Gestión de abastecimiento'!A50)</f>
        <v>0</v>
      </c>
      <c r="AE49" s="39" t="str">
        <f>'Por Valoracion (3) Dimension'!D49</f>
        <v>0</v>
      </c>
      <c r="AF49" s="39" t="str">
        <f>'Por Valoracion (3) Dimension 2'!B49</f>
        <v>0</v>
      </c>
      <c r="BA49" s="46"/>
      <c r="BC49" s="47"/>
      <c r="BE49" t="str">
        <f>('Gestión de abastecimiento'!A50)</f>
        <v>0</v>
      </c>
      <c r="BF49" s="39" t="str">
        <f>'Por Valoracion (3) Dimension'!F49</f>
        <v>0</v>
      </c>
      <c r="BG49" s="39" t="str">
        <f>'Por Valoracion (3) Dimension 2'!B49</f>
        <v>0</v>
      </c>
      <c r="CB49" s="47"/>
    </row>
    <row r="50" spans="1:80">
      <c r="A50" s="38"/>
      <c r="C50" t="str">
        <f>('Gestión de abastecimiento'!A51)</f>
        <v>0</v>
      </c>
      <c r="D50" s="39" t="str">
        <f>'Por Valoracion (3) Dimension'!B50</f>
        <v>0</v>
      </c>
      <c r="E50" s="39" t="str">
        <f>'Por Valoracion (3) Dimension 2'!B50</f>
        <v>0</v>
      </c>
      <c r="Z50" s="38"/>
      <c r="AB50" s="46"/>
      <c r="AD50" t="str">
        <f>('Gestión de abastecimiento'!A51)</f>
        <v>0</v>
      </c>
      <c r="AE50" s="39" t="str">
        <f>'Por Valoracion (3) Dimension'!D50</f>
        <v>0</v>
      </c>
      <c r="AF50" s="39" t="str">
        <f>'Por Valoracion (3) Dimension 2'!B50</f>
        <v>0</v>
      </c>
      <c r="BA50" s="46"/>
      <c r="BC50" s="47"/>
      <c r="BE50" t="str">
        <f>('Gestión de abastecimiento'!A51)</f>
        <v>0</v>
      </c>
      <c r="BF50" s="39" t="str">
        <f>'Por Valoracion (3) Dimension'!F50</f>
        <v>0</v>
      </c>
      <c r="BG50" s="39" t="str">
        <f>'Por Valoracion (3) Dimension 2'!B50</f>
        <v>0</v>
      </c>
      <c r="CB50" s="47"/>
    </row>
    <row r="51" spans="1:80">
      <c r="A51" s="38"/>
      <c r="C51" t="str">
        <f>('Gestión de abastecimiento'!A52)</f>
        <v>0</v>
      </c>
      <c r="D51" s="39" t="str">
        <f>'Por Valoracion (3) Dimension'!B51</f>
        <v>0</v>
      </c>
      <c r="E51" s="39" t="str">
        <f>'Por Valoracion (3) Dimension 2'!B51</f>
        <v>0</v>
      </c>
      <c r="Z51" s="38"/>
      <c r="AB51" s="46"/>
      <c r="AD51" t="str">
        <f>('Gestión de abastecimiento'!A52)</f>
        <v>0</v>
      </c>
      <c r="AE51" s="39" t="str">
        <f>'Por Valoracion (3) Dimension'!D51</f>
        <v>0</v>
      </c>
      <c r="AF51" s="39" t="str">
        <f>'Por Valoracion (3) Dimension 2'!B51</f>
        <v>0</v>
      </c>
      <c r="BA51" s="46"/>
      <c r="BC51" s="47"/>
      <c r="BE51" t="str">
        <f>('Gestión de abastecimiento'!A52)</f>
        <v>0</v>
      </c>
      <c r="BF51" s="39" t="str">
        <f>'Por Valoracion (3) Dimension'!F51</f>
        <v>0</v>
      </c>
      <c r="BG51" s="39" t="str">
        <f>'Por Valoracion (3) Dimension 2'!B51</f>
        <v>0</v>
      </c>
      <c r="CB51" s="47"/>
    </row>
    <row r="52" spans="1:80">
      <c r="A52" s="38"/>
      <c r="C52" t="str">
        <f>('Gestión de abastecimiento'!A53)</f>
        <v>0</v>
      </c>
      <c r="D52" s="39" t="str">
        <f>'Por Valoracion (3) Dimension'!B52</f>
        <v>0</v>
      </c>
      <c r="E52" s="39" t="str">
        <f>'Por Valoracion (3) Dimension 2'!B52</f>
        <v>0</v>
      </c>
      <c r="Z52" s="38"/>
      <c r="AB52" s="46"/>
      <c r="AD52" t="str">
        <f>('Gestión de abastecimiento'!A53)</f>
        <v>0</v>
      </c>
      <c r="AE52" s="39" t="str">
        <f>'Por Valoracion (3) Dimension'!D52</f>
        <v>0</v>
      </c>
      <c r="AF52" s="39" t="str">
        <f>'Por Valoracion (3) Dimension 2'!B52</f>
        <v>0</v>
      </c>
      <c r="BA52" s="46"/>
      <c r="BC52" s="47"/>
      <c r="BE52" t="str">
        <f>('Gestión de abastecimiento'!A53)</f>
        <v>0</v>
      </c>
      <c r="BF52" s="39" t="str">
        <f>'Por Valoracion (3) Dimension'!F52</f>
        <v>0</v>
      </c>
      <c r="BG52" s="39" t="str">
        <f>'Por Valoracion (3) Dimension 2'!B52</f>
        <v>0</v>
      </c>
      <c r="CB52" s="47"/>
    </row>
    <row r="53" spans="1:80">
      <c r="A53" s="38"/>
      <c r="C53" t="str">
        <f>('Gestión de abastecimiento'!A54)</f>
        <v>0</v>
      </c>
      <c r="D53" s="39" t="str">
        <f>'Por Valoracion (3) Dimension'!B53</f>
        <v>0</v>
      </c>
      <c r="E53" s="39" t="str">
        <f>'Por Valoracion (3) Dimension 2'!B53</f>
        <v>0</v>
      </c>
      <c r="Z53" s="38"/>
      <c r="AB53" s="46"/>
      <c r="AD53" t="str">
        <f>('Gestión de abastecimiento'!A54)</f>
        <v>0</v>
      </c>
      <c r="AE53" s="39" t="str">
        <f>'Por Valoracion (3) Dimension'!D53</f>
        <v>0</v>
      </c>
      <c r="AF53" s="39" t="str">
        <f>'Por Valoracion (3) Dimension 2'!B53</f>
        <v>0</v>
      </c>
      <c r="BA53" s="46"/>
      <c r="BC53" s="47"/>
      <c r="BE53" t="str">
        <f>('Gestión de abastecimiento'!A54)</f>
        <v>0</v>
      </c>
      <c r="BF53" s="39" t="str">
        <f>'Por Valoracion (3) Dimension'!F53</f>
        <v>0</v>
      </c>
      <c r="BG53" s="39" t="str">
        <f>'Por Valoracion (3) Dimension 2'!B53</f>
        <v>0</v>
      </c>
      <c r="CB53" s="47"/>
    </row>
    <row r="54" spans="1:80">
      <c r="A54" s="38"/>
      <c r="C54" t="str">
        <f>('Gestión de abastecimiento'!A55)</f>
        <v>0</v>
      </c>
      <c r="D54" s="39" t="str">
        <f>'Por Valoracion (3) Dimension'!B54</f>
        <v>0</v>
      </c>
      <c r="E54" s="39" t="str">
        <f>'Por Valoracion (3) Dimension 2'!B54</f>
        <v>0</v>
      </c>
      <c r="Z54" s="38"/>
      <c r="AB54" s="46"/>
      <c r="AD54" t="str">
        <f>('Gestión de abastecimiento'!A55)</f>
        <v>0</v>
      </c>
      <c r="AE54" s="39" t="str">
        <f>'Por Valoracion (3) Dimension'!D54</f>
        <v>0</v>
      </c>
      <c r="AF54" s="39" t="str">
        <f>'Por Valoracion (3) Dimension 2'!B54</f>
        <v>0</v>
      </c>
      <c r="BA54" s="46"/>
      <c r="BC54" s="47"/>
      <c r="BE54" t="str">
        <f>('Gestión de abastecimiento'!A55)</f>
        <v>0</v>
      </c>
      <c r="BF54" s="39" t="str">
        <f>'Por Valoracion (3) Dimension'!F54</f>
        <v>0</v>
      </c>
      <c r="BG54" s="39" t="str">
        <f>'Por Valoracion (3) Dimension 2'!B54</f>
        <v>0</v>
      </c>
      <c r="CB54" s="47"/>
    </row>
    <row r="55" spans="1:80">
      <c r="A55" s="38"/>
      <c r="C55" t="str">
        <f>('Gestión de abastecimiento'!A56)</f>
        <v>0</v>
      </c>
      <c r="D55" s="39" t="str">
        <f>'Por Valoracion (3) Dimension'!B55</f>
        <v>0</v>
      </c>
      <c r="E55" s="39" t="str">
        <f>'Por Valoracion (3) Dimension 2'!B55</f>
        <v>0</v>
      </c>
      <c r="Z55" s="38"/>
      <c r="AB55" s="46"/>
      <c r="AD55" t="str">
        <f>('Gestión de abastecimiento'!A56)</f>
        <v>0</v>
      </c>
      <c r="AE55" s="39" t="str">
        <f>'Por Valoracion (3) Dimension'!D55</f>
        <v>0</v>
      </c>
      <c r="AF55" s="39" t="str">
        <f>'Por Valoracion (3) Dimension 2'!B55</f>
        <v>0</v>
      </c>
      <c r="BA55" s="46"/>
      <c r="BC55" s="47"/>
      <c r="BE55" t="str">
        <f>('Gestión de abastecimiento'!A56)</f>
        <v>0</v>
      </c>
      <c r="BF55" s="39" t="str">
        <f>'Por Valoracion (3) Dimension'!F55</f>
        <v>0</v>
      </c>
      <c r="BG55" s="39" t="str">
        <f>'Por Valoracion (3) Dimension 2'!B55</f>
        <v>0</v>
      </c>
      <c r="CB55" s="47"/>
    </row>
    <row r="56" spans="1:80">
      <c r="A56" s="38"/>
      <c r="C56" t="str">
        <f>('Gestión de abastecimiento'!A57)</f>
        <v>0</v>
      </c>
      <c r="D56" s="39" t="str">
        <f>'Por Valoracion (3) Dimension'!B56</f>
        <v>0</v>
      </c>
      <c r="E56" s="39" t="str">
        <f>'Por Valoracion (3) Dimension 2'!B56</f>
        <v>0</v>
      </c>
      <c r="Z56" s="38"/>
      <c r="AB56" s="46"/>
      <c r="AD56" t="str">
        <f>('Gestión de abastecimiento'!A57)</f>
        <v>0</v>
      </c>
      <c r="AE56" s="39" t="str">
        <f>'Por Valoracion (3) Dimension'!D56</f>
        <v>0</v>
      </c>
      <c r="AF56" s="39" t="str">
        <f>'Por Valoracion (3) Dimension 2'!B56</f>
        <v>0</v>
      </c>
      <c r="BA56" s="46"/>
      <c r="BC56" s="47"/>
      <c r="BE56" t="str">
        <f>('Gestión de abastecimiento'!A57)</f>
        <v>0</v>
      </c>
      <c r="BF56" s="39" t="str">
        <f>'Por Valoracion (3) Dimension'!F56</f>
        <v>0</v>
      </c>
      <c r="BG56" s="39" t="str">
        <f>'Por Valoracion (3) Dimension 2'!B56</f>
        <v>0</v>
      </c>
      <c r="CB56" s="47"/>
    </row>
    <row r="57" spans="1:80">
      <c r="A57" s="38"/>
      <c r="C57" t="str">
        <f>('Gestión de abastecimiento'!A58)</f>
        <v>0</v>
      </c>
      <c r="D57" s="39" t="str">
        <f>'Por Valoracion (3) Dimension'!B57</f>
        <v>0</v>
      </c>
      <c r="E57" s="39" t="str">
        <f>'Por Valoracion (3) Dimension 2'!B57</f>
        <v>0</v>
      </c>
      <c r="Z57" s="38"/>
      <c r="AB57" s="46"/>
      <c r="AD57" t="str">
        <f>('Gestión de abastecimiento'!A58)</f>
        <v>0</v>
      </c>
      <c r="AE57" s="39" t="str">
        <f>'Por Valoracion (3) Dimension'!D57</f>
        <v>0</v>
      </c>
      <c r="AF57" s="39" t="str">
        <f>'Por Valoracion (3) Dimension 2'!B57</f>
        <v>0</v>
      </c>
      <c r="BA57" s="46"/>
      <c r="BC57" s="47"/>
      <c r="BE57" t="str">
        <f>('Gestión de abastecimiento'!A58)</f>
        <v>0</v>
      </c>
      <c r="BF57" s="39" t="str">
        <f>'Por Valoracion (3) Dimension'!F57</f>
        <v>0</v>
      </c>
      <c r="BG57" s="39" t="str">
        <f>'Por Valoracion (3) Dimension 2'!B57</f>
        <v>0</v>
      </c>
      <c r="CB57" s="47"/>
    </row>
    <row r="58" spans="1:80">
      <c r="A58" s="38"/>
      <c r="C58" t="str">
        <f>('Gestión de abastecimiento'!A59)</f>
        <v>0</v>
      </c>
      <c r="D58" s="39" t="str">
        <f>'Por Valoracion (3) Dimension'!B58</f>
        <v>0</v>
      </c>
      <c r="E58" s="39" t="str">
        <f>'Por Valoracion (3) Dimension 2'!B58</f>
        <v>0</v>
      </c>
      <c r="Z58" s="38"/>
      <c r="AB58" s="46"/>
      <c r="AD58" t="str">
        <f>('Gestión de abastecimiento'!A59)</f>
        <v>0</v>
      </c>
      <c r="AE58" s="39" t="str">
        <f>'Por Valoracion (3) Dimension'!D58</f>
        <v>0</v>
      </c>
      <c r="AF58" s="39" t="str">
        <f>'Por Valoracion (3) Dimension 2'!B58</f>
        <v>0</v>
      </c>
      <c r="BA58" s="46"/>
      <c r="BC58" s="47"/>
      <c r="BE58" t="str">
        <f>('Gestión de abastecimiento'!A59)</f>
        <v>0</v>
      </c>
      <c r="BF58" s="39" t="str">
        <f>'Por Valoracion (3) Dimension'!F58</f>
        <v>0</v>
      </c>
      <c r="BG58" s="39" t="str">
        <f>'Por Valoracion (3) Dimension 2'!B58</f>
        <v>0</v>
      </c>
      <c r="CB58" s="47"/>
    </row>
    <row r="59" spans="1:80">
      <c r="A59" s="38"/>
      <c r="C59" t="str">
        <f>('Gestión de abastecimiento'!A60)</f>
        <v>0</v>
      </c>
      <c r="D59" s="39" t="str">
        <f>'Por Valoracion (3) Dimension'!B59</f>
        <v>0</v>
      </c>
      <c r="E59" s="39" t="str">
        <f>'Por Valoracion (3) Dimension 2'!B59</f>
        <v>0</v>
      </c>
      <c r="Z59" s="38"/>
      <c r="AB59" s="46"/>
      <c r="AD59" t="str">
        <f>('Gestión de abastecimiento'!A60)</f>
        <v>0</v>
      </c>
      <c r="AE59" s="39" t="str">
        <f>'Por Valoracion (3) Dimension'!D59</f>
        <v>0</v>
      </c>
      <c r="AF59" s="39" t="str">
        <f>'Por Valoracion (3) Dimension 2'!B59</f>
        <v>0</v>
      </c>
      <c r="BA59" s="46"/>
      <c r="BC59" s="47"/>
      <c r="BE59" t="str">
        <f>('Gestión de abastecimiento'!A60)</f>
        <v>0</v>
      </c>
      <c r="BF59" s="39" t="str">
        <f>'Por Valoracion (3) Dimension'!F59</f>
        <v>0</v>
      </c>
      <c r="BG59" s="39" t="str">
        <f>'Por Valoracion (3) Dimension 2'!B59</f>
        <v>0</v>
      </c>
      <c r="CB59" s="47"/>
    </row>
    <row r="60" spans="1:80">
      <c r="A60" s="38"/>
      <c r="C60" t="str">
        <f>('Gestión de abastecimiento'!A61)</f>
        <v>0</v>
      </c>
      <c r="D60" s="39" t="str">
        <f>'Por Valoracion (3) Dimension'!B60</f>
        <v>0</v>
      </c>
      <c r="E60" s="39" t="str">
        <f>'Por Valoracion (3) Dimension 2'!B60</f>
        <v>0</v>
      </c>
      <c r="Z60" s="38"/>
      <c r="AB60" s="46"/>
      <c r="AD60" t="str">
        <f>('Gestión de abastecimiento'!A61)</f>
        <v>0</v>
      </c>
      <c r="AE60" s="39" t="str">
        <f>'Por Valoracion (3) Dimension'!D60</f>
        <v>0</v>
      </c>
      <c r="AF60" s="39" t="str">
        <f>'Por Valoracion (3) Dimension 2'!B60</f>
        <v>0</v>
      </c>
      <c r="BA60" s="46"/>
      <c r="BC60" s="47"/>
      <c r="BE60" t="str">
        <f>('Gestión de abastecimiento'!A61)</f>
        <v>0</v>
      </c>
      <c r="BF60" s="39" t="str">
        <f>'Por Valoracion (3) Dimension'!F60</f>
        <v>0</v>
      </c>
      <c r="BG60" s="39" t="str">
        <f>'Por Valoracion (3) Dimension 2'!B60</f>
        <v>0</v>
      </c>
      <c r="CB60" s="47"/>
    </row>
    <row r="61" spans="1:80">
      <c r="A61" s="38"/>
      <c r="C61" t="str">
        <f>('Gestión de abastecimiento'!A62)</f>
        <v>0</v>
      </c>
      <c r="D61" s="39" t="str">
        <f>'Por Valoracion (3) Dimension'!B61</f>
        <v>0</v>
      </c>
      <c r="E61" s="39" t="str">
        <f>'Por Valoracion (3) Dimension 2'!B61</f>
        <v>0</v>
      </c>
      <c r="Z61" s="38"/>
      <c r="AB61" s="46"/>
      <c r="AD61" t="str">
        <f>('Gestión de abastecimiento'!A62)</f>
        <v>0</v>
      </c>
      <c r="AE61" s="39" t="str">
        <f>'Por Valoracion (3) Dimension'!D61</f>
        <v>0</v>
      </c>
      <c r="AF61" s="39" t="str">
        <f>'Por Valoracion (3) Dimension 2'!B61</f>
        <v>0</v>
      </c>
      <c r="BA61" s="46"/>
      <c r="BC61" s="47"/>
      <c r="BE61" t="str">
        <f>('Gestión de abastecimiento'!A62)</f>
        <v>0</v>
      </c>
      <c r="BF61" s="39" t="str">
        <f>'Por Valoracion (3) Dimension'!F61</f>
        <v>0</v>
      </c>
      <c r="BG61" s="39" t="str">
        <f>'Por Valoracion (3) Dimension 2'!B61</f>
        <v>0</v>
      </c>
      <c r="CB61" s="47"/>
    </row>
    <row r="62" spans="1:80">
      <c r="A62" s="38"/>
      <c r="C62" t="str">
        <f>('Gestión de abastecimiento'!A63)</f>
        <v>0</v>
      </c>
      <c r="D62" s="39" t="str">
        <f>'Por Valoracion (3) Dimension'!B62</f>
        <v>0</v>
      </c>
      <c r="E62" s="39" t="str">
        <f>'Por Valoracion (3) Dimension 2'!B62</f>
        <v>0</v>
      </c>
      <c r="Z62" s="38"/>
      <c r="AB62" s="46"/>
      <c r="AD62" t="str">
        <f>('Gestión de abastecimiento'!A63)</f>
        <v>0</v>
      </c>
      <c r="AE62" s="39" t="str">
        <f>'Por Valoracion (3) Dimension'!D62</f>
        <v>0</v>
      </c>
      <c r="AF62" s="39" t="str">
        <f>'Por Valoracion (3) Dimension 2'!B62</f>
        <v>0</v>
      </c>
      <c r="BA62" s="46"/>
      <c r="BC62" s="47"/>
      <c r="BE62" t="str">
        <f>('Gestión de abastecimiento'!A63)</f>
        <v>0</v>
      </c>
      <c r="BF62" s="39" t="str">
        <f>'Por Valoracion (3) Dimension'!F62</f>
        <v>0</v>
      </c>
      <c r="BG62" s="39" t="str">
        <f>'Por Valoracion (3) Dimension 2'!B62</f>
        <v>0</v>
      </c>
      <c r="CB62" s="47"/>
    </row>
    <row r="63" spans="1:80">
      <c r="A63" s="38"/>
      <c r="C63" t="str">
        <f>('Gestión de abastecimiento'!A64)</f>
        <v>0</v>
      </c>
      <c r="D63" s="39" t="str">
        <f>'Por Valoracion (3) Dimension'!B63</f>
        <v>0</v>
      </c>
      <c r="E63" s="39" t="str">
        <f>'Por Valoracion (3) Dimension 2'!B63</f>
        <v>0</v>
      </c>
      <c r="Z63" s="38"/>
      <c r="AB63" s="46"/>
      <c r="AD63" t="str">
        <f>('Gestión de abastecimiento'!A64)</f>
        <v>0</v>
      </c>
      <c r="AE63" s="39" t="str">
        <f>'Por Valoracion (3) Dimension'!D63</f>
        <v>0</v>
      </c>
      <c r="AF63" s="39" t="str">
        <f>'Por Valoracion (3) Dimension 2'!B63</f>
        <v>0</v>
      </c>
      <c r="BA63" s="46"/>
      <c r="BC63" s="47"/>
      <c r="BE63" t="str">
        <f>('Gestión de abastecimiento'!A64)</f>
        <v>0</v>
      </c>
      <c r="BF63" s="39" t="str">
        <f>'Por Valoracion (3) Dimension'!F63</f>
        <v>0</v>
      </c>
      <c r="BG63" s="39" t="str">
        <f>'Por Valoracion (3) Dimension 2'!B63</f>
        <v>0</v>
      </c>
      <c r="CB63" s="47"/>
    </row>
    <row r="64" spans="1:80">
      <c r="A64" s="38"/>
      <c r="C64" t="str">
        <f>('Gestión de abastecimiento'!A65)</f>
        <v>0</v>
      </c>
      <c r="D64" s="39" t="str">
        <f>'Por Valoracion (3) Dimension'!B64</f>
        <v>0</v>
      </c>
      <c r="E64" s="39" t="str">
        <f>'Por Valoracion (3) Dimension 2'!B64</f>
        <v>0</v>
      </c>
      <c r="Z64" s="38"/>
      <c r="AB64" s="46"/>
      <c r="AD64" t="str">
        <f>('Gestión de abastecimiento'!A65)</f>
        <v>0</v>
      </c>
      <c r="AE64" s="39" t="str">
        <f>'Por Valoracion (3) Dimension'!D64</f>
        <v>0</v>
      </c>
      <c r="AF64" s="39" t="str">
        <f>'Por Valoracion (3) Dimension 2'!B64</f>
        <v>0</v>
      </c>
      <c r="BA64" s="46"/>
      <c r="BC64" s="47"/>
      <c r="BE64" t="str">
        <f>('Gestión de abastecimiento'!A65)</f>
        <v>0</v>
      </c>
      <c r="BF64" s="39" t="str">
        <f>'Por Valoracion (3) Dimension'!F64</f>
        <v>0</v>
      </c>
      <c r="BG64" s="39" t="str">
        <f>'Por Valoracion (3) Dimension 2'!B64</f>
        <v>0</v>
      </c>
      <c r="CB64" s="47"/>
    </row>
    <row r="65" spans="1:80">
      <c r="A65" s="38"/>
      <c r="C65" t="str">
        <f>('Gestión de abastecimiento'!A66)</f>
        <v>0</v>
      </c>
      <c r="D65" s="39" t="str">
        <f>'Por Valoracion (3) Dimension'!B65</f>
        <v>0</v>
      </c>
      <c r="E65" s="39" t="str">
        <f>'Por Valoracion (3) Dimension 2'!B65</f>
        <v>0</v>
      </c>
      <c r="Z65" s="38"/>
      <c r="AB65" s="46"/>
      <c r="AD65" t="str">
        <f>('Gestión de abastecimiento'!A66)</f>
        <v>0</v>
      </c>
      <c r="AE65" s="39" t="str">
        <f>'Por Valoracion (3) Dimension'!D65</f>
        <v>0</v>
      </c>
      <c r="AF65" s="39" t="str">
        <f>'Por Valoracion (3) Dimension 2'!B65</f>
        <v>0</v>
      </c>
      <c r="BA65" s="46"/>
      <c r="BC65" s="47"/>
      <c r="BE65" t="str">
        <f>('Gestión de abastecimiento'!A66)</f>
        <v>0</v>
      </c>
      <c r="BF65" s="39" t="str">
        <f>'Por Valoracion (3) Dimension'!F65</f>
        <v>0</v>
      </c>
      <c r="BG65" s="39" t="str">
        <f>'Por Valoracion (3) Dimension 2'!B65</f>
        <v>0</v>
      </c>
      <c r="CB65" s="47"/>
    </row>
    <row r="66" spans="1:80">
      <c r="A66" s="38"/>
      <c r="C66" t="str">
        <f>('Gestión de abastecimiento'!A67)</f>
        <v>0</v>
      </c>
      <c r="D66" s="39" t="str">
        <f>'Por Valoracion (3) Dimension'!B66</f>
        <v>0</v>
      </c>
      <c r="E66" s="39" t="str">
        <f>'Por Valoracion (3) Dimension 2'!B66</f>
        <v>0</v>
      </c>
      <c r="Z66" s="38"/>
      <c r="AB66" s="46"/>
      <c r="AD66" t="str">
        <f>('Gestión de abastecimiento'!A67)</f>
        <v>0</v>
      </c>
      <c r="AE66" s="39" t="str">
        <f>'Por Valoracion (3) Dimension'!D66</f>
        <v>0</v>
      </c>
      <c r="AF66" s="39" t="str">
        <f>'Por Valoracion (3) Dimension 2'!B66</f>
        <v>0</v>
      </c>
      <c r="BA66" s="46"/>
      <c r="BC66" s="47"/>
      <c r="BE66" t="str">
        <f>('Gestión de abastecimiento'!A67)</f>
        <v>0</v>
      </c>
      <c r="BF66" s="39" t="str">
        <f>'Por Valoracion (3) Dimension'!F66</f>
        <v>0</v>
      </c>
      <c r="BG66" s="39" t="str">
        <f>'Por Valoracion (3) Dimension 2'!B66</f>
        <v>0</v>
      </c>
      <c r="CB66" s="47"/>
    </row>
    <row r="67" spans="1:80">
      <c r="A67" s="38"/>
      <c r="C67" t="str">
        <f>('Gestión de abastecimiento'!A68)</f>
        <v>0</v>
      </c>
      <c r="D67" s="39" t="str">
        <f>'Por Valoracion (3) Dimension'!B67</f>
        <v>0</v>
      </c>
      <c r="E67" s="39" t="str">
        <f>'Por Valoracion (3) Dimension 2'!B67</f>
        <v>0</v>
      </c>
      <c r="Z67" s="38"/>
      <c r="AB67" s="46"/>
      <c r="AD67" t="str">
        <f>('Gestión de abastecimiento'!A68)</f>
        <v>0</v>
      </c>
      <c r="AE67" s="39" t="str">
        <f>'Por Valoracion (3) Dimension'!D67</f>
        <v>0</v>
      </c>
      <c r="AF67" s="39" t="str">
        <f>'Por Valoracion (3) Dimension 2'!B67</f>
        <v>0</v>
      </c>
      <c r="BA67" s="46"/>
      <c r="BC67" s="47"/>
      <c r="BE67" t="str">
        <f>('Gestión de abastecimiento'!A68)</f>
        <v>0</v>
      </c>
      <c r="BF67" s="39" t="str">
        <f>'Por Valoracion (3) Dimension'!F67</f>
        <v>0</v>
      </c>
      <c r="BG67" s="39" t="str">
        <f>'Por Valoracion (3) Dimension 2'!B67</f>
        <v>0</v>
      </c>
      <c r="CB67" s="47"/>
    </row>
    <row r="68" spans="1:80">
      <c r="A68" s="38"/>
      <c r="C68" t="str">
        <f>('Gestión de abastecimiento'!A69)</f>
        <v>0</v>
      </c>
      <c r="D68" s="39" t="str">
        <f>'Por Valoracion (3) Dimension'!B68</f>
        <v>0</v>
      </c>
      <c r="E68" s="39" t="str">
        <f>'Por Valoracion (3) Dimension 2'!B68</f>
        <v>0</v>
      </c>
      <c r="Z68" s="38"/>
      <c r="AB68" s="46"/>
      <c r="AD68" t="str">
        <f>('Gestión de abastecimiento'!A69)</f>
        <v>0</v>
      </c>
      <c r="AE68" s="39" t="str">
        <f>'Por Valoracion (3) Dimension'!D68</f>
        <v>0</v>
      </c>
      <c r="AF68" s="39" t="str">
        <f>'Por Valoracion (3) Dimension 2'!B68</f>
        <v>0</v>
      </c>
      <c r="BA68" s="46"/>
      <c r="BC68" s="47"/>
      <c r="BE68" t="str">
        <f>('Gestión de abastecimiento'!A69)</f>
        <v>0</v>
      </c>
      <c r="BF68" s="39" t="str">
        <f>'Por Valoracion (3) Dimension'!F68</f>
        <v>0</v>
      </c>
      <c r="BG68" s="39" t="str">
        <f>'Por Valoracion (3) Dimension 2'!B68</f>
        <v>0</v>
      </c>
      <c r="CB68" s="47"/>
    </row>
    <row r="69" spans="1:80">
      <c r="A69" s="38"/>
      <c r="C69" t="str">
        <f>('Gestión de abastecimiento'!A70)</f>
        <v>0</v>
      </c>
      <c r="D69" s="39" t="str">
        <f>'Por Valoracion (3) Dimension'!B69</f>
        <v>0</v>
      </c>
      <c r="E69" s="39" t="str">
        <f>'Por Valoracion (3) Dimension 2'!B69</f>
        <v>0</v>
      </c>
      <c r="Z69" s="38"/>
      <c r="AB69" s="46"/>
      <c r="AD69" t="str">
        <f>('Gestión de abastecimiento'!A70)</f>
        <v>0</v>
      </c>
      <c r="AE69" s="39" t="str">
        <f>'Por Valoracion (3) Dimension'!D69</f>
        <v>0</v>
      </c>
      <c r="AF69" s="39" t="str">
        <f>'Por Valoracion (3) Dimension 2'!B69</f>
        <v>0</v>
      </c>
      <c r="BA69" s="46"/>
      <c r="BC69" s="47"/>
      <c r="BE69" t="str">
        <f>('Gestión de abastecimiento'!A70)</f>
        <v>0</v>
      </c>
      <c r="BF69" s="39" t="str">
        <f>'Por Valoracion (3) Dimension'!F69</f>
        <v>0</v>
      </c>
      <c r="BG69" s="39" t="str">
        <f>'Por Valoracion (3) Dimension 2'!B69</f>
        <v>0</v>
      </c>
      <c r="CB69" s="47"/>
    </row>
    <row r="70" spans="1:80">
      <c r="A70" s="38"/>
      <c r="C70" t="str">
        <f>('Gestión de abastecimiento'!A71)</f>
        <v>0</v>
      </c>
      <c r="D70" s="39" t="str">
        <f>'Por Valoracion (3) Dimension'!B70</f>
        <v>0</v>
      </c>
      <c r="E70" s="39" t="str">
        <f>'Por Valoracion (3) Dimension 2'!B70</f>
        <v>0</v>
      </c>
      <c r="Z70" s="38"/>
      <c r="AB70" s="46"/>
      <c r="AD70" t="str">
        <f>('Gestión de abastecimiento'!A71)</f>
        <v>0</v>
      </c>
      <c r="AE70" s="39" t="str">
        <f>'Por Valoracion (3) Dimension'!D70</f>
        <v>0</v>
      </c>
      <c r="AF70" s="39" t="str">
        <f>'Por Valoracion (3) Dimension 2'!B70</f>
        <v>0</v>
      </c>
      <c r="BA70" s="46"/>
      <c r="BC70" s="47"/>
      <c r="BE70" t="str">
        <f>('Gestión de abastecimiento'!A71)</f>
        <v>0</v>
      </c>
      <c r="BF70" s="39" t="str">
        <f>'Por Valoracion (3) Dimension'!F70</f>
        <v>0</v>
      </c>
      <c r="BG70" s="39" t="str">
        <f>'Por Valoracion (3) Dimension 2'!B70</f>
        <v>0</v>
      </c>
      <c r="CB70" s="47"/>
    </row>
    <row r="71" spans="1:80">
      <c r="A71" s="38"/>
      <c r="C71" t="str">
        <f>('Gestión de abastecimiento'!A72)</f>
        <v>0</v>
      </c>
      <c r="D71" s="39" t="str">
        <f>'Por Valoracion (3) Dimension'!B71</f>
        <v>0</v>
      </c>
      <c r="E71" s="39" t="str">
        <f>'Por Valoracion (3) Dimension 2'!B71</f>
        <v>0</v>
      </c>
      <c r="Z71" s="38"/>
      <c r="AB71" s="46"/>
      <c r="AD71" t="str">
        <f>('Gestión de abastecimiento'!A72)</f>
        <v>0</v>
      </c>
      <c r="AE71" s="39" t="str">
        <f>'Por Valoracion (3) Dimension'!D71</f>
        <v>0</v>
      </c>
      <c r="AF71" s="39" t="str">
        <f>'Por Valoracion (3) Dimension 2'!B71</f>
        <v>0</v>
      </c>
      <c r="BA71" s="46"/>
      <c r="BC71" s="47"/>
      <c r="BE71" t="str">
        <f>('Gestión de abastecimiento'!A72)</f>
        <v>0</v>
      </c>
      <c r="BF71" s="39" t="str">
        <f>'Por Valoracion (3) Dimension'!F71</f>
        <v>0</v>
      </c>
      <c r="BG71" s="39" t="str">
        <f>'Por Valoracion (3) Dimension 2'!B71</f>
        <v>0</v>
      </c>
      <c r="CB71" s="47"/>
    </row>
    <row r="72" spans="1:80">
      <c r="A72" s="38"/>
      <c r="C72" t="str">
        <f>('Gestión de abastecimiento'!A73)</f>
        <v>0</v>
      </c>
      <c r="D72" s="39" t="str">
        <f>'Por Valoracion (3) Dimension'!B72</f>
        <v>0</v>
      </c>
      <c r="E72" s="39" t="str">
        <f>'Por Valoracion (3) Dimension 2'!B72</f>
        <v>0</v>
      </c>
      <c r="Z72" s="38"/>
      <c r="AB72" s="46"/>
      <c r="AD72" t="str">
        <f>('Gestión de abastecimiento'!A73)</f>
        <v>0</v>
      </c>
      <c r="AE72" s="39" t="str">
        <f>'Por Valoracion (3) Dimension'!D72</f>
        <v>0</v>
      </c>
      <c r="AF72" s="39" t="str">
        <f>'Por Valoracion (3) Dimension 2'!B72</f>
        <v>0</v>
      </c>
      <c r="BA72" s="46"/>
      <c r="BC72" s="47"/>
      <c r="BE72" t="str">
        <f>('Gestión de abastecimiento'!A73)</f>
        <v>0</v>
      </c>
      <c r="BF72" s="39" t="str">
        <f>'Por Valoracion (3) Dimension'!F72</f>
        <v>0</v>
      </c>
      <c r="BG72" s="39" t="str">
        <f>'Por Valoracion (3) Dimension 2'!B72</f>
        <v>0</v>
      </c>
      <c r="CB72" s="47"/>
    </row>
    <row r="73" spans="1:80">
      <c r="A73" s="38"/>
      <c r="C73" t="str">
        <f>('Gestión de abastecimiento'!A74)</f>
        <v>0</v>
      </c>
      <c r="D73" s="39" t="str">
        <f>'Por Valoracion (3) Dimension'!B73</f>
        <v>0</v>
      </c>
      <c r="E73" s="39" t="str">
        <f>'Por Valoracion (3) Dimension 2'!B73</f>
        <v>0</v>
      </c>
      <c r="Z73" s="38"/>
      <c r="AB73" s="46"/>
      <c r="AD73" t="str">
        <f>('Gestión de abastecimiento'!A74)</f>
        <v>0</v>
      </c>
      <c r="AE73" s="39" t="str">
        <f>'Por Valoracion (3) Dimension'!D73</f>
        <v>0</v>
      </c>
      <c r="AF73" s="39" t="str">
        <f>'Por Valoracion (3) Dimension 2'!B73</f>
        <v>0</v>
      </c>
      <c r="BA73" s="46"/>
      <c r="BC73" s="47"/>
      <c r="BE73" t="str">
        <f>('Gestión de abastecimiento'!A74)</f>
        <v>0</v>
      </c>
      <c r="BF73" s="39" t="str">
        <f>'Por Valoracion (3) Dimension'!F73</f>
        <v>0</v>
      </c>
      <c r="BG73" s="39" t="str">
        <f>'Por Valoracion (3) Dimension 2'!B73</f>
        <v>0</v>
      </c>
      <c r="CB73" s="47"/>
    </row>
    <row r="74" spans="1:80">
      <c r="A74" s="38"/>
      <c r="C74" t="str">
        <f>('Gestión de abastecimiento'!A75)</f>
        <v>0</v>
      </c>
      <c r="D74" s="39" t="str">
        <f>'Por Valoracion (3) Dimension'!B74</f>
        <v>0</v>
      </c>
      <c r="E74" s="39" t="str">
        <f>'Por Valoracion (3) Dimension 2'!B74</f>
        <v>0</v>
      </c>
      <c r="Z74" s="38"/>
      <c r="AB74" s="46"/>
      <c r="AD74" t="str">
        <f>('Gestión de abastecimiento'!A75)</f>
        <v>0</v>
      </c>
      <c r="AE74" s="39" t="str">
        <f>'Por Valoracion (3) Dimension'!D74</f>
        <v>0</v>
      </c>
      <c r="AF74" s="39" t="str">
        <f>'Por Valoracion (3) Dimension 2'!B74</f>
        <v>0</v>
      </c>
      <c r="BA74" s="46"/>
      <c r="BC74" s="47"/>
      <c r="BE74" t="str">
        <f>('Gestión de abastecimiento'!A75)</f>
        <v>0</v>
      </c>
      <c r="BF74" s="39" t="str">
        <f>'Por Valoracion (3) Dimension'!F74</f>
        <v>0</v>
      </c>
      <c r="BG74" s="39" t="str">
        <f>'Por Valoracion (3) Dimension 2'!B74</f>
        <v>0</v>
      </c>
      <c r="CB74" s="47"/>
    </row>
    <row r="75" spans="1:80">
      <c r="A75" s="38"/>
      <c r="C75" t="str">
        <f>('Gestión de abastecimiento'!A76)</f>
        <v>0</v>
      </c>
      <c r="D75" s="39" t="str">
        <f>'Por Valoracion (3) Dimension'!B75</f>
        <v>0</v>
      </c>
      <c r="E75" s="39" t="str">
        <f>'Por Valoracion (3) Dimension 2'!B75</f>
        <v>0</v>
      </c>
      <c r="Z75" s="38"/>
      <c r="AB75" s="46"/>
      <c r="AD75" t="str">
        <f>('Gestión de abastecimiento'!A76)</f>
        <v>0</v>
      </c>
      <c r="AE75" s="39" t="str">
        <f>'Por Valoracion (3) Dimension'!D75</f>
        <v>0</v>
      </c>
      <c r="AF75" s="39" t="str">
        <f>'Por Valoracion (3) Dimension 2'!B75</f>
        <v>0</v>
      </c>
      <c r="BA75" s="46"/>
      <c r="BC75" s="47"/>
      <c r="BE75" t="str">
        <f>('Gestión de abastecimiento'!A76)</f>
        <v>0</v>
      </c>
      <c r="BF75" s="39" t="str">
        <f>'Por Valoracion (3) Dimension'!F75</f>
        <v>0</v>
      </c>
      <c r="BG75" s="39" t="str">
        <f>'Por Valoracion (3) Dimension 2'!B75</f>
        <v>0</v>
      </c>
      <c r="CB75" s="47"/>
    </row>
    <row r="76" spans="1:80">
      <c r="A76" s="38"/>
      <c r="C76" t="str">
        <f>('Gestión de abastecimiento'!A77)</f>
        <v>0</v>
      </c>
      <c r="D76" s="39" t="str">
        <f>'Por Valoracion (3) Dimension'!B76</f>
        <v>0</v>
      </c>
      <c r="E76" s="39" t="str">
        <f>'Por Valoracion (3) Dimension 2'!B76</f>
        <v>0</v>
      </c>
      <c r="Z76" s="38"/>
      <c r="AB76" s="46"/>
      <c r="AD76" t="str">
        <f>('Gestión de abastecimiento'!A77)</f>
        <v>0</v>
      </c>
      <c r="AE76" s="39" t="str">
        <f>'Por Valoracion (3) Dimension'!D76</f>
        <v>0</v>
      </c>
      <c r="AF76" s="39" t="str">
        <f>'Por Valoracion (3) Dimension 2'!B76</f>
        <v>0</v>
      </c>
      <c r="BA76" s="46"/>
      <c r="BC76" s="47"/>
      <c r="BE76" t="str">
        <f>('Gestión de abastecimiento'!A77)</f>
        <v>0</v>
      </c>
      <c r="BF76" s="39" t="str">
        <f>'Por Valoracion (3) Dimension'!F76</f>
        <v>0</v>
      </c>
      <c r="BG76" s="39" t="str">
        <f>'Por Valoracion (3) Dimension 2'!B76</f>
        <v>0</v>
      </c>
      <c r="CB76" s="47"/>
    </row>
    <row r="77" spans="1:80">
      <c r="A77" s="38"/>
      <c r="C77" t="str">
        <f>('Gestión de abastecimiento'!A78)</f>
        <v>0</v>
      </c>
      <c r="D77" s="39" t="str">
        <f>'Por Valoracion (3) Dimension'!B77</f>
        <v>0</v>
      </c>
      <c r="E77" s="39" t="str">
        <f>'Por Valoracion (3) Dimension 2'!B77</f>
        <v>0</v>
      </c>
      <c r="Z77" s="38"/>
      <c r="AB77" s="46"/>
      <c r="AD77" t="str">
        <f>('Gestión de abastecimiento'!A78)</f>
        <v>0</v>
      </c>
      <c r="AE77" s="39" t="str">
        <f>'Por Valoracion (3) Dimension'!D77</f>
        <v>0</v>
      </c>
      <c r="AF77" s="39" t="str">
        <f>'Por Valoracion (3) Dimension 2'!B77</f>
        <v>0</v>
      </c>
      <c r="BA77" s="46"/>
      <c r="BC77" s="47"/>
      <c r="BE77" t="str">
        <f>('Gestión de abastecimiento'!A78)</f>
        <v>0</v>
      </c>
      <c r="BF77" s="39" t="str">
        <f>'Por Valoracion (3) Dimension'!F77</f>
        <v>0</v>
      </c>
      <c r="BG77" s="39" t="str">
        <f>'Por Valoracion (3) Dimension 2'!B77</f>
        <v>0</v>
      </c>
      <c r="CB77" s="47"/>
    </row>
    <row r="78" spans="1:80">
      <c r="A78" s="38"/>
      <c r="C78" t="str">
        <f>('Gestión de abastecimiento'!A79)</f>
        <v>0</v>
      </c>
      <c r="D78" s="39" t="str">
        <f>'Por Valoracion (3) Dimension'!B78</f>
        <v>0</v>
      </c>
      <c r="E78" s="39" t="str">
        <f>'Por Valoracion (3) Dimension 2'!B78</f>
        <v>0</v>
      </c>
      <c r="Z78" s="38"/>
      <c r="AB78" s="46"/>
      <c r="AD78" t="str">
        <f>('Gestión de abastecimiento'!A79)</f>
        <v>0</v>
      </c>
      <c r="AE78" s="39" t="str">
        <f>'Por Valoracion (3) Dimension'!D78</f>
        <v>0</v>
      </c>
      <c r="AF78" s="39" t="str">
        <f>'Por Valoracion (3) Dimension 2'!B78</f>
        <v>0</v>
      </c>
      <c r="BA78" s="46"/>
      <c r="BC78" s="47"/>
      <c r="BE78" t="str">
        <f>('Gestión de abastecimiento'!A79)</f>
        <v>0</v>
      </c>
      <c r="BF78" s="39" t="str">
        <f>'Por Valoracion (3) Dimension'!F78</f>
        <v>0</v>
      </c>
      <c r="BG78" s="39" t="str">
        <f>'Por Valoracion (3) Dimension 2'!B78</f>
        <v>0</v>
      </c>
      <c r="CB78" s="47"/>
    </row>
    <row r="79" spans="1:80">
      <c r="A79" s="38"/>
      <c r="C79" t="str">
        <f>('Gestión de abastecimiento'!A80)</f>
        <v>0</v>
      </c>
      <c r="D79" s="39" t="str">
        <f>'Por Valoracion (3) Dimension'!B79</f>
        <v>0</v>
      </c>
      <c r="E79" s="39" t="str">
        <f>'Por Valoracion (3) Dimension 2'!B79</f>
        <v>0</v>
      </c>
      <c r="Z79" s="38"/>
      <c r="AB79" s="46"/>
      <c r="AD79" t="str">
        <f>('Gestión de abastecimiento'!A80)</f>
        <v>0</v>
      </c>
      <c r="AE79" s="39" t="str">
        <f>'Por Valoracion (3) Dimension'!D79</f>
        <v>0</v>
      </c>
      <c r="AF79" s="39" t="str">
        <f>'Por Valoracion (3) Dimension 2'!B79</f>
        <v>0</v>
      </c>
      <c r="BA79" s="46"/>
      <c r="BC79" s="47"/>
      <c r="BE79" t="str">
        <f>('Gestión de abastecimiento'!A80)</f>
        <v>0</v>
      </c>
      <c r="BF79" s="39" t="str">
        <f>'Por Valoracion (3) Dimension'!F79</f>
        <v>0</v>
      </c>
      <c r="BG79" s="39" t="str">
        <f>'Por Valoracion (3) Dimension 2'!B79</f>
        <v>0</v>
      </c>
      <c r="CB79" s="47"/>
    </row>
    <row r="80" spans="1:80">
      <c r="A80" s="38"/>
      <c r="C80" t="str">
        <f>('Gestión de abastecimiento'!A81)</f>
        <v>0</v>
      </c>
      <c r="D80" s="39" t="str">
        <f>'Por Valoracion (3) Dimension'!B80</f>
        <v>0</v>
      </c>
      <c r="E80" s="39" t="str">
        <f>'Por Valoracion (3) Dimension 2'!B80</f>
        <v>0</v>
      </c>
      <c r="Z80" s="38"/>
      <c r="AB80" s="46"/>
      <c r="AD80" t="str">
        <f>('Gestión de abastecimiento'!A81)</f>
        <v>0</v>
      </c>
      <c r="AE80" s="39" t="str">
        <f>'Por Valoracion (3) Dimension'!D80</f>
        <v>0</v>
      </c>
      <c r="AF80" s="39" t="str">
        <f>'Por Valoracion (3) Dimension 2'!B80</f>
        <v>0</v>
      </c>
      <c r="BA80" s="46"/>
      <c r="BC80" s="47"/>
      <c r="BE80" t="str">
        <f>('Gestión de abastecimiento'!A81)</f>
        <v>0</v>
      </c>
      <c r="BF80" s="39" t="str">
        <f>'Por Valoracion (3) Dimension'!F80</f>
        <v>0</v>
      </c>
      <c r="BG80" s="39" t="str">
        <f>'Por Valoracion (3) Dimension 2'!B80</f>
        <v>0</v>
      </c>
      <c r="CB80" s="47"/>
    </row>
    <row r="81" spans="1:80">
      <c r="A81" s="38"/>
      <c r="C81" t="str">
        <f>('Gestión de abastecimiento'!A82)</f>
        <v>0</v>
      </c>
      <c r="D81" s="39" t="str">
        <f>'Por Valoracion (3) Dimension'!B81</f>
        <v>0</v>
      </c>
      <c r="E81" s="39" t="str">
        <f>'Por Valoracion (3) Dimension 2'!B81</f>
        <v>0</v>
      </c>
      <c r="Z81" s="38"/>
      <c r="AB81" s="46"/>
      <c r="AD81" t="str">
        <f>('Gestión de abastecimiento'!A82)</f>
        <v>0</v>
      </c>
      <c r="AE81" s="39" t="str">
        <f>'Por Valoracion (3) Dimension'!D81</f>
        <v>0</v>
      </c>
      <c r="AF81" s="39" t="str">
        <f>'Por Valoracion (3) Dimension 2'!B81</f>
        <v>0</v>
      </c>
      <c r="BA81" s="46"/>
      <c r="BC81" s="47"/>
      <c r="BE81" t="str">
        <f>('Gestión de abastecimiento'!A82)</f>
        <v>0</v>
      </c>
      <c r="BF81" s="39" t="str">
        <f>'Por Valoracion (3) Dimension'!F81</f>
        <v>0</v>
      </c>
      <c r="BG81" s="39" t="str">
        <f>'Por Valoracion (3) Dimension 2'!B81</f>
        <v>0</v>
      </c>
      <c r="CB81" s="47"/>
    </row>
    <row r="82" spans="1:80">
      <c r="A82" s="38"/>
      <c r="C82" t="str">
        <f>('Gestión de abastecimiento'!A83)</f>
        <v>0</v>
      </c>
      <c r="D82" s="39" t="str">
        <f>'Por Valoracion (3) Dimension'!B82</f>
        <v>0</v>
      </c>
      <c r="E82" s="39" t="str">
        <f>'Por Valoracion (3) Dimension 2'!B82</f>
        <v>0</v>
      </c>
      <c r="Z82" s="38"/>
      <c r="AB82" s="46"/>
      <c r="AD82" t="str">
        <f>('Gestión de abastecimiento'!A83)</f>
        <v>0</v>
      </c>
      <c r="AE82" s="39" t="str">
        <f>'Por Valoracion (3) Dimension'!D82</f>
        <v>0</v>
      </c>
      <c r="AF82" s="39" t="str">
        <f>'Por Valoracion (3) Dimension 2'!B82</f>
        <v>0</v>
      </c>
      <c r="BA82" s="46"/>
      <c r="BC82" s="47"/>
      <c r="BE82" t="str">
        <f>('Gestión de abastecimiento'!A83)</f>
        <v>0</v>
      </c>
      <c r="BF82" s="39" t="str">
        <f>'Por Valoracion (3) Dimension'!F82</f>
        <v>0</v>
      </c>
      <c r="BG82" s="39" t="str">
        <f>'Por Valoracion (3) Dimension 2'!B82</f>
        <v>0</v>
      </c>
      <c r="CB82" s="47"/>
    </row>
    <row r="83" spans="1:80">
      <c r="A83" s="38"/>
      <c r="C83" t="str">
        <f>('Gestión de abastecimiento'!A84)</f>
        <v>0</v>
      </c>
      <c r="D83" s="39" t="str">
        <f>'Por Valoracion (3) Dimension'!B83</f>
        <v>0</v>
      </c>
      <c r="E83" s="39" t="str">
        <f>'Por Valoracion (3) Dimension 2'!B83</f>
        <v>0</v>
      </c>
      <c r="Z83" s="38"/>
      <c r="AB83" s="46"/>
      <c r="AD83" t="str">
        <f>('Gestión de abastecimiento'!A84)</f>
        <v>0</v>
      </c>
      <c r="AE83" s="39" t="str">
        <f>'Por Valoracion (3) Dimension'!D83</f>
        <v>0</v>
      </c>
      <c r="AF83" s="39" t="str">
        <f>'Por Valoracion (3) Dimension 2'!B83</f>
        <v>0</v>
      </c>
      <c r="BA83" s="46"/>
      <c r="BC83" s="47"/>
      <c r="BE83" t="str">
        <f>('Gestión de abastecimiento'!A84)</f>
        <v>0</v>
      </c>
      <c r="BF83" s="39" t="str">
        <f>'Por Valoracion (3) Dimension'!F83</f>
        <v>0</v>
      </c>
      <c r="BG83" s="39" t="str">
        <f>'Por Valoracion (3) Dimension 2'!B83</f>
        <v>0</v>
      </c>
      <c r="CB83" s="47"/>
    </row>
    <row r="84" spans="1:80">
      <c r="A84" s="38"/>
      <c r="C84" t="str">
        <f>('Gestión de abastecimiento'!A85)</f>
        <v>0</v>
      </c>
      <c r="D84" s="39" t="str">
        <f>'Por Valoracion (3) Dimension'!B84</f>
        <v>0</v>
      </c>
      <c r="E84" s="39" t="str">
        <f>'Por Valoracion (3) Dimension 2'!B84</f>
        <v>0</v>
      </c>
      <c r="Z84" s="38"/>
      <c r="AB84" s="46"/>
      <c r="AD84" t="str">
        <f>('Gestión de abastecimiento'!A85)</f>
        <v>0</v>
      </c>
      <c r="AE84" s="39" t="str">
        <f>'Por Valoracion (3) Dimension'!D84</f>
        <v>0</v>
      </c>
      <c r="AF84" s="39" t="str">
        <f>'Por Valoracion (3) Dimension 2'!B84</f>
        <v>0</v>
      </c>
      <c r="BA84" s="46"/>
      <c r="BC84" s="47"/>
      <c r="BE84" t="str">
        <f>('Gestión de abastecimiento'!A85)</f>
        <v>0</v>
      </c>
      <c r="BF84" s="39" t="str">
        <f>'Por Valoracion (3) Dimension'!F84</f>
        <v>0</v>
      </c>
      <c r="BG84" s="39" t="str">
        <f>'Por Valoracion (3) Dimension 2'!B84</f>
        <v>0</v>
      </c>
      <c r="CB84" s="47"/>
    </row>
    <row r="85" spans="1:80">
      <c r="A85" s="38"/>
      <c r="C85" t="str">
        <f>('Gestión de abastecimiento'!A86)</f>
        <v>0</v>
      </c>
      <c r="D85" s="39" t="str">
        <f>'Por Valoracion (3) Dimension'!B85</f>
        <v>0</v>
      </c>
      <c r="E85" s="39" t="str">
        <f>'Por Valoracion (3) Dimension 2'!B85</f>
        <v>0</v>
      </c>
      <c r="Z85" s="38"/>
      <c r="AB85" s="46"/>
      <c r="AD85" t="str">
        <f>('Gestión de abastecimiento'!A86)</f>
        <v>0</v>
      </c>
      <c r="AE85" s="39" t="str">
        <f>'Por Valoracion (3) Dimension'!D85</f>
        <v>0</v>
      </c>
      <c r="AF85" s="39" t="str">
        <f>'Por Valoracion (3) Dimension 2'!B85</f>
        <v>0</v>
      </c>
      <c r="BA85" s="46"/>
      <c r="BC85" s="47"/>
      <c r="BE85" t="str">
        <f>('Gestión de abastecimiento'!A86)</f>
        <v>0</v>
      </c>
      <c r="BF85" s="39" t="str">
        <f>'Por Valoracion (3) Dimension'!F85</f>
        <v>0</v>
      </c>
      <c r="BG85" s="39" t="str">
        <f>'Por Valoracion (3) Dimension 2'!B85</f>
        <v>0</v>
      </c>
      <c r="CB85" s="47"/>
    </row>
    <row r="86" spans="1:80">
      <c r="A86" s="38"/>
      <c r="C86" t="str">
        <f>('Gestión de abastecimiento'!A87)</f>
        <v>0</v>
      </c>
      <c r="D86" s="39" t="str">
        <f>'Por Valoracion (3) Dimension'!B86</f>
        <v>0</v>
      </c>
      <c r="E86" s="39" t="str">
        <f>'Por Valoracion (3) Dimension 2'!B86</f>
        <v>0</v>
      </c>
      <c r="Z86" s="38"/>
      <c r="AB86" s="46"/>
      <c r="AD86" t="str">
        <f>('Gestión de abastecimiento'!A87)</f>
        <v>0</v>
      </c>
      <c r="AE86" s="39" t="str">
        <f>'Por Valoracion (3) Dimension'!D86</f>
        <v>0</v>
      </c>
      <c r="AF86" s="39" t="str">
        <f>'Por Valoracion (3) Dimension 2'!B86</f>
        <v>0</v>
      </c>
      <c r="BA86" s="46"/>
      <c r="BC86" s="47"/>
      <c r="BE86" t="str">
        <f>('Gestión de abastecimiento'!A87)</f>
        <v>0</v>
      </c>
      <c r="BF86" s="39" t="str">
        <f>'Por Valoracion (3) Dimension'!F86</f>
        <v>0</v>
      </c>
      <c r="BG86" s="39" t="str">
        <f>'Por Valoracion (3) Dimension 2'!B86</f>
        <v>0</v>
      </c>
      <c r="CB86" s="47"/>
    </row>
    <row r="87" spans="1:80">
      <c r="A87" s="38"/>
      <c r="C87" t="str">
        <f>('Gestión de abastecimiento'!A88)</f>
        <v>0</v>
      </c>
      <c r="D87" s="39" t="str">
        <f>'Por Valoracion (3) Dimension'!B87</f>
        <v>0</v>
      </c>
      <c r="E87" s="39" t="str">
        <f>'Por Valoracion (3) Dimension 2'!B87</f>
        <v>0</v>
      </c>
      <c r="Z87" s="38"/>
      <c r="AB87" s="46"/>
      <c r="AD87" t="str">
        <f>('Gestión de abastecimiento'!A88)</f>
        <v>0</v>
      </c>
      <c r="AE87" s="39" t="str">
        <f>'Por Valoracion (3) Dimension'!D87</f>
        <v>0</v>
      </c>
      <c r="AF87" s="39" t="str">
        <f>'Por Valoracion (3) Dimension 2'!B87</f>
        <v>0</v>
      </c>
      <c r="BA87" s="46"/>
      <c r="BC87" s="47"/>
      <c r="BE87" t="str">
        <f>('Gestión de abastecimiento'!A88)</f>
        <v>0</v>
      </c>
      <c r="BF87" s="39" t="str">
        <f>'Por Valoracion (3) Dimension'!F87</f>
        <v>0</v>
      </c>
      <c r="BG87" s="39" t="str">
        <f>'Por Valoracion (3) Dimension 2'!B87</f>
        <v>0</v>
      </c>
      <c r="CB87" s="47"/>
    </row>
    <row r="88" spans="1:80">
      <c r="A88" s="38"/>
      <c r="C88" t="str">
        <f>('Gestión de abastecimiento'!A89)</f>
        <v>0</v>
      </c>
      <c r="D88" s="39" t="str">
        <f>'Por Valoracion (3) Dimension'!B88</f>
        <v>0</v>
      </c>
      <c r="E88" s="39" t="str">
        <f>'Por Valoracion (3) Dimension 2'!B88</f>
        <v>0</v>
      </c>
      <c r="Z88" s="38"/>
      <c r="AB88" s="46"/>
      <c r="AD88" t="str">
        <f>('Gestión de abastecimiento'!A89)</f>
        <v>0</v>
      </c>
      <c r="AE88" s="39" t="str">
        <f>'Por Valoracion (3) Dimension'!D88</f>
        <v>0</v>
      </c>
      <c r="AF88" s="39" t="str">
        <f>'Por Valoracion (3) Dimension 2'!B88</f>
        <v>0</v>
      </c>
      <c r="BA88" s="46"/>
      <c r="BC88" s="47"/>
      <c r="BE88" t="str">
        <f>('Gestión de abastecimiento'!A89)</f>
        <v>0</v>
      </c>
      <c r="BF88" s="39" t="str">
        <f>'Por Valoracion (3) Dimension'!F88</f>
        <v>0</v>
      </c>
      <c r="BG88" s="39" t="str">
        <f>'Por Valoracion (3) Dimension 2'!B88</f>
        <v>0</v>
      </c>
      <c r="CB88" s="47"/>
    </row>
    <row r="89" spans="1:80">
      <c r="A89" s="38"/>
      <c r="C89" t="str">
        <f>('Gestión de abastecimiento'!A90)</f>
        <v>0</v>
      </c>
      <c r="D89" s="39" t="str">
        <f>'Por Valoracion (3) Dimension'!B89</f>
        <v>0</v>
      </c>
      <c r="E89" s="39" t="str">
        <f>'Por Valoracion (3) Dimension 2'!B89</f>
        <v>0</v>
      </c>
      <c r="Z89" s="38"/>
      <c r="AB89" s="46"/>
      <c r="AD89" t="str">
        <f>('Gestión de abastecimiento'!A90)</f>
        <v>0</v>
      </c>
      <c r="AE89" s="39" t="str">
        <f>'Por Valoracion (3) Dimension'!D89</f>
        <v>0</v>
      </c>
      <c r="AF89" s="39" t="str">
        <f>'Por Valoracion (3) Dimension 2'!B89</f>
        <v>0</v>
      </c>
      <c r="BA89" s="46"/>
      <c r="BC89" s="47"/>
      <c r="BE89" t="str">
        <f>('Gestión de abastecimiento'!A90)</f>
        <v>0</v>
      </c>
      <c r="BF89" s="39" t="str">
        <f>'Por Valoracion (3) Dimension'!F89</f>
        <v>0</v>
      </c>
      <c r="BG89" s="39" t="str">
        <f>'Por Valoracion (3) Dimension 2'!B89</f>
        <v>0</v>
      </c>
      <c r="CB89" s="47"/>
    </row>
    <row r="90" spans="1:80">
      <c r="A90" s="38"/>
      <c r="C90" t="str">
        <f>('Gestión de abastecimiento'!A91)</f>
        <v>0</v>
      </c>
      <c r="D90" s="39" t="str">
        <f>'Por Valoracion (3) Dimension'!B90</f>
        <v>0</v>
      </c>
      <c r="E90" s="39" t="str">
        <f>'Por Valoracion (3) Dimension 2'!B90</f>
        <v>0</v>
      </c>
      <c r="Z90" s="38"/>
      <c r="AB90" s="46"/>
      <c r="AD90" t="str">
        <f>('Gestión de abastecimiento'!A91)</f>
        <v>0</v>
      </c>
      <c r="AE90" s="39" t="str">
        <f>'Por Valoracion (3) Dimension'!D90</f>
        <v>0</v>
      </c>
      <c r="AF90" s="39" t="str">
        <f>'Por Valoracion (3) Dimension 2'!B90</f>
        <v>0</v>
      </c>
      <c r="BA90" s="46"/>
      <c r="BC90" s="47"/>
      <c r="BE90" t="str">
        <f>('Gestión de abastecimiento'!A91)</f>
        <v>0</v>
      </c>
      <c r="BF90" s="39" t="str">
        <f>'Por Valoracion (3) Dimension'!F90</f>
        <v>0</v>
      </c>
      <c r="BG90" s="39" t="str">
        <f>'Por Valoracion (3) Dimension 2'!B90</f>
        <v>0</v>
      </c>
      <c r="CB90" s="47"/>
    </row>
    <row r="91" spans="1:80">
      <c r="A91" s="38"/>
      <c r="C91" t="str">
        <f>('Gestión de abastecimiento'!A92)</f>
        <v>0</v>
      </c>
      <c r="D91" s="39" t="str">
        <f>'Por Valoracion (3) Dimension'!B91</f>
        <v>0</v>
      </c>
      <c r="E91" s="39" t="str">
        <f>'Por Valoracion (3) Dimension 2'!B91</f>
        <v>0</v>
      </c>
      <c r="Z91" s="38"/>
      <c r="AB91" s="46"/>
      <c r="AD91" t="str">
        <f>('Gestión de abastecimiento'!A92)</f>
        <v>0</v>
      </c>
      <c r="AE91" s="39" t="str">
        <f>'Por Valoracion (3) Dimension'!D91</f>
        <v>0</v>
      </c>
      <c r="AF91" s="39" t="str">
        <f>'Por Valoracion (3) Dimension 2'!B91</f>
        <v>0</v>
      </c>
      <c r="BA91" s="46"/>
      <c r="BC91" s="47"/>
      <c r="BE91" t="str">
        <f>('Gestión de abastecimiento'!A92)</f>
        <v>0</v>
      </c>
      <c r="BF91" s="39" t="str">
        <f>'Por Valoracion (3) Dimension'!F91</f>
        <v>0</v>
      </c>
      <c r="BG91" s="39" t="str">
        <f>'Por Valoracion (3) Dimension 2'!B91</f>
        <v>0</v>
      </c>
      <c r="CB91" s="47"/>
    </row>
    <row r="92" spans="1:80">
      <c r="A92" s="38"/>
      <c r="C92" t="str">
        <f>('Gestión de abastecimiento'!A93)</f>
        <v>0</v>
      </c>
      <c r="D92" s="39" t="str">
        <f>'Por Valoracion (3) Dimension'!B92</f>
        <v>0</v>
      </c>
      <c r="E92" s="39" t="str">
        <f>'Por Valoracion (3) Dimension 2'!B92</f>
        <v>0</v>
      </c>
      <c r="Z92" s="38"/>
      <c r="AB92" s="46"/>
      <c r="AD92" t="str">
        <f>('Gestión de abastecimiento'!A93)</f>
        <v>0</v>
      </c>
      <c r="AE92" s="39" t="str">
        <f>'Por Valoracion (3) Dimension'!D92</f>
        <v>0</v>
      </c>
      <c r="AF92" s="39" t="str">
        <f>'Por Valoracion (3) Dimension 2'!B92</f>
        <v>0</v>
      </c>
      <c r="BA92" s="46"/>
      <c r="BC92" s="47"/>
      <c r="BE92" t="str">
        <f>('Gestión de abastecimiento'!A93)</f>
        <v>0</v>
      </c>
      <c r="BF92" s="39" t="str">
        <f>'Por Valoracion (3) Dimension'!F92</f>
        <v>0</v>
      </c>
      <c r="BG92" s="39" t="str">
        <f>'Por Valoracion (3) Dimension 2'!B92</f>
        <v>0</v>
      </c>
      <c r="CB92" s="47"/>
    </row>
    <row r="93" spans="1:80">
      <c r="A93" s="38"/>
      <c r="C93" t="str">
        <f>('Gestión de abastecimiento'!A94)</f>
        <v>0</v>
      </c>
      <c r="D93" s="39" t="str">
        <f>'Por Valoracion (3) Dimension'!B93</f>
        <v>0</v>
      </c>
      <c r="E93" s="39" t="str">
        <f>'Por Valoracion (3) Dimension 2'!B93</f>
        <v>0</v>
      </c>
      <c r="Z93" s="38"/>
      <c r="AB93" s="46"/>
      <c r="AD93" t="str">
        <f>('Gestión de abastecimiento'!A94)</f>
        <v>0</v>
      </c>
      <c r="AE93" s="39" t="str">
        <f>'Por Valoracion (3) Dimension'!D93</f>
        <v>0</v>
      </c>
      <c r="AF93" s="39" t="str">
        <f>'Por Valoracion (3) Dimension 2'!B93</f>
        <v>0</v>
      </c>
      <c r="BA93" s="46"/>
      <c r="BC93" s="47"/>
      <c r="BE93" t="str">
        <f>('Gestión de abastecimiento'!A94)</f>
        <v>0</v>
      </c>
      <c r="BF93" s="39" t="str">
        <f>'Por Valoracion (3) Dimension'!F93</f>
        <v>0</v>
      </c>
      <c r="BG93" s="39" t="str">
        <f>'Por Valoracion (3) Dimension 2'!B93</f>
        <v>0</v>
      </c>
      <c r="CB93" s="47"/>
    </row>
    <row r="94" spans="1:80">
      <c r="A94" s="38"/>
      <c r="C94" t="str">
        <f>('Gestión de abastecimiento'!A95)</f>
        <v>0</v>
      </c>
      <c r="D94" s="39" t="str">
        <f>'Por Valoracion (3) Dimension'!B94</f>
        <v>0</v>
      </c>
      <c r="E94" s="39" t="str">
        <f>'Por Valoracion (3) Dimension 2'!B94</f>
        <v>0</v>
      </c>
      <c r="Z94" s="38"/>
      <c r="AB94" s="46"/>
      <c r="AD94" t="str">
        <f>('Gestión de abastecimiento'!A95)</f>
        <v>0</v>
      </c>
      <c r="AE94" s="39" t="str">
        <f>'Por Valoracion (3) Dimension'!D94</f>
        <v>0</v>
      </c>
      <c r="AF94" s="39" t="str">
        <f>'Por Valoracion (3) Dimension 2'!B94</f>
        <v>0</v>
      </c>
      <c r="BA94" s="46"/>
      <c r="BC94" s="47"/>
      <c r="BE94" t="str">
        <f>('Gestión de abastecimiento'!A95)</f>
        <v>0</v>
      </c>
      <c r="BF94" s="39" t="str">
        <f>'Por Valoracion (3) Dimension'!F94</f>
        <v>0</v>
      </c>
      <c r="BG94" s="39" t="str">
        <f>'Por Valoracion (3) Dimension 2'!B94</f>
        <v>0</v>
      </c>
      <c r="CB94" s="47"/>
    </row>
    <row r="95" spans="1:80">
      <c r="A95" s="38"/>
      <c r="C95" t="str">
        <f>('Gestión de abastecimiento'!A96)</f>
        <v>0</v>
      </c>
      <c r="D95" s="39" t="str">
        <f>'Por Valoracion (3) Dimension'!B95</f>
        <v>0</v>
      </c>
      <c r="E95" s="39" t="str">
        <f>'Por Valoracion (3) Dimension 2'!B95</f>
        <v>0</v>
      </c>
      <c r="Z95" s="38"/>
      <c r="AB95" s="46"/>
      <c r="AD95" t="str">
        <f>('Gestión de abastecimiento'!A96)</f>
        <v>0</v>
      </c>
      <c r="AE95" s="39" t="str">
        <f>'Por Valoracion (3) Dimension'!D95</f>
        <v>0</v>
      </c>
      <c r="AF95" s="39" t="str">
        <f>'Por Valoracion (3) Dimension 2'!B95</f>
        <v>0</v>
      </c>
      <c r="BA95" s="46"/>
      <c r="BC95" s="47"/>
      <c r="BE95" t="str">
        <f>('Gestión de abastecimiento'!A96)</f>
        <v>0</v>
      </c>
      <c r="BF95" s="39" t="str">
        <f>'Por Valoracion (3) Dimension'!F95</f>
        <v>0</v>
      </c>
      <c r="BG95" s="39" t="str">
        <f>'Por Valoracion (3) Dimension 2'!B95</f>
        <v>0</v>
      </c>
      <c r="CB95" s="47"/>
    </row>
    <row r="96" spans="1:80">
      <c r="A96" s="38"/>
      <c r="C96" t="str">
        <f>('Gestión de abastecimiento'!A97)</f>
        <v>0</v>
      </c>
      <c r="D96" s="39" t="str">
        <f>'Por Valoracion (3) Dimension'!B96</f>
        <v>0</v>
      </c>
      <c r="E96" s="39" t="str">
        <f>'Por Valoracion (3) Dimension 2'!B96</f>
        <v>0</v>
      </c>
      <c r="Z96" s="38"/>
      <c r="AB96" s="46"/>
      <c r="AD96" t="str">
        <f>('Gestión de abastecimiento'!A97)</f>
        <v>0</v>
      </c>
      <c r="AE96" s="39" t="str">
        <f>'Por Valoracion (3) Dimension'!D96</f>
        <v>0</v>
      </c>
      <c r="AF96" s="39" t="str">
        <f>'Por Valoracion (3) Dimension 2'!B96</f>
        <v>0</v>
      </c>
      <c r="BA96" s="46"/>
      <c r="BC96" s="47"/>
      <c r="BE96" t="str">
        <f>('Gestión de abastecimiento'!A97)</f>
        <v>0</v>
      </c>
      <c r="BF96" s="39" t="str">
        <f>'Por Valoracion (3) Dimension'!F96</f>
        <v>0</v>
      </c>
      <c r="BG96" s="39" t="str">
        <f>'Por Valoracion (3) Dimension 2'!B96</f>
        <v>0</v>
      </c>
      <c r="CB96" s="47"/>
    </row>
    <row r="97" spans="1:80">
      <c r="A97" s="38"/>
      <c r="C97" t="str">
        <f>('Gestión de abastecimiento'!A98)</f>
        <v>0</v>
      </c>
      <c r="D97" s="39" t="str">
        <f>'Por Valoracion (3) Dimension'!B97</f>
        <v>0</v>
      </c>
      <c r="E97" s="39" t="str">
        <f>'Por Valoracion (3) Dimension 2'!B97</f>
        <v>0</v>
      </c>
      <c r="Z97" s="38"/>
      <c r="AB97" s="46"/>
      <c r="AD97" t="str">
        <f>('Gestión de abastecimiento'!A98)</f>
        <v>0</v>
      </c>
      <c r="AE97" s="39" t="str">
        <f>'Por Valoracion (3) Dimension'!D97</f>
        <v>0</v>
      </c>
      <c r="AF97" s="39" t="str">
        <f>'Por Valoracion (3) Dimension 2'!B97</f>
        <v>0</v>
      </c>
      <c r="BA97" s="46"/>
      <c r="BC97" s="47"/>
      <c r="BE97" t="str">
        <f>('Gestión de abastecimiento'!A98)</f>
        <v>0</v>
      </c>
      <c r="BF97" s="39" t="str">
        <f>'Por Valoracion (3) Dimension'!F97</f>
        <v>0</v>
      </c>
      <c r="BG97" s="39" t="str">
        <f>'Por Valoracion (3) Dimension 2'!B97</f>
        <v>0</v>
      </c>
      <c r="CB97" s="47"/>
    </row>
    <row r="98" spans="1:80">
      <c r="A98" s="38"/>
      <c r="C98" t="str">
        <f>('Gestión de abastecimiento'!A99)</f>
        <v>0</v>
      </c>
      <c r="D98" s="39" t="str">
        <f>'Por Valoracion (3) Dimension'!B98</f>
        <v>0</v>
      </c>
      <c r="E98" s="39" t="str">
        <f>'Por Valoracion (3) Dimension 2'!B98</f>
        <v>0</v>
      </c>
      <c r="Z98" s="38"/>
      <c r="AB98" s="46"/>
      <c r="AD98" t="str">
        <f>('Gestión de abastecimiento'!A99)</f>
        <v>0</v>
      </c>
      <c r="AE98" s="39" t="str">
        <f>'Por Valoracion (3) Dimension'!D98</f>
        <v>0</v>
      </c>
      <c r="AF98" s="39" t="str">
        <f>'Por Valoracion (3) Dimension 2'!B98</f>
        <v>0</v>
      </c>
      <c r="BA98" s="46"/>
      <c r="BC98" s="47"/>
      <c r="BE98" t="str">
        <f>('Gestión de abastecimiento'!A99)</f>
        <v>0</v>
      </c>
      <c r="BF98" s="39" t="str">
        <f>'Por Valoracion (3) Dimension'!F98</f>
        <v>0</v>
      </c>
      <c r="BG98" s="39" t="str">
        <f>'Por Valoracion (3) Dimension 2'!B98</f>
        <v>0</v>
      </c>
      <c r="CB98" s="47"/>
    </row>
    <row r="99" spans="1:80">
      <c r="A99" s="38"/>
      <c r="C99" t="str">
        <f>('Gestión de abastecimiento'!A100)</f>
        <v>0</v>
      </c>
      <c r="D99" s="39" t="str">
        <f>'Por Valoracion (3) Dimension'!B99</f>
        <v>0</v>
      </c>
      <c r="E99" s="39" t="str">
        <f>'Por Valoracion (3) Dimension 2'!B99</f>
        <v>0</v>
      </c>
      <c r="Z99" s="38"/>
      <c r="AB99" s="46"/>
      <c r="AD99" t="str">
        <f>('Gestión de abastecimiento'!A100)</f>
        <v>0</v>
      </c>
      <c r="AE99" s="39" t="str">
        <f>'Por Valoracion (3) Dimension'!D99</f>
        <v>0</v>
      </c>
      <c r="AF99" s="39" t="str">
        <f>'Por Valoracion (3) Dimension 2'!B99</f>
        <v>0</v>
      </c>
      <c r="BA99" s="46"/>
      <c r="BC99" s="47"/>
      <c r="BE99" t="str">
        <f>('Gestión de abastecimiento'!A100)</f>
        <v>0</v>
      </c>
      <c r="BF99" s="39" t="str">
        <f>'Por Valoracion (3) Dimension'!F99</f>
        <v>0</v>
      </c>
      <c r="BG99" s="39" t="str">
        <f>'Por Valoracion (3) Dimension 2'!B99</f>
        <v>0</v>
      </c>
      <c r="CB99" s="47"/>
    </row>
    <row r="100" spans="1:80">
      <c r="A100" s="38"/>
      <c r="C100" t="str">
        <f>('Gestión de abastecimiento'!A101)</f>
        <v>0</v>
      </c>
      <c r="D100" s="39" t="str">
        <f>'Por Valoracion (3) Dimension'!B100</f>
        <v>0</v>
      </c>
      <c r="E100" s="39" t="str">
        <f>'Por Valoracion (3) Dimension 2'!B100</f>
        <v>0</v>
      </c>
      <c r="Z100" s="38"/>
      <c r="AB100" s="46"/>
      <c r="AD100" t="str">
        <f>('Gestión de abastecimiento'!A101)</f>
        <v>0</v>
      </c>
      <c r="AE100" s="39" t="str">
        <f>'Por Valoracion (3) Dimension'!D100</f>
        <v>0</v>
      </c>
      <c r="AF100" s="39" t="str">
        <f>'Por Valoracion (3) Dimension 2'!B100</f>
        <v>0</v>
      </c>
      <c r="BA100" s="46"/>
      <c r="BC100" s="47"/>
      <c r="BE100" t="str">
        <f>('Gestión de abastecimiento'!A101)</f>
        <v>0</v>
      </c>
      <c r="BF100" s="39" t="str">
        <f>'Por Valoracion (3) Dimension'!F100</f>
        <v>0</v>
      </c>
      <c r="BG100" s="39" t="str">
        <f>'Por Valoracion (3) Dimension 2'!B100</f>
        <v>0</v>
      </c>
      <c r="CB100" s="47"/>
    </row>
    <row r="101" spans="1:80">
      <c r="A101" s="38"/>
      <c r="C101" t="str">
        <f>('Gestión de abastecimiento'!A102)</f>
        <v>0</v>
      </c>
      <c r="D101" s="39" t="str">
        <f>'Por Valoracion (3) Dimension'!B101</f>
        <v>0</v>
      </c>
      <c r="E101" s="39" t="str">
        <f>'Por Valoracion (3) Dimension 2'!B101</f>
        <v>0</v>
      </c>
      <c r="Z101" s="38"/>
      <c r="AB101" s="46"/>
      <c r="AD101" t="str">
        <f>('Gestión de abastecimiento'!A102)</f>
        <v>0</v>
      </c>
      <c r="AE101" s="39" t="str">
        <f>'Por Valoracion (3) Dimension'!D101</f>
        <v>0</v>
      </c>
      <c r="AF101" s="39" t="str">
        <f>'Por Valoracion (3) Dimension 2'!B101</f>
        <v>0</v>
      </c>
      <c r="BA101" s="46"/>
      <c r="BC101" s="47"/>
      <c r="BE101" t="str">
        <f>('Gestión de abastecimiento'!A102)</f>
        <v>0</v>
      </c>
      <c r="BF101" s="39" t="str">
        <f>'Por Valoracion (3) Dimension'!F101</f>
        <v>0</v>
      </c>
      <c r="BG101" s="39" t="str">
        <f>'Por Valoracion (3) Dimension 2'!B101</f>
        <v>0</v>
      </c>
      <c r="CB101" s="47"/>
    </row>
    <row r="102" spans="1:80">
      <c r="A102" s="38"/>
      <c r="C102" t="str">
        <f>('Gestión de abastecimiento'!A103)</f>
        <v>0</v>
      </c>
      <c r="D102" s="39" t="str">
        <f>'Por Valoracion (3) Dimension'!B102</f>
        <v>0</v>
      </c>
      <c r="E102" s="39" t="str">
        <f>'Por Valoracion (3) Dimension 2'!B102</f>
        <v>0</v>
      </c>
      <c r="Z102" s="38"/>
      <c r="AB102" s="46"/>
      <c r="AD102" t="str">
        <f>('Gestión de abastecimiento'!A103)</f>
        <v>0</v>
      </c>
      <c r="AE102" s="39" t="str">
        <f>'Por Valoracion (3) Dimension'!D102</f>
        <v>0</v>
      </c>
      <c r="AF102" s="39" t="str">
        <f>'Por Valoracion (3) Dimension 2'!B102</f>
        <v>0</v>
      </c>
      <c r="BA102" s="46"/>
      <c r="BC102" s="47"/>
      <c r="BE102" t="str">
        <f>('Gestión de abastecimiento'!A103)</f>
        <v>0</v>
      </c>
      <c r="BF102" s="39" t="str">
        <f>'Por Valoracion (3) Dimension'!F102</f>
        <v>0</v>
      </c>
      <c r="BG102" s="39" t="str">
        <f>'Por Valoracion (3) Dimension 2'!B102</f>
        <v>0</v>
      </c>
      <c r="CB102" s="47"/>
    </row>
    <row r="103" spans="1:80">
      <c r="A103" s="38"/>
      <c r="C103" t="str">
        <f>('Gestión de abastecimiento'!A104)</f>
        <v>0</v>
      </c>
      <c r="D103" s="39" t="str">
        <f>'Por Valoracion (3) Dimension'!B103</f>
        <v>0</v>
      </c>
      <c r="E103" s="39" t="str">
        <f>'Por Valoracion (3) Dimension 2'!B103</f>
        <v>0</v>
      </c>
      <c r="Z103" s="38"/>
      <c r="AB103" s="46"/>
      <c r="AD103" t="str">
        <f>('Gestión de abastecimiento'!A104)</f>
        <v>0</v>
      </c>
      <c r="AE103" s="39" t="str">
        <f>'Por Valoracion (3) Dimension'!D103</f>
        <v>0</v>
      </c>
      <c r="AF103" s="39" t="str">
        <f>'Por Valoracion (3) Dimension 2'!B103</f>
        <v>0</v>
      </c>
      <c r="BA103" s="46"/>
      <c r="BC103" s="47"/>
      <c r="BE103" t="str">
        <f>('Gestión de abastecimiento'!A104)</f>
        <v>0</v>
      </c>
      <c r="BF103" s="39" t="str">
        <f>'Por Valoracion (3) Dimension'!F103</f>
        <v>0</v>
      </c>
      <c r="BG103" s="39" t="str">
        <f>'Por Valoracion (3) Dimension 2'!B103</f>
        <v>0</v>
      </c>
      <c r="CB103" s="47"/>
    </row>
    <row r="104" spans="1:80">
      <c r="A104" s="38"/>
      <c r="C104" t="str">
        <f>('Gestión de abastecimiento'!A105)</f>
        <v>0</v>
      </c>
      <c r="D104" s="39" t="str">
        <f>'Por Valoracion (3) Dimension'!B104</f>
        <v>0</v>
      </c>
      <c r="E104" s="39" t="str">
        <f>'Por Valoracion (3) Dimension 2'!B104</f>
        <v>0</v>
      </c>
      <c r="Z104" s="38"/>
      <c r="AB104" s="46"/>
      <c r="AD104" t="str">
        <f>('Gestión de abastecimiento'!A105)</f>
        <v>0</v>
      </c>
      <c r="AE104" s="39" t="str">
        <f>'Por Valoracion (3) Dimension'!D104</f>
        <v>0</v>
      </c>
      <c r="AF104" s="39" t="str">
        <f>'Por Valoracion (3) Dimension 2'!B104</f>
        <v>0</v>
      </c>
      <c r="BA104" s="46"/>
      <c r="BC104" s="47"/>
      <c r="BE104" t="str">
        <f>('Gestión de abastecimiento'!A105)</f>
        <v>0</v>
      </c>
      <c r="BF104" s="39" t="str">
        <f>'Por Valoracion (3) Dimension'!F104</f>
        <v>0</v>
      </c>
      <c r="BG104" s="39" t="str">
        <f>'Por Valoracion (3) Dimension 2'!B104</f>
        <v>0</v>
      </c>
      <c r="CB104" s="47"/>
    </row>
    <row r="105" spans="1:80">
      <c r="A105" s="38"/>
      <c r="C105" t="str">
        <f>('Gestión de abastecimiento'!A106)</f>
        <v>0</v>
      </c>
      <c r="D105" s="39" t="str">
        <f>'Por Valoracion (3) Dimension'!B105</f>
        <v>0</v>
      </c>
      <c r="E105" s="39" t="str">
        <f>'Por Valoracion (3) Dimension 2'!B105</f>
        <v>0</v>
      </c>
      <c r="Z105" s="38"/>
      <c r="AB105" s="46"/>
      <c r="AD105" t="str">
        <f>('Gestión de abastecimiento'!A106)</f>
        <v>0</v>
      </c>
      <c r="AE105" s="39" t="str">
        <f>'Por Valoracion (3) Dimension'!D105</f>
        <v>0</v>
      </c>
      <c r="AF105" s="39" t="str">
        <f>'Por Valoracion (3) Dimension 2'!B105</f>
        <v>0</v>
      </c>
      <c r="BA105" s="46"/>
      <c r="BC105" s="47"/>
      <c r="BE105" t="str">
        <f>('Gestión de abastecimiento'!A106)</f>
        <v>0</v>
      </c>
      <c r="BF105" s="39" t="str">
        <f>'Por Valoracion (3) Dimension'!F105</f>
        <v>0</v>
      </c>
      <c r="BG105" s="39" t="str">
        <f>'Por Valoracion (3) Dimension 2'!B105</f>
        <v>0</v>
      </c>
      <c r="CB105" s="47"/>
    </row>
    <row r="106" spans="1:80">
      <c r="A106" s="38"/>
      <c r="C106" t="str">
        <f>('Gestión de abastecimiento'!A107)</f>
        <v>0</v>
      </c>
      <c r="D106" s="39" t="str">
        <f>'Por Valoracion (3) Dimension'!B106</f>
        <v>0</v>
      </c>
      <c r="E106" s="39" t="str">
        <f>'Por Valoracion (3) Dimension 2'!B106</f>
        <v>0</v>
      </c>
      <c r="Z106" s="38"/>
      <c r="AB106" s="46"/>
      <c r="AD106" t="str">
        <f>('Gestión de abastecimiento'!A107)</f>
        <v>0</v>
      </c>
      <c r="AE106" s="39" t="str">
        <f>'Por Valoracion (3) Dimension'!D106</f>
        <v>0</v>
      </c>
      <c r="AF106" s="39" t="str">
        <f>'Por Valoracion (3) Dimension 2'!B106</f>
        <v>0</v>
      </c>
      <c r="BA106" s="46"/>
      <c r="BC106" s="47"/>
      <c r="BE106" t="str">
        <f>('Gestión de abastecimiento'!A107)</f>
        <v>0</v>
      </c>
      <c r="BF106" s="39" t="str">
        <f>'Por Valoracion (3) Dimension'!F106</f>
        <v>0</v>
      </c>
      <c r="BG106" s="39" t="str">
        <f>'Por Valoracion (3) Dimension 2'!B106</f>
        <v>0</v>
      </c>
      <c r="CB106" s="47"/>
    </row>
    <row r="107" spans="1:80">
      <c r="A107" s="38"/>
      <c r="C107" t="str">
        <f>('Gestión de abastecimiento'!A108)</f>
        <v>0</v>
      </c>
      <c r="D107" s="39" t="str">
        <f>'Por Valoracion (3) Dimension'!B107</f>
        <v>0</v>
      </c>
      <c r="E107" s="39" t="str">
        <f>'Por Valoracion (3) Dimension 2'!B107</f>
        <v>0</v>
      </c>
      <c r="Z107" s="38"/>
      <c r="AB107" s="46"/>
      <c r="AD107" t="str">
        <f>('Gestión de abastecimiento'!A108)</f>
        <v>0</v>
      </c>
      <c r="AE107" s="39" t="str">
        <f>'Por Valoracion (3) Dimension'!D107</f>
        <v>0</v>
      </c>
      <c r="AF107" s="39" t="str">
        <f>'Por Valoracion (3) Dimension 2'!B107</f>
        <v>0</v>
      </c>
      <c r="BA107" s="46"/>
      <c r="BC107" s="47"/>
      <c r="BE107" t="str">
        <f>('Gestión de abastecimiento'!A108)</f>
        <v>0</v>
      </c>
      <c r="BF107" s="39" t="str">
        <f>'Por Valoracion (3) Dimension'!F107</f>
        <v>0</v>
      </c>
      <c r="BG107" s="39" t="str">
        <f>'Por Valoracion (3) Dimension 2'!B107</f>
        <v>0</v>
      </c>
      <c r="CB107" s="47"/>
    </row>
    <row r="108" spans="1:80">
      <c r="A108" s="38"/>
      <c r="C108" t="str">
        <f>('Gestión de abastecimiento'!A109)</f>
        <v>0</v>
      </c>
      <c r="D108" s="39" t="str">
        <f>'Por Valoracion (3) Dimension'!B108</f>
        <v>0</v>
      </c>
      <c r="E108" s="39" t="str">
        <f>'Por Valoracion (3) Dimension 2'!B108</f>
        <v>0</v>
      </c>
      <c r="Z108" s="38"/>
      <c r="AB108" s="46"/>
      <c r="AD108" t="str">
        <f>('Gestión de abastecimiento'!A109)</f>
        <v>0</v>
      </c>
      <c r="AE108" s="39" t="str">
        <f>'Por Valoracion (3) Dimension'!D108</f>
        <v>0</v>
      </c>
      <c r="AF108" s="39" t="str">
        <f>'Por Valoracion (3) Dimension 2'!B108</f>
        <v>0</v>
      </c>
      <c r="BA108" s="46"/>
      <c r="BC108" s="47"/>
      <c r="BE108" t="str">
        <f>('Gestión de abastecimiento'!A109)</f>
        <v>0</v>
      </c>
      <c r="BF108" s="39" t="str">
        <f>'Por Valoracion (3) Dimension'!F108</f>
        <v>0</v>
      </c>
      <c r="BG108" s="39" t="str">
        <f>'Por Valoracion (3) Dimension 2'!B108</f>
        <v>0</v>
      </c>
      <c r="CB108" s="47"/>
    </row>
    <row r="109" spans="1:80">
      <c r="A109" s="38"/>
      <c r="C109" t="str">
        <f>('Gestión de abastecimiento'!A110)</f>
        <v>0</v>
      </c>
      <c r="D109" s="39" t="str">
        <f>'Por Valoracion (3) Dimension'!B109</f>
        <v>0</v>
      </c>
      <c r="E109" s="39" t="str">
        <f>'Por Valoracion (3) Dimension 2'!B109</f>
        <v>0</v>
      </c>
      <c r="Z109" s="38"/>
      <c r="AB109" s="46"/>
      <c r="AD109" t="str">
        <f>('Gestión de abastecimiento'!A110)</f>
        <v>0</v>
      </c>
      <c r="AE109" s="39" t="str">
        <f>'Por Valoracion (3) Dimension'!D109</f>
        <v>0</v>
      </c>
      <c r="AF109" s="39" t="str">
        <f>'Por Valoracion (3) Dimension 2'!B109</f>
        <v>0</v>
      </c>
      <c r="BA109" s="46"/>
      <c r="BC109" s="47"/>
      <c r="BE109" t="str">
        <f>('Gestión de abastecimiento'!A110)</f>
        <v>0</v>
      </c>
      <c r="BF109" s="39" t="str">
        <f>'Por Valoracion (3) Dimension'!F109</f>
        <v>0</v>
      </c>
      <c r="BG109" s="39" t="str">
        <f>'Por Valoracion (3) Dimension 2'!B109</f>
        <v>0</v>
      </c>
      <c r="CB109" s="47"/>
    </row>
    <row r="110" spans="1:80">
      <c r="A110" s="38"/>
      <c r="C110" t="str">
        <f>('Gestión de abastecimiento'!A111)</f>
        <v>0</v>
      </c>
      <c r="D110" s="39" t="str">
        <f>'Por Valoracion (3) Dimension'!B110</f>
        <v>0</v>
      </c>
      <c r="E110" s="39" t="str">
        <f>'Por Valoracion (3) Dimension 2'!B110</f>
        <v>0</v>
      </c>
      <c r="Z110" s="38"/>
      <c r="AB110" s="46"/>
      <c r="AD110" t="str">
        <f>('Gestión de abastecimiento'!A111)</f>
        <v>0</v>
      </c>
      <c r="AE110" s="39" t="str">
        <f>'Por Valoracion (3) Dimension'!D110</f>
        <v>0</v>
      </c>
      <c r="AF110" s="39" t="str">
        <f>'Por Valoracion (3) Dimension 2'!B110</f>
        <v>0</v>
      </c>
      <c r="BA110" s="46"/>
      <c r="BC110" s="47"/>
      <c r="BE110" t="str">
        <f>('Gestión de abastecimiento'!A111)</f>
        <v>0</v>
      </c>
      <c r="BF110" s="39" t="str">
        <f>'Por Valoracion (3) Dimension'!F110</f>
        <v>0</v>
      </c>
      <c r="BG110" s="39" t="str">
        <f>'Por Valoracion (3) Dimension 2'!B110</f>
        <v>0</v>
      </c>
      <c r="CB110" s="47"/>
    </row>
    <row r="111" spans="1:80">
      <c r="A111" s="38"/>
      <c r="C111" t="str">
        <f>('Gestión de abastecimiento'!A112)</f>
        <v>0</v>
      </c>
      <c r="D111" s="39" t="str">
        <f>'Por Valoracion (3) Dimension'!B111</f>
        <v>0</v>
      </c>
      <c r="E111" s="39" t="str">
        <f>'Por Valoracion (3) Dimension 2'!B111</f>
        <v>0</v>
      </c>
      <c r="Z111" s="38"/>
      <c r="AB111" s="46"/>
      <c r="AD111" t="str">
        <f>('Gestión de abastecimiento'!A112)</f>
        <v>0</v>
      </c>
      <c r="AE111" s="39" t="str">
        <f>'Por Valoracion (3) Dimension'!D111</f>
        <v>0</v>
      </c>
      <c r="AF111" s="39" t="str">
        <f>'Por Valoracion (3) Dimension 2'!B111</f>
        <v>0</v>
      </c>
      <c r="BA111" s="46"/>
      <c r="BC111" s="47"/>
      <c r="BE111" t="str">
        <f>('Gestión de abastecimiento'!A112)</f>
        <v>0</v>
      </c>
      <c r="BF111" s="39" t="str">
        <f>'Por Valoracion (3) Dimension'!F111</f>
        <v>0</v>
      </c>
      <c r="BG111" s="39" t="str">
        <f>'Por Valoracion (3) Dimension 2'!B111</f>
        <v>0</v>
      </c>
      <c r="CB111" s="47"/>
    </row>
    <row r="112" spans="1:80">
      <c r="A112" s="38"/>
      <c r="C112" t="str">
        <f>('Gestión de abastecimiento'!A113)</f>
        <v>0</v>
      </c>
      <c r="D112" s="39" t="str">
        <f>'Por Valoracion (3) Dimension'!B112</f>
        <v>0</v>
      </c>
      <c r="E112" s="39" t="str">
        <f>'Por Valoracion (3) Dimension 2'!B112</f>
        <v>0</v>
      </c>
      <c r="Z112" s="38"/>
      <c r="AB112" s="46"/>
      <c r="AD112" t="str">
        <f>('Gestión de abastecimiento'!A113)</f>
        <v>0</v>
      </c>
      <c r="AE112" s="39" t="str">
        <f>'Por Valoracion (3) Dimension'!D112</f>
        <v>0</v>
      </c>
      <c r="AF112" s="39" t="str">
        <f>'Por Valoracion (3) Dimension 2'!B112</f>
        <v>0</v>
      </c>
      <c r="BA112" s="46"/>
      <c r="BC112" s="47"/>
      <c r="BE112" t="str">
        <f>('Gestión de abastecimiento'!A113)</f>
        <v>0</v>
      </c>
      <c r="BF112" s="39" t="str">
        <f>'Por Valoracion (3) Dimension'!F112</f>
        <v>0</v>
      </c>
      <c r="BG112" s="39" t="str">
        <f>'Por Valoracion (3) Dimension 2'!B112</f>
        <v>0</v>
      </c>
      <c r="CB112" s="47"/>
    </row>
    <row r="113" spans="1:80">
      <c r="A113" s="38"/>
      <c r="C113" t="str">
        <f>('Gestión de abastecimiento'!A114)</f>
        <v>0</v>
      </c>
      <c r="D113" s="39" t="str">
        <f>'Por Valoracion (3) Dimension'!B113</f>
        <v>0</v>
      </c>
      <c r="E113" s="39" t="str">
        <f>'Por Valoracion (3) Dimension 2'!B113</f>
        <v>0</v>
      </c>
      <c r="Z113" s="38"/>
      <c r="AB113" s="46"/>
      <c r="AD113" t="str">
        <f>('Gestión de abastecimiento'!A114)</f>
        <v>0</v>
      </c>
      <c r="AE113" s="39" t="str">
        <f>'Por Valoracion (3) Dimension'!D113</f>
        <v>0</v>
      </c>
      <c r="AF113" s="39" t="str">
        <f>'Por Valoracion (3) Dimension 2'!B113</f>
        <v>0</v>
      </c>
      <c r="BA113" s="46"/>
      <c r="BC113" s="47"/>
      <c r="BE113" t="str">
        <f>('Gestión de abastecimiento'!A114)</f>
        <v>0</v>
      </c>
      <c r="BF113" s="39" t="str">
        <f>'Por Valoracion (3) Dimension'!F113</f>
        <v>0</v>
      </c>
      <c r="BG113" s="39" t="str">
        <f>'Por Valoracion (3) Dimension 2'!B113</f>
        <v>0</v>
      </c>
      <c r="CB113" s="47"/>
    </row>
    <row r="114" spans="1:80">
      <c r="A114" s="38"/>
      <c r="C114" t="str">
        <f>('Gestión de abastecimiento'!A115)</f>
        <v>0</v>
      </c>
      <c r="D114" s="39" t="str">
        <f>'Por Valoracion (3) Dimension'!B114</f>
        <v>0</v>
      </c>
      <c r="E114" s="39" t="str">
        <f>'Por Valoracion (3) Dimension 2'!B114</f>
        <v>0</v>
      </c>
      <c r="Z114" s="38"/>
      <c r="AB114" s="46"/>
      <c r="AD114" t="str">
        <f>('Gestión de abastecimiento'!A115)</f>
        <v>0</v>
      </c>
      <c r="AE114" s="39" t="str">
        <f>'Por Valoracion (3) Dimension'!D114</f>
        <v>0</v>
      </c>
      <c r="AF114" s="39" t="str">
        <f>'Por Valoracion (3) Dimension 2'!B114</f>
        <v>0</v>
      </c>
      <c r="BA114" s="46"/>
      <c r="BC114" s="47"/>
      <c r="BE114" t="str">
        <f>('Gestión de abastecimiento'!A115)</f>
        <v>0</v>
      </c>
      <c r="BF114" s="39" t="str">
        <f>'Por Valoracion (3) Dimension'!F114</f>
        <v>0</v>
      </c>
      <c r="BG114" s="39" t="str">
        <f>'Por Valoracion (3) Dimension 2'!B114</f>
        <v>0</v>
      </c>
      <c r="CB114" s="47"/>
    </row>
    <row r="115" spans="1:80">
      <c r="A115" s="38"/>
      <c r="C115" t="str">
        <f>('Gestión de abastecimiento'!A116)</f>
        <v>0</v>
      </c>
      <c r="D115" s="39" t="str">
        <f>'Por Valoracion (3) Dimension'!B115</f>
        <v>0</v>
      </c>
      <c r="E115" s="39" t="str">
        <f>'Por Valoracion (3) Dimension 2'!B115</f>
        <v>0</v>
      </c>
      <c r="Z115" s="38"/>
      <c r="AB115" s="46"/>
      <c r="AD115" t="str">
        <f>('Gestión de abastecimiento'!A116)</f>
        <v>0</v>
      </c>
      <c r="AE115" s="39" t="str">
        <f>'Por Valoracion (3) Dimension'!D115</f>
        <v>0</v>
      </c>
      <c r="AF115" s="39" t="str">
        <f>'Por Valoracion (3) Dimension 2'!B115</f>
        <v>0</v>
      </c>
      <c r="BA115" s="46"/>
      <c r="BC115" s="47"/>
      <c r="BE115" t="str">
        <f>('Gestión de abastecimiento'!A116)</f>
        <v>0</v>
      </c>
      <c r="BF115" s="39" t="str">
        <f>'Por Valoracion (3) Dimension'!F115</f>
        <v>0</v>
      </c>
      <c r="BG115" s="39" t="str">
        <f>'Por Valoracion (3) Dimension 2'!B115</f>
        <v>0</v>
      </c>
      <c r="CB115" s="47"/>
    </row>
    <row r="116" spans="1:80">
      <c r="A116" s="38"/>
      <c r="C116" t="str">
        <f>('Gestión de abastecimiento'!A117)</f>
        <v>0</v>
      </c>
      <c r="D116" s="39" t="str">
        <f>'Por Valoracion (3) Dimension'!B116</f>
        <v>0</v>
      </c>
      <c r="E116" s="39" t="str">
        <f>'Por Valoracion (3) Dimension 2'!B116</f>
        <v>0</v>
      </c>
      <c r="Z116" s="38"/>
      <c r="AB116" s="46"/>
      <c r="AD116" t="str">
        <f>('Gestión de abastecimiento'!A117)</f>
        <v>0</v>
      </c>
      <c r="AE116" s="39" t="str">
        <f>'Por Valoracion (3) Dimension'!D116</f>
        <v>0</v>
      </c>
      <c r="AF116" s="39" t="str">
        <f>'Por Valoracion (3) Dimension 2'!B116</f>
        <v>0</v>
      </c>
      <c r="BA116" s="46"/>
      <c r="BC116" s="47"/>
      <c r="BE116" t="str">
        <f>('Gestión de abastecimiento'!A117)</f>
        <v>0</v>
      </c>
      <c r="BF116" s="39" t="str">
        <f>'Por Valoracion (3) Dimension'!F116</f>
        <v>0</v>
      </c>
      <c r="BG116" s="39" t="str">
        <f>'Por Valoracion (3) Dimension 2'!B116</f>
        <v>0</v>
      </c>
      <c r="CB116" s="47"/>
    </row>
    <row r="117" spans="1:80">
      <c r="A117" s="38"/>
      <c r="C117" t="str">
        <f>('Gestión de abastecimiento'!A118)</f>
        <v>0</v>
      </c>
      <c r="D117" s="39" t="str">
        <f>'Por Valoracion (3) Dimension'!B117</f>
        <v>0</v>
      </c>
      <c r="E117" s="39" t="str">
        <f>'Por Valoracion (3) Dimension 2'!B117</f>
        <v>0</v>
      </c>
      <c r="Z117" s="38"/>
      <c r="AB117" s="46"/>
      <c r="AD117" t="str">
        <f>('Gestión de abastecimiento'!A118)</f>
        <v>0</v>
      </c>
      <c r="AE117" s="39" t="str">
        <f>'Por Valoracion (3) Dimension'!D117</f>
        <v>0</v>
      </c>
      <c r="AF117" s="39" t="str">
        <f>'Por Valoracion (3) Dimension 2'!B117</f>
        <v>0</v>
      </c>
      <c r="BA117" s="46"/>
      <c r="BC117" s="47"/>
      <c r="BE117" t="str">
        <f>('Gestión de abastecimiento'!A118)</f>
        <v>0</v>
      </c>
      <c r="BF117" s="39" t="str">
        <f>'Por Valoracion (3) Dimension'!F117</f>
        <v>0</v>
      </c>
      <c r="BG117" s="39" t="str">
        <f>'Por Valoracion (3) Dimension 2'!B117</f>
        <v>0</v>
      </c>
      <c r="CB117" s="47"/>
    </row>
    <row r="118" spans="1:80">
      <c r="A118" s="38"/>
      <c r="C118" t="str">
        <f>('Gestión de abastecimiento'!A119)</f>
        <v>0</v>
      </c>
      <c r="D118" s="39" t="str">
        <f>'Por Valoracion (3) Dimension'!B118</f>
        <v>0</v>
      </c>
      <c r="E118" s="39" t="str">
        <f>'Por Valoracion (3) Dimension 2'!B118</f>
        <v>0</v>
      </c>
      <c r="Z118" s="38"/>
      <c r="AB118" s="46"/>
      <c r="AD118" t="str">
        <f>('Gestión de abastecimiento'!A119)</f>
        <v>0</v>
      </c>
      <c r="AE118" s="39" t="str">
        <f>'Por Valoracion (3) Dimension'!D118</f>
        <v>0</v>
      </c>
      <c r="AF118" s="39" t="str">
        <f>'Por Valoracion (3) Dimension 2'!B118</f>
        <v>0</v>
      </c>
      <c r="BA118" s="46"/>
      <c r="BC118" s="47"/>
      <c r="BE118" t="str">
        <f>('Gestión de abastecimiento'!A119)</f>
        <v>0</v>
      </c>
      <c r="BF118" s="39" t="str">
        <f>'Por Valoracion (3) Dimension'!F118</f>
        <v>0</v>
      </c>
      <c r="BG118" s="39" t="str">
        <f>'Por Valoracion (3) Dimension 2'!B118</f>
        <v>0</v>
      </c>
      <c r="CB118" s="47"/>
    </row>
    <row r="119" spans="1:80">
      <c r="A119" s="38"/>
      <c r="C119" t="str">
        <f>('Gestión de abastecimiento'!A120)</f>
        <v>0</v>
      </c>
      <c r="D119" s="39" t="str">
        <f>'Por Valoracion (3) Dimension'!B119</f>
        <v>0</v>
      </c>
      <c r="E119" s="39" t="str">
        <f>'Por Valoracion (3) Dimension 2'!B119</f>
        <v>0</v>
      </c>
      <c r="Z119" s="38"/>
      <c r="AB119" s="46"/>
      <c r="AD119" t="str">
        <f>('Gestión de abastecimiento'!A120)</f>
        <v>0</v>
      </c>
      <c r="AE119" s="39" t="str">
        <f>'Por Valoracion (3) Dimension'!D119</f>
        <v>0</v>
      </c>
      <c r="AF119" s="39" t="str">
        <f>'Por Valoracion (3) Dimension 2'!B119</f>
        <v>0</v>
      </c>
      <c r="BA119" s="46"/>
      <c r="BC119" s="47"/>
      <c r="BE119" t="str">
        <f>('Gestión de abastecimiento'!A120)</f>
        <v>0</v>
      </c>
      <c r="BF119" s="39" t="str">
        <f>'Por Valoracion (3) Dimension'!F119</f>
        <v>0</v>
      </c>
      <c r="BG119" s="39" t="str">
        <f>'Por Valoracion (3) Dimension 2'!B119</f>
        <v>0</v>
      </c>
      <c r="CB119" s="47"/>
    </row>
    <row r="120" spans="1:80">
      <c r="A120" s="38"/>
      <c r="C120" t="str">
        <f>('Gestión de abastecimiento'!A121)</f>
        <v>0</v>
      </c>
      <c r="D120" s="39" t="str">
        <f>'Por Valoracion (3) Dimension'!B120</f>
        <v>0</v>
      </c>
      <c r="E120" s="39" t="str">
        <f>'Por Valoracion (3) Dimension 2'!B120</f>
        <v>0</v>
      </c>
      <c r="Z120" s="38"/>
      <c r="AB120" s="46"/>
      <c r="AD120" t="str">
        <f>('Gestión de abastecimiento'!A121)</f>
        <v>0</v>
      </c>
      <c r="AE120" s="39" t="str">
        <f>'Por Valoracion (3) Dimension'!D120</f>
        <v>0</v>
      </c>
      <c r="AF120" s="39" t="str">
        <f>'Por Valoracion (3) Dimension 2'!B120</f>
        <v>0</v>
      </c>
      <c r="BA120" s="46"/>
      <c r="BC120" s="47"/>
      <c r="BE120" t="str">
        <f>('Gestión de abastecimiento'!A121)</f>
        <v>0</v>
      </c>
      <c r="BF120" s="39" t="str">
        <f>'Por Valoracion (3) Dimension'!F120</f>
        <v>0</v>
      </c>
      <c r="BG120" s="39" t="str">
        <f>'Por Valoracion (3) Dimension 2'!B120</f>
        <v>0</v>
      </c>
      <c r="CB120" s="47"/>
    </row>
    <row r="121" spans="1:80">
      <c r="A121" s="38"/>
      <c r="C121" t="str">
        <f>('Gestión de abastecimiento'!A122)</f>
        <v>0</v>
      </c>
      <c r="D121" s="39" t="str">
        <f>'Por Valoracion (3) Dimension'!B121</f>
        <v>0</v>
      </c>
      <c r="E121" s="39" t="str">
        <f>'Por Valoracion (3) Dimension 2'!B121</f>
        <v>0</v>
      </c>
      <c r="Z121" s="38"/>
      <c r="AB121" s="46"/>
      <c r="AD121" t="str">
        <f>('Gestión de abastecimiento'!A122)</f>
        <v>0</v>
      </c>
      <c r="AE121" s="39" t="str">
        <f>'Por Valoracion (3) Dimension'!D121</f>
        <v>0</v>
      </c>
      <c r="AF121" s="39" t="str">
        <f>'Por Valoracion (3) Dimension 2'!B121</f>
        <v>0</v>
      </c>
      <c r="BA121" s="46"/>
      <c r="BC121" s="47"/>
      <c r="BE121" t="str">
        <f>('Gestión de abastecimiento'!A122)</f>
        <v>0</v>
      </c>
      <c r="BF121" s="39" t="str">
        <f>'Por Valoracion (3) Dimension'!F121</f>
        <v>0</v>
      </c>
      <c r="BG121" s="39" t="str">
        <f>'Por Valoracion (3) Dimension 2'!B121</f>
        <v>0</v>
      </c>
      <c r="CB121" s="47"/>
    </row>
    <row r="122" spans="1:80">
      <c r="A122" s="38"/>
      <c r="C122" t="str">
        <f>('Gestión de abastecimiento'!A123)</f>
        <v>0</v>
      </c>
      <c r="D122" s="39" t="str">
        <f>'Por Valoracion (3) Dimension'!B122</f>
        <v>0</v>
      </c>
      <c r="E122" s="39" t="str">
        <f>'Por Valoracion (3) Dimension 2'!B122</f>
        <v>0</v>
      </c>
      <c r="Z122" s="38"/>
      <c r="AB122" s="46"/>
      <c r="AD122" t="str">
        <f>('Gestión de abastecimiento'!A123)</f>
        <v>0</v>
      </c>
      <c r="AE122" s="39" t="str">
        <f>'Por Valoracion (3) Dimension'!D122</f>
        <v>0</v>
      </c>
      <c r="AF122" s="39" t="str">
        <f>'Por Valoracion (3) Dimension 2'!B122</f>
        <v>0</v>
      </c>
      <c r="BA122" s="46"/>
      <c r="BC122" s="47"/>
      <c r="BE122" t="str">
        <f>('Gestión de abastecimiento'!A123)</f>
        <v>0</v>
      </c>
      <c r="BF122" s="39" t="str">
        <f>'Por Valoracion (3) Dimension'!F122</f>
        <v>0</v>
      </c>
      <c r="BG122" s="39" t="str">
        <f>'Por Valoracion (3) Dimension 2'!B122</f>
        <v>0</v>
      </c>
      <c r="CB122" s="47"/>
    </row>
    <row r="123" spans="1:80">
      <c r="A123" s="38"/>
      <c r="C123" t="str">
        <f>('Gestión de abastecimiento'!A124)</f>
        <v>0</v>
      </c>
      <c r="D123" s="39" t="str">
        <f>'Por Valoracion (3) Dimension'!B123</f>
        <v>0</v>
      </c>
      <c r="E123" s="39" t="str">
        <f>'Por Valoracion (3) Dimension 2'!B123</f>
        <v>0</v>
      </c>
      <c r="Z123" s="38"/>
      <c r="AB123" s="46"/>
      <c r="AD123" t="str">
        <f>('Gestión de abastecimiento'!A124)</f>
        <v>0</v>
      </c>
      <c r="AE123" s="39" t="str">
        <f>'Por Valoracion (3) Dimension'!D123</f>
        <v>0</v>
      </c>
      <c r="AF123" s="39" t="str">
        <f>'Por Valoracion (3) Dimension 2'!B123</f>
        <v>0</v>
      </c>
      <c r="BA123" s="46"/>
      <c r="BC123" s="47"/>
      <c r="BE123" t="str">
        <f>('Gestión de abastecimiento'!A124)</f>
        <v>0</v>
      </c>
      <c r="BF123" s="39" t="str">
        <f>'Por Valoracion (3) Dimension'!F123</f>
        <v>0</v>
      </c>
      <c r="BG123" s="39" t="str">
        <f>'Por Valoracion (3) Dimension 2'!B123</f>
        <v>0</v>
      </c>
      <c r="CB123" s="47"/>
    </row>
    <row r="124" spans="1:80">
      <c r="A124" s="38"/>
      <c r="C124" t="str">
        <f>('Gestión de abastecimiento'!A125)</f>
        <v>0</v>
      </c>
      <c r="D124" s="39" t="str">
        <f>'Por Valoracion (3) Dimension'!B124</f>
        <v>0</v>
      </c>
      <c r="E124" s="39" t="str">
        <f>'Por Valoracion (3) Dimension 2'!B124</f>
        <v>0</v>
      </c>
      <c r="Z124" s="38"/>
      <c r="AB124" s="46"/>
      <c r="AD124" t="str">
        <f>('Gestión de abastecimiento'!A125)</f>
        <v>0</v>
      </c>
      <c r="AE124" s="39" t="str">
        <f>'Por Valoracion (3) Dimension'!D124</f>
        <v>0</v>
      </c>
      <c r="AF124" s="39" t="str">
        <f>'Por Valoracion (3) Dimension 2'!B124</f>
        <v>0</v>
      </c>
      <c r="BA124" s="46"/>
      <c r="BC124" s="47"/>
      <c r="BE124" t="str">
        <f>('Gestión de abastecimiento'!A125)</f>
        <v>0</v>
      </c>
      <c r="BF124" s="39" t="str">
        <f>'Por Valoracion (3) Dimension'!F124</f>
        <v>0</v>
      </c>
      <c r="BG124" s="39" t="str">
        <f>'Por Valoracion (3) Dimension 2'!B124</f>
        <v>0</v>
      </c>
      <c r="CB124" s="47"/>
    </row>
    <row r="125" spans="1:80">
      <c r="A125" s="38"/>
      <c r="C125" t="str">
        <f>('Gestión de abastecimiento'!A126)</f>
        <v>0</v>
      </c>
      <c r="D125" s="39" t="str">
        <f>'Por Valoracion (3) Dimension'!B125</f>
        <v>0</v>
      </c>
      <c r="E125" s="39" t="str">
        <f>'Por Valoracion (3) Dimension 2'!B125</f>
        <v>0</v>
      </c>
      <c r="Z125" s="38"/>
      <c r="AB125" s="46"/>
      <c r="AD125" t="str">
        <f>('Gestión de abastecimiento'!A126)</f>
        <v>0</v>
      </c>
      <c r="AE125" s="39" t="str">
        <f>'Por Valoracion (3) Dimension'!D125</f>
        <v>0</v>
      </c>
      <c r="AF125" s="39" t="str">
        <f>'Por Valoracion (3) Dimension 2'!B125</f>
        <v>0</v>
      </c>
      <c r="BA125" s="46"/>
      <c r="BC125" s="47"/>
      <c r="BE125" t="str">
        <f>('Gestión de abastecimiento'!A126)</f>
        <v>0</v>
      </c>
      <c r="BF125" s="39" t="str">
        <f>'Por Valoracion (3) Dimension'!F125</f>
        <v>0</v>
      </c>
      <c r="BG125" s="39" t="str">
        <f>'Por Valoracion (3) Dimension 2'!B125</f>
        <v>0</v>
      </c>
      <c r="CB125" s="47"/>
    </row>
    <row r="126" spans="1:80">
      <c r="A126" s="38"/>
      <c r="C126" t="str">
        <f>('Gestión de abastecimiento'!A127)</f>
        <v>0</v>
      </c>
      <c r="D126" s="39" t="str">
        <f>'Por Valoracion (3) Dimension'!B126</f>
        <v>0</v>
      </c>
      <c r="E126" s="39" t="str">
        <f>'Por Valoracion (3) Dimension 2'!B126</f>
        <v>0</v>
      </c>
      <c r="Z126" s="38"/>
      <c r="AB126" s="46"/>
      <c r="AD126" t="str">
        <f>('Gestión de abastecimiento'!A127)</f>
        <v>0</v>
      </c>
      <c r="AE126" s="39" t="str">
        <f>'Por Valoracion (3) Dimension'!D126</f>
        <v>0</v>
      </c>
      <c r="AF126" s="39" t="str">
        <f>'Por Valoracion (3) Dimension 2'!B126</f>
        <v>0</v>
      </c>
      <c r="BA126" s="46"/>
      <c r="BC126" s="47"/>
      <c r="BE126" t="str">
        <f>('Gestión de abastecimiento'!A127)</f>
        <v>0</v>
      </c>
      <c r="BF126" s="39" t="str">
        <f>'Por Valoracion (3) Dimension'!F126</f>
        <v>0</v>
      </c>
      <c r="BG126" s="39" t="str">
        <f>'Por Valoracion (3) Dimension 2'!B126</f>
        <v>0</v>
      </c>
      <c r="CB126" s="47"/>
    </row>
    <row r="127" spans="1:80">
      <c r="A127" s="38"/>
      <c r="C127" t="str">
        <f>('Gestión de abastecimiento'!A128)</f>
        <v>0</v>
      </c>
      <c r="D127" s="39" t="str">
        <f>'Por Valoracion (3) Dimension'!B127</f>
        <v>0</v>
      </c>
      <c r="E127" s="39" t="str">
        <f>'Por Valoracion (3) Dimension 2'!B127</f>
        <v>0</v>
      </c>
      <c r="Z127" s="38"/>
      <c r="AB127" s="46"/>
      <c r="AD127" t="str">
        <f>('Gestión de abastecimiento'!A128)</f>
        <v>0</v>
      </c>
      <c r="AE127" s="39" t="str">
        <f>'Por Valoracion (3) Dimension'!D127</f>
        <v>0</v>
      </c>
      <c r="AF127" s="39" t="str">
        <f>'Por Valoracion (3) Dimension 2'!B127</f>
        <v>0</v>
      </c>
      <c r="BA127" s="46"/>
      <c r="BC127" s="47"/>
      <c r="BE127" t="str">
        <f>('Gestión de abastecimiento'!A128)</f>
        <v>0</v>
      </c>
      <c r="BF127" s="39" t="str">
        <f>'Por Valoracion (3) Dimension'!F127</f>
        <v>0</v>
      </c>
      <c r="BG127" s="39" t="str">
        <f>'Por Valoracion (3) Dimension 2'!B127</f>
        <v>0</v>
      </c>
      <c r="CB127" s="47"/>
    </row>
    <row r="128" spans="1:80">
      <c r="A128" s="38"/>
      <c r="C128" t="str">
        <f>('Gestión de abastecimiento'!A129)</f>
        <v>0</v>
      </c>
      <c r="D128" s="39" t="str">
        <f>'Por Valoracion (3) Dimension'!B128</f>
        <v>0</v>
      </c>
      <c r="E128" s="39" t="str">
        <f>'Por Valoracion (3) Dimension 2'!B128</f>
        <v>0</v>
      </c>
      <c r="Z128" s="38"/>
      <c r="AB128" s="46"/>
      <c r="AD128" t="str">
        <f>('Gestión de abastecimiento'!A129)</f>
        <v>0</v>
      </c>
      <c r="AE128" s="39" t="str">
        <f>'Por Valoracion (3) Dimension'!D128</f>
        <v>0</v>
      </c>
      <c r="AF128" s="39" t="str">
        <f>'Por Valoracion (3) Dimension 2'!B128</f>
        <v>0</v>
      </c>
      <c r="BA128" s="46"/>
      <c r="BC128" s="47"/>
      <c r="BE128" t="str">
        <f>('Gestión de abastecimiento'!A129)</f>
        <v>0</v>
      </c>
      <c r="BF128" s="39" t="str">
        <f>'Por Valoracion (3) Dimension'!F128</f>
        <v>0</v>
      </c>
      <c r="BG128" s="39" t="str">
        <f>'Por Valoracion (3) Dimension 2'!B128</f>
        <v>0</v>
      </c>
      <c r="CB128" s="47"/>
    </row>
    <row r="129" spans="1:80">
      <c r="A129" s="38"/>
      <c r="C129" t="str">
        <f>('Gestión de abastecimiento'!A130)</f>
        <v>0</v>
      </c>
      <c r="D129" s="39" t="str">
        <f>'Por Valoracion (3) Dimension'!B129</f>
        <v>0</v>
      </c>
      <c r="E129" s="39" t="str">
        <f>'Por Valoracion (3) Dimension 2'!B129</f>
        <v>0</v>
      </c>
      <c r="Z129" s="38"/>
      <c r="AB129" s="46"/>
      <c r="AD129" t="str">
        <f>('Gestión de abastecimiento'!A130)</f>
        <v>0</v>
      </c>
      <c r="AE129" s="39" t="str">
        <f>'Por Valoracion (3) Dimension'!D129</f>
        <v>0</v>
      </c>
      <c r="AF129" s="39" t="str">
        <f>'Por Valoracion (3) Dimension 2'!B129</f>
        <v>0</v>
      </c>
      <c r="BA129" s="46"/>
      <c r="BC129" s="47"/>
      <c r="BE129" t="str">
        <f>('Gestión de abastecimiento'!A130)</f>
        <v>0</v>
      </c>
      <c r="BF129" s="39" t="str">
        <f>'Por Valoracion (3) Dimension'!F129</f>
        <v>0</v>
      </c>
      <c r="BG129" s="39" t="str">
        <f>'Por Valoracion (3) Dimension 2'!B129</f>
        <v>0</v>
      </c>
      <c r="CB129" s="47"/>
    </row>
    <row r="130" spans="1:80">
      <c r="A130" s="38"/>
      <c r="C130" t="str">
        <f>('Gestión de abastecimiento'!A131)</f>
        <v>0</v>
      </c>
      <c r="D130" s="39" t="str">
        <f>'Por Valoracion (3) Dimension'!B130</f>
        <v>0</v>
      </c>
      <c r="E130" s="39" t="str">
        <f>'Por Valoracion (3) Dimension 2'!B130</f>
        <v>0</v>
      </c>
      <c r="Z130" s="38"/>
      <c r="AB130" s="46"/>
      <c r="AD130" t="str">
        <f>('Gestión de abastecimiento'!A131)</f>
        <v>0</v>
      </c>
      <c r="AE130" s="39" t="str">
        <f>'Por Valoracion (3) Dimension'!D130</f>
        <v>0</v>
      </c>
      <c r="AF130" s="39" t="str">
        <f>'Por Valoracion (3) Dimension 2'!B130</f>
        <v>0</v>
      </c>
      <c r="BA130" s="46"/>
      <c r="BC130" s="47"/>
      <c r="BE130" t="str">
        <f>('Gestión de abastecimiento'!A131)</f>
        <v>0</v>
      </c>
      <c r="BF130" s="39" t="str">
        <f>'Por Valoracion (3) Dimension'!F130</f>
        <v>0</v>
      </c>
      <c r="BG130" s="39" t="str">
        <f>'Por Valoracion (3) Dimension 2'!B130</f>
        <v>0</v>
      </c>
      <c r="CB130" s="47"/>
    </row>
    <row r="131" spans="1:80">
      <c r="A131" s="38"/>
      <c r="C131" t="str">
        <f>('Gestión de abastecimiento'!A132)</f>
        <v>0</v>
      </c>
      <c r="D131" s="39" t="str">
        <f>'Por Valoracion (3) Dimension'!B131</f>
        <v>0</v>
      </c>
      <c r="E131" s="39" t="str">
        <f>'Por Valoracion (3) Dimension 2'!B131</f>
        <v>0</v>
      </c>
      <c r="Z131" s="38"/>
      <c r="AB131" s="46"/>
      <c r="AD131" t="str">
        <f>('Gestión de abastecimiento'!A132)</f>
        <v>0</v>
      </c>
      <c r="AE131" s="39" t="str">
        <f>'Por Valoracion (3) Dimension'!D131</f>
        <v>0</v>
      </c>
      <c r="AF131" s="39" t="str">
        <f>'Por Valoracion (3) Dimension 2'!B131</f>
        <v>0</v>
      </c>
      <c r="BA131" s="46"/>
      <c r="BC131" s="47"/>
      <c r="BE131" t="str">
        <f>('Gestión de abastecimiento'!A132)</f>
        <v>0</v>
      </c>
      <c r="BF131" s="39" t="str">
        <f>'Por Valoracion (3) Dimension'!F131</f>
        <v>0</v>
      </c>
      <c r="BG131" s="39" t="str">
        <f>'Por Valoracion (3) Dimension 2'!B131</f>
        <v>0</v>
      </c>
      <c r="CB131" s="47"/>
    </row>
    <row r="132" spans="1:80">
      <c r="A132" s="38"/>
      <c r="C132" t="str">
        <f>('Gestión de abastecimiento'!A133)</f>
        <v>0</v>
      </c>
      <c r="D132" s="39" t="str">
        <f>'Por Valoracion (3) Dimension'!B132</f>
        <v>0</v>
      </c>
      <c r="E132" s="39" t="str">
        <f>'Por Valoracion (3) Dimension 2'!B132</f>
        <v>0</v>
      </c>
      <c r="Z132" s="38"/>
      <c r="AB132" s="46"/>
      <c r="AD132" t="str">
        <f>('Gestión de abastecimiento'!A133)</f>
        <v>0</v>
      </c>
      <c r="AE132" s="39" t="str">
        <f>'Por Valoracion (3) Dimension'!D132</f>
        <v>0</v>
      </c>
      <c r="AF132" s="39" t="str">
        <f>'Por Valoracion (3) Dimension 2'!B132</f>
        <v>0</v>
      </c>
      <c r="BA132" s="46"/>
      <c r="BC132" s="47"/>
      <c r="BE132" t="str">
        <f>('Gestión de abastecimiento'!A133)</f>
        <v>0</v>
      </c>
      <c r="BF132" s="39" t="str">
        <f>'Por Valoracion (3) Dimension'!F132</f>
        <v>0</v>
      </c>
      <c r="BG132" s="39" t="str">
        <f>'Por Valoracion (3) Dimension 2'!B132</f>
        <v>0</v>
      </c>
      <c r="CB132" s="47"/>
    </row>
    <row r="133" spans="1:80">
      <c r="A133" s="38"/>
      <c r="C133" t="str">
        <f>('Gestión de abastecimiento'!A134)</f>
        <v>0</v>
      </c>
      <c r="D133" s="39" t="str">
        <f>'Por Valoracion (3) Dimension'!B133</f>
        <v>0</v>
      </c>
      <c r="E133" s="39" t="str">
        <f>'Por Valoracion (3) Dimension 2'!B133</f>
        <v>0</v>
      </c>
      <c r="Z133" s="38"/>
      <c r="AB133" s="46"/>
      <c r="AD133" t="str">
        <f>('Gestión de abastecimiento'!A134)</f>
        <v>0</v>
      </c>
      <c r="AE133" s="39" t="str">
        <f>'Por Valoracion (3) Dimension'!D133</f>
        <v>0</v>
      </c>
      <c r="AF133" s="39" t="str">
        <f>'Por Valoracion (3) Dimension 2'!B133</f>
        <v>0</v>
      </c>
      <c r="BA133" s="46"/>
      <c r="BC133" s="47"/>
      <c r="BE133" t="str">
        <f>('Gestión de abastecimiento'!A134)</f>
        <v>0</v>
      </c>
      <c r="BF133" s="39" t="str">
        <f>'Por Valoracion (3) Dimension'!F133</f>
        <v>0</v>
      </c>
      <c r="BG133" s="39" t="str">
        <f>'Por Valoracion (3) Dimension 2'!B133</f>
        <v>0</v>
      </c>
      <c r="CB133" s="47"/>
    </row>
    <row r="134" spans="1:80">
      <c r="A134" s="38"/>
      <c r="C134" t="str">
        <f>('Gestión de abastecimiento'!A135)</f>
        <v>0</v>
      </c>
      <c r="D134" s="39" t="str">
        <f>'Por Valoracion (3) Dimension'!B134</f>
        <v>0</v>
      </c>
      <c r="E134" s="39" t="str">
        <f>'Por Valoracion (3) Dimension 2'!B134</f>
        <v>0</v>
      </c>
      <c r="Z134" s="38"/>
      <c r="AB134" s="46"/>
      <c r="AD134" t="str">
        <f>('Gestión de abastecimiento'!A135)</f>
        <v>0</v>
      </c>
      <c r="AE134" s="39" t="str">
        <f>'Por Valoracion (3) Dimension'!D134</f>
        <v>0</v>
      </c>
      <c r="AF134" s="39" t="str">
        <f>'Por Valoracion (3) Dimension 2'!B134</f>
        <v>0</v>
      </c>
      <c r="BA134" s="46"/>
      <c r="BC134" s="47"/>
      <c r="BE134" t="str">
        <f>('Gestión de abastecimiento'!A135)</f>
        <v>0</v>
      </c>
      <c r="BF134" s="39" t="str">
        <f>'Por Valoracion (3) Dimension'!F134</f>
        <v>0</v>
      </c>
      <c r="BG134" s="39" t="str">
        <f>'Por Valoracion (3) Dimension 2'!B134</f>
        <v>0</v>
      </c>
      <c r="CB134" s="47"/>
    </row>
    <row r="135" spans="1:80">
      <c r="A135" s="38"/>
      <c r="C135" t="str">
        <f>('Gestión de abastecimiento'!A136)</f>
        <v>0</v>
      </c>
      <c r="D135" s="39" t="str">
        <f>'Por Valoracion (3) Dimension'!B135</f>
        <v>0</v>
      </c>
      <c r="E135" s="39" t="str">
        <f>'Por Valoracion (3) Dimension 2'!B135</f>
        <v>0</v>
      </c>
      <c r="Z135" s="38"/>
      <c r="AB135" s="46"/>
      <c r="AD135" t="str">
        <f>('Gestión de abastecimiento'!A136)</f>
        <v>0</v>
      </c>
      <c r="AE135" s="39" t="str">
        <f>'Por Valoracion (3) Dimension'!D135</f>
        <v>0</v>
      </c>
      <c r="AF135" s="39" t="str">
        <f>'Por Valoracion (3) Dimension 2'!B135</f>
        <v>0</v>
      </c>
      <c r="BA135" s="46"/>
      <c r="BC135" s="47"/>
      <c r="BE135" t="str">
        <f>('Gestión de abastecimiento'!A136)</f>
        <v>0</v>
      </c>
      <c r="BF135" s="39" t="str">
        <f>'Por Valoracion (3) Dimension'!F135</f>
        <v>0</v>
      </c>
      <c r="BG135" s="39" t="str">
        <f>'Por Valoracion (3) Dimension 2'!B135</f>
        <v>0</v>
      </c>
      <c r="CB135" s="47"/>
    </row>
    <row r="136" spans="1:80">
      <c r="A136" s="38"/>
      <c r="C136" t="str">
        <f>('Gestión de abastecimiento'!A137)</f>
        <v>0</v>
      </c>
      <c r="D136" s="39" t="str">
        <f>'Por Valoracion (3) Dimension'!B136</f>
        <v>0</v>
      </c>
      <c r="E136" s="39" t="str">
        <f>'Por Valoracion (3) Dimension 2'!B136</f>
        <v>0</v>
      </c>
      <c r="Z136" s="38"/>
      <c r="AB136" s="46"/>
      <c r="AD136" t="str">
        <f>('Gestión de abastecimiento'!A137)</f>
        <v>0</v>
      </c>
      <c r="AE136" s="39" t="str">
        <f>'Por Valoracion (3) Dimension'!D136</f>
        <v>0</v>
      </c>
      <c r="AF136" s="39" t="str">
        <f>'Por Valoracion (3) Dimension 2'!B136</f>
        <v>0</v>
      </c>
      <c r="BA136" s="46"/>
      <c r="BC136" s="47"/>
      <c r="BE136" t="str">
        <f>('Gestión de abastecimiento'!A137)</f>
        <v>0</v>
      </c>
      <c r="BF136" s="39" t="str">
        <f>'Por Valoracion (3) Dimension'!F136</f>
        <v>0</v>
      </c>
      <c r="BG136" s="39" t="str">
        <f>'Por Valoracion (3) Dimension 2'!B136</f>
        <v>0</v>
      </c>
      <c r="CB136" s="47"/>
    </row>
    <row r="137" spans="1:80">
      <c r="A137" s="38"/>
      <c r="C137" t="str">
        <f>('Gestión de abastecimiento'!A138)</f>
        <v>0</v>
      </c>
      <c r="D137" s="39" t="str">
        <f>'Por Valoracion (3) Dimension'!B137</f>
        <v>0</v>
      </c>
      <c r="E137" s="39" t="str">
        <f>'Por Valoracion (3) Dimension 2'!B137</f>
        <v>0</v>
      </c>
      <c r="Z137" s="38"/>
      <c r="AB137" s="46"/>
      <c r="AD137" t="str">
        <f>('Gestión de abastecimiento'!A138)</f>
        <v>0</v>
      </c>
      <c r="AE137" s="39" t="str">
        <f>'Por Valoracion (3) Dimension'!D137</f>
        <v>0</v>
      </c>
      <c r="AF137" s="39" t="str">
        <f>'Por Valoracion (3) Dimension 2'!B137</f>
        <v>0</v>
      </c>
      <c r="BA137" s="46"/>
      <c r="BC137" s="47"/>
      <c r="BE137" t="str">
        <f>('Gestión de abastecimiento'!A138)</f>
        <v>0</v>
      </c>
      <c r="BF137" s="39" t="str">
        <f>'Por Valoracion (3) Dimension'!F137</f>
        <v>0</v>
      </c>
      <c r="BG137" s="39" t="str">
        <f>'Por Valoracion (3) Dimension 2'!B137</f>
        <v>0</v>
      </c>
      <c r="CB137" s="47"/>
    </row>
    <row r="138" spans="1:80">
      <c r="A138" s="38"/>
      <c r="C138" t="str">
        <f>('Gestión de abastecimiento'!A139)</f>
        <v>0</v>
      </c>
      <c r="D138" s="39" t="str">
        <f>'Por Valoracion (3) Dimension'!B138</f>
        <v>0</v>
      </c>
      <c r="E138" s="39" t="str">
        <f>'Por Valoracion (3) Dimension 2'!B138</f>
        <v>0</v>
      </c>
      <c r="Z138" s="38"/>
      <c r="AB138" s="46"/>
      <c r="AD138" t="str">
        <f>('Gestión de abastecimiento'!A139)</f>
        <v>0</v>
      </c>
      <c r="AE138" s="39" t="str">
        <f>'Por Valoracion (3) Dimension'!D138</f>
        <v>0</v>
      </c>
      <c r="AF138" s="39" t="str">
        <f>'Por Valoracion (3) Dimension 2'!B138</f>
        <v>0</v>
      </c>
      <c r="BA138" s="46"/>
      <c r="BC138" s="47"/>
      <c r="BE138" t="str">
        <f>('Gestión de abastecimiento'!A139)</f>
        <v>0</v>
      </c>
      <c r="BF138" s="39" t="str">
        <f>'Por Valoracion (3) Dimension'!F138</f>
        <v>0</v>
      </c>
      <c r="BG138" s="39" t="str">
        <f>'Por Valoracion (3) Dimension 2'!B138</f>
        <v>0</v>
      </c>
      <c r="CB138" s="47"/>
    </row>
    <row r="139" spans="1:80">
      <c r="A139" s="38"/>
      <c r="C139" t="str">
        <f>('Gestión de abastecimiento'!A140)</f>
        <v>0</v>
      </c>
      <c r="D139" s="39" t="str">
        <f>'Por Valoracion (3) Dimension'!B139</f>
        <v>0</v>
      </c>
      <c r="E139" s="39" t="str">
        <f>'Por Valoracion (3) Dimension 2'!B139</f>
        <v>0</v>
      </c>
      <c r="Z139" s="38"/>
      <c r="AB139" s="46"/>
      <c r="AD139" t="str">
        <f>('Gestión de abastecimiento'!A140)</f>
        <v>0</v>
      </c>
      <c r="AE139" s="39" t="str">
        <f>'Por Valoracion (3) Dimension'!D139</f>
        <v>0</v>
      </c>
      <c r="AF139" s="39" t="str">
        <f>'Por Valoracion (3) Dimension 2'!B139</f>
        <v>0</v>
      </c>
      <c r="BA139" s="46"/>
      <c r="BC139" s="47"/>
      <c r="BE139" t="str">
        <f>('Gestión de abastecimiento'!A140)</f>
        <v>0</v>
      </c>
      <c r="BF139" s="39" t="str">
        <f>'Por Valoracion (3) Dimension'!F139</f>
        <v>0</v>
      </c>
      <c r="BG139" s="39" t="str">
        <f>'Por Valoracion (3) Dimension 2'!B139</f>
        <v>0</v>
      </c>
      <c r="CB139" s="47"/>
    </row>
    <row r="140" spans="1:80">
      <c r="A140" s="38"/>
      <c r="C140" t="str">
        <f>('Gestión de abastecimiento'!A141)</f>
        <v>0</v>
      </c>
      <c r="D140" s="39" t="str">
        <f>'Por Valoracion (3) Dimension'!B140</f>
        <v>0</v>
      </c>
      <c r="E140" s="39" t="str">
        <f>'Por Valoracion (3) Dimension 2'!B140</f>
        <v>0</v>
      </c>
      <c r="Z140" s="38"/>
      <c r="AB140" s="46"/>
      <c r="AD140" t="str">
        <f>('Gestión de abastecimiento'!A141)</f>
        <v>0</v>
      </c>
      <c r="AE140" s="39" t="str">
        <f>'Por Valoracion (3) Dimension'!D140</f>
        <v>0</v>
      </c>
      <c r="AF140" s="39" t="str">
        <f>'Por Valoracion (3) Dimension 2'!B140</f>
        <v>0</v>
      </c>
      <c r="BA140" s="46"/>
      <c r="BC140" s="47"/>
      <c r="BE140" t="str">
        <f>('Gestión de abastecimiento'!A141)</f>
        <v>0</v>
      </c>
      <c r="BF140" s="39" t="str">
        <f>'Por Valoracion (3) Dimension'!F140</f>
        <v>0</v>
      </c>
      <c r="BG140" s="39" t="str">
        <f>'Por Valoracion (3) Dimension 2'!B140</f>
        <v>0</v>
      </c>
      <c r="CB140" s="47"/>
    </row>
    <row r="141" spans="1:80">
      <c r="A141" s="38"/>
      <c r="C141" t="str">
        <f>('Gestión de abastecimiento'!A142)</f>
        <v>0</v>
      </c>
      <c r="D141" s="39" t="str">
        <f>'Por Valoracion (3) Dimension'!B141</f>
        <v>0</v>
      </c>
      <c r="E141" s="39" t="str">
        <f>'Por Valoracion (3) Dimension 2'!B141</f>
        <v>0</v>
      </c>
      <c r="Z141" s="38"/>
      <c r="AB141" s="46"/>
      <c r="AD141" t="str">
        <f>('Gestión de abastecimiento'!A142)</f>
        <v>0</v>
      </c>
      <c r="AE141" s="39" t="str">
        <f>'Por Valoracion (3) Dimension'!D141</f>
        <v>0</v>
      </c>
      <c r="AF141" s="39" t="str">
        <f>'Por Valoracion (3) Dimension 2'!B141</f>
        <v>0</v>
      </c>
      <c r="BA141" s="46"/>
      <c r="BC141" s="47"/>
      <c r="BE141" t="str">
        <f>('Gestión de abastecimiento'!A142)</f>
        <v>0</v>
      </c>
      <c r="BF141" s="39" t="str">
        <f>'Por Valoracion (3) Dimension'!F141</f>
        <v>0</v>
      </c>
      <c r="BG141" s="39" t="str">
        <f>'Por Valoracion (3) Dimension 2'!B141</f>
        <v>0</v>
      </c>
      <c r="CB141" s="47"/>
    </row>
    <row r="142" spans="1:80">
      <c r="A142" s="38"/>
      <c r="C142" t="str">
        <f>('Gestión de abastecimiento'!A143)</f>
        <v>0</v>
      </c>
      <c r="D142" s="39" t="str">
        <f>'Por Valoracion (3) Dimension'!B142</f>
        <v>0</v>
      </c>
      <c r="E142" s="39" t="str">
        <f>'Por Valoracion (3) Dimension 2'!B142</f>
        <v>0</v>
      </c>
      <c r="Z142" s="38"/>
      <c r="AB142" s="46"/>
      <c r="AD142" t="str">
        <f>('Gestión de abastecimiento'!A143)</f>
        <v>0</v>
      </c>
      <c r="AE142" s="39" t="str">
        <f>'Por Valoracion (3) Dimension'!D142</f>
        <v>0</v>
      </c>
      <c r="AF142" s="39" t="str">
        <f>'Por Valoracion (3) Dimension 2'!B142</f>
        <v>0</v>
      </c>
      <c r="BA142" s="46"/>
      <c r="BC142" s="47"/>
      <c r="BE142" t="str">
        <f>('Gestión de abastecimiento'!A143)</f>
        <v>0</v>
      </c>
      <c r="BF142" s="39" t="str">
        <f>'Por Valoracion (3) Dimension'!F142</f>
        <v>0</v>
      </c>
      <c r="BG142" s="39" t="str">
        <f>'Por Valoracion (3) Dimension 2'!B142</f>
        <v>0</v>
      </c>
      <c r="CB142" s="47"/>
    </row>
    <row r="143" spans="1:80">
      <c r="A143" s="38"/>
      <c r="C143" t="str">
        <f>('Gestión de abastecimiento'!A144)</f>
        <v>0</v>
      </c>
      <c r="D143" s="39" t="str">
        <f>'Por Valoracion (3) Dimension'!B143</f>
        <v>0</v>
      </c>
      <c r="E143" s="39" t="str">
        <f>'Por Valoracion (3) Dimension 2'!B143</f>
        <v>0</v>
      </c>
      <c r="Z143" s="38"/>
      <c r="AB143" s="46"/>
      <c r="AD143" t="str">
        <f>('Gestión de abastecimiento'!A144)</f>
        <v>0</v>
      </c>
      <c r="AE143" s="39" t="str">
        <f>'Por Valoracion (3) Dimension'!D143</f>
        <v>0</v>
      </c>
      <c r="AF143" s="39" t="str">
        <f>'Por Valoracion (3) Dimension 2'!B143</f>
        <v>0</v>
      </c>
      <c r="BA143" s="46"/>
      <c r="BC143" s="47"/>
      <c r="BE143" t="str">
        <f>('Gestión de abastecimiento'!A144)</f>
        <v>0</v>
      </c>
      <c r="BF143" s="39" t="str">
        <f>'Por Valoracion (3) Dimension'!F143</f>
        <v>0</v>
      </c>
      <c r="BG143" s="39" t="str">
        <f>'Por Valoracion (3) Dimension 2'!B143</f>
        <v>0</v>
      </c>
      <c r="CB143" s="47"/>
    </row>
    <row r="144" spans="1:80">
      <c r="A144" s="38"/>
      <c r="C144" t="str">
        <f>('Gestión de abastecimiento'!A145)</f>
        <v>0</v>
      </c>
      <c r="D144" s="39" t="str">
        <f>'Por Valoracion (3) Dimension'!B144</f>
        <v>0</v>
      </c>
      <c r="E144" s="39" t="str">
        <f>'Por Valoracion (3) Dimension 2'!B144</f>
        <v>0</v>
      </c>
      <c r="Z144" s="38"/>
      <c r="AB144" s="46"/>
      <c r="AD144" t="str">
        <f>('Gestión de abastecimiento'!A145)</f>
        <v>0</v>
      </c>
      <c r="AE144" s="39" t="str">
        <f>'Por Valoracion (3) Dimension'!D144</f>
        <v>0</v>
      </c>
      <c r="AF144" s="39" t="str">
        <f>'Por Valoracion (3) Dimension 2'!B144</f>
        <v>0</v>
      </c>
      <c r="BA144" s="46"/>
      <c r="BC144" s="47"/>
      <c r="BE144" t="str">
        <f>('Gestión de abastecimiento'!A145)</f>
        <v>0</v>
      </c>
      <c r="BF144" s="39" t="str">
        <f>'Por Valoracion (3) Dimension'!F144</f>
        <v>0</v>
      </c>
      <c r="BG144" s="39" t="str">
        <f>'Por Valoracion (3) Dimension 2'!B144</f>
        <v>0</v>
      </c>
      <c r="CB144" s="47"/>
    </row>
    <row r="145" spans="1:80">
      <c r="A145" s="38"/>
      <c r="C145" t="str">
        <f>('Gestión de abastecimiento'!A146)</f>
        <v>0</v>
      </c>
      <c r="D145" s="39" t="str">
        <f>'Por Valoracion (3) Dimension'!B145</f>
        <v>0</v>
      </c>
      <c r="E145" s="39" t="str">
        <f>'Por Valoracion (3) Dimension 2'!B145</f>
        <v>0</v>
      </c>
      <c r="Z145" s="38"/>
      <c r="AB145" s="46"/>
      <c r="AD145" t="str">
        <f>('Gestión de abastecimiento'!A146)</f>
        <v>0</v>
      </c>
      <c r="AE145" s="39" t="str">
        <f>'Por Valoracion (3) Dimension'!D145</f>
        <v>0</v>
      </c>
      <c r="AF145" s="39" t="str">
        <f>'Por Valoracion (3) Dimension 2'!B145</f>
        <v>0</v>
      </c>
      <c r="BA145" s="46"/>
      <c r="BC145" s="47"/>
      <c r="BE145" t="str">
        <f>('Gestión de abastecimiento'!A146)</f>
        <v>0</v>
      </c>
      <c r="BF145" s="39" t="str">
        <f>'Por Valoracion (3) Dimension'!F145</f>
        <v>0</v>
      </c>
      <c r="BG145" s="39" t="str">
        <f>'Por Valoracion (3) Dimension 2'!B145</f>
        <v>0</v>
      </c>
      <c r="CB145" s="47"/>
    </row>
    <row r="146" spans="1:80">
      <c r="A146" s="38"/>
      <c r="C146" t="str">
        <f>('Gestión de abastecimiento'!A147)</f>
        <v>0</v>
      </c>
      <c r="D146" s="39" t="str">
        <f>'Por Valoracion (3) Dimension'!B146</f>
        <v>0</v>
      </c>
      <c r="E146" s="39" t="str">
        <f>'Por Valoracion (3) Dimension 2'!B146</f>
        <v>0</v>
      </c>
      <c r="Z146" s="38"/>
      <c r="AB146" s="46"/>
      <c r="AD146" t="str">
        <f>('Gestión de abastecimiento'!A147)</f>
        <v>0</v>
      </c>
      <c r="AE146" s="39" t="str">
        <f>'Por Valoracion (3) Dimension'!D146</f>
        <v>0</v>
      </c>
      <c r="AF146" s="39" t="str">
        <f>'Por Valoracion (3) Dimension 2'!B146</f>
        <v>0</v>
      </c>
      <c r="BA146" s="46"/>
      <c r="BC146" s="47"/>
      <c r="BE146" t="str">
        <f>('Gestión de abastecimiento'!A147)</f>
        <v>0</v>
      </c>
      <c r="BF146" s="39" t="str">
        <f>'Por Valoracion (3) Dimension'!F146</f>
        <v>0</v>
      </c>
      <c r="BG146" s="39" t="str">
        <f>'Por Valoracion (3) Dimension 2'!B146</f>
        <v>0</v>
      </c>
      <c r="CB146" s="47"/>
    </row>
    <row r="147" spans="1:80">
      <c r="A147" s="38"/>
      <c r="C147" t="str">
        <f>('Gestión de abastecimiento'!A148)</f>
        <v>0</v>
      </c>
      <c r="D147" s="39" t="str">
        <f>'Por Valoracion (3) Dimension'!B147</f>
        <v>0</v>
      </c>
      <c r="E147" s="39" t="str">
        <f>'Por Valoracion (3) Dimension 2'!B147</f>
        <v>0</v>
      </c>
      <c r="Z147" s="38"/>
      <c r="AB147" s="46"/>
      <c r="AD147" t="str">
        <f>('Gestión de abastecimiento'!A148)</f>
        <v>0</v>
      </c>
      <c r="AE147" s="39" t="str">
        <f>'Por Valoracion (3) Dimension'!D147</f>
        <v>0</v>
      </c>
      <c r="AF147" s="39" t="str">
        <f>'Por Valoracion (3) Dimension 2'!B147</f>
        <v>0</v>
      </c>
      <c r="BA147" s="46"/>
      <c r="BC147" s="47"/>
      <c r="BE147" t="str">
        <f>('Gestión de abastecimiento'!A148)</f>
        <v>0</v>
      </c>
      <c r="BF147" s="39" t="str">
        <f>'Por Valoracion (3) Dimension'!F147</f>
        <v>0</v>
      </c>
      <c r="BG147" s="39" t="str">
        <f>'Por Valoracion (3) Dimension 2'!B147</f>
        <v>0</v>
      </c>
      <c r="CB147" s="47"/>
    </row>
    <row r="148" spans="1:80">
      <c r="A148" s="38"/>
      <c r="C148" t="str">
        <f>('Gestión de abastecimiento'!A149)</f>
        <v>0</v>
      </c>
      <c r="D148" s="39" t="str">
        <f>'Por Valoracion (3) Dimension'!B148</f>
        <v>0</v>
      </c>
      <c r="E148" s="39" t="str">
        <f>'Por Valoracion (3) Dimension 2'!B148</f>
        <v>0</v>
      </c>
      <c r="Z148" s="38"/>
      <c r="AB148" s="46"/>
      <c r="AD148" t="str">
        <f>('Gestión de abastecimiento'!A149)</f>
        <v>0</v>
      </c>
      <c r="AE148" s="39" t="str">
        <f>'Por Valoracion (3) Dimension'!D148</f>
        <v>0</v>
      </c>
      <c r="AF148" s="39" t="str">
        <f>'Por Valoracion (3) Dimension 2'!B148</f>
        <v>0</v>
      </c>
      <c r="BA148" s="46"/>
      <c r="BC148" s="47"/>
      <c r="BE148" t="str">
        <f>('Gestión de abastecimiento'!A149)</f>
        <v>0</v>
      </c>
      <c r="BF148" s="39" t="str">
        <f>'Por Valoracion (3) Dimension'!F148</f>
        <v>0</v>
      </c>
      <c r="BG148" s="39" t="str">
        <f>'Por Valoracion (3) Dimension 2'!B148</f>
        <v>0</v>
      </c>
      <c r="CB148" s="47"/>
    </row>
    <row r="149" spans="1:80">
      <c r="A149" s="38"/>
      <c r="C149" t="str">
        <f>('Gestión de abastecimiento'!A150)</f>
        <v>0</v>
      </c>
      <c r="D149" s="39" t="str">
        <f>'Por Valoracion (3) Dimension'!B149</f>
        <v>0</v>
      </c>
      <c r="E149" s="39" t="str">
        <f>'Por Valoracion (3) Dimension 2'!B149</f>
        <v>0</v>
      </c>
      <c r="Z149" s="38"/>
      <c r="AB149" s="46"/>
      <c r="AD149" t="str">
        <f>('Gestión de abastecimiento'!A150)</f>
        <v>0</v>
      </c>
      <c r="AE149" s="39" t="str">
        <f>'Por Valoracion (3) Dimension'!D149</f>
        <v>0</v>
      </c>
      <c r="AF149" s="39" t="str">
        <f>'Por Valoracion (3) Dimension 2'!B149</f>
        <v>0</v>
      </c>
      <c r="BA149" s="46"/>
      <c r="BC149" s="47"/>
      <c r="BE149" t="str">
        <f>('Gestión de abastecimiento'!A150)</f>
        <v>0</v>
      </c>
      <c r="BF149" s="39" t="str">
        <f>'Por Valoracion (3) Dimension'!F149</f>
        <v>0</v>
      </c>
      <c r="BG149" s="39" t="str">
        <f>'Por Valoracion (3) Dimension 2'!B149</f>
        <v>0</v>
      </c>
      <c r="CB149" s="47"/>
    </row>
    <row r="150" spans="1:80">
      <c r="A150" s="38"/>
      <c r="C150" t="str">
        <f>('Gestión de abastecimiento'!A151)</f>
        <v>0</v>
      </c>
      <c r="D150" s="39" t="str">
        <f>'Por Valoracion (3) Dimension'!B150</f>
        <v>0</v>
      </c>
      <c r="E150" s="39" t="str">
        <f>'Por Valoracion (3) Dimension 2'!B150</f>
        <v>0</v>
      </c>
      <c r="Z150" s="38"/>
      <c r="AB150" s="46"/>
      <c r="AD150" t="str">
        <f>('Gestión de abastecimiento'!A151)</f>
        <v>0</v>
      </c>
      <c r="AE150" s="39" t="str">
        <f>'Por Valoracion (3) Dimension'!D150</f>
        <v>0</v>
      </c>
      <c r="AF150" s="39" t="str">
        <f>'Por Valoracion (3) Dimension 2'!B150</f>
        <v>0</v>
      </c>
      <c r="BA150" s="46"/>
      <c r="BC150" s="47"/>
      <c r="BE150" t="str">
        <f>('Gestión de abastecimiento'!A151)</f>
        <v>0</v>
      </c>
      <c r="BF150" s="39" t="str">
        <f>'Por Valoracion (3) Dimension'!F150</f>
        <v>0</v>
      </c>
      <c r="BG150" s="39" t="str">
        <f>'Por Valoracion (3) Dimension 2'!B150</f>
        <v>0</v>
      </c>
      <c r="CB150" s="47"/>
    </row>
    <row r="151" spans="1:80">
      <c r="A151" s="38"/>
      <c r="C151" t="str">
        <f>('Gestión de abastecimiento'!A152)</f>
        <v>0</v>
      </c>
      <c r="D151" s="39" t="str">
        <f>'Por Valoracion (3) Dimension'!B151</f>
        <v>0</v>
      </c>
      <c r="E151" s="39" t="str">
        <f>'Por Valoracion (3) Dimension 2'!B151</f>
        <v>0</v>
      </c>
      <c r="Z151" s="38"/>
      <c r="AB151" s="46"/>
      <c r="AD151" t="str">
        <f>('Gestión de abastecimiento'!A152)</f>
        <v>0</v>
      </c>
      <c r="AE151" s="39" t="str">
        <f>'Por Valoracion (3) Dimension'!D151</f>
        <v>0</v>
      </c>
      <c r="AF151" s="39" t="str">
        <f>'Por Valoracion (3) Dimension 2'!B151</f>
        <v>0</v>
      </c>
      <c r="BA151" s="46"/>
      <c r="BC151" s="47"/>
      <c r="BE151" t="str">
        <f>('Gestión de abastecimiento'!A152)</f>
        <v>0</v>
      </c>
      <c r="BF151" s="39" t="str">
        <f>'Por Valoracion (3) Dimension'!F151</f>
        <v>0</v>
      </c>
      <c r="BG151" s="39" t="str">
        <f>'Por Valoracion (3) Dimension 2'!B151</f>
        <v>0</v>
      </c>
      <c r="CB151" s="47"/>
    </row>
    <row r="152" spans="1:80">
      <c r="A152" s="38"/>
      <c r="C152" t="str">
        <f>('Gestión de abastecimiento'!A153)</f>
        <v>0</v>
      </c>
      <c r="D152" s="39" t="str">
        <f>'Por Valoracion (3) Dimension'!B152</f>
        <v>0</v>
      </c>
      <c r="E152" s="39" t="str">
        <f>'Por Valoracion (3) Dimension 2'!B152</f>
        <v>0</v>
      </c>
      <c r="Z152" s="38"/>
      <c r="AB152" s="46"/>
      <c r="AD152" t="str">
        <f>('Gestión de abastecimiento'!A153)</f>
        <v>0</v>
      </c>
      <c r="AE152" s="39" t="str">
        <f>'Por Valoracion (3) Dimension'!D152</f>
        <v>0</v>
      </c>
      <c r="AF152" s="39" t="str">
        <f>'Por Valoracion (3) Dimension 2'!B152</f>
        <v>0</v>
      </c>
      <c r="BA152" s="46"/>
      <c r="BC152" s="47"/>
      <c r="BE152" t="str">
        <f>('Gestión de abastecimiento'!A153)</f>
        <v>0</v>
      </c>
      <c r="BF152" s="39" t="str">
        <f>'Por Valoracion (3) Dimension'!F152</f>
        <v>0</v>
      </c>
      <c r="BG152" s="39" t="str">
        <f>'Por Valoracion (3) Dimension 2'!B152</f>
        <v>0</v>
      </c>
      <c r="CB152" s="47"/>
    </row>
    <row r="153" spans="1:80">
      <c r="A153" s="38"/>
      <c r="C153" t="str">
        <f>('Gestión de abastecimiento'!A154)</f>
        <v>0</v>
      </c>
      <c r="D153" s="39" t="str">
        <f>'Por Valoracion (3) Dimension'!B153</f>
        <v>0</v>
      </c>
      <c r="E153" s="39" t="str">
        <f>'Por Valoracion (3) Dimension 2'!B153</f>
        <v>0</v>
      </c>
      <c r="Z153" s="38"/>
      <c r="AB153" s="46"/>
      <c r="AD153" t="str">
        <f>('Gestión de abastecimiento'!A154)</f>
        <v>0</v>
      </c>
      <c r="AE153" s="39" t="str">
        <f>'Por Valoracion (3) Dimension'!D153</f>
        <v>0</v>
      </c>
      <c r="AF153" s="39" t="str">
        <f>'Por Valoracion (3) Dimension 2'!B153</f>
        <v>0</v>
      </c>
      <c r="BA153" s="46"/>
      <c r="BC153" s="47"/>
      <c r="BE153" t="str">
        <f>('Gestión de abastecimiento'!A154)</f>
        <v>0</v>
      </c>
      <c r="BF153" s="39" t="str">
        <f>'Por Valoracion (3) Dimension'!F153</f>
        <v>0</v>
      </c>
      <c r="BG153" s="39" t="str">
        <f>'Por Valoracion (3) Dimension 2'!B153</f>
        <v>0</v>
      </c>
      <c r="CB153" s="47"/>
    </row>
    <row r="154" spans="1:80">
      <c r="A154" s="38"/>
      <c r="C154" t="str">
        <f>('Gestión de abastecimiento'!A155)</f>
        <v>0</v>
      </c>
      <c r="D154" s="39" t="str">
        <f>'Por Valoracion (3) Dimension'!B154</f>
        <v>0</v>
      </c>
      <c r="E154" s="39" t="str">
        <f>'Por Valoracion (3) Dimension 2'!B154</f>
        <v>0</v>
      </c>
      <c r="Z154" s="38"/>
      <c r="AB154" s="46"/>
      <c r="AD154" t="str">
        <f>('Gestión de abastecimiento'!A155)</f>
        <v>0</v>
      </c>
      <c r="AE154" s="39" t="str">
        <f>'Por Valoracion (3) Dimension'!D154</f>
        <v>0</v>
      </c>
      <c r="AF154" s="39" t="str">
        <f>'Por Valoracion (3) Dimension 2'!B154</f>
        <v>0</v>
      </c>
      <c r="BA154" s="46"/>
      <c r="BC154" s="47"/>
      <c r="BE154" t="str">
        <f>('Gestión de abastecimiento'!A155)</f>
        <v>0</v>
      </c>
      <c r="BF154" s="39" t="str">
        <f>'Por Valoracion (3) Dimension'!F154</f>
        <v>0</v>
      </c>
      <c r="BG154" s="39" t="str">
        <f>'Por Valoracion (3) Dimension 2'!B154</f>
        <v>0</v>
      </c>
      <c r="CB154" s="47"/>
    </row>
    <row r="155" spans="1:80">
      <c r="A155" s="38"/>
      <c r="C155" t="str">
        <f>('Gestión de abastecimiento'!A156)</f>
        <v>0</v>
      </c>
      <c r="D155" s="39" t="str">
        <f>'Por Valoracion (3) Dimension'!B155</f>
        <v>0</v>
      </c>
      <c r="E155" s="39" t="str">
        <f>'Por Valoracion (3) Dimension 2'!B155</f>
        <v>0</v>
      </c>
      <c r="Z155" s="38"/>
      <c r="AB155" s="46"/>
      <c r="AD155" t="str">
        <f>('Gestión de abastecimiento'!A156)</f>
        <v>0</v>
      </c>
      <c r="AE155" s="39" t="str">
        <f>'Por Valoracion (3) Dimension'!D155</f>
        <v>0</v>
      </c>
      <c r="AF155" s="39" t="str">
        <f>'Por Valoracion (3) Dimension 2'!B155</f>
        <v>0</v>
      </c>
      <c r="BA155" s="46"/>
      <c r="BC155" s="47"/>
      <c r="BE155" t="str">
        <f>('Gestión de abastecimiento'!A156)</f>
        <v>0</v>
      </c>
      <c r="BF155" s="39" t="str">
        <f>'Por Valoracion (3) Dimension'!F155</f>
        <v>0</v>
      </c>
      <c r="BG155" s="39" t="str">
        <f>'Por Valoracion (3) Dimension 2'!B155</f>
        <v>0</v>
      </c>
      <c r="CB155" s="47"/>
    </row>
    <row r="156" spans="1:80">
      <c r="A156" s="38"/>
      <c r="C156" t="str">
        <f>('Gestión de abastecimiento'!A157)</f>
        <v>0</v>
      </c>
      <c r="D156" s="39" t="str">
        <f>'Por Valoracion (3) Dimension'!B156</f>
        <v>0</v>
      </c>
      <c r="E156" s="39" t="str">
        <f>'Por Valoracion (3) Dimension 2'!B156</f>
        <v>0</v>
      </c>
      <c r="Z156" s="38"/>
      <c r="AB156" s="46"/>
      <c r="AD156" t="str">
        <f>('Gestión de abastecimiento'!A157)</f>
        <v>0</v>
      </c>
      <c r="AE156" s="39" t="str">
        <f>'Por Valoracion (3) Dimension'!D156</f>
        <v>0</v>
      </c>
      <c r="AF156" s="39" t="str">
        <f>'Por Valoracion (3) Dimension 2'!B156</f>
        <v>0</v>
      </c>
      <c r="BA156" s="46"/>
      <c r="BC156" s="47"/>
      <c r="BE156" t="str">
        <f>('Gestión de abastecimiento'!A157)</f>
        <v>0</v>
      </c>
      <c r="BF156" s="39" t="str">
        <f>'Por Valoracion (3) Dimension'!F156</f>
        <v>0</v>
      </c>
      <c r="BG156" s="39" t="str">
        <f>'Por Valoracion (3) Dimension 2'!B156</f>
        <v>0</v>
      </c>
      <c r="CB156" s="47"/>
    </row>
    <row r="157" spans="1:80">
      <c r="A157" s="38"/>
      <c r="C157" t="str">
        <f>('Gestión de abastecimiento'!A158)</f>
        <v>0</v>
      </c>
      <c r="D157" s="39" t="str">
        <f>'Por Valoracion (3) Dimension'!B157</f>
        <v>0</v>
      </c>
      <c r="E157" s="39" t="str">
        <f>'Por Valoracion (3) Dimension 2'!B157</f>
        <v>0</v>
      </c>
      <c r="Z157" s="38"/>
      <c r="AB157" s="46"/>
      <c r="AD157" t="str">
        <f>('Gestión de abastecimiento'!A158)</f>
        <v>0</v>
      </c>
      <c r="AE157" s="39" t="str">
        <f>'Por Valoracion (3) Dimension'!D157</f>
        <v>0</v>
      </c>
      <c r="AF157" s="39" t="str">
        <f>'Por Valoracion (3) Dimension 2'!B157</f>
        <v>0</v>
      </c>
      <c r="BA157" s="46"/>
      <c r="BC157" s="47"/>
      <c r="BE157" t="str">
        <f>('Gestión de abastecimiento'!A158)</f>
        <v>0</v>
      </c>
      <c r="BF157" s="39" t="str">
        <f>'Por Valoracion (3) Dimension'!F157</f>
        <v>0</v>
      </c>
      <c r="BG157" s="39" t="str">
        <f>'Por Valoracion (3) Dimension 2'!B157</f>
        <v>0</v>
      </c>
      <c r="CB157" s="47"/>
    </row>
    <row r="158" spans="1:80">
      <c r="A158" s="38"/>
      <c r="C158" t="str">
        <f>('Gestión de abastecimiento'!A159)</f>
        <v>0</v>
      </c>
      <c r="D158" s="39" t="str">
        <f>'Por Valoracion (3) Dimension'!B158</f>
        <v>0</v>
      </c>
      <c r="E158" s="39" t="str">
        <f>'Por Valoracion (3) Dimension 2'!B158</f>
        <v>0</v>
      </c>
      <c r="Z158" s="38"/>
      <c r="AB158" s="46"/>
      <c r="AD158" t="str">
        <f>('Gestión de abastecimiento'!A159)</f>
        <v>0</v>
      </c>
      <c r="AE158" s="39" t="str">
        <f>'Por Valoracion (3) Dimension'!D158</f>
        <v>0</v>
      </c>
      <c r="AF158" s="39" t="str">
        <f>'Por Valoracion (3) Dimension 2'!B158</f>
        <v>0</v>
      </c>
      <c r="BA158" s="46"/>
      <c r="BC158" s="47"/>
      <c r="BE158" t="str">
        <f>('Gestión de abastecimiento'!A159)</f>
        <v>0</v>
      </c>
      <c r="BF158" s="39" t="str">
        <f>'Por Valoracion (3) Dimension'!F158</f>
        <v>0</v>
      </c>
      <c r="BG158" s="39" t="str">
        <f>'Por Valoracion (3) Dimension 2'!B158</f>
        <v>0</v>
      </c>
      <c r="CB158" s="47"/>
    </row>
    <row r="159" spans="1:80">
      <c r="A159" s="38"/>
      <c r="C159" t="str">
        <f>('Gestión de abastecimiento'!A160)</f>
        <v>0</v>
      </c>
      <c r="D159" s="39" t="str">
        <f>'Por Valoracion (3) Dimension'!B159</f>
        <v>0</v>
      </c>
      <c r="E159" s="39" t="str">
        <f>'Por Valoracion (3) Dimension 2'!B159</f>
        <v>0</v>
      </c>
      <c r="Z159" s="38"/>
      <c r="AB159" s="46"/>
      <c r="AD159" t="str">
        <f>('Gestión de abastecimiento'!A160)</f>
        <v>0</v>
      </c>
      <c r="AE159" s="39" t="str">
        <f>'Por Valoracion (3) Dimension'!D159</f>
        <v>0</v>
      </c>
      <c r="AF159" s="39" t="str">
        <f>'Por Valoracion (3) Dimension 2'!B159</f>
        <v>0</v>
      </c>
      <c r="BA159" s="46"/>
      <c r="BC159" s="47"/>
      <c r="BE159" t="str">
        <f>('Gestión de abastecimiento'!A160)</f>
        <v>0</v>
      </c>
      <c r="BF159" s="39" t="str">
        <f>'Por Valoracion (3) Dimension'!F159</f>
        <v>0</v>
      </c>
      <c r="BG159" s="39" t="str">
        <f>'Por Valoracion (3) Dimension 2'!B159</f>
        <v>0</v>
      </c>
      <c r="CB159" s="47"/>
    </row>
    <row r="160" spans="1:80">
      <c r="A160" s="38"/>
      <c r="C160" t="str">
        <f>('Gestión de abastecimiento'!A161)</f>
        <v>0</v>
      </c>
      <c r="D160" s="39" t="str">
        <f>'Por Valoracion (3) Dimension'!B160</f>
        <v>0</v>
      </c>
      <c r="E160" s="39" t="str">
        <f>'Por Valoracion (3) Dimension 2'!B160</f>
        <v>0</v>
      </c>
      <c r="Z160" s="38"/>
      <c r="AB160" s="46"/>
      <c r="AD160" t="str">
        <f>('Gestión de abastecimiento'!A161)</f>
        <v>0</v>
      </c>
      <c r="AE160" s="39" t="str">
        <f>'Por Valoracion (3) Dimension'!D160</f>
        <v>0</v>
      </c>
      <c r="AF160" s="39" t="str">
        <f>'Por Valoracion (3) Dimension 2'!B160</f>
        <v>0</v>
      </c>
      <c r="BA160" s="46"/>
      <c r="BC160" s="47"/>
      <c r="BE160" t="str">
        <f>('Gestión de abastecimiento'!A161)</f>
        <v>0</v>
      </c>
      <c r="BF160" s="39" t="str">
        <f>'Por Valoracion (3) Dimension'!F160</f>
        <v>0</v>
      </c>
      <c r="BG160" s="39" t="str">
        <f>'Por Valoracion (3) Dimension 2'!B160</f>
        <v>0</v>
      </c>
      <c r="CB160" s="47"/>
    </row>
    <row r="161" spans="1:80">
      <c r="A161" s="38"/>
      <c r="C161" t="str">
        <f>('Gestión de abastecimiento'!A162)</f>
        <v>0</v>
      </c>
      <c r="D161" s="39" t="str">
        <f>'Por Valoracion (3) Dimension'!B161</f>
        <v>0</v>
      </c>
      <c r="E161" s="39" t="str">
        <f>'Por Valoracion (3) Dimension 2'!B161</f>
        <v>0</v>
      </c>
      <c r="Z161" s="38"/>
      <c r="AB161" s="46"/>
      <c r="AD161" t="str">
        <f>('Gestión de abastecimiento'!A162)</f>
        <v>0</v>
      </c>
      <c r="AE161" s="39" t="str">
        <f>'Por Valoracion (3) Dimension'!D161</f>
        <v>0</v>
      </c>
      <c r="AF161" s="39" t="str">
        <f>'Por Valoracion (3) Dimension 2'!B161</f>
        <v>0</v>
      </c>
      <c r="BA161" s="46"/>
      <c r="BC161" s="47"/>
      <c r="BE161" t="str">
        <f>('Gestión de abastecimiento'!A162)</f>
        <v>0</v>
      </c>
      <c r="BF161" s="39" t="str">
        <f>'Por Valoracion (3) Dimension'!F161</f>
        <v>0</v>
      </c>
      <c r="BG161" s="39" t="str">
        <f>'Por Valoracion (3) Dimension 2'!B161</f>
        <v>0</v>
      </c>
      <c r="CB161" s="47"/>
    </row>
    <row r="162" spans="1:80">
      <c r="A162" s="38"/>
      <c r="C162" t="str">
        <f>('Gestión de abastecimiento'!A163)</f>
        <v>0</v>
      </c>
      <c r="D162" s="39" t="str">
        <f>'Por Valoracion (3) Dimension'!B162</f>
        <v>0</v>
      </c>
      <c r="E162" s="39" t="str">
        <f>'Por Valoracion (3) Dimension 2'!B162</f>
        <v>0</v>
      </c>
      <c r="Z162" s="38"/>
      <c r="AB162" s="46"/>
      <c r="AD162" t="str">
        <f>('Gestión de abastecimiento'!A163)</f>
        <v>0</v>
      </c>
      <c r="AE162" s="39" t="str">
        <f>'Por Valoracion (3) Dimension'!D162</f>
        <v>0</v>
      </c>
      <c r="AF162" s="39" t="str">
        <f>'Por Valoracion (3) Dimension 2'!B162</f>
        <v>0</v>
      </c>
      <c r="BA162" s="46"/>
      <c r="BC162" s="47"/>
      <c r="BE162" t="str">
        <f>('Gestión de abastecimiento'!A163)</f>
        <v>0</v>
      </c>
      <c r="BF162" s="39" t="str">
        <f>'Por Valoracion (3) Dimension'!F162</f>
        <v>0</v>
      </c>
      <c r="BG162" s="39" t="str">
        <f>'Por Valoracion (3) Dimension 2'!B162</f>
        <v>0</v>
      </c>
      <c r="CB162" s="47"/>
    </row>
    <row r="163" spans="1:80">
      <c r="A163" s="38"/>
      <c r="C163" t="str">
        <f>('Gestión de abastecimiento'!A164)</f>
        <v>0</v>
      </c>
      <c r="D163" s="39" t="str">
        <f>'Por Valoracion (3) Dimension'!B163</f>
        <v>0</v>
      </c>
      <c r="E163" s="39" t="str">
        <f>'Por Valoracion (3) Dimension 2'!B163</f>
        <v>0</v>
      </c>
      <c r="Z163" s="38"/>
      <c r="AB163" s="46"/>
      <c r="AD163" t="str">
        <f>('Gestión de abastecimiento'!A164)</f>
        <v>0</v>
      </c>
      <c r="AE163" s="39" t="str">
        <f>'Por Valoracion (3) Dimension'!D163</f>
        <v>0</v>
      </c>
      <c r="AF163" s="39" t="str">
        <f>'Por Valoracion (3) Dimension 2'!B163</f>
        <v>0</v>
      </c>
      <c r="BA163" s="46"/>
      <c r="BC163" s="47"/>
      <c r="BE163" t="str">
        <f>('Gestión de abastecimiento'!A164)</f>
        <v>0</v>
      </c>
      <c r="BF163" s="39" t="str">
        <f>'Por Valoracion (3) Dimension'!F163</f>
        <v>0</v>
      </c>
      <c r="BG163" s="39" t="str">
        <f>'Por Valoracion (3) Dimension 2'!B163</f>
        <v>0</v>
      </c>
      <c r="CB163" s="47"/>
    </row>
    <row r="164" spans="1:80">
      <c r="A164" s="38"/>
      <c r="C164" t="str">
        <f>('Gestión de abastecimiento'!A165)</f>
        <v>0</v>
      </c>
      <c r="D164" s="39" t="str">
        <f>'Por Valoracion (3) Dimension'!B164</f>
        <v>0</v>
      </c>
      <c r="E164" s="39" t="str">
        <f>'Por Valoracion (3) Dimension 2'!B164</f>
        <v>0</v>
      </c>
      <c r="Z164" s="38"/>
      <c r="AB164" s="46"/>
      <c r="AD164" t="str">
        <f>('Gestión de abastecimiento'!A165)</f>
        <v>0</v>
      </c>
      <c r="AE164" s="39" t="str">
        <f>'Por Valoracion (3) Dimension'!D164</f>
        <v>0</v>
      </c>
      <c r="AF164" s="39" t="str">
        <f>'Por Valoracion (3) Dimension 2'!B164</f>
        <v>0</v>
      </c>
      <c r="BA164" s="46"/>
      <c r="BC164" s="47"/>
      <c r="BE164" t="str">
        <f>('Gestión de abastecimiento'!A165)</f>
        <v>0</v>
      </c>
      <c r="BF164" s="39" t="str">
        <f>'Por Valoracion (3) Dimension'!F164</f>
        <v>0</v>
      </c>
      <c r="BG164" s="39" t="str">
        <f>'Por Valoracion (3) Dimension 2'!B164</f>
        <v>0</v>
      </c>
      <c r="CB164" s="47"/>
    </row>
    <row r="165" spans="1:80">
      <c r="A165" s="38"/>
      <c r="C165" t="str">
        <f>('Gestión de abastecimiento'!A166)</f>
        <v>0</v>
      </c>
      <c r="D165" s="39" t="str">
        <f>'Por Valoracion (3) Dimension'!B165</f>
        <v>0</v>
      </c>
      <c r="E165" s="39" t="str">
        <f>'Por Valoracion (3) Dimension 2'!B165</f>
        <v>0</v>
      </c>
      <c r="Z165" s="38"/>
      <c r="AB165" s="46"/>
      <c r="AD165" t="str">
        <f>('Gestión de abastecimiento'!A166)</f>
        <v>0</v>
      </c>
      <c r="AE165" s="39" t="str">
        <f>'Por Valoracion (3) Dimension'!D165</f>
        <v>0</v>
      </c>
      <c r="AF165" s="39" t="str">
        <f>'Por Valoracion (3) Dimension 2'!B165</f>
        <v>0</v>
      </c>
      <c r="BA165" s="46"/>
      <c r="BC165" s="47"/>
      <c r="BE165" t="str">
        <f>('Gestión de abastecimiento'!A166)</f>
        <v>0</v>
      </c>
      <c r="BF165" s="39" t="str">
        <f>'Por Valoracion (3) Dimension'!F165</f>
        <v>0</v>
      </c>
      <c r="BG165" s="39" t="str">
        <f>'Por Valoracion (3) Dimension 2'!B165</f>
        <v>0</v>
      </c>
      <c r="CB165" s="47"/>
    </row>
    <row r="166" spans="1:80">
      <c r="A166" s="38"/>
      <c r="C166" t="str">
        <f>('Gestión de abastecimiento'!A167)</f>
        <v>0</v>
      </c>
      <c r="D166" s="39" t="str">
        <f>'Por Valoracion (3) Dimension'!B166</f>
        <v>0</v>
      </c>
      <c r="E166" s="39" t="str">
        <f>'Por Valoracion (3) Dimension 2'!B166</f>
        <v>0</v>
      </c>
      <c r="Z166" s="38"/>
      <c r="AB166" s="46"/>
      <c r="AD166" t="str">
        <f>('Gestión de abastecimiento'!A167)</f>
        <v>0</v>
      </c>
      <c r="AE166" s="39" t="str">
        <f>'Por Valoracion (3) Dimension'!D166</f>
        <v>0</v>
      </c>
      <c r="AF166" s="39" t="str">
        <f>'Por Valoracion (3) Dimension 2'!B166</f>
        <v>0</v>
      </c>
      <c r="BA166" s="46"/>
      <c r="BC166" s="47"/>
      <c r="BE166" t="str">
        <f>('Gestión de abastecimiento'!A167)</f>
        <v>0</v>
      </c>
      <c r="BF166" s="39" t="str">
        <f>'Por Valoracion (3) Dimension'!F166</f>
        <v>0</v>
      </c>
      <c r="BG166" s="39" t="str">
        <f>'Por Valoracion (3) Dimension 2'!B166</f>
        <v>0</v>
      </c>
      <c r="CB166" s="47"/>
    </row>
    <row r="167" spans="1:80">
      <c r="A167" s="38"/>
      <c r="C167" t="str">
        <f>('Gestión de abastecimiento'!A168)</f>
        <v>0</v>
      </c>
      <c r="D167" s="39" t="str">
        <f>'Por Valoracion (3) Dimension'!B167</f>
        <v>0</v>
      </c>
      <c r="E167" s="39" t="str">
        <f>'Por Valoracion (3) Dimension 2'!B167</f>
        <v>0</v>
      </c>
      <c r="Z167" s="38"/>
      <c r="AB167" s="46"/>
      <c r="AD167" t="str">
        <f>('Gestión de abastecimiento'!A168)</f>
        <v>0</v>
      </c>
      <c r="AE167" s="39" t="str">
        <f>'Por Valoracion (3) Dimension'!D167</f>
        <v>0</v>
      </c>
      <c r="AF167" s="39" t="str">
        <f>'Por Valoracion (3) Dimension 2'!B167</f>
        <v>0</v>
      </c>
      <c r="BA167" s="46"/>
      <c r="BC167" s="47"/>
      <c r="BE167" t="str">
        <f>('Gestión de abastecimiento'!A168)</f>
        <v>0</v>
      </c>
      <c r="BF167" s="39" t="str">
        <f>'Por Valoracion (3) Dimension'!F167</f>
        <v>0</v>
      </c>
      <c r="BG167" s="39" t="str">
        <f>'Por Valoracion (3) Dimension 2'!B167</f>
        <v>0</v>
      </c>
      <c r="CB167" s="47"/>
    </row>
    <row r="168" spans="1:80">
      <c r="A168" s="38"/>
      <c r="C168" t="str">
        <f>('Gestión de abastecimiento'!A169)</f>
        <v>0</v>
      </c>
      <c r="D168" s="39" t="str">
        <f>'Por Valoracion (3) Dimension'!B168</f>
        <v>0</v>
      </c>
      <c r="E168" s="39" t="str">
        <f>'Por Valoracion (3) Dimension 2'!B168</f>
        <v>0</v>
      </c>
      <c r="Z168" s="38"/>
      <c r="AB168" s="46"/>
      <c r="AD168" t="str">
        <f>('Gestión de abastecimiento'!A169)</f>
        <v>0</v>
      </c>
      <c r="AE168" s="39" t="str">
        <f>'Por Valoracion (3) Dimension'!D168</f>
        <v>0</v>
      </c>
      <c r="AF168" s="39" t="str">
        <f>'Por Valoracion (3) Dimension 2'!B168</f>
        <v>0</v>
      </c>
      <c r="BA168" s="46"/>
      <c r="BC168" s="47"/>
      <c r="BE168" t="str">
        <f>('Gestión de abastecimiento'!A169)</f>
        <v>0</v>
      </c>
      <c r="BF168" s="39" t="str">
        <f>'Por Valoracion (3) Dimension'!F168</f>
        <v>0</v>
      </c>
      <c r="BG168" s="39" t="str">
        <f>'Por Valoracion (3) Dimension 2'!B168</f>
        <v>0</v>
      </c>
      <c r="CB168" s="47"/>
    </row>
    <row r="169" spans="1:80">
      <c r="A169" s="38"/>
      <c r="C169" t="str">
        <f>('Gestión de abastecimiento'!A170)</f>
        <v>0</v>
      </c>
      <c r="D169" s="39" t="str">
        <f>'Por Valoracion (3) Dimension'!B169</f>
        <v>0</v>
      </c>
      <c r="E169" s="39" t="str">
        <f>'Por Valoracion (3) Dimension 2'!B169</f>
        <v>0</v>
      </c>
      <c r="Z169" s="38"/>
      <c r="AB169" s="46"/>
      <c r="AD169" t="str">
        <f>('Gestión de abastecimiento'!A170)</f>
        <v>0</v>
      </c>
      <c r="AE169" s="39" t="str">
        <f>'Por Valoracion (3) Dimension'!D169</f>
        <v>0</v>
      </c>
      <c r="AF169" s="39" t="str">
        <f>'Por Valoracion (3) Dimension 2'!B169</f>
        <v>0</v>
      </c>
      <c r="BA169" s="46"/>
      <c r="BC169" s="47"/>
      <c r="BE169" t="str">
        <f>('Gestión de abastecimiento'!A170)</f>
        <v>0</v>
      </c>
      <c r="BF169" s="39" t="str">
        <f>'Por Valoracion (3) Dimension'!F169</f>
        <v>0</v>
      </c>
      <c r="BG169" s="39" t="str">
        <f>'Por Valoracion (3) Dimension 2'!B169</f>
        <v>0</v>
      </c>
      <c r="CB169" s="47"/>
    </row>
    <row r="170" spans="1:80">
      <c r="A170" s="38"/>
      <c r="C170" t="str">
        <f>('Gestión de abastecimiento'!A171)</f>
        <v>0</v>
      </c>
      <c r="D170" s="39" t="str">
        <f>'Por Valoracion (3) Dimension'!B170</f>
        <v>0</v>
      </c>
      <c r="E170" s="39" t="str">
        <f>'Por Valoracion (3) Dimension 2'!B170</f>
        <v>0</v>
      </c>
      <c r="Z170" s="38"/>
      <c r="AB170" s="46"/>
      <c r="AD170" t="str">
        <f>('Gestión de abastecimiento'!A171)</f>
        <v>0</v>
      </c>
      <c r="AE170" s="39" t="str">
        <f>'Por Valoracion (3) Dimension'!D170</f>
        <v>0</v>
      </c>
      <c r="AF170" s="39" t="str">
        <f>'Por Valoracion (3) Dimension 2'!B170</f>
        <v>0</v>
      </c>
      <c r="BA170" s="46"/>
      <c r="BC170" s="47"/>
      <c r="BE170" t="str">
        <f>('Gestión de abastecimiento'!A171)</f>
        <v>0</v>
      </c>
      <c r="BF170" s="39" t="str">
        <f>'Por Valoracion (3) Dimension'!F170</f>
        <v>0</v>
      </c>
      <c r="BG170" s="39" t="str">
        <f>'Por Valoracion (3) Dimension 2'!B170</f>
        <v>0</v>
      </c>
      <c r="CB170" s="47"/>
    </row>
    <row r="171" spans="1:80">
      <c r="A171" s="38"/>
      <c r="C171" t="str">
        <f>('Gestión de abastecimiento'!A172)</f>
        <v>0</v>
      </c>
      <c r="D171" s="39" t="str">
        <f>'Por Valoracion (3) Dimension'!B171</f>
        <v>0</v>
      </c>
      <c r="E171" s="39" t="str">
        <f>'Por Valoracion (3) Dimension 2'!B171</f>
        <v>0</v>
      </c>
      <c r="Z171" s="38"/>
      <c r="AB171" s="46"/>
      <c r="AD171" t="str">
        <f>('Gestión de abastecimiento'!A172)</f>
        <v>0</v>
      </c>
      <c r="AE171" s="39" t="str">
        <f>'Por Valoracion (3) Dimension'!D171</f>
        <v>0</v>
      </c>
      <c r="AF171" s="39" t="str">
        <f>'Por Valoracion (3) Dimension 2'!B171</f>
        <v>0</v>
      </c>
      <c r="BA171" s="46"/>
      <c r="BC171" s="47"/>
      <c r="BE171" t="str">
        <f>('Gestión de abastecimiento'!A172)</f>
        <v>0</v>
      </c>
      <c r="BF171" s="39" t="str">
        <f>'Por Valoracion (3) Dimension'!F171</f>
        <v>0</v>
      </c>
      <c r="BG171" s="39" t="str">
        <f>'Por Valoracion (3) Dimension 2'!B171</f>
        <v>0</v>
      </c>
      <c r="CB171" s="47"/>
    </row>
    <row r="172" spans="1:80">
      <c r="A172" s="38"/>
      <c r="C172" t="str">
        <f>('Gestión de abastecimiento'!A173)</f>
        <v>0</v>
      </c>
      <c r="D172" s="39" t="str">
        <f>'Por Valoracion (3) Dimension'!B172</f>
        <v>0</v>
      </c>
      <c r="E172" s="39" t="str">
        <f>'Por Valoracion (3) Dimension 2'!B172</f>
        <v>0</v>
      </c>
      <c r="Z172" s="38"/>
      <c r="AB172" s="46"/>
      <c r="AD172" t="str">
        <f>('Gestión de abastecimiento'!A173)</f>
        <v>0</v>
      </c>
      <c r="AE172" s="39" t="str">
        <f>'Por Valoracion (3) Dimension'!D172</f>
        <v>0</v>
      </c>
      <c r="AF172" s="39" t="str">
        <f>'Por Valoracion (3) Dimension 2'!B172</f>
        <v>0</v>
      </c>
      <c r="BA172" s="46"/>
      <c r="BC172" s="47"/>
      <c r="BE172" t="str">
        <f>('Gestión de abastecimiento'!A173)</f>
        <v>0</v>
      </c>
      <c r="BF172" s="39" t="str">
        <f>'Por Valoracion (3) Dimension'!F172</f>
        <v>0</v>
      </c>
      <c r="BG172" s="39" t="str">
        <f>'Por Valoracion (3) Dimension 2'!B172</f>
        <v>0</v>
      </c>
      <c r="CB172" s="47"/>
    </row>
    <row r="173" spans="1:80">
      <c r="A173" s="38"/>
      <c r="C173" t="str">
        <f>('Gestión de abastecimiento'!A174)</f>
        <v>0</v>
      </c>
      <c r="D173" s="39" t="str">
        <f>'Por Valoracion (3) Dimension'!B173</f>
        <v>0</v>
      </c>
      <c r="E173" s="39" t="str">
        <f>'Por Valoracion (3) Dimension 2'!B173</f>
        <v>0</v>
      </c>
      <c r="Z173" s="38"/>
      <c r="AB173" s="46"/>
      <c r="AD173" t="str">
        <f>('Gestión de abastecimiento'!A174)</f>
        <v>0</v>
      </c>
      <c r="AE173" s="39" t="str">
        <f>'Por Valoracion (3) Dimension'!D173</f>
        <v>0</v>
      </c>
      <c r="AF173" s="39" t="str">
        <f>'Por Valoracion (3) Dimension 2'!B173</f>
        <v>0</v>
      </c>
      <c r="BA173" s="46"/>
      <c r="BC173" s="47"/>
      <c r="BE173" t="str">
        <f>('Gestión de abastecimiento'!A174)</f>
        <v>0</v>
      </c>
      <c r="BF173" s="39" t="str">
        <f>'Por Valoracion (3) Dimension'!F173</f>
        <v>0</v>
      </c>
      <c r="BG173" s="39" t="str">
        <f>'Por Valoracion (3) Dimension 2'!B173</f>
        <v>0</v>
      </c>
      <c r="CB173" s="47"/>
    </row>
    <row r="174" spans="1:80">
      <c r="A174" s="38"/>
      <c r="C174" t="str">
        <f>('Gestión de abastecimiento'!A175)</f>
        <v>0</v>
      </c>
      <c r="D174" s="39" t="str">
        <f>'Por Valoracion (3) Dimension'!B174</f>
        <v>0</v>
      </c>
      <c r="E174" s="39" t="str">
        <f>'Por Valoracion (3) Dimension 2'!B174</f>
        <v>0</v>
      </c>
      <c r="Z174" s="38"/>
      <c r="AB174" s="46"/>
      <c r="AD174" t="str">
        <f>('Gestión de abastecimiento'!A175)</f>
        <v>0</v>
      </c>
      <c r="AE174" s="39" t="str">
        <f>'Por Valoracion (3) Dimension'!D174</f>
        <v>0</v>
      </c>
      <c r="AF174" s="39" t="str">
        <f>'Por Valoracion (3) Dimension 2'!B174</f>
        <v>0</v>
      </c>
      <c r="BA174" s="46"/>
      <c r="BC174" s="47"/>
      <c r="BE174" t="str">
        <f>('Gestión de abastecimiento'!A175)</f>
        <v>0</v>
      </c>
      <c r="BF174" s="39" t="str">
        <f>'Por Valoracion (3) Dimension'!F174</f>
        <v>0</v>
      </c>
      <c r="BG174" s="39" t="str">
        <f>'Por Valoracion (3) Dimension 2'!B174</f>
        <v>0</v>
      </c>
      <c r="CB174" s="47"/>
    </row>
    <row r="175" spans="1:80">
      <c r="A175" s="38"/>
      <c r="C175" t="str">
        <f>('Gestión de abastecimiento'!A176)</f>
        <v>0</v>
      </c>
      <c r="D175" s="39" t="str">
        <f>'Por Valoracion (3) Dimension'!B175</f>
        <v>0</v>
      </c>
      <c r="E175" s="39" t="str">
        <f>'Por Valoracion (3) Dimension 2'!B175</f>
        <v>0</v>
      </c>
      <c r="Z175" s="38"/>
      <c r="AB175" s="46"/>
      <c r="AD175" t="str">
        <f>('Gestión de abastecimiento'!A176)</f>
        <v>0</v>
      </c>
      <c r="AE175" s="39" t="str">
        <f>'Por Valoracion (3) Dimension'!D175</f>
        <v>0</v>
      </c>
      <c r="AF175" s="39" t="str">
        <f>'Por Valoracion (3) Dimension 2'!B175</f>
        <v>0</v>
      </c>
      <c r="BA175" s="46"/>
      <c r="BC175" s="47"/>
      <c r="BE175" t="str">
        <f>('Gestión de abastecimiento'!A176)</f>
        <v>0</v>
      </c>
      <c r="BF175" s="39" t="str">
        <f>'Por Valoracion (3) Dimension'!F175</f>
        <v>0</v>
      </c>
      <c r="BG175" s="39" t="str">
        <f>'Por Valoracion (3) Dimension 2'!B175</f>
        <v>0</v>
      </c>
      <c r="CB175" s="47"/>
    </row>
    <row r="176" spans="1:80">
      <c r="A176" s="38"/>
      <c r="C176" t="str">
        <f>('Gestión de abastecimiento'!A177)</f>
        <v>0</v>
      </c>
      <c r="D176" s="39" t="str">
        <f>'Por Valoracion (3) Dimension'!B176</f>
        <v>0</v>
      </c>
      <c r="E176" s="39" t="str">
        <f>'Por Valoracion (3) Dimension 2'!B176</f>
        <v>0</v>
      </c>
      <c r="Z176" s="38"/>
      <c r="AB176" s="46"/>
      <c r="AD176" t="str">
        <f>('Gestión de abastecimiento'!A177)</f>
        <v>0</v>
      </c>
      <c r="AE176" s="39" t="str">
        <f>'Por Valoracion (3) Dimension'!D176</f>
        <v>0</v>
      </c>
      <c r="AF176" s="39" t="str">
        <f>'Por Valoracion (3) Dimension 2'!B176</f>
        <v>0</v>
      </c>
      <c r="BA176" s="46"/>
      <c r="BC176" s="47"/>
      <c r="BE176" t="str">
        <f>('Gestión de abastecimiento'!A177)</f>
        <v>0</v>
      </c>
      <c r="BF176" s="39" t="str">
        <f>'Por Valoracion (3) Dimension'!F176</f>
        <v>0</v>
      </c>
      <c r="BG176" s="39" t="str">
        <f>'Por Valoracion (3) Dimension 2'!B176</f>
        <v>0</v>
      </c>
      <c r="CB176" s="47"/>
    </row>
    <row r="177" spans="1:80">
      <c r="A177" s="38"/>
      <c r="C177" t="str">
        <f>('Gestión de abastecimiento'!A178)</f>
        <v>0</v>
      </c>
      <c r="D177" s="39" t="str">
        <f>'Por Valoracion (3) Dimension'!B177</f>
        <v>0</v>
      </c>
      <c r="E177" s="39" t="str">
        <f>'Por Valoracion (3) Dimension 2'!B177</f>
        <v>0</v>
      </c>
      <c r="Z177" s="38"/>
      <c r="AB177" s="46"/>
      <c r="AD177" t="str">
        <f>('Gestión de abastecimiento'!A178)</f>
        <v>0</v>
      </c>
      <c r="AE177" s="39" t="str">
        <f>'Por Valoracion (3) Dimension'!D177</f>
        <v>0</v>
      </c>
      <c r="AF177" s="39" t="str">
        <f>'Por Valoracion (3) Dimension 2'!B177</f>
        <v>0</v>
      </c>
      <c r="BA177" s="46"/>
      <c r="BC177" s="47"/>
      <c r="BE177" t="str">
        <f>('Gestión de abastecimiento'!A178)</f>
        <v>0</v>
      </c>
      <c r="BF177" s="39" t="str">
        <f>'Por Valoracion (3) Dimension'!F177</f>
        <v>0</v>
      </c>
      <c r="BG177" s="39" t="str">
        <f>'Por Valoracion (3) Dimension 2'!B177</f>
        <v>0</v>
      </c>
      <c r="CB177" s="47"/>
    </row>
    <row r="178" spans="1:80">
      <c r="A178" s="38"/>
      <c r="C178" t="str">
        <f>('Gestión de abastecimiento'!A179)</f>
        <v>0</v>
      </c>
      <c r="D178" s="39" t="str">
        <f>'Por Valoracion (3) Dimension'!B178</f>
        <v>0</v>
      </c>
      <c r="E178" s="39" t="str">
        <f>'Por Valoracion (3) Dimension 2'!B178</f>
        <v>0</v>
      </c>
      <c r="Z178" s="38"/>
      <c r="AB178" s="46"/>
      <c r="AD178" t="str">
        <f>('Gestión de abastecimiento'!A179)</f>
        <v>0</v>
      </c>
      <c r="AE178" s="39" t="str">
        <f>'Por Valoracion (3) Dimension'!D178</f>
        <v>0</v>
      </c>
      <c r="AF178" s="39" t="str">
        <f>'Por Valoracion (3) Dimension 2'!B178</f>
        <v>0</v>
      </c>
      <c r="BA178" s="46"/>
      <c r="BC178" s="47"/>
      <c r="BE178" t="str">
        <f>('Gestión de abastecimiento'!A179)</f>
        <v>0</v>
      </c>
      <c r="BF178" s="39" t="str">
        <f>'Por Valoracion (3) Dimension'!F178</f>
        <v>0</v>
      </c>
      <c r="BG178" s="39" t="str">
        <f>'Por Valoracion (3) Dimension 2'!B178</f>
        <v>0</v>
      </c>
      <c r="CB178" s="47"/>
    </row>
    <row r="179" spans="1:80">
      <c r="A179" s="38"/>
      <c r="C179" t="str">
        <f>('Gestión de abastecimiento'!A180)</f>
        <v>0</v>
      </c>
      <c r="D179" s="39" t="str">
        <f>'Por Valoracion (3) Dimension'!B179</f>
        <v>0</v>
      </c>
      <c r="E179" s="39" t="str">
        <f>'Por Valoracion (3) Dimension 2'!B179</f>
        <v>0</v>
      </c>
      <c r="Z179" s="38"/>
      <c r="AB179" s="46"/>
      <c r="AD179" t="str">
        <f>('Gestión de abastecimiento'!A180)</f>
        <v>0</v>
      </c>
      <c r="AE179" s="39" t="str">
        <f>'Por Valoracion (3) Dimension'!D179</f>
        <v>0</v>
      </c>
      <c r="AF179" s="39" t="str">
        <f>'Por Valoracion (3) Dimension 2'!B179</f>
        <v>0</v>
      </c>
      <c r="BA179" s="46"/>
      <c r="BC179" s="47"/>
      <c r="BE179" t="str">
        <f>('Gestión de abastecimiento'!A180)</f>
        <v>0</v>
      </c>
      <c r="BF179" s="39" t="str">
        <f>'Por Valoracion (3) Dimension'!F179</f>
        <v>0</v>
      </c>
      <c r="BG179" s="39" t="str">
        <f>'Por Valoracion (3) Dimension 2'!B179</f>
        <v>0</v>
      </c>
      <c r="CB179" s="47"/>
    </row>
    <row r="180" spans="1:80">
      <c r="A180" s="38"/>
      <c r="C180" t="str">
        <f>('Gestión de abastecimiento'!A181)</f>
        <v>0</v>
      </c>
      <c r="D180" s="39" t="str">
        <f>'Por Valoracion (3) Dimension'!B180</f>
        <v>0</v>
      </c>
      <c r="E180" s="39" t="str">
        <f>'Por Valoracion (3) Dimension 2'!B180</f>
        <v>0</v>
      </c>
      <c r="Z180" s="38"/>
      <c r="AB180" s="46"/>
      <c r="AD180" t="str">
        <f>('Gestión de abastecimiento'!A181)</f>
        <v>0</v>
      </c>
      <c r="AE180" s="39" t="str">
        <f>'Por Valoracion (3) Dimension'!D180</f>
        <v>0</v>
      </c>
      <c r="AF180" s="39" t="str">
        <f>'Por Valoracion (3) Dimension 2'!B180</f>
        <v>0</v>
      </c>
      <c r="BA180" s="46"/>
      <c r="BC180" s="47"/>
      <c r="BE180" t="str">
        <f>('Gestión de abastecimiento'!A181)</f>
        <v>0</v>
      </c>
      <c r="BF180" s="39" t="str">
        <f>'Por Valoracion (3) Dimension'!F180</f>
        <v>0</v>
      </c>
      <c r="BG180" s="39" t="str">
        <f>'Por Valoracion (3) Dimension 2'!B180</f>
        <v>0</v>
      </c>
      <c r="CB180" s="47"/>
    </row>
    <row r="181" spans="1:80">
      <c r="A181" s="38"/>
      <c r="C181" t="str">
        <f>('Gestión de abastecimiento'!A182)</f>
        <v>0</v>
      </c>
      <c r="D181" s="39" t="str">
        <f>'Por Valoracion (3) Dimension'!B181</f>
        <v>0</v>
      </c>
      <c r="E181" s="39" t="str">
        <f>'Por Valoracion (3) Dimension 2'!B181</f>
        <v>0</v>
      </c>
      <c r="Z181" s="38"/>
      <c r="AB181" s="46"/>
      <c r="AD181" t="str">
        <f>('Gestión de abastecimiento'!A182)</f>
        <v>0</v>
      </c>
      <c r="AE181" s="39" t="str">
        <f>'Por Valoracion (3) Dimension'!D181</f>
        <v>0</v>
      </c>
      <c r="AF181" s="39" t="str">
        <f>'Por Valoracion (3) Dimension 2'!B181</f>
        <v>0</v>
      </c>
      <c r="BA181" s="46"/>
      <c r="BC181" s="47"/>
      <c r="BE181" t="str">
        <f>('Gestión de abastecimiento'!A182)</f>
        <v>0</v>
      </c>
      <c r="BF181" s="39" t="str">
        <f>'Por Valoracion (3) Dimension'!F181</f>
        <v>0</v>
      </c>
      <c r="BG181" s="39" t="str">
        <f>'Por Valoracion (3) Dimension 2'!B181</f>
        <v>0</v>
      </c>
      <c r="CB181" s="47"/>
    </row>
    <row r="182" spans="1:80">
      <c r="A182" s="38"/>
      <c r="C182" t="str">
        <f>('Gestión de abastecimiento'!A183)</f>
        <v>0</v>
      </c>
      <c r="D182" s="39" t="str">
        <f>'Por Valoracion (3) Dimension'!B182</f>
        <v>0</v>
      </c>
      <c r="E182" s="39" t="str">
        <f>'Por Valoracion (3) Dimension 2'!B182</f>
        <v>0</v>
      </c>
      <c r="Z182" s="38"/>
      <c r="AB182" s="46"/>
      <c r="AD182" t="str">
        <f>('Gestión de abastecimiento'!A183)</f>
        <v>0</v>
      </c>
      <c r="AE182" s="39" t="str">
        <f>'Por Valoracion (3) Dimension'!D182</f>
        <v>0</v>
      </c>
      <c r="AF182" s="39" t="str">
        <f>'Por Valoracion (3) Dimension 2'!B182</f>
        <v>0</v>
      </c>
      <c r="BA182" s="46"/>
      <c r="BC182" s="47"/>
      <c r="BE182" t="str">
        <f>('Gestión de abastecimiento'!A183)</f>
        <v>0</v>
      </c>
      <c r="BF182" s="39" t="str">
        <f>'Por Valoracion (3) Dimension'!F182</f>
        <v>0</v>
      </c>
      <c r="BG182" s="39" t="str">
        <f>'Por Valoracion (3) Dimension 2'!B182</f>
        <v>0</v>
      </c>
      <c r="CB182" s="47"/>
    </row>
    <row r="183" spans="1:80">
      <c r="A183" s="38"/>
      <c r="C183" t="str">
        <f>('Gestión de abastecimiento'!A184)</f>
        <v>0</v>
      </c>
      <c r="D183" s="39" t="str">
        <f>'Por Valoracion (3) Dimension'!B183</f>
        <v>0</v>
      </c>
      <c r="E183" s="39" t="str">
        <f>'Por Valoracion (3) Dimension 2'!B183</f>
        <v>0</v>
      </c>
      <c r="Z183" s="38"/>
      <c r="AB183" s="46"/>
      <c r="AD183" t="str">
        <f>('Gestión de abastecimiento'!A184)</f>
        <v>0</v>
      </c>
      <c r="AE183" s="39" t="str">
        <f>'Por Valoracion (3) Dimension'!D183</f>
        <v>0</v>
      </c>
      <c r="AF183" s="39" t="str">
        <f>'Por Valoracion (3) Dimension 2'!B183</f>
        <v>0</v>
      </c>
      <c r="BA183" s="46"/>
      <c r="BC183" s="47"/>
      <c r="BE183" t="str">
        <f>('Gestión de abastecimiento'!A184)</f>
        <v>0</v>
      </c>
      <c r="BF183" s="39" t="str">
        <f>'Por Valoracion (3) Dimension'!F183</f>
        <v>0</v>
      </c>
      <c r="BG183" s="39" t="str">
        <f>'Por Valoracion (3) Dimension 2'!B183</f>
        <v>0</v>
      </c>
      <c r="CB183" s="47"/>
    </row>
    <row r="184" spans="1:80">
      <c r="A184" s="38"/>
      <c r="C184" t="str">
        <f>('Gestión de abastecimiento'!A185)</f>
        <v>0</v>
      </c>
      <c r="D184" s="39" t="str">
        <f>'Por Valoracion (3) Dimension'!B184</f>
        <v>0</v>
      </c>
      <c r="E184" s="39" t="str">
        <f>'Por Valoracion (3) Dimension 2'!B184</f>
        <v>0</v>
      </c>
      <c r="Z184" s="38"/>
      <c r="AB184" s="46"/>
      <c r="AD184" t="str">
        <f>('Gestión de abastecimiento'!A185)</f>
        <v>0</v>
      </c>
      <c r="AE184" s="39" t="str">
        <f>'Por Valoracion (3) Dimension'!D184</f>
        <v>0</v>
      </c>
      <c r="AF184" s="39" t="str">
        <f>'Por Valoracion (3) Dimension 2'!B184</f>
        <v>0</v>
      </c>
      <c r="BA184" s="46"/>
      <c r="BC184" s="47"/>
      <c r="BE184" t="str">
        <f>('Gestión de abastecimiento'!A185)</f>
        <v>0</v>
      </c>
      <c r="BF184" s="39" t="str">
        <f>'Por Valoracion (3) Dimension'!F184</f>
        <v>0</v>
      </c>
      <c r="BG184" s="39" t="str">
        <f>'Por Valoracion (3) Dimension 2'!B184</f>
        <v>0</v>
      </c>
      <c r="CB184" s="47"/>
    </row>
    <row r="185" spans="1:80">
      <c r="A185" s="38"/>
      <c r="C185" t="str">
        <f>('Gestión de abastecimiento'!A186)</f>
        <v>0</v>
      </c>
      <c r="D185" s="39" t="str">
        <f>'Por Valoracion (3) Dimension'!B185</f>
        <v>0</v>
      </c>
      <c r="E185" s="39" t="str">
        <f>'Por Valoracion (3) Dimension 2'!B185</f>
        <v>0</v>
      </c>
      <c r="Z185" s="38"/>
      <c r="AB185" s="46"/>
      <c r="AD185" t="str">
        <f>('Gestión de abastecimiento'!A186)</f>
        <v>0</v>
      </c>
      <c r="AE185" s="39" t="str">
        <f>'Por Valoracion (3) Dimension'!D185</f>
        <v>0</v>
      </c>
      <c r="AF185" s="39" t="str">
        <f>'Por Valoracion (3) Dimension 2'!B185</f>
        <v>0</v>
      </c>
      <c r="BA185" s="46"/>
      <c r="BC185" s="47"/>
      <c r="BE185" t="str">
        <f>('Gestión de abastecimiento'!A186)</f>
        <v>0</v>
      </c>
      <c r="BF185" s="39" t="str">
        <f>'Por Valoracion (3) Dimension'!F185</f>
        <v>0</v>
      </c>
      <c r="BG185" s="39" t="str">
        <f>'Por Valoracion (3) Dimension 2'!B185</f>
        <v>0</v>
      </c>
      <c r="CB185" s="47"/>
    </row>
    <row r="186" spans="1:80">
      <c r="A186" s="38"/>
      <c r="C186" t="str">
        <f>('Gestión de abastecimiento'!A187)</f>
        <v>0</v>
      </c>
      <c r="D186" s="39" t="str">
        <f>'Por Valoracion (3) Dimension'!B186</f>
        <v>0</v>
      </c>
      <c r="E186" s="39" t="str">
        <f>'Por Valoracion (3) Dimension 2'!B186</f>
        <v>0</v>
      </c>
      <c r="Z186" s="38"/>
      <c r="AB186" s="46"/>
      <c r="AD186" t="str">
        <f>('Gestión de abastecimiento'!A187)</f>
        <v>0</v>
      </c>
      <c r="AE186" s="39" t="str">
        <f>'Por Valoracion (3) Dimension'!D186</f>
        <v>0</v>
      </c>
      <c r="AF186" s="39" t="str">
        <f>'Por Valoracion (3) Dimension 2'!B186</f>
        <v>0</v>
      </c>
      <c r="BA186" s="46"/>
      <c r="BC186" s="47"/>
      <c r="BE186" t="str">
        <f>('Gestión de abastecimiento'!A187)</f>
        <v>0</v>
      </c>
      <c r="BF186" s="39" t="str">
        <f>'Por Valoracion (3) Dimension'!F186</f>
        <v>0</v>
      </c>
      <c r="BG186" s="39" t="str">
        <f>'Por Valoracion (3) Dimension 2'!B186</f>
        <v>0</v>
      </c>
      <c r="CB186" s="47"/>
    </row>
    <row r="187" spans="1:80">
      <c r="A187" s="38"/>
      <c r="C187" t="str">
        <f>('Gestión de abastecimiento'!A188)</f>
        <v>0</v>
      </c>
      <c r="D187" s="39" t="str">
        <f>'Por Valoracion (3) Dimension'!B187</f>
        <v>0</v>
      </c>
      <c r="E187" s="39" t="str">
        <f>'Por Valoracion (3) Dimension 2'!B187</f>
        <v>0</v>
      </c>
      <c r="Z187" s="38"/>
      <c r="AB187" s="46"/>
      <c r="AD187" t="str">
        <f>('Gestión de abastecimiento'!A188)</f>
        <v>0</v>
      </c>
      <c r="AE187" s="39" t="str">
        <f>'Por Valoracion (3) Dimension'!D187</f>
        <v>0</v>
      </c>
      <c r="AF187" s="39" t="str">
        <f>'Por Valoracion (3) Dimension 2'!B187</f>
        <v>0</v>
      </c>
      <c r="BA187" s="46"/>
      <c r="BC187" s="47"/>
      <c r="BE187" t="str">
        <f>('Gestión de abastecimiento'!A188)</f>
        <v>0</v>
      </c>
      <c r="BF187" s="39" t="str">
        <f>'Por Valoracion (3) Dimension'!F187</f>
        <v>0</v>
      </c>
      <c r="BG187" s="39" t="str">
        <f>'Por Valoracion (3) Dimension 2'!B187</f>
        <v>0</v>
      </c>
      <c r="CB187" s="47"/>
    </row>
    <row r="188" spans="1:80">
      <c r="A188" s="38"/>
      <c r="C188" t="str">
        <f>('Gestión de abastecimiento'!A189)</f>
        <v>0</v>
      </c>
      <c r="D188" s="39" t="str">
        <f>'Por Valoracion (3) Dimension'!B188</f>
        <v>0</v>
      </c>
      <c r="E188" s="39" t="str">
        <f>'Por Valoracion (3) Dimension 2'!B188</f>
        <v>0</v>
      </c>
      <c r="Z188" s="38"/>
      <c r="AB188" s="46"/>
      <c r="AD188" t="str">
        <f>('Gestión de abastecimiento'!A189)</f>
        <v>0</v>
      </c>
      <c r="AE188" s="39" t="str">
        <f>'Por Valoracion (3) Dimension'!D188</f>
        <v>0</v>
      </c>
      <c r="AF188" s="39" t="str">
        <f>'Por Valoracion (3) Dimension 2'!B188</f>
        <v>0</v>
      </c>
      <c r="BA188" s="46"/>
      <c r="BC188" s="47"/>
      <c r="BE188" t="str">
        <f>('Gestión de abastecimiento'!A189)</f>
        <v>0</v>
      </c>
      <c r="BF188" s="39" t="str">
        <f>'Por Valoracion (3) Dimension'!F188</f>
        <v>0</v>
      </c>
      <c r="BG188" s="39" t="str">
        <f>'Por Valoracion (3) Dimension 2'!B188</f>
        <v>0</v>
      </c>
      <c r="CB188" s="47"/>
    </row>
    <row r="189" spans="1:80">
      <c r="A189" s="38"/>
      <c r="C189" t="str">
        <f>('Gestión de abastecimiento'!A190)</f>
        <v>0</v>
      </c>
      <c r="D189" s="39" t="str">
        <f>'Por Valoracion (3) Dimension'!B189</f>
        <v>0</v>
      </c>
      <c r="E189" s="39" t="str">
        <f>'Por Valoracion (3) Dimension 2'!B189</f>
        <v>0</v>
      </c>
      <c r="Z189" s="38"/>
      <c r="AB189" s="46"/>
      <c r="AD189" t="str">
        <f>('Gestión de abastecimiento'!A190)</f>
        <v>0</v>
      </c>
      <c r="AE189" s="39" t="str">
        <f>'Por Valoracion (3) Dimension'!D189</f>
        <v>0</v>
      </c>
      <c r="AF189" s="39" t="str">
        <f>'Por Valoracion (3) Dimension 2'!B189</f>
        <v>0</v>
      </c>
      <c r="BA189" s="46"/>
      <c r="BC189" s="47"/>
      <c r="BE189" t="str">
        <f>('Gestión de abastecimiento'!A190)</f>
        <v>0</v>
      </c>
      <c r="BF189" s="39" t="str">
        <f>'Por Valoracion (3) Dimension'!F189</f>
        <v>0</v>
      </c>
      <c r="BG189" s="39" t="str">
        <f>'Por Valoracion (3) Dimension 2'!B189</f>
        <v>0</v>
      </c>
      <c r="CB189" s="47"/>
    </row>
    <row r="190" spans="1:80">
      <c r="A190" s="38"/>
      <c r="C190" t="str">
        <f>('Gestión de abastecimiento'!A191)</f>
        <v>0</v>
      </c>
      <c r="D190" s="39" t="str">
        <f>'Por Valoracion (3) Dimension'!B190</f>
        <v>0</v>
      </c>
      <c r="E190" s="39" t="str">
        <f>'Por Valoracion (3) Dimension 2'!B190</f>
        <v>0</v>
      </c>
      <c r="Z190" s="38"/>
      <c r="AB190" s="46"/>
      <c r="AD190" t="str">
        <f>('Gestión de abastecimiento'!A191)</f>
        <v>0</v>
      </c>
      <c r="AE190" s="39" t="str">
        <f>'Por Valoracion (3) Dimension'!D190</f>
        <v>0</v>
      </c>
      <c r="AF190" s="39" t="str">
        <f>'Por Valoracion (3) Dimension 2'!B190</f>
        <v>0</v>
      </c>
      <c r="BA190" s="46"/>
      <c r="BC190" s="47"/>
      <c r="BE190" t="str">
        <f>('Gestión de abastecimiento'!A191)</f>
        <v>0</v>
      </c>
      <c r="BF190" s="39" t="str">
        <f>'Por Valoracion (3) Dimension'!F190</f>
        <v>0</v>
      </c>
      <c r="BG190" s="39" t="str">
        <f>'Por Valoracion (3) Dimension 2'!B190</f>
        <v>0</v>
      </c>
      <c r="CB190" s="47"/>
    </row>
    <row r="191" spans="1:80">
      <c r="A191" s="38"/>
      <c r="C191" t="str">
        <f>('Gestión de abastecimiento'!A192)</f>
        <v>0</v>
      </c>
      <c r="D191" s="39" t="str">
        <f>'Por Valoracion (3) Dimension'!B191</f>
        <v>0</v>
      </c>
      <c r="E191" s="39" t="str">
        <f>'Por Valoracion (3) Dimension 2'!B191</f>
        <v>0</v>
      </c>
      <c r="Z191" s="38"/>
      <c r="AB191" s="46"/>
      <c r="AD191" t="str">
        <f>('Gestión de abastecimiento'!A192)</f>
        <v>0</v>
      </c>
      <c r="AE191" s="39" t="str">
        <f>'Por Valoracion (3) Dimension'!D191</f>
        <v>0</v>
      </c>
      <c r="AF191" s="39" t="str">
        <f>'Por Valoracion (3) Dimension 2'!B191</f>
        <v>0</v>
      </c>
      <c r="BA191" s="46"/>
      <c r="BC191" s="47"/>
      <c r="BE191" t="str">
        <f>('Gestión de abastecimiento'!A192)</f>
        <v>0</v>
      </c>
      <c r="BF191" s="39" t="str">
        <f>'Por Valoracion (3) Dimension'!F191</f>
        <v>0</v>
      </c>
      <c r="BG191" s="39" t="str">
        <f>'Por Valoracion (3) Dimension 2'!B191</f>
        <v>0</v>
      </c>
      <c r="CB191" s="47"/>
    </row>
    <row r="192" spans="1:80">
      <c r="A192" s="38"/>
      <c r="C192" t="str">
        <f>('Gestión de abastecimiento'!A193)</f>
        <v>0</v>
      </c>
      <c r="D192" s="39" t="str">
        <f>'Por Valoracion (3) Dimension'!B192</f>
        <v>0</v>
      </c>
      <c r="E192" s="39" t="str">
        <f>'Por Valoracion (3) Dimension 2'!B192</f>
        <v>0</v>
      </c>
      <c r="Z192" s="38"/>
      <c r="AB192" s="46"/>
      <c r="AD192" t="str">
        <f>('Gestión de abastecimiento'!A193)</f>
        <v>0</v>
      </c>
      <c r="AE192" s="39" t="str">
        <f>'Por Valoracion (3) Dimension'!D192</f>
        <v>0</v>
      </c>
      <c r="AF192" s="39" t="str">
        <f>'Por Valoracion (3) Dimension 2'!B192</f>
        <v>0</v>
      </c>
      <c r="BA192" s="46"/>
      <c r="BC192" s="47"/>
      <c r="BE192" t="str">
        <f>('Gestión de abastecimiento'!A193)</f>
        <v>0</v>
      </c>
      <c r="BF192" s="39" t="str">
        <f>'Por Valoracion (3) Dimension'!F192</f>
        <v>0</v>
      </c>
      <c r="BG192" s="39" t="str">
        <f>'Por Valoracion (3) Dimension 2'!B192</f>
        <v>0</v>
      </c>
      <c r="CB192" s="47"/>
    </row>
    <row r="193" spans="1:80">
      <c r="A193" s="38"/>
      <c r="C193" t="str">
        <f>('Gestión de abastecimiento'!A194)</f>
        <v>0</v>
      </c>
      <c r="D193" s="39" t="str">
        <f>'Por Valoracion (3) Dimension'!B193</f>
        <v>0</v>
      </c>
      <c r="E193" s="39" t="str">
        <f>'Por Valoracion (3) Dimension 2'!B193</f>
        <v>0</v>
      </c>
      <c r="Z193" s="38"/>
      <c r="AB193" s="46"/>
      <c r="AD193" t="str">
        <f>('Gestión de abastecimiento'!A194)</f>
        <v>0</v>
      </c>
      <c r="AE193" s="39" t="str">
        <f>'Por Valoracion (3) Dimension'!D193</f>
        <v>0</v>
      </c>
      <c r="AF193" s="39" t="str">
        <f>'Por Valoracion (3) Dimension 2'!B193</f>
        <v>0</v>
      </c>
      <c r="BA193" s="46"/>
      <c r="BC193" s="47"/>
      <c r="BE193" t="str">
        <f>('Gestión de abastecimiento'!A194)</f>
        <v>0</v>
      </c>
      <c r="BF193" s="39" t="str">
        <f>'Por Valoracion (3) Dimension'!F193</f>
        <v>0</v>
      </c>
      <c r="BG193" s="39" t="str">
        <f>'Por Valoracion (3) Dimension 2'!B193</f>
        <v>0</v>
      </c>
      <c r="CB193" s="47"/>
    </row>
    <row r="194" spans="1:80">
      <c r="A194" s="38"/>
      <c r="C194" t="str">
        <f>('Gestión de abastecimiento'!A195)</f>
        <v>0</v>
      </c>
      <c r="D194" s="39" t="str">
        <f>'Por Valoracion (3) Dimension'!B194</f>
        <v>0</v>
      </c>
      <c r="E194" s="39" t="str">
        <f>'Por Valoracion (3) Dimension 2'!B194</f>
        <v>0</v>
      </c>
      <c r="Z194" s="38"/>
      <c r="AB194" s="46"/>
      <c r="AD194" t="str">
        <f>('Gestión de abastecimiento'!A195)</f>
        <v>0</v>
      </c>
      <c r="AE194" s="39" t="str">
        <f>'Por Valoracion (3) Dimension'!D194</f>
        <v>0</v>
      </c>
      <c r="AF194" s="39" t="str">
        <f>'Por Valoracion (3) Dimension 2'!B194</f>
        <v>0</v>
      </c>
      <c r="BA194" s="46"/>
      <c r="BC194" s="47"/>
      <c r="BE194" t="str">
        <f>('Gestión de abastecimiento'!A195)</f>
        <v>0</v>
      </c>
      <c r="BF194" s="39" t="str">
        <f>'Por Valoracion (3) Dimension'!F194</f>
        <v>0</v>
      </c>
      <c r="BG194" s="39" t="str">
        <f>'Por Valoracion (3) Dimension 2'!B194</f>
        <v>0</v>
      </c>
      <c r="CB194" s="47"/>
    </row>
    <row r="195" spans="1:80">
      <c r="A195" s="38"/>
      <c r="C195" t="str">
        <f>('Gestión de abastecimiento'!A196)</f>
        <v>0</v>
      </c>
      <c r="D195" s="39" t="str">
        <f>'Por Valoracion (3) Dimension'!B195</f>
        <v>0</v>
      </c>
      <c r="E195" s="39" t="str">
        <f>'Por Valoracion (3) Dimension 2'!B195</f>
        <v>0</v>
      </c>
      <c r="Z195" s="38"/>
      <c r="AB195" s="46"/>
      <c r="AD195" t="str">
        <f>('Gestión de abastecimiento'!A196)</f>
        <v>0</v>
      </c>
      <c r="AE195" s="39" t="str">
        <f>'Por Valoracion (3) Dimension'!D195</f>
        <v>0</v>
      </c>
      <c r="AF195" s="39" t="str">
        <f>'Por Valoracion (3) Dimension 2'!B195</f>
        <v>0</v>
      </c>
      <c r="BA195" s="46"/>
      <c r="BC195" s="47"/>
      <c r="BE195" t="str">
        <f>('Gestión de abastecimiento'!A196)</f>
        <v>0</v>
      </c>
      <c r="BF195" s="39" t="str">
        <f>'Por Valoracion (3) Dimension'!F195</f>
        <v>0</v>
      </c>
      <c r="BG195" s="39" t="str">
        <f>'Por Valoracion (3) Dimension 2'!B195</f>
        <v>0</v>
      </c>
      <c r="CB195" s="47"/>
    </row>
    <row r="196" spans="1:80">
      <c r="A196" s="38"/>
      <c r="C196" t="str">
        <f>('Gestión de abastecimiento'!A197)</f>
        <v>0</v>
      </c>
      <c r="D196" s="39" t="str">
        <f>'Por Valoracion (3) Dimension'!B196</f>
        <v>0</v>
      </c>
      <c r="E196" s="39" t="str">
        <f>'Por Valoracion (3) Dimension 2'!B196</f>
        <v>0</v>
      </c>
      <c r="Z196" s="38"/>
      <c r="AB196" s="46"/>
      <c r="AD196" t="str">
        <f>('Gestión de abastecimiento'!A197)</f>
        <v>0</v>
      </c>
      <c r="AE196" s="39" t="str">
        <f>'Por Valoracion (3) Dimension'!D196</f>
        <v>0</v>
      </c>
      <c r="AF196" s="39" t="str">
        <f>'Por Valoracion (3) Dimension 2'!B196</f>
        <v>0</v>
      </c>
      <c r="BA196" s="46"/>
      <c r="BC196" s="47"/>
      <c r="BE196" t="str">
        <f>('Gestión de abastecimiento'!A197)</f>
        <v>0</v>
      </c>
      <c r="BF196" s="39" t="str">
        <f>'Por Valoracion (3) Dimension'!F196</f>
        <v>0</v>
      </c>
      <c r="BG196" s="39" t="str">
        <f>'Por Valoracion (3) Dimension 2'!B196</f>
        <v>0</v>
      </c>
      <c r="CB196" s="47"/>
    </row>
    <row r="197" spans="1:80">
      <c r="A197" s="38"/>
      <c r="C197" t="str">
        <f>('Gestión de abastecimiento'!A198)</f>
        <v>0</v>
      </c>
      <c r="D197" s="39" t="str">
        <f>'Por Valoracion (3) Dimension'!B197</f>
        <v>0</v>
      </c>
      <c r="E197" s="39" t="str">
        <f>'Por Valoracion (3) Dimension 2'!B197</f>
        <v>0</v>
      </c>
      <c r="Z197" s="38"/>
      <c r="AB197" s="46"/>
      <c r="AD197" t="str">
        <f>('Gestión de abastecimiento'!A198)</f>
        <v>0</v>
      </c>
      <c r="AE197" s="39" t="str">
        <f>'Por Valoracion (3) Dimension'!D197</f>
        <v>0</v>
      </c>
      <c r="AF197" s="39" t="str">
        <f>'Por Valoracion (3) Dimension 2'!B197</f>
        <v>0</v>
      </c>
      <c r="BA197" s="46"/>
      <c r="BC197" s="47"/>
      <c r="BE197" t="str">
        <f>('Gestión de abastecimiento'!A198)</f>
        <v>0</v>
      </c>
      <c r="BF197" s="39" t="str">
        <f>'Por Valoracion (3) Dimension'!F197</f>
        <v>0</v>
      </c>
      <c r="BG197" s="39" t="str">
        <f>'Por Valoracion (3) Dimension 2'!B197</f>
        <v>0</v>
      </c>
      <c r="CB197" s="47"/>
    </row>
    <row r="198" spans="1:80">
      <c r="A198" s="38"/>
      <c r="C198" t="str">
        <f>('Gestión de abastecimiento'!A199)</f>
        <v>0</v>
      </c>
      <c r="D198" s="39" t="str">
        <f>'Por Valoracion (3) Dimension'!B198</f>
        <v>0</v>
      </c>
      <c r="E198" s="39" t="str">
        <f>'Por Valoracion (3) Dimension 2'!B198</f>
        <v>0</v>
      </c>
      <c r="Z198" s="38"/>
      <c r="AB198" s="46"/>
      <c r="AD198" t="str">
        <f>('Gestión de abastecimiento'!A199)</f>
        <v>0</v>
      </c>
      <c r="AE198" s="39" t="str">
        <f>'Por Valoracion (3) Dimension'!D198</f>
        <v>0</v>
      </c>
      <c r="AF198" s="39" t="str">
        <f>'Por Valoracion (3) Dimension 2'!B198</f>
        <v>0</v>
      </c>
      <c r="BA198" s="46"/>
      <c r="BC198" s="47"/>
      <c r="BE198" t="str">
        <f>('Gestión de abastecimiento'!A199)</f>
        <v>0</v>
      </c>
      <c r="BF198" s="39" t="str">
        <f>'Por Valoracion (3) Dimension'!F198</f>
        <v>0</v>
      </c>
      <c r="BG198" s="39" t="str">
        <f>'Por Valoracion (3) Dimension 2'!B198</f>
        <v>0</v>
      </c>
      <c r="CB198" s="47"/>
    </row>
    <row r="199" spans="1:80">
      <c r="A199" s="38"/>
      <c r="C199" t="str">
        <f>('Gestión de abastecimiento'!A200)</f>
        <v>0</v>
      </c>
      <c r="D199" s="39" t="str">
        <f>'Por Valoracion (3) Dimension'!B199</f>
        <v>0</v>
      </c>
      <c r="E199" s="39" t="str">
        <f>'Por Valoracion (3) Dimension 2'!B199</f>
        <v>0</v>
      </c>
      <c r="Z199" s="38"/>
      <c r="AB199" s="46"/>
      <c r="AD199" t="str">
        <f>('Gestión de abastecimiento'!A200)</f>
        <v>0</v>
      </c>
      <c r="AE199" s="39" t="str">
        <f>'Por Valoracion (3) Dimension'!D199</f>
        <v>0</v>
      </c>
      <c r="AF199" s="39" t="str">
        <f>'Por Valoracion (3) Dimension 2'!B199</f>
        <v>0</v>
      </c>
      <c r="BA199" s="46"/>
      <c r="BC199" s="47"/>
      <c r="BE199" t="str">
        <f>('Gestión de abastecimiento'!A200)</f>
        <v>0</v>
      </c>
      <c r="BF199" s="39" t="str">
        <f>'Por Valoracion (3) Dimension'!F199</f>
        <v>0</v>
      </c>
      <c r="BG199" s="39" t="str">
        <f>'Por Valoracion (3) Dimension 2'!B199</f>
        <v>0</v>
      </c>
      <c r="CB199" s="47"/>
    </row>
    <row r="200" spans="1:80">
      <c r="A200" s="38"/>
      <c r="C200" t="str">
        <f>('Gestión de abastecimiento'!A201)</f>
        <v>0</v>
      </c>
      <c r="D200" s="39" t="str">
        <f>'Por Valoracion (3) Dimension'!B200</f>
        <v>0</v>
      </c>
      <c r="E200" s="39" t="str">
        <f>'Por Valoracion (3) Dimension 2'!B200</f>
        <v>0</v>
      </c>
      <c r="Z200" s="38"/>
      <c r="AB200" s="46"/>
      <c r="AD200" t="str">
        <f>('Gestión de abastecimiento'!A201)</f>
        <v>0</v>
      </c>
      <c r="AE200" s="39" t="str">
        <f>'Por Valoracion (3) Dimension'!D200</f>
        <v>0</v>
      </c>
      <c r="AF200" s="39" t="str">
        <f>'Por Valoracion (3) Dimension 2'!B200</f>
        <v>0</v>
      </c>
      <c r="BA200" s="46"/>
      <c r="BC200" s="47"/>
      <c r="BE200" t="str">
        <f>('Gestión de abastecimiento'!A201)</f>
        <v>0</v>
      </c>
      <c r="BF200" s="39" t="str">
        <f>'Por Valoracion (3) Dimension'!F200</f>
        <v>0</v>
      </c>
      <c r="BG200" s="39" t="str">
        <f>'Por Valoracion (3) Dimension 2'!B200</f>
        <v>0</v>
      </c>
      <c r="CB200" s="47"/>
    </row>
    <row r="201" spans="1:80">
      <c r="A201" s="38"/>
      <c r="C201" t="str">
        <f>('Gestión de abastecimiento'!A202)</f>
        <v>0</v>
      </c>
      <c r="D201" s="39" t="str">
        <f>'Por Valoracion (3) Dimension'!B201</f>
        <v>0</v>
      </c>
      <c r="E201" s="39" t="str">
        <f>'Por Valoracion (3) Dimension 2'!B201</f>
        <v>0</v>
      </c>
      <c r="Z201" s="38"/>
      <c r="AB201" s="46"/>
      <c r="AD201" t="str">
        <f>('Gestión de abastecimiento'!A202)</f>
        <v>0</v>
      </c>
      <c r="AE201" s="39" t="str">
        <f>'Por Valoracion (3) Dimension'!D201</f>
        <v>0</v>
      </c>
      <c r="AF201" s="39" t="str">
        <f>'Por Valoracion (3) Dimension 2'!B201</f>
        <v>0</v>
      </c>
      <c r="BA201" s="46"/>
      <c r="BC201" s="47"/>
      <c r="BE201" t="str">
        <f>('Gestión de abastecimiento'!A202)</f>
        <v>0</v>
      </c>
      <c r="BF201" s="39" t="str">
        <f>'Por Valoracion (3) Dimension'!F201</f>
        <v>0</v>
      </c>
      <c r="BG201" s="39" t="str">
        <f>'Por Valoracion (3) Dimension 2'!B201</f>
        <v>0</v>
      </c>
      <c r="CB201" s="47"/>
    </row>
    <row r="202" spans="1:80">
      <c r="A202" s="38"/>
      <c r="C202" t="str">
        <f>('Gestión de abastecimiento'!A203)</f>
        <v>0</v>
      </c>
      <c r="D202" s="39" t="str">
        <f>'Por Valoracion (3) Dimension'!B202</f>
        <v>0</v>
      </c>
      <c r="E202" s="39" t="str">
        <f>'Por Valoracion (3) Dimension 2'!B202</f>
        <v>0</v>
      </c>
      <c r="Z202" s="38"/>
      <c r="AB202" s="46"/>
      <c r="AD202" t="str">
        <f>('Gestión de abastecimiento'!A203)</f>
        <v>0</v>
      </c>
      <c r="AE202" s="39" t="str">
        <f>'Por Valoracion (3) Dimension'!D202</f>
        <v>0</v>
      </c>
      <c r="AF202" s="39" t="str">
        <f>'Por Valoracion (3) Dimension 2'!B202</f>
        <v>0</v>
      </c>
      <c r="BA202" s="46"/>
      <c r="BC202" s="47"/>
      <c r="BE202" t="str">
        <f>('Gestión de abastecimiento'!A203)</f>
        <v>0</v>
      </c>
      <c r="BF202" s="39" t="str">
        <f>'Por Valoracion (3) Dimension'!F202</f>
        <v>0</v>
      </c>
      <c r="BG202" s="39" t="str">
        <f>'Por Valoracion (3) Dimension 2'!B202</f>
        <v>0</v>
      </c>
      <c r="CB202" s="47"/>
    </row>
    <row r="203" spans="1:80">
      <c r="A203" s="38"/>
      <c r="C203" t="str">
        <f>('Gestión de abastecimiento'!A204)</f>
        <v>0</v>
      </c>
      <c r="D203" s="39" t="str">
        <f>'Por Valoracion (3) Dimension'!B203</f>
        <v>0</v>
      </c>
      <c r="E203" s="39" t="str">
        <f>'Por Valoracion (3) Dimension 2'!B203</f>
        <v>0</v>
      </c>
      <c r="Z203" s="38"/>
      <c r="AB203" s="46"/>
      <c r="AD203" t="str">
        <f>('Gestión de abastecimiento'!A204)</f>
        <v>0</v>
      </c>
      <c r="AE203" s="39" t="str">
        <f>'Por Valoracion (3) Dimension'!D203</f>
        <v>0</v>
      </c>
      <c r="AF203" s="39" t="str">
        <f>'Por Valoracion (3) Dimension 2'!B203</f>
        <v>0</v>
      </c>
      <c r="BA203" s="46"/>
      <c r="BC203" s="47"/>
      <c r="BE203" t="str">
        <f>('Gestión de abastecimiento'!A204)</f>
        <v>0</v>
      </c>
      <c r="BF203" s="39" t="str">
        <f>'Por Valoracion (3) Dimension'!F203</f>
        <v>0</v>
      </c>
      <c r="BG203" s="39" t="str">
        <f>'Por Valoracion (3) Dimension 2'!B203</f>
        <v>0</v>
      </c>
      <c r="CB203" s="47"/>
    </row>
    <row r="204" spans="1:80">
      <c r="A204" s="38"/>
      <c r="C204" t="str">
        <f>('Gestión de abastecimiento'!A205)</f>
        <v>0</v>
      </c>
      <c r="D204" s="39" t="str">
        <f>'Por Valoracion (3) Dimension'!B204</f>
        <v>0</v>
      </c>
      <c r="E204" s="39" t="str">
        <f>'Por Valoracion (3) Dimension 2'!B204</f>
        <v>0</v>
      </c>
      <c r="Z204" s="38"/>
      <c r="AB204" s="46"/>
      <c r="AD204" t="str">
        <f>('Gestión de abastecimiento'!A205)</f>
        <v>0</v>
      </c>
      <c r="AE204" s="39" t="str">
        <f>'Por Valoracion (3) Dimension'!D204</f>
        <v>0</v>
      </c>
      <c r="AF204" s="39" t="str">
        <f>'Por Valoracion (3) Dimension 2'!B204</f>
        <v>0</v>
      </c>
      <c r="BA204" s="46"/>
      <c r="BC204" s="47"/>
      <c r="BE204" t="str">
        <f>('Gestión de abastecimiento'!A205)</f>
        <v>0</v>
      </c>
      <c r="BF204" s="39" t="str">
        <f>'Por Valoracion (3) Dimension'!F204</f>
        <v>0</v>
      </c>
      <c r="BG204" s="39" t="str">
        <f>'Por Valoracion (3) Dimension 2'!B204</f>
        <v>0</v>
      </c>
      <c r="CB204" s="47"/>
    </row>
    <row r="205" spans="1:80">
      <c r="A205" s="38"/>
      <c r="C205" t="str">
        <f>('Gestión de abastecimiento'!A206)</f>
        <v>0</v>
      </c>
      <c r="D205" s="39" t="str">
        <f>'Por Valoracion (3) Dimension'!B205</f>
        <v>0</v>
      </c>
      <c r="E205" s="39" t="str">
        <f>'Por Valoracion (3) Dimension 2'!B205</f>
        <v>0</v>
      </c>
      <c r="Z205" s="38"/>
      <c r="AB205" s="46"/>
      <c r="AD205" t="str">
        <f>('Gestión de abastecimiento'!A206)</f>
        <v>0</v>
      </c>
      <c r="AE205" s="39" t="str">
        <f>'Por Valoracion (3) Dimension'!D205</f>
        <v>0</v>
      </c>
      <c r="AF205" s="39" t="str">
        <f>'Por Valoracion (3) Dimension 2'!B205</f>
        <v>0</v>
      </c>
      <c r="BA205" s="46"/>
      <c r="BC205" s="47"/>
      <c r="BE205" t="str">
        <f>('Gestión de abastecimiento'!A206)</f>
        <v>0</v>
      </c>
      <c r="BF205" s="39" t="str">
        <f>'Por Valoracion (3) Dimension'!F205</f>
        <v>0</v>
      </c>
      <c r="BG205" s="39" t="str">
        <f>'Por Valoracion (3) Dimension 2'!B205</f>
        <v>0</v>
      </c>
      <c r="CB205" s="47"/>
    </row>
    <row r="206" spans="1:80">
      <c r="A206" s="38"/>
      <c r="C206" t="str">
        <f>('Gestión de abastecimiento'!A207)</f>
        <v>0</v>
      </c>
      <c r="D206" s="39" t="str">
        <f>'Por Valoracion (3) Dimension'!B206</f>
        <v>0</v>
      </c>
      <c r="E206" s="39" t="str">
        <f>'Por Valoracion (3) Dimension 2'!B206</f>
        <v>0</v>
      </c>
      <c r="Z206" s="38"/>
      <c r="AB206" s="46"/>
      <c r="AD206" t="str">
        <f>('Gestión de abastecimiento'!A207)</f>
        <v>0</v>
      </c>
      <c r="AE206" s="39" t="str">
        <f>'Por Valoracion (3) Dimension'!D206</f>
        <v>0</v>
      </c>
      <c r="AF206" s="39" t="str">
        <f>'Por Valoracion (3) Dimension 2'!B206</f>
        <v>0</v>
      </c>
      <c r="BA206" s="46"/>
      <c r="BC206" s="47"/>
      <c r="BE206" t="str">
        <f>('Gestión de abastecimiento'!A207)</f>
        <v>0</v>
      </c>
      <c r="BF206" s="39" t="str">
        <f>'Por Valoracion (3) Dimension'!F206</f>
        <v>0</v>
      </c>
      <c r="BG206" s="39" t="str">
        <f>'Por Valoracion (3) Dimension 2'!B206</f>
        <v>0</v>
      </c>
      <c r="CB206" s="47"/>
    </row>
    <row r="207" spans="1:80">
      <c r="A207" s="38"/>
      <c r="C207" t="str">
        <f>('Gestión de abastecimiento'!A208)</f>
        <v>0</v>
      </c>
      <c r="D207" s="39" t="str">
        <f>'Por Valoracion (3) Dimension'!B207</f>
        <v>0</v>
      </c>
      <c r="E207" s="39" t="str">
        <f>'Por Valoracion (3) Dimension 2'!B207</f>
        <v>0</v>
      </c>
      <c r="Z207" s="38"/>
      <c r="AB207" s="46"/>
      <c r="AD207" t="str">
        <f>('Gestión de abastecimiento'!A208)</f>
        <v>0</v>
      </c>
      <c r="AE207" s="39" t="str">
        <f>'Por Valoracion (3) Dimension'!D207</f>
        <v>0</v>
      </c>
      <c r="AF207" s="39" t="str">
        <f>'Por Valoracion (3) Dimension 2'!B207</f>
        <v>0</v>
      </c>
      <c r="BA207" s="46"/>
      <c r="BC207" s="47"/>
      <c r="BE207" t="str">
        <f>('Gestión de abastecimiento'!A208)</f>
        <v>0</v>
      </c>
      <c r="BF207" s="39" t="str">
        <f>'Por Valoracion (3) Dimension'!F207</f>
        <v>0</v>
      </c>
      <c r="BG207" s="39" t="str">
        <f>'Por Valoracion (3) Dimension 2'!B207</f>
        <v>0</v>
      </c>
      <c r="CB207" s="47"/>
    </row>
    <row r="208" spans="1:80">
      <c r="A208" s="38"/>
      <c r="C208" t="str">
        <f>('Gestión de abastecimiento'!A209)</f>
        <v>0</v>
      </c>
      <c r="D208" s="39" t="str">
        <f>'Por Valoracion (3) Dimension'!B208</f>
        <v>0</v>
      </c>
      <c r="E208" s="39" t="str">
        <f>'Por Valoracion (3) Dimension 2'!B208</f>
        <v>0</v>
      </c>
      <c r="Z208" s="38"/>
      <c r="AB208" s="46"/>
      <c r="AD208" t="str">
        <f>('Gestión de abastecimiento'!A209)</f>
        <v>0</v>
      </c>
      <c r="AE208" s="39" t="str">
        <f>'Por Valoracion (3) Dimension'!D208</f>
        <v>0</v>
      </c>
      <c r="AF208" s="39" t="str">
        <f>'Por Valoracion (3) Dimension 2'!B208</f>
        <v>0</v>
      </c>
      <c r="BA208" s="46"/>
      <c r="BC208" s="47"/>
      <c r="BE208" t="str">
        <f>('Gestión de abastecimiento'!A209)</f>
        <v>0</v>
      </c>
      <c r="BF208" s="39" t="str">
        <f>'Por Valoracion (3) Dimension'!F208</f>
        <v>0</v>
      </c>
      <c r="BG208" s="39" t="str">
        <f>'Por Valoracion (3) Dimension 2'!B208</f>
        <v>0</v>
      </c>
      <c r="CB208" s="47"/>
    </row>
    <row r="209" spans="1:80">
      <c r="A209" s="38"/>
      <c r="C209" t="str">
        <f>('Gestión de abastecimiento'!A210)</f>
        <v>0</v>
      </c>
      <c r="D209" s="39" t="str">
        <f>'Por Valoracion (3) Dimension'!B209</f>
        <v>0</v>
      </c>
      <c r="E209" s="39" t="str">
        <f>'Por Valoracion (3) Dimension 2'!B209</f>
        <v>0</v>
      </c>
      <c r="Z209" s="38"/>
      <c r="AB209" s="46"/>
      <c r="AD209" t="str">
        <f>('Gestión de abastecimiento'!A210)</f>
        <v>0</v>
      </c>
      <c r="AE209" s="39" t="str">
        <f>'Por Valoracion (3) Dimension'!D209</f>
        <v>0</v>
      </c>
      <c r="AF209" s="39" t="str">
        <f>'Por Valoracion (3) Dimension 2'!B209</f>
        <v>0</v>
      </c>
      <c r="BA209" s="46"/>
      <c r="BC209" s="47"/>
      <c r="BE209" t="str">
        <f>('Gestión de abastecimiento'!A210)</f>
        <v>0</v>
      </c>
      <c r="BF209" s="39" t="str">
        <f>'Por Valoracion (3) Dimension'!F209</f>
        <v>0</v>
      </c>
      <c r="BG209" s="39" t="str">
        <f>'Por Valoracion (3) Dimension 2'!B209</f>
        <v>0</v>
      </c>
      <c r="CB209" s="47"/>
    </row>
    <row r="210" spans="1:80">
      <c r="A210" s="38"/>
      <c r="C210" t="str">
        <f>('Gestión de abastecimiento'!A211)</f>
        <v>0</v>
      </c>
      <c r="D210" s="39" t="str">
        <f>'Por Valoracion (3) Dimension'!B210</f>
        <v>0</v>
      </c>
      <c r="E210" s="39" t="str">
        <f>'Por Valoracion (3) Dimension 2'!B210</f>
        <v>0</v>
      </c>
      <c r="Z210" s="38"/>
      <c r="AB210" s="46"/>
      <c r="AD210" t="str">
        <f>('Gestión de abastecimiento'!A211)</f>
        <v>0</v>
      </c>
      <c r="AE210" s="39" t="str">
        <f>'Por Valoracion (3) Dimension'!D210</f>
        <v>0</v>
      </c>
      <c r="AF210" s="39" t="str">
        <f>'Por Valoracion (3) Dimension 2'!B210</f>
        <v>0</v>
      </c>
      <c r="BA210" s="46"/>
      <c r="BC210" s="47"/>
      <c r="BE210" t="str">
        <f>('Gestión de abastecimiento'!A211)</f>
        <v>0</v>
      </c>
      <c r="BF210" s="39" t="str">
        <f>'Por Valoracion (3) Dimension'!F210</f>
        <v>0</v>
      </c>
      <c r="BG210" s="39" t="str">
        <f>'Por Valoracion (3) Dimension 2'!B210</f>
        <v>0</v>
      </c>
      <c r="CB210" s="47"/>
    </row>
    <row r="211" spans="1:80">
      <c r="A211" s="38"/>
      <c r="C211" t="str">
        <f>('Gestión de abastecimiento'!A212)</f>
        <v>0</v>
      </c>
      <c r="D211" s="39" t="str">
        <f>'Por Valoracion (3) Dimension'!B211</f>
        <v>0</v>
      </c>
      <c r="E211" s="39" t="str">
        <f>'Por Valoracion (3) Dimension 2'!B211</f>
        <v>0</v>
      </c>
      <c r="Z211" s="38"/>
      <c r="AB211" s="46"/>
      <c r="AD211" t="str">
        <f>('Gestión de abastecimiento'!A212)</f>
        <v>0</v>
      </c>
      <c r="AE211" s="39" t="str">
        <f>'Por Valoracion (3) Dimension'!D211</f>
        <v>0</v>
      </c>
      <c r="AF211" s="39" t="str">
        <f>'Por Valoracion (3) Dimension 2'!B211</f>
        <v>0</v>
      </c>
      <c r="BA211" s="46"/>
      <c r="BC211" s="47"/>
      <c r="BE211" t="str">
        <f>('Gestión de abastecimiento'!A212)</f>
        <v>0</v>
      </c>
      <c r="BF211" s="39" t="str">
        <f>'Por Valoracion (3) Dimension'!F211</f>
        <v>0</v>
      </c>
      <c r="BG211" s="39" t="str">
        <f>'Por Valoracion (3) Dimension 2'!B211</f>
        <v>0</v>
      </c>
      <c r="CB211" s="47"/>
    </row>
    <row r="212" spans="1:80">
      <c r="A212" s="38"/>
      <c r="C212" t="str">
        <f>('Gestión de abastecimiento'!A213)</f>
        <v>0</v>
      </c>
      <c r="D212" s="39" t="str">
        <f>'Por Valoracion (3) Dimension'!B212</f>
        <v>0</v>
      </c>
      <c r="E212" s="39" t="str">
        <f>'Por Valoracion (3) Dimension 2'!B212</f>
        <v>0</v>
      </c>
      <c r="Z212" s="38"/>
      <c r="AB212" s="46"/>
      <c r="AD212" t="str">
        <f>('Gestión de abastecimiento'!A213)</f>
        <v>0</v>
      </c>
      <c r="AE212" s="39" t="str">
        <f>'Por Valoracion (3) Dimension'!D212</f>
        <v>0</v>
      </c>
      <c r="AF212" s="39" t="str">
        <f>'Por Valoracion (3) Dimension 2'!B212</f>
        <v>0</v>
      </c>
      <c r="BA212" s="46"/>
      <c r="BC212" s="47"/>
      <c r="BE212" t="str">
        <f>('Gestión de abastecimiento'!A213)</f>
        <v>0</v>
      </c>
      <c r="BF212" s="39" t="str">
        <f>'Por Valoracion (3) Dimension'!F212</f>
        <v>0</v>
      </c>
      <c r="BG212" s="39" t="str">
        <f>'Por Valoracion (3) Dimension 2'!B212</f>
        <v>0</v>
      </c>
      <c r="CB212" s="47"/>
    </row>
    <row r="213" spans="1:80">
      <c r="A213" s="38"/>
      <c r="C213" t="str">
        <f>('Gestión de abastecimiento'!A214)</f>
        <v>0</v>
      </c>
      <c r="D213" s="39" t="str">
        <f>'Por Valoracion (3) Dimension'!B213</f>
        <v>0</v>
      </c>
      <c r="E213" s="39" t="str">
        <f>'Por Valoracion (3) Dimension 2'!B213</f>
        <v>0</v>
      </c>
      <c r="Z213" s="38"/>
      <c r="AB213" s="46"/>
      <c r="AD213" t="str">
        <f>('Gestión de abastecimiento'!A214)</f>
        <v>0</v>
      </c>
      <c r="AE213" s="39" t="str">
        <f>'Por Valoracion (3) Dimension'!D213</f>
        <v>0</v>
      </c>
      <c r="AF213" s="39" t="str">
        <f>'Por Valoracion (3) Dimension 2'!B213</f>
        <v>0</v>
      </c>
      <c r="BA213" s="46"/>
      <c r="BC213" s="47"/>
      <c r="BE213" t="str">
        <f>('Gestión de abastecimiento'!A214)</f>
        <v>0</v>
      </c>
      <c r="BF213" s="39" t="str">
        <f>'Por Valoracion (3) Dimension'!F213</f>
        <v>0</v>
      </c>
      <c r="BG213" s="39" t="str">
        <f>'Por Valoracion (3) Dimension 2'!B213</f>
        <v>0</v>
      </c>
      <c r="CB213" s="47"/>
    </row>
    <row r="214" spans="1:80">
      <c r="A214" s="38"/>
      <c r="C214" t="str">
        <f>('Gestión de abastecimiento'!A215)</f>
        <v>0</v>
      </c>
      <c r="D214" s="39" t="str">
        <f>'Por Valoracion (3) Dimension'!B214</f>
        <v>0</v>
      </c>
      <c r="E214" s="39" t="str">
        <f>'Por Valoracion (3) Dimension 2'!B214</f>
        <v>0</v>
      </c>
      <c r="Z214" s="38"/>
      <c r="AB214" s="46"/>
      <c r="AD214" t="str">
        <f>('Gestión de abastecimiento'!A215)</f>
        <v>0</v>
      </c>
      <c r="AE214" s="39" t="str">
        <f>'Por Valoracion (3) Dimension'!D214</f>
        <v>0</v>
      </c>
      <c r="AF214" s="39" t="str">
        <f>'Por Valoracion (3) Dimension 2'!B214</f>
        <v>0</v>
      </c>
      <c r="BA214" s="46"/>
      <c r="BC214" s="47"/>
      <c r="BE214" t="str">
        <f>('Gestión de abastecimiento'!A215)</f>
        <v>0</v>
      </c>
      <c r="BF214" s="39" t="str">
        <f>'Por Valoracion (3) Dimension'!F214</f>
        <v>0</v>
      </c>
      <c r="BG214" s="39" t="str">
        <f>'Por Valoracion (3) Dimension 2'!B214</f>
        <v>0</v>
      </c>
      <c r="CB214" s="47"/>
    </row>
    <row r="215" spans="1:80">
      <c r="A215" s="38"/>
      <c r="C215" t="str">
        <f>('Gestión de abastecimiento'!A216)</f>
        <v>0</v>
      </c>
      <c r="D215" s="39" t="str">
        <f>'Por Valoracion (3) Dimension'!B215</f>
        <v>0</v>
      </c>
      <c r="E215" s="39" t="str">
        <f>'Por Valoracion (3) Dimension 2'!B215</f>
        <v>0</v>
      </c>
      <c r="Z215" s="38"/>
      <c r="AB215" s="46"/>
      <c r="AD215" t="str">
        <f>('Gestión de abastecimiento'!A216)</f>
        <v>0</v>
      </c>
      <c r="AE215" s="39" t="str">
        <f>'Por Valoracion (3) Dimension'!D215</f>
        <v>0</v>
      </c>
      <c r="AF215" s="39" t="str">
        <f>'Por Valoracion (3) Dimension 2'!B215</f>
        <v>0</v>
      </c>
      <c r="BA215" s="46"/>
      <c r="BC215" s="47"/>
      <c r="BE215" t="str">
        <f>('Gestión de abastecimiento'!A216)</f>
        <v>0</v>
      </c>
      <c r="BF215" s="39" t="str">
        <f>'Por Valoracion (3) Dimension'!F215</f>
        <v>0</v>
      </c>
      <c r="BG215" s="39" t="str">
        <f>'Por Valoracion (3) Dimension 2'!B215</f>
        <v>0</v>
      </c>
      <c r="CB215" s="47"/>
    </row>
    <row r="216" spans="1:80">
      <c r="A216" s="38"/>
      <c r="C216" t="str">
        <f>('Gestión de abastecimiento'!A217)</f>
        <v>0</v>
      </c>
      <c r="D216" s="39" t="str">
        <f>'Por Valoracion (3) Dimension'!B216</f>
        <v>0</v>
      </c>
      <c r="E216" s="39" t="str">
        <f>'Por Valoracion (3) Dimension 2'!B216</f>
        <v>0</v>
      </c>
      <c r="Z216" s="38"/>
      <c r="AB216" s="46"/>
      <c r="AD216" t="str">
        <f>('Gestión de abastecimiento'!A217)</f>
        <v>0</v>
      </c>
      <c r="AE216" s="39" t="str">
        <f>'Por Valoracion (3) Dimension'!D216</f>
        <v>0</v>
      </c>
      <c r="AF216" s="39" t="str">
        <f>'Por Valoracion (3) Dimension 2'!B216</f>
        <v>0</v>
      </c>
      <c r="BA216" s="46"/>
      <c r="BC216" s="47"/>
      <c r="BE216" t="str">
        <f>('Gestión de abastecimiento'!A217)</f>
        <v>0</v>
      </c>
      <c r="BF216" s="39" t="str">
        <f>'Por Valoracion (3) Dimension'!F216</f>
        <v>0</v>
      </c>
      <c r="BG216" s="39" t="str">
        <f>'Por Valoracion (3) Dimension 2'!B216</f>
        <v>0</v>
      </c>
      <c r="CB216" s="47"/>
    </row>
    <row r="217" spans="1:80">
      <c r="A217" s="38"/>
      <c r="C217" t="str">
        <f>('Gestión de abastecimiento'!A218)</f>
        <v>0</v>
      </c>
      <c r="D217" s="39" t="str">
        <f>'Por Valoracion (3) Dimension'!B217</f>
        <v>0</v>
      </c>
      <c r="E217" s="39" t="str">
        <f>'Por Valoracion (3) Dimension 2'!B217</f>
        <v>0</v>
      </c>
      <c r="Z217" s="38"/>
      <c r="AB217" s="46"/>
      <c r="AD217" t="str">
        <f>('Gestión de abastecimiento'!A218)</f>
        <v>0</v>
      </c>
      <c r="AE217" s="39" t="str">
        <f>'Por Valoracion (3) Dimension'!D217</f>
        <v>0</v>
      </c>
      <c r="AF217" s="39" t="str">
        <f>'Por Valoracion (3) Dimension 2'!B217</f>
        <v>0</v>
      </c>
      <c r="BA217" s="46"/>
      <c r="BC217" s="47"/>
      <c r="BE217" t="str">
        <f>('Gestión de abastecimiento'!A218)</f>
        <v>0</v>
      </c>
      <c r="BF217" s="39" t="str">
        <f>'Por Valoracion (3) Dimension'!F217</f>
        <v>0</v>
      </c>
      <c r="BG217" s="39" t="str">
        <f>'Por Valoracion (3) Dimension 2'!B217</f>
        <v>0</v>
      </c>
      <c r="CB217" s="47"/>
    </row>
    <row r="218" spans="1:80">
      <c r="A218" s="38"/>
      <c r="C218" t="str">
        <f>('Gestión de abastecimiento'!A219)</f>
        <v>0</v>
      </c>
      <c r="D218" s="39" t="str">
        <f>'Por Valoracion (3) Dimension'!B218</f>
        <v>0</v>
      </c>
      <c r="E218" s="39" t="str">
        <f>'Por Valoracion (3) Dimension 2'!B218</f>
        <v>0</v>
      </c>
      <c r="Z218" s="38"/>
      <c r="AB218" s="46"/>
      <c r="AD218" t="str">
        <f>('Gestión de abastecimiento'!A219)</f>
        <v>0</v>
      </c>
      <c r="AE218" s="39" t="str">
        <f>'Por Valoracion (3) Dimension'!D218</f>
        <v>0</v>
      </c>
      <c r="AF218" s="39" t="str">
        <f>'Por Valoracion (3) Dimension 2'!B218</f>
        <v>0</v>
      </c>
      <c r="BA218" s="46"/>
      <c r="BC218" s="47"/>
      <c r="BE218" t="str">
        <f>('Gestión de abastecimiento'!A219)</f>
        <v>0</v>
      </c>
      <c r="BF218" s="39" t="str">
        <f>'Por Valoracion (3) Dimension'!F218</f>
        <v>0</v>
      </c>
      <c r="BG218" s="39" t="str">
        <f>'Por Valoracion (3) Dimension 2'!B218</f>
        <v>0</v>
      </c>
      <c r="CB218" s="47"/>
    </row>
    <row r="219" spans="1:80">
      <c r="A219" s="38"/>
      <c r="C219" t="str">
        <f>('Gestión de abastecimiento'!A220)</f>
        <v>0</v>
      </c>
      <c r="D219" s="39" t="str">
        <f>'Por Valoracion (3) Dimension'!B219</f>
        <v>0</v>
      </c>
      <c r="E219" s="39" t="str">
        <f>'Por Valoracion (3) Dimension 2'!B219</f>
        <v>0</v>
      </c>
      <c r="Z219" s="38"/>
      <c r="AB219" s="46"/>
      <c r="AD219" t="str">
        <f>('Gestión de abastecimiento'!A220)</f>
        <v>0</v>
      </c>
      <c r="AE219" s="39" t="str">
        <f>'Por Valoracion (3) Dimension'!D219</f>
        <v>0</v>
      </c>
      <c r="AF219" s="39" t="str">
        <f>'Por Valoracion (3) Dimension 2'!B219</f>
        <v>0</v>
      </c>
      <c r="BA219" s="46"/>
      <c r="BC219" s="47"/>
      <c r="BE219" t="str">
        <f>('Gestión de abastecimiento'!A220)</f>
        <v>0</v>
      </c>
      <c r="BF219" s="39" t="str">
        <f>'Por Valoracion (3) Dimension'!F219</f>
        <v>0</v>
      </c>
      <c r="BG219" s="39" t="str">
        <f>'Por Valoracion (3) Dimension 2'!B219</f>
        <v>0</v>
      </c>
      <c r="CB219" s="47"/>
    </row>
    <row r="220" spans="1:80">
      <c r="A220" s="38"/>
      <c r="C220" t="str">
        <f>('Gestión de abastecimiento'!A221)</f>
        <v>0</v>
      </c>
      <c r="D220" s="39" t="str">
        <f>'Por Valoracion (3) Dimension'!B220</f>
        <v>0</v>
      </c>
      <c r="E220" s="39" t="str">
        <f>'Por Valoracion (3) Dimension 2'!B220</f>
        <v>0</v>
      </c>
      <c r="Z220" s="38"/>
      <c r="AB220" s="46"/>
      <c r="AD220" t="str">
        <f>('Gestión de abastecimiento'!A221)</f>
        <v>0</v>
      </c>
      <c r="AE220" s="39" t="str">
        <f>'Por Valoracion (3) Dimension'!D220</f>
        <v>0</v>
      </c>
      <c r="AF220" s="39" t="str">
        <f>'Por Valoracion (3) Dimension 2'!B220</f>
        <v>0</v>
      </c>
      <c r="BA220" s="46"/>
      <c r="BC220" s="47"/>
      <c r="BE220" t="str">
        <f>('Gestión de abastecimiento'!A221)</f>
        <v>0</v>
      </c>
      <c r="BF220" s="39" t="str">
        <f>'Por Valoracion (3) Dimension'!F220</f>
        <v>0</v>
      </c>
      <c r="BG220" s="39" t="str">
        <f>'Por Valoracion (3) Dimension 2'!B220</f>
        <v>0</v>
      </c>
      <c r="CB220" s="47"/>
    </row>
    <row r="221" spans="1:80">
      <c r="A221" s="38"/>
      <c r="C221" t="str">
        <f>('Gestión de abastecimiento'!A222)</f>
        <v>0</v>
      </c>
      <c r="D221" s="39" t="str">
        <f>'Por Valoracion (3) Dimension'!B221</f>
        <v>0</v>
      </c>
      <c r="E221" s="39" t="str">
        <f>'Por Valoracion (3) Dimension 2'!B221</f>
        <v>0</v>
      </c>
      <c r="Z221" s="38"/>
      <c r="AB221" s="46"/>
      <c r="AD221" t="str">
        <f>('Gestión de abastecimiento'!A222)</f>
        <v>0</v>
      </c>
      <c r="AE221" s="39" t="str">
        <f>'Por Valoracion (3) Dimension'!D221</f>
        <v>0</v>
      </c>
      <c r="AF221" s="39" t="str">
        <f>'Por Valoracion (3) Dimension 2'!B221</f>
        <v>0</v>
      </c>
      <c r="BA221" s="46"/>
      <c r="BC221" s="47"/>
      <c r="BE221" t="str">
        <f>('Gestión de abastecimiento'!A222)</f>
        <v>0</v>
      </c>
      <c r="BF221" s="39" t="str">
        <f>'Por Valoracion (3) Dimension'!F221</f>
        <v>0</v>
      </c>
      <c r="BG221" s="39" t="str">
        <f>'Por Valoracion (3) Dimension 2'!B221</f>
        <v>0</v>
      </c>
      <c r="CB221" s="47"/>
    </row>
    <row r="222" spans="1:80">
      <c r="A222" s="38"/>
      <c r="C222" t="str">
        <f>('Gestión de abastecimiento'!A223)</f>
        <v>0</v>
      </c>
      <c r="D222" s="39" t="str">
        <f>'Por Valoracion (3) Dimension'!B222</f>
        <v>0</v>
      </c>
      <c r="E222" s="39" t="str">
        <f>'Por Valoracion (3) Dimension 2'!B222</f>
        <v>0</v>
      </c>
      <c r="Z222" s="38"/>
      <c r="AB222" s="46"/>
      <c r="AD222" t="str">
        <f>('Gestión de abastecimiento'!A223)</f>
        <v>0</v>
      </c>
      <c r="AE222" s="39" t="str">
        <f>'Por Valoracion (3) Dimension'!D222</f>
        <v>0</v>
      </c>
      <c r="AF222" s="39" t="str">
        <f>'Por Valoracion (3) Dimension 2'!B222</f>
        <v>0</v>
      </c>
      <c r="BA222" s="46"/>
      <c r="BC222" s="47"/>
      <c r="BE222" t="str">
        <f>('Gestión de abastecimiento'!A223)</f>
        <v>0</v>
      </c>
      <c r="BF222" s="39" t="str">
        <f>'Por Valoracion (3) Dimension'!F222</f>
        <v>0</v>
      </c>
      <c r="BG222" s="39" t="str">
        <f>'Por Valoracion (3) Dimension 2'!B222</f>
        <v>0</v>
      </c>
      <c r="CB222" s="47"/>
    </row>
    <row r="223" spans="1:80">
      <c r="A223" s="38"/>
      <c r="C223" t="str">
        <f>('Gestión de abastecimiento'!A224)</f>
        <v>0</v>
      </c>
      <c r="D223" s="39" t="str">
        <f>'Por Valoracion (3) Dimension'!B223</f>
        <v>0</v>
      </c>
      <c r="E223" s="39" t="str">
        <f>'Por Valoracion (3) Dimension 2'!B223</f>
        <v>0</v>
      </c>
      <c r="Z223" s="38"/>
      <c r="AB223" s="46"/>
      <c r="AD223" t="str">
        <f>('Gestión de abastecimiento'!A224)</f>
        <v>0</v>
      </c>
      <c r="AE223" s="39" t="str">
        <f>'Por Valoracion (3) Dimension'!D223</f>
        <v>0</v>
      </c>
      <c r="AF223" s="39" t="str">
        <f>'Por Valoracion (3) Dimension 2'!B223</f>
        <v>0</v>
      </c>
      <c r="BA223" s="46"/>
      <c r="BC223" s="47"/>
      <c r="BE223" t="str">
        <f>('Gestión de abastecimiento'!A224)</f>
        <v>0</v>
      </c>
      <c r="BF223" s="39" t="str">
        <f>'Por Valoracion (3) Dimension'!F223</f>
        <v>0</v>
      </c>
      <c r="BG223" s="39" t="str">
        <f>'Por Valoracion (3) Dimension 2'!B223</f>
        <v>0</v>
      </c>
      <c r="CB223" s="47"/>
    </row>
    <row r="224" spans="1:80">
      <c r="A224" s="38"/>
      <c r="C224" t="str">
        <f>('Gestión de abastecimiento'!A225)</f>
        <v>0</v>
      </c>
      <c r="D224" s="39" t="str">
        <f>'Por Valoracion (3) Dimension'!B224</f>
        <v>0</v>
      </c>
      <c r="E224" s="39" t="str">
        <f>'Por Valoracion (3) Dimension 2'!B224</f>
        <v>0</v>
      </c>
      <c r="Z224" s="38"/>
      <c r="AB224" s="46"/>
      <c r="AD224" t="str">
        <f>('Gestión de abastecimiento'!A225)</f>
        <v>0</v>
      </c>
      <c r="AE224" s="39" t="str">
        <f>'Por Valoracion (3) Dimension'!D224</f>
        <v>0</v>
      </c>
      <c r="AF224" s="39" t="str">
        <f>'Por Valoracion (3) Dimension 2'!B224</f>
        <v>0</v>
      </c>
      <c r="BA224" s="46"/>
      <c r="BC224" s="47"/>
      <c r="BE224" t="str">
        <f>('Gestión de abastecimiento'!A225)</f>
        <v>0</v>
      </c>
      <c r="BF224" s="39" t="str">
        <f>'Por Valoracion (3) Dimension'!F224</f>
        <v>0</v>
      </c>
      <c r="BG224" s="39" t="str">
        <f>'Por Valoracion (3) Dimension 2'!B224</f>
        <v>0</v>
      </c>
      <c r="CB224" s="47"/>
    </row>
    <row r="225" spans="1:80">
      <c r="A225" s="38"/>
      <c r="C225" t="str">
        <f>('Gestión de abastecimiento'!A226)</f>
        <v>0</v>
      </c>
      <c r="D225" s="39" t="str">
        <f>'Por Valoracion (3) Dimension'!B225</f>
        <v>0</v>
      </c>
      <c r="E225" s="39" t="str">
        <f>'Por Valoracion (3) Dimension 2'!B225</f>
        <v>0</v>
      </c>
      <c r="Z225" s="38"/>
      <c r="AB225" s="46"/>
      <c r="AD225" t="str">
        <f>('Gestión de abastecimiento'!A226)</f>
        <v>0</v>
      </c>
      <c r="AE225" s="39" t="str">
        <f>'Por Valoracion (3) Dimension'!D225</f>
        <v>0</v>
      </c>
      <c r="AF225" s="39" t="str">
        <f>'Por Valoracion (3) Dimension 2'!B225</f>
        <v>0</v>
      </c>
      <c r="BA225" s="46"/>
      <c r="BC225" s="47"/>
      <c r="BE225" t="str">
        <f>('Gestión de abastecimiento'!A226)</f>
        <v>0</v>
      </c>
      <c r="BF225" s="39" t="str">
        <f>'Por Valoracion (3) Dimension'!F225</f>
        <v>0</v>
      </c>
      <c r="BG225" s="39" t="str">
        <f>'Por Valoracion (3) Dimension 2'!B225</f>
        <v>0</v>
      </c>
      <c r="CB225" s="47"/>
    </row>
    <row r="226" spans="1:80">
      <c r="A226" s="38"/>
      <c r="C226" t="str">
        <f>('Gestión de abastecimiento'!A227)</f>
        <v>0</v>
      </c>
      <c r="D226" s="39" t="str">
        <f>'Por Valoracion (3) Dimension'!B226</f>
        <v>0</v>
      </c>
      <c r="E226" s="39" t="str">
        <f>'Por Valoracion (3) Dimension 2'!B226</f>
        <v>0</v>
      </c>
      <c r="Z226" s="38"/>
      <c r="AB226" s="46"/>
      <c r="AD226" t="str">
        <f>('Gestión de abastecimiento'!A227)</f>
        <v>0</v>
      </c>
      <c r="AE226" s="39" t="str">
        <f>'Por Valoracion (3) Dimension'!D226</f>
        <v>0</v>
      </c>
      <c r="AF226" s="39" t="str">
        <f>'Por Valoracion (3) Dimension 2'!B226</f>
        <v>0</v>
      </c>
      <c r="BA226" s="46"/>
      <c r="BC226" s="47"/>
      <c r="BE226" t="str">
        <f>('Gestión de abastecimiento'!A227)</f>
        <v>0</v>
      </c>
      <c r="BF226" s="39" t="str">
        <f>'Por Valoracion (3) Dimension'!F226</f>
        <v>0</v>
      </c>
      <c r="BG226" s="39" t="str">
        <f>'Por Valoracion (3) Dimension 2'!B226</f>
        <v>0</v>
      </c>
      <c r="CB226" s="47"/>
    </row>
    <row r="227" spans="1:80">
      <c r="A227" s="38"/>
      <c r="C227" t="str">
        <f>('Gestión de abastecimiento'!A228)</f>
        <v>0</v>
      </c>
      <c r="D227" s="39" t="str">
        <f>'Por Valoracion (3) Dimension'!B227</f>
        <v>0</v>
      </c>
      <c r="E227" s="39" t="str">
        <f>'Por Valoracion (3) Dimension 2'!B227</f>
        <v>0</v>
      </c>
      <c r="Z227" s="38"/>
      <c r="AB227" s="46"/>
      <c r="AD227" t="str">
        <f>('Gestión de abastecimiento'!A228)</f>
        <v>0</v>
      </c>
      <c r="AE227" s="39" t="str">
        <f>'Por Valoracion (3) Dimension'!D227</f>
        <v>0</v>
      </c>
      <c r="AF227" s="39" t="str">
        <f>'Por Valoracion (3) Dimension 2'!B227</f>
        <v>0</v>
      </c>
      <c r="BA227" s="46"/>
      <c r="BC227" s="47"/>
      <c r="BE227" t="str">
        <f>('Gestión de abastecimiento'!A228)</f>
        <v>0</v>
      </c>
      <c r="BF227" s="39" t="str">
        <f>'Por Valoracion (3) Dimension'!F227</f>
        <v>0</v>
      </c>
      <c r="BG227" s="39" t="str">
        <f>'Por Valoracion (3) Dimension 2'!B227</f>
        <v>0</v>
      </c>
      <c r="CB227" s="47"/>
    </row>
    <row r="228" spans="1:80">
      <c r="A228" s="38"/>
      <c r="C228" t="str">
        <f>('Gestión de abastecimiento'!A229)</f>
        <v>0</v>
      </c>
      <c r="D228" s="39" t="str">
        <f>'Por Valoracion (3) Dimension'!B228</f>
        <v>0</v>
      </c>
      <c r="E228" s="39" t="str">
        <f>'Por Valoracion (3) Dimension 2'!B228</f>
        <v>0</v>
      </c>
      <c r="Z228" s="38"/>
      <c r="AB228" s="46"/>
      <c r="AD228" t="str">
        <f>('Gestión de abastecimiento'!A229)</f>
        <v>0</v>
      </c>
      <c r="AE228" s="39" t="str">
        <f>'Por Valoracion (3) Dimension'!D228</f>
        <v>0</v>
      </c>
      <c r="AF228" s="39" t="str">
        <f>'Por Valoracion (3) Dimension 2'!B228</f>
        <v>0</v>
      </c>
      <c r="BA228" s="46"/>
      <c r="BC228" s="47"/>
      <c r="BE228" t="str">
        <f>('Gestión de abastecimiento'!A229)</f>
        <v>0</v>
      </c>
      <c r="BF228" s="39" t="str">
        <f>'Por Valoracion (3) Dimension'!F228</f>
        <v>0</v>
      </c>
      <c r="BG228" s="39" t="str">
        <f>'Por Valoracion (3) Dimension 2'!B228</f>
        <v>0</v>
      </c>
      <c r="CB228" s="47"/>
    </row>
    <row r="229" spans="1:80">
      <c r="A229" s="38"/>
      <c r="C229" t="str">
        <f>('Gestión de abastecimiento'!A230)</f>
        <v>0</v>
      </c>
      <c r="D229" s="39" t="str">
        <f>'Por Valoracion (3) Dimension'!B229</f>
        <v>0</v>
      </c>
      <c r="E229" s="39" t="str">
        <f>'Por Valoracion (3) Dimension 2'!B229</f>
        <v>0</v>
      </c>
      <c r="Z229" s="38"/>
      <c r="AB229" s="46"/>
      <c r="AD229" t="str">
        <f>('Gestión de abastecimiento'!A230)</f>
        <v>0</v>
      </c>
      <c r="AE229" s="39" t="str">
        <f>'Por Valoracion (3) Dimension'!D229</f>
        <v>0</v>
      </c>
      <c r="AF229" s="39" t="str">
        <f>'Por Valoracion (3) Dimension 2'!B229</f>
        <v>0</v>
      </c>
      <c r="BA229" s="46"/>
      <c r="BC229" s="47"/>
      <c r="BE229" t="str">
        <f>('Gestión de abastecimiento'!A230)</f>
        <v>0</v>
      </c>
      <c r="BF229" s="39" t="str">
        <f>'Por Valoracion (3) Dimension'!F229</f>
        <v>0</v>
      </c>
      <c r="BG229" s="39" t="str">
        <f>'Por Valoracion (3) Dimension 2'!B229</f>
        <v>0</v>
      </c>
      <c r="CB229" s="47"/>
    </row>
    <row r="230" spans="1:80">
      <c r="A230" s="38"/>
      <c r="C230" t="str">
        <f>('Gestión de abastecimiento'!A231)</f>
        <v>0</v>
      </c>
      <c r="D230" s="39" t="str">
        <f>'Por Valoracion (3) Dimension'!B230</f>
        <v>0</v>
      </c>
      <c r="E230" s="39" t="str">
        <f>'Por Valoracion (3) Dimension 2'!B230</f>
        <v>0</v>
      </c>
      <c r="Z230" s="38"/>
      <c r="AB230" s="46"/>
      <c r="AD230" t="str">
        <f>('Gestión de abastecimiento'!A231)</f>
        <v>0</v>
      </c>
      <c r="AE230" s="39" t="str">
        <f>'Por Valoracion (3) Dimension'!D230</f>
        <v>0</v>
      </c>
      <c r="AF230" s="39" t="str">
        <f>'Por Valoracion (3) Dimension 2'!B230</f>
        <v>0</v>
      </c>
      <c r="BA230" s="46"/>
      <c r="BC230" s="47"/>
      <c r="BE230" t="str">
        <f>('Gestión de abastecimiento'!A231)</f>
        <v>0</v>
      </c>
      <c r="BF230" s="39" t="str">
        <f>'Por Valoracion (3) Dimension'!F230</f>
        <v>0</v>
      </c>
      <c r="BG230" s="39" t="str">
        <f>'Por Valoracion (3) Dimension 2'!B230</f>
        <v>0</v>
      </c>
      <c r="CB230" s="47"/>
    </row>
    <row r="231" spans="1:80">
      <c r="A231" s="38"/>
      <c r="C231" t="str">
        <f>('Gestión de abastecimiento'!A232)</f>
        <v>0</v>
      </c>
      <c r="D231" s="39" t="str">
        <f>'Por Valoracion (3) Dimension'!B231</f>
        <v>0</v>
      </c>
      <c r="E231" s="39" t="str">
        <f>'Por Valoracion (3) Dimension 2'!B231</f>
        <v>0</v>
      </c>
      <c r="Z231" s="38"/>
      <c r="AB231" s="46"/>
      <c r="AD231" t="str">
        <f>('Gestión de abastecimiento'!A232)</f>
        <v>0</v>
      </c>
      <c r="AE231" s="39" t="str">
        <f>'Por Valoracion (3) Dimension'!D231</f>
        <v>0</v>
      </c>
      <c r="AF231" s="39" t="str">
        <f>'Por Valoracion (3) Dimension 2'!B231</f>
        <v>0</v>
      </c>
      <c r="BA231" s="46"/>
      <c r="BC231" s="47"/>
      <c r="BE231" t="str">
        <f>('Gestión de abastecimiento'!A232)</f>
        <v>0</v>
      </c>
      <c r="BF231" s="39" t="str">
        <f>'Por Valoracion (3) Dimension'!F231</f>
        <v>0</v>
      </c>
      <c r="BG231" s="39" t="str">
        <f>'Por Valoracion (3) Dimension 2'!B231</f>
        <v>0</v>
      </c>
      <c r="CB231" s="47"/>
    </row>
    <row r="232" spans="1:80">
      <c r="A232" s="38"/>
      <c r="C232" t="str">
        <f>('Gestión de abastecimiento'!A233)</f>
        <v>0</v>
      </c>
      <c r="D232" s="39" t="str">
        <f>'Por Valoracion (3) Dimension'!B232</f>
        <v>0</v>
      </c>
      <c r="E232" s="39" t="str">
        <f>'Por Valoracion (3) Dimension 2'!B232</f>
        <v>0</v>
      </c>
      <c r="Z232" s="38"/>
      <c r="AB232" s="46"/>
      <c r="AD232" t="str">
        <f>('Gestión de abastecimiento'!A233)</f>
        <v>0</v>
      </c>
      <c r="AE232" s="39" t="str">
        <f>'Por Valoracion (3) Dimension'!D232</f>
        <v>0</v>
      </c>
      <c r="AF232" s="39" t="str">
        <f>'Por Valoracion (3) Dimension 2'!B232</f>
        <v>0</v>
      </c>
      <c r="BA232" s="46"/>
      <c r="BC232" s="47"/>
      <c r="BE232" t="str">
        <f>('Gestión de abastecimiento'!A233)</f>
        <v>0</v>
      </c>
      <c r="BF232" s="39" t="str">
        <f>'Por Valoracion (3) Dimension'!F232</f>
        <v>0</v>
      </c>
      <c r="BG232" s="39" t="str">
        <f>'Por Valoracion (3) Dimension 2'!B232</f>
        <v>0</v>
      </c>
      <c r="CB232" s="47"/>
    </row>
    <row r="233" spans="1:80">
      <c r="A233" s="38"/>
      <c r="C233" t="str">
        <f>('Gestión de abastecimiento'!A234)</f>
        <v>0</v>
      </c>
      <c r="D233" s="39" t="str">
        <f>'Por Valoracion (3) Dimension'!B233</f>
        <v>0</v>
      </c>
      <c r="E233" s="39" t="str">
        <f>'Por Valoracion (3) Dimension 2'!B233</f>
        <v>0</v>
      </c>
      <c r="Z233" s="38"/>
      <c r="AB233" s="46"/>
      <c r="AD233" t="str">
        <f>('Gestión de abastecimiento'!A234)</f>
        <v>0</v>
      </c>
      <c r="AE233" s="39" t="str">
        <f>'Por Valoracion (3) Dimension'!D233</f>
        <v>0</v>
      </c>
      <c r="AF233" s="39" t="str">
        <f>'Por Valoracion (3) Dimension 2'!B233</f>
        <v>0</v>
      </c>
      <c r="BA233" s="46"/>
      <c r="BC233" s="47"/>
      <c r="BE233" t="str">
        <f>('Gestión de abastecimiento'!A234)</f>
        <v>0</v>
      </c>
      <c r="BF233" s="39" t="str">
        <f>'Por Valoracion (3) Dimension'!F233</f>
        <v>0</v>
      </c>
      <c r="BG233" s="39" t="str">
        <f>'Por Valoracion (3) Dimension 2'!B233</f>
        <v>0</v>
      </c>
      <c r="CB233" s="47"/>
    </row>
    <row r="234" spans="1:80">
      <c r="A234" s="38"/>
      <c r="C234" t="str">
        <f>('Gestión de abastecimiento'!A235)</f>
        <v>0</v>
      </c>
      <c r="D234" s="39" t="str">
        <f>'Por Valoracion (3) Dimension'!B234</f>
        <v>0</v>
      </c>
      <c r="E234" s="39" t="str">
        <f>'Por Valoracion (3) Dimension 2'!B234</f>
        <v>0</v>
      </c>
      <c r="Z234" s="38"/>
      <c r="AB234" s="46"/>
      <c r="AD234" t="str">
        <f>('Gestión de abastecimiento'!A235)</f>
        <v>0</v>
      </c>
      <c r="AE234" s="39" t="str">
        <f>'Por Valoracion (3) Dimension'!D234</f>
        <v>0</v>
      </c>
      <c r="AF234" s="39" t="str">
        <f>'Por Valoracion (3) Dimension 2'!B234</f>
        <v>0</v>
      </c>
      <c r="BA234" s="46"/>
      <c r="BC234" s="47"/>
      <c r="BE234" t="str">
        <f>('Gestión de abastecimiento'!A235)</f>
        <v>0</v>
      </c>
      <c r="BF234" s="39" t="str">
        <f>'Por Valoracion (3) Dimension'!F234</f>
        <v>0</v>
      </c>
      <c r="BG234" s="39" t="str">
        <f>'Por Valoracion (3) Dimension 2'!B234</f>
        <v>0</v>
      </c>
      <c r="CB234" s="47"/>
    </row>
    <row r="235" spans="1:80">
      <c r="A235" s="38"/>
      <c r="C235" t="str">
        <f>('Gestión de abastecimiento'!A236)</f>
        <v>0</v>
      </c>
      <c r="D235" s="39" t="str">
        <f>'Por Valoracion (3) Dimension'!B235</f>
        <v>0</v>
      </c>
      <c r="E235" s="39" t="str">
        <f>'Por Valoracion (3) Dimension 2'!B235</f>
        <v>0</v>
      </c>
      <c r="Z235" s="38"/>
      <c r="AB235" s="46"/>
      <c r="AD235" t="str">
        <f>('Gestión de abastecimiento'!A236)</f>
        <v>0</v>
      </c>
      <c r="AE235" s="39" t="str">
        <f>'Por Valoracion (3) Dimension'!D235</f>
        <v>0</v>
      </c>
      <c r="AF235" s="39" t="str">
        <f>'Por Valoracion (3) Dimension 2'!B235</f>
        <v>0</v>
      </c>
      <c r="BA235" s="46"/>
      <c r="BC235" s="47"/>
      <c r="BE235" t="str">
        <f>('Gestión de abastecimiento'!A236)</f>
        <v>0</v>
      </c>
      <c r="BF235" s="39" t="str">
        <f>'Por Valoracion (3) Dimension'!F235</f>
        <v>0</v>
      </c>
      <c r="BG235" s="39" t="str">
        <f>'Por Valoracion (3) Dimension 2'!B235</f>
        <v>0</v>
      </c>
      <c r="CB235" s="47"/>
    </row>
    <row r="236" spans="1:80">
      <c r="A236" s="38"/>
      <c r="C236" t="str">
        <f>('Gestión de abastecimiento'!A237)</f>
        <v>0</v>
      </c>
      <c r="D236" s="39" t="str">
        <f>'Por Valoracion (3) Dimension'!B236</f>
        <v>0</v>
      </c>
      <c r="E236" s="39" t="str">
        <f>'Por Valoracion (3) Dimension 2'!B236</f>
        <v>0</v>
      </c>
      <c r="Z236" s="38"/>
      <c r="AB236" s="46"/>
      <c r="AD236" t="str">
        <f>('Gestión de abastecimiento'!A237)</f>
        <v>0</v>
      </c>
      <c r="AE236" s="39" t="str">
        <f>'Por Valoracion (3) Dimension'!D236</f>
        <v>0</v>
      </c>
      <c r="AF236" s="39" t="str">
        <f>'Por Valoracion (3) Dimension 2'!B236</f>
        <v>0</v>
      </c>
      <c r="BA236" s="46"/>
      <c r="BC236" s="47"/>
      <c r="BE236" t="str">
        <f>('Gestión de abastecimiento'!A237)</f>
        <v>0</v>
      </c>
      <c r="BF236" s="39" t="str">
        <f>'Por Valoracion (3) Dimension'!F236</f>
        <v>0</v>
      </c>
      <c r="BG236" s="39" t="str">
        <f>'Por Valoracion (3) Dimension 2'!B236</f>
        <v>0</v>
      </c>
      <c r="CB236" s="47"/>
    </row>
    <row r="237" spans="1:80">
      <c r="A237" s="38"/>
      <c r="C237" t="str">
        <f>('Gestión de abastecimiento'!A238)</f>
        <v>0</v>
      </c>
      <c r="D237" s="39" t="str">
        <f>'Por Valoracion (3) Dimension'!B237</f>
        <v>0</v>
      </c>
      <c r="E237" s="39" t="str">
        <f>'Por Valoracion (3) Dimension 2'!B237</f>
        <v>0</v>
      </c>
      <c r="Z237" s="38"/>
      <c r="AB237" s="46"/>
      <c r="AD237" t="str">
        <f>('Gestión de abastecimiento'!A238)</f>
        <v>0</v>
      </c>
      <c r="AE237" s="39" t="str">
        <f>'Por Valoracion (3) Dimension'!D237</f>
        <v>0</v>
      </c>
      <c r="AF237" s="39" t="str">
        <f>'Por Valoracion (3) Dimension 2'!B237</f>
        <v>0</v>
      </c>
      <c r="BA237" s="46"/>
      <c r="BC237" s="47"/>
      <c r="BE237" t="str">
        <f>('Gestión de abastecimiento'!A238)</f>
        <v>0</v>
      </c>
      <c r="BF237" s="39" t="str">
        <f>'Por Valoracion (3) Dimension'!F237</f>
        <v>0</v>
      </c>
      <c r="BG237" s="39" t="str">
        <f>'Por Valoracion (3) Dimension 2'!B237</f>
        <v>0</v>
      </c>
      <c r="CB237" s="47"/>
    </row>
    <row r="238" spans="1:80">
      <c r="A238" s="38"/>
      <c r="C238" t="str">
        <f>('Gestión de abastecimiento'!A239)</f>
        <v>0</v>
      </c>
      <c r="D238" s="39" t="str">
        <f>'Por Valoracion (3) Dimension'!B238</f>
        <v>0</v>
      </c>
      <c r="E238" s="39" t="str">
        <f>'Por Valoracion (3) Dimension 2'!B238</f>
        <v>0</v>
      </c>
      <c r="Z238" s="38"/>
      <c r="AB238" s="46"/>
      <c r="AD238" t="str">
        <f>('Gestión de abastecimiento'!A239)</f>
        <v>0</v>
      </c>
      <c r="AE238" s="39" t="str">
        <f>'Por Valoracion (3) Dimension'!D238</f>
        <v>0</v>
      </c>
      <c r="AF238" s="39" t="str">
        <f>'Por Valoracion (3) Dimension 2'!B238</f>
        <v>0</v>
      </c>
      <c r="BA238" s="46"/>
      <c r="BC238" s="47"/>
      <c r="BE238" t="str">
        <f>('Gestión de abastecimiento'!A239)</f>
        <v>0</v>
      </c>
      <c r="BF238" s="39" t="str">
        <f>'Por Valoracion (3) Dimension'!F238</f>
        <v>0</v>
      </c>
      <c r="BG238" s="39" t="str">
        <f>'Por Valoracion (3) Dimension 2'!B238</f>
        <v>0</v>
      </c>
      <c r="CB238" s="47"/>
    </row>
    <row r="239" spans="1:80">
      <c r="A239" s="38"/>
      <c r="C239" t="str">
        <f>('Gestión de abastecimiento'!A240)</f>
        <v>0</v>
      </c>
      <c r="D239" s="39" t="str">
        <f>'Por Valoracion (3) Dimension'!B239</f>
        <v>0</v>
      </c>
      <c r="E239" s="39" t="str">
        <f>'Por Valoracion (3) Dimension 2'!B239</f>
        <v>0</v>
      </c>
      <c r="Z239" s="38"/>
      <c r="AB239" s="46"/>
      <c r="AD239" t="str">
        <f>('Gestión de abastecimiento'!A240)</f>
        <v>0</v>
      </c>
      <c r="AE239" s="39" t="str">
        <f>'Por Valoracion (3) Dimension'!D239</f>
        <v>0</v>
      </c>
      <c r="AF239" s="39" t="str">
        <f>'Por Valoracion (3) Dimension 2'!B239</f>
        <v>0</v>
      </c>
      <c r="BA239" s="46"/>
      <c r="BC239" s="47"/>
      <c r="BE239" t="str">
        <f>('Gestión de abastecimiento'!A240)</f>
        <v>0</v>
      </c>
      <c r="BF239" s="39" t="str">
        <f>'Por Valoracion (3) Dimension'!F239</f>
        <v>0</v>
      </c>
      <c r="BG239" s="39" t="str">
        <f>'Por Valoracion (3) Dimension 2'!B239</f>
        <v>0</v>
      </c>
      <c r="CB239" s="47"/>
    </row>
    <row r="240" spans="1:80">
      <c r="A240" s="38"/>
      <c r="C240" t="str">
        <f>('Gestión de abastecimiento'!A241)</f>
        <v>0</v>
      </c>
      <c r="D240" s="39" t="str">
        <f>'Por Valoracion (3) Dimension'!B240</f>
        <v>0</v>
      </c>
      <c r="E240" s="39" t="str">
        <f>'Por Valoracion (3) Dimension 2'!B240</f>
        <v>0</v>
      </c>
      <c r="Z240" s="38"/>
      <c r="AB240" s="46"/>
      <c r="AD240" t="str">
        <f>('Gestión de abastecimiento'!A241)</f>
        <v>0</v>
      </c>
      <c r="AE240" s="39" t="str">
        <f>'Por Valoracion (3) Dimension'!D240</f>
        <v>0</v>
      </c>
      <c r="AF240" s="39" t="str">
        <f>'Por Valoracion (3) Dimension 2'!B240</f>
        <v>0</v>
      </c>
      <c r="BA240" s="46"/>
      <c r="BC240" s="47"/>
      <c r="BE240" t="str">
        <f>('Gestión de abastecimiento'!A241)</f>
        <v>0</v>
      </c>
      <c r="BF240" s="39" t="str">
        <f>'Por Valoracion (3) Dimension'!F240</f>
        <v>0</v>
      </c>
      <c r="BG240" s="39" t="str">
        <f>'Por Valoracion (3) Dimension 2'!B240</f>
        <v>0</v>
      </c>
      <c r="CB240" s="47"/>
    </row>
    <row r="241" spans="1:80">
      <c r="A241" s="38"/>
      <c r="C241" t="str">
        <f>('Gestión de abastecimiento'!A242)</f>
        <v>0</v>
      </c>
      <c r="D241" s="39" t="str">
        <f>'Por Valoracion (3) Dimension'!B241</f>
        <v>0</v>
      </c>
      <c r="E241" s="39" t="str">
        <f>'Por Valoracion (3) Dimension 2'!B241</f>
        <v>0</v>
      </c>
      <c r="Z241" s="38"/>
      <c r="AB241" s="46"/>
      <c r="AD241" t="str">
        <f>('Gestión de abastecimiento'!A242)</f>
        <v>0</v>
      </c>
      <c r="AE241" s="39" t="str">
        <f>'Por Valoracion (3) Dimension'!D241</f>
        <v>0</v>
      </c>
      <c r="AF241" s="39" t="str">
        <f>'Por Valoracion (3) Dimension 2'!B241</f>
        <v>0</v>
      </c>
      <c r="BA241" s="46"/>
      <c r="BC241" s="47"/>
      <c r="BE241" t="str">
        <f>('Gestión de abastecimiento'!A242)</f>
        <v>0</v>
      </c>
      <c r="BF241" s="39" t="str">
        <f>'Por Valoracion (3) Dimension'!F241</f>
        <v>0</v>
      </c>
      <c r="BG241" s="39" t="str">
        <f>'Por Valoracion (3) Dimension 2'!B241</f>
        <v>0</v>
      </c>
      <c r="CB241" s="47"/>
    </row>
    <row r="242" spans="1:80">
      <c r="A242" s="38"/>
      <c r="C242" t="str">
        <f>('Gestión de abastecimiento'!A243)</f>
        <v>0</v>
      </c>
      <c r="D242" s="39" t="str">
        <f>'Por Valoracion (3) Dimension'!B242</f>
        <v>0</v>
      </c>
      <c r="E242" s="39" t="str">
        <f>'Por Valoracion (3) Dimension 2'!B242</f>
        <v>0</v>
      </c>
      <c r="Z242" s="38"/>
      <c r="AB242" s="46"/>
      <c r="AD242" t="str">
        <f>('Gestión de abastecimiento'!A243)</f>
        <v>0</v>
      </c>
      <c r="AE242" s="39" t="str">
        <f>'Por Valoracion (3) Dimension'!D242</f>
        <v>0</v>
      </c>
      <c r="AF242" s="39" t="str">
        <f>'Por Valoracion (3) Dimension 2'!B242</f>
        <v>0</v>
      </c>
      <c r="BA242" s="46"/>
      <c r="BC242" s="47"/>
      <c r="BE242" t="str">
        <f>('Gestión de abastecimiento'!A243)</f>
        <v>0</v>
      </c>
      <c r="BF242" s="39" t="str">
        <f>'Por Valoracion (3) Dimension'!F242</f>
        <v>0</v>
      </c>
      <c r="BG242" s="39" t="str">
        <f>'Por Valoracion (3) Dimension 2'!B242</f>
        <v>0</v>
      </c>
      <c r="CB242" s="47"/>
    </row>
    <row r="243" spans="1:80">
      <c r="A243" s="38"/>
      <c r="C243" t="str">
        <f>('Gestión de abastecimiento'!A244)</f>
        <v>0</v>
      </c>
      <c r="D243" s="39" t="str">
        <f>'Por Valoracion (3) Dimension'!B243</f>
        <v>0</v>
      </c>
      <c r="E243" s="39" t="str">
        <f>'Por Valoracion (3) Dimension 2'!B243</f>
        <v>0</v>
      </c>
      <c r="Z243" s="38"/>
      <c r="AB243" s="46"/>
      <c r="AD243" t="str">
        <f>('Gestión de abastecimiento'!A244)</f>
        <v>0</v>
      </c>
      <c r="AE243" s="39" t="str">
        <f>'Por Valoracion (3) Dimension'!D243</f>
        <v>0</v>
      </c>
      <c r="AF243" s="39" t="str">
        <f>'Por Valoracion (3) Dimension 2'!B243</f>
        <v>0</v>
      </c>
      <c r="BA243" s="46"/>
      <c r="BC243" s="47"/>
      <c r="BE243" t="str">
        <f>('Gestión de abastecimiento'!A244)</f>
        <v>0</v>
      </c>
      <c r="BF243" s="39" t="str">
        <f>'Por Valoracion (3) Dimension'!F243</f>
        <v>0</v>
      </c>
      <c r="BG243" s="39" t="str">
        <f>'Por Valoracion (3) Dimension 2'!B243</f>
        <v>0</v>
      </c>
      <c r="CB243" s="47"/>
    </row>
    <row r="244" spans="1:80">
      <c r="A244" s="38"/>
      <c r="C244" t="str">
        <f>('Gestión de abastecimiento'!A245)</f>
        <v>0</v>
      </c>
      <c r="D244" s="39" t="str">
        <f>'Por Valoracion (3) Dimension'!B244</f>
        <v>0</v>
      </c>
      <c r="E244" s="39" t="str">
        <f>'Por Valoracion (3) Dimension 2'!B244</f>
        <v>0</v>
      </c>
      <c r="Z244" s="38"/>
      <c r="AB244" s="46"/>
      <c r="AD244" t="str">
        <f>('Gestión de abastecimiento'!A245)</f>
        <v>0</v>
      </c>
      <c r="AE244" s="39" t="str">
        <f>'Por Valoracion (3) Dimension'!D244</f>
        <v>0</v>
      </c>
      <c r="AF244" s="39" t="str">
        <f>'Por Valoracion (3) Dimension 2'!B244</f>
        <v>0</v>
      </c>
      <c r="BA244" s="46"/>
      <c r="BC244" s="47"/>
      <c r="BE244" t="str">
        <f>('Gestión de abastecimiento'!A245)</f>
        <v>0</v>
      </c>
      <c r="BF244" s="39" t="str">
        <f>'Por Valoracion (3) Dimension'!F244</f>
        <v>0</v>
      </c>
      <c r="BG244" s="39" t="str">
        <f>'Por Valoracion (3) Dimension 2'!B244</f>
        <v>0</v>
      </c>
      <c r="CB244" s="47"/>
    </row>
    <row r="245" spans="1:80">
      <c r="A245" s="38"/>
      <c r="C245" t="str">
        <f>('Gestión de abastecimiento'!A246)</f>
        <v>0</v>
      </c>
      <c r="D245" s="39" t="str">
        <f>'Por Valoracion (3) Dimension'!B245</f>
        <v>0</v>
      </c>
      <c r="E245" s="39" t="str">
        <f>'Por Valoracion (3) Dimension 2'!B245</f>
        <v>0</v>
      </c>
      <c r="Z245" s="38"/>
      <c r="AB245" s="46"/>
      <c r="AD245" t="str">
        <f>('Gestión de abastecimiento'!A246)</f>
        <v>0</v>
      </c>
      <c r="AE245" s="39" t="str">
        <f>'Por Valoracion (3) Dimension'!D245</f>
        <v>0</v>
      </c>
      <c r="AF245" s="39" t="str">
        <f>'Por Valoracion (3) Dimension 2'!B245</f>
        <v>0</v>
      </c>
      <c r="BA245" s="46"/>
      <c r="BC245" s="47"/>
      <c r="BE245" t="str">
        <f>('Gestión de abastecimiento'!A246)</f>
        <v>0</v>
      </c>
      <c r="BF245" s="39" t="str">
        <f>'Por Valoracion (3) Dimension'!F245</f>
        <v>0</v>
      </c>
      <c r="BG245" s="39" t="str">
        <f>'Por Valoracion (3) Dimension 2'!B245</f>
        <v>0</v>
      </c>
      <c r="CB245" s="47"/>
    </row>
    <row r="246" spans="1:80">
      <c r="A246" s="38"/>
      <c r="C246" t="str">
        <f>('Gestión de abastecimiento'!A247)</f>
        <v>0</v>
      </c>
      <c r="D246" s="39" t="str">
        <f>'Por Valoracion (3) Dimension'!B246</f>
        <v>0</v>
      </c>
      <c r="E246" s="39" t="str">
        <f>'Por Valoracion (3) Dimension 2'!B246</f>
        <v>0</v>
      </c>
      <c r="Z246" s="38"/>
      <c r="AB246" s="46"/>
      <c r="AD246" t="str">
        <f>('Gestión de abastecimiento'!A247)</f>
        <v>0</v>
      </c>
      <c r="AE246" s="39" t="str">
        <f>'Por Valoracion (3) Dimension'!D246</f>
        <v>0</v>
      </c>
      <c r="AF246" s="39" t="str">
        <f>'Por Valoracion (3) Dimension 2'!B246</f>
        <v>0</v>
      </c>
      <c r="BA246" s="46"/>
      <c r="BC246" s="47"/>
      <c r="BE246" t="str">
        <f>('Gestión de abastecimiento'!A247)</f>
        <v>0</v>
      </c>
      <c r="BF246" s="39" t="str">
        <f>'Por Valoracion (3) Dimension'!F246</f>
        <v>0</v>
      </c>
      <c r="BG246" s="39" t="str">
        <f>'Por Valoracion (3) Dimension 2'!B246</f>
        <v>0</v>
      </c>
      <c r="CB246" s="47"/>
    </row>
    <row r="247" spans="1:80">
      <c r="A247" s="38"/>
      <c r="C247" t="str">
        <f>('Gestión de abastecimiento'!A248)</f>
        <v>0</v>
      </c>
      <c r="D247" s="39" t="str">
        <f>'Por Valoracion (3) Dimension'!B247</f>
        <v>0</v>
      </c>
      <c r="E247" s="39" t="str">
        <f>'Por Valoracion (3) Dimension 2'!B247</f>
        <v>0</v>
      </c>
      <c r="Z247" s="38"/>
      <c r="AB247" s="46"/>
      <c r="AD247" t="str">
        <f>('Gestión de abastecimiento'!A248)</f>
        <v>0</v>
      </c>
      <c r="AE247" s="39" t="str">
        <f>'Por Valoracion (3) Dimension'!D247</f>
        <v>0</v>
      </c>
      <c r="AF247" s="39" t="str">
        <f>'Por Valoracion (3) Dimension 2'!B247</f>
        <v>0</v>
      </c>
      <c r="BA247" s="46"/>
      <c r="BC247" s="47"/>
      <c r="BE247" t="str">
        <f>('Gestión de abastecimiento'!A248)</f>
        <v>0</v>
      </c>
      <c r="BF247" s="39" t="str">
        <f>'Por Valoracion (3) Dimension'!F247</f>
        <v>0</v>
      </c>
      <c r="BG247" s="39" t="str">
        <f>'Por Valoracion (3) Dimension 2'!B247</f>
        <v>0</v>
      </c>
      <c r="CB247" s="47"/>
    </row>
    <row r="248" spans="1:80">
      <c r="A248" s="38"/>
      <c r="C248" t="str">
        <f>('Gestión de abastecimiento'!A249)</f>
        <v>0</v>
      </c>
      <c r="D248" s="39" t="str">
        <f>'Por Valoracion (3) Dimension'!B248</f>
        <v>0</v>
      </c>
      <c r="E248" s="39" t="str">
        <f>'Por Valoracion (3) Dimension 2'!B248</f>
        <v>0</v>
      </c>
      <c r="Z248" s="38"/>
      <c r="AB248" s="46"/>
      <c r="AD248" t="str">
        <f>('Gestión de abastecimiento'!A249)</f>
        <v>0</v>
      </c>
      <c r="AE248" s="39" t="str">
        <f>'Por Valoracion (3) Dimension'!D248</f>
        <v>0</v>
      </c>
      <c r="AF248" s="39" t="str">
        <f>'Por Valoracion (3) Dimension 2'!B248</f>
        <v>0</v>
      </c>
      <c r="BA248" s="46"/>
      <c r="BC248" s="47"/>
      <c r="BE248" t="str">
        <f>('Gestión de abastecimiento'!A249)</f>
        <v>0</v>
      </c>
      <c r="BF248" s="39" t="str">
        <f>'Por Valoracion (3) Dimension'!F248</f>
        <v>0</v>
      </c>
      <c r="BG248" s="39" t="str">
        <f>'Por Valoracion (3) Dimension 2'!B248</f>
        <v>0</v>
      </c>
      <c r="CB248" s="47"/>
    </row>
    <row r="249" spans="1:80">
      <c r="A249" s="38"/>
      <c r="C249" t="str">
        <f>('Gestión de abastecimiento'!A250)</f>
        <v>0</v>
      </c>
      <c r="D249" s="39" t="str">
        <f>'Por Valoracion (3) Dimension'!B249</f>
        <v>0</v>
      </c>
      <c r="E249" s="39" t="str">
        <f>'Por Valoracion (3) Dimension 2'!B249</f>
        <v>0</v>
      </c>
      <c r="Z249" s="38"/>
      <c r="AB249" s="46"/>
      <c r="AD249" t="str">
        <f>('Gestión de abastecimiento'!A250)</f>
        <v>0</v>
      </c>
      <c r="AE249" s="39" t="str">
        <f>'Por Valoracion (3) Dimension'!D249</f>
        <v>0</v>
      </c>
      <c r="AF249" s="39" t="str">
        <f>'Por Valoracion (3) Dimension 2'!B249</f>
        <v>0</v>
      </c>
      <c r="BA249" s="46"/>
      <c r="BC249" s="47"/>
      <c r="BE249" t="str">
        <f>('Gestión de abastecimiento'!A250)</f>
        <v>0</v>
      </c>
      <c r="BF249" s="39" t="str">
        <f>'Por Valoracion (3) Dimension'!F249</f>
        <v>0</v>
      </c>
      <c r="BG249" s="39" t="str">
        <f>'Por Valoracion (3) Dimension 2'!B249</f>
        <v>0</v>
      </c>
      <c r="CB249" s="47"/>
    </row>
    <row r="250" spans="1:80">
      <c r="A250" s="38"/>
      <c r="C250" t="str">
        <f>('Gestión de abastecimiento'!A251)</f>
        <v>0</v>
      </c>
      <c r="D250" s="39" t="str">
        <f>'Por Valoracion (3) Dimension'!B250</f>
        <v>0</v>
      </c>
      <c r="E250" s="39" t="str">
        <f>'Por Valoracion (3) Dimension 2'!B250</f>
        <v>0</v>
      </c>
      <c r="Z250" s="38"/>
      <c r="AB250" s="46"/>
      <c r="AD250" t="str">
        <f>('Gestión de abastecimiento'!A251)</f>
        <v>0</v>
      </c>
      <c r="AE250" s="39" t="str">
        <f>'Por Valoracion (3) Dimension'!D250</f>
        <v>0</v>
      </c>
      <c r="AF250" s="39" t="str">
        <f>'Por Valoracion (3) Dimension 2'!B250</f>
        <v>0</v>
      </c>
      <c r="BA250" s="46"/>
      <c r="BC250" s="47"/>
      <c r="BE250" t="str">
        <f>('Gestión de abastecimiento'!A251)</f>
        <v>0</v>
      </c>
      <c r="BF250" s="39" t="str">
        <f>'Por Valoracion (3) Dimension'!F250</f>
        <v>0</v>
      </c>
      <c r="BG250" s="39" t="str">
        <f>'Por Valoracion (3) Dimension 2'!B250</f>
        <v>0</v>
      </c>
      <c r="CB250" s="47"/>
    </row>
    <row r="251" spans="1:80">
      <c r="A251" s="38"/>
      <c r="C251" t="str">
        <f>('Gestión de abastecimiento'!A252)</f>
        <v>0</v>
      </c>
      <c r="D251" s="39" t="str">
        <f>'Por Valoracion (3) Dimension'!B251</f>
        <v>0</v>
      </c>
      <c r="E251" s="39" t="str">
        <f>'Por Valoracion (3) Dimension 2'!B251</f>
        <v>0</v>
      </c>
      <c r="Z251" s="38"/>
      <c r="AB251" s="46"/>
      <c r="AD251" t="str">
        <f>('Gestión de abastecimiento'!A252)</f>
        <v>0</v>
      </c>
      <c r="AE251" s="39" t="str">
        <f>'Por Valoracion (3) Dimension'!D251</f>
        <v>0</v>
      </c>
      <c r="AF251" s="39" t="str">
        <f>'Por Valoracion (3) Dimension 2'!B251</f>
        <v>0</v>
      </c>
      <c r="BA251" s="46"/>
      <c r="BC251" s="47"/>
      <c r="BE251" t="str">
        <f>('Gestión de abastecimiento'!A252)</f>
        <v>0</v>
      </c>
      <c r="BF251" s="39" t="str">
        <f>'Por Valoracion (3) Dimension'!F251</f>
        <v>0</v>
      </c>
      <c r="BG251" s="39" t="str">
        <f>'Por Valoracion (3) Dimension 2'!B251</f>
        <v>0</v>
      </c>
      <c r="CB251" s="47"/>
    </row>
    <row r="252" spans="1:80">
      <c r="A252" s="38"/>
      <c r="C252" t="str">
        <f>('Gestión de abastecimiento'!A253)</f>
        <v>0</v>
      </c>
      <c r="D252" s="39" t="str">
        <f>'Por Valoracion (3) Dimension'!B252</f>
        <v>0</v>
      </c>
      <c r="E252" s="39" t="str">
        <f>'Por Valoracion (3) Dimension 2'!B252</f>
        <v>0</v>
      </c>
      <c r="Z252" s="38"/>
      <c r="AB252" s="46"/>
      <c r="AD252" t="str">
        <f>('Gestión de abastecimiento'!A253)</f>
        <v>0</v>
      </c>
      <c r="AE252" s="39" t="str">
        <f>'Por Valoracion (3) Dimension'!D252</f>
        <v>0</v>
      </c>
      <c r="AF252" s="39" t="str">
        <f>'Por Valoracion (3) Dimension 2'!B252</f>
        <v>0</v>
      </c>
      <c r="BA252" s="46"/>
      <c r="BC252" s="47"/>
      <c r="BE252" t="str">
        <f>('Gestión de abastecimiento'!A253)</f>
        <v>0</v>
      </c>
      <c r="BF252" s="39" t="str">
        <f>'Por Valoracion (3) Dimension'!F252</f>
        <v>0</v>
      </c>
      <c r="BG252" s="39" t="str">
        <f>'Por Valoracion (3) Dimension 2'!B252</f>
        <v>0</v>
      </c>
      <c r="CB252" s="47"/>
    </row>
    <row r="253" spans="1:80">
      <c r="A253" s="38"/>
      <c r="C253" t="str">
        <f>('Gestión de abastecimiento'!A254)</f>
        <v>0</v>
      </c>
      <c r="D253" s="39" t="str">
        <f>'Por Valoracion (3) Dimension'!B253</f>
        <v>0</v>
      </c>
      <c r="E253" s="39" t="str">
        <f>'Por Valoracion (3) Dimension 2'!B253</f>
        <v>0</v>
      </c>
      <c r="Z253" s="38"/>
      <c r="AB253" s="46"/>
      <c r="AD253" t="str">
        <f>('Gestión de abastecimiento'!A254)</f>
        <v>0</v>
      </c>
      <c r="AE253" s="39" t="str">
        <f>'Por Valoracion (3) Dimension'!D253</f>
        <v>0</v>
      </c>
      <c r="AF253" s="39" t="str">
        <f>'Por Valoracion (3) Dimension 2'!B253</f>
        <v>0</v>
      </c>
      <c r="BA253" s="46"/>
      <c r="BC253" s="47"/>
      <c r="BE253" t="str">
        <f>('Gestión de abastecimiento'!A254)</f>
        <v>0</v>
      </c>
      <c r="BF253" s="39" t="str">
        <f>'Por Valoracion (3) Dimension'!F253</f>
        <v>0</v>
      </c>
      <c r="BG253" s="39" t="str">
        <f>'Por Valoracion (3) Dimension 2'!B253</f>
        <v>0</v>
      </c>
      <c r="CB253" s="47"/>
    </row>
    <row r="254" spans="1:80">
      <c r="A254" s="38"/>
      <c r="C254" t="str">
        <f>('Gestión de abastecimiento'!A255)</f>
        <v>0</v>
      </c>
      <c r="D254" s="39" t="str">
        <f>'Por Valoracion (3) Dimension'!B254</f>
        <v>0</v>
      </c>
      <c r="E254" s="39" t="str">
        <f>'Por Valoracion (3) Dimension 2'!B254</f>
        <v>0</v>
      </c>
      <c r="Z254" s="38"/>
      <c r="AB254" s="46"/>
      <c r="AD254" t="str">
        <f>('Gestión de abastecimiento'!A255)</f>
        <v>0</v>
      </c>
      <c r="AE254" s="39" t="str">
        <f>'Por Valoracion (3) Dimension'!D254</f>
        <v>0</v>
      </c>
      <c r="AF254" s="39" t="str">
        <f>'Por Valoracion (3) Dimension 2'!B254</f>
        <v>0</v>
      </c>
      <c r="BA254" s="46"/>
      <c r="BC254" s="47"/>
      <c r="BE254" t="str">
        <f>('Gestión de abastecimiento'!A255)</f>
        <v>0</v>
      </c>
      <c r="BF254" s="39" t="str">
        <f>'Por Valoracion (3) Dimension'!F254</f>
        <v>0</v>
      </c>
      <c r="BG254" s="39" t="str">
        <f>'Por Valoracion (3) Dimension 2'!B254</f>
        <v>0</v>
      </c>
      <c r="CB254" s="47"/>
    </row>
    <row r="255" spans="1:80">
      <c r="A255" s="38"/>
      <c r="C255" t="str">
        <f>('Gestión de abastecimiento'!A256)</f>
        <v>0</v>
      </c>
      <c r="D255" s="39" t="str">
        <f>'Por Valoracion (3) Dimension'!B255</f>
        <v>0</v>
      </c>
      <c r="E255" s="39" t="str">
        <f>'Por Valoracion (3) Dimension 2'!B255</f>
        <v>0</v>
      </c>
      <c r="Z255" s="38"/>
      <c r="AB255" s="46"/>
      <c r="AD255" t="str">
        <f>('Gestión de abastecimiento'!A256)</f>
        <v>0</v>
      </c>
      <c r="AE255" s="39" t="str">
        <f>'Por Valoracion (3) Dimension'!D255</f>
        <v>0</v>
      </c>
      <c r="AF255" s="39" t="str">
        <f>'Por Valoracion (3) Dimension 2'!B255</f>
        <v>0</v>
      </c>
      <c r="BA255" s="46"/>
      <c r="BC255" s="47"/>
      <c r="BE255" t="str">
        <f>('Gestión de abastecimiento'!A256)</f>
        <v>0</v>
      </c>
      <c r="BF255" s="39" t="str">
        <f>'Por Valoracion (3) Dimension'!F255</f>
        <v>0</v>
      </c>
      <c r="BG255" s="39" t="str">
        <f>'Por Valoracion (3) Dimension 2'!B255</f>
        <v>0</v>
      </c>
      <c r="CB255" s="47"/>
    </row>
    <row r="256" spans="1:80">
      <c r="A256" s="38"/>
      <c r="C256" t="str">
        <f>('Gestión de abastecimiento'!A257)</f>
        <v>0</v>
      </c>
      <c r="D256" s="39" t="str">
        <f>'Por Valoracion (3) Dimension'!B256</f>
        <v>0</v>
      </c>
      <c r="E256" s="39" t="str">
        <f>'Por Valoracion (3) Dimension 2'!B256</f>
        <v>0</v>
      </c>
      <c r="Z256" s="38"/>
      <c r="AB256" s="46"/>
      <c r="AD256" t="str">
        <f>('Gestión de abastecimiento'!A257)</f>
        <v>0</v>
      </c>
      <c r="AE256" s="39" t="str">
        <f>'Por Valoracion (3) Dimension'!D256</f>
        <v>0</v>
      </c>
      <c r="AF256" s="39" t="str">
        <f>'Por Valoracion (3) Dimension 2'!B256</f>
        <v>0</v>
      </c>
      <c r="BA256" s="46"/>
      <c r="BC256" s="47"/>
      <c r="BE256" t="str">
        <f>('Gestión de abastecimiento'!A257)</f>
        <v>0</v>
      </c>
      <c r="BF256" s="39" t="str">
        <f>'Por Valoracion (3) Dimension'!F256</f>
        <v>0</v>
      </c>
      <c r="BG256" s="39" t="str">
        <f>'Por Valoracion (3) Dimension 2'!B256</f>
        <v>0</v>
      </c>
      <c r="CB256" s="47"/>
    </row>
    <row r="257" spans="1:80">
      <c r="A257" s="38"/>
      <c r="C257" t="str">
        <f>('Gestión de abastecimiento'!A258)</f>
        <v>0</v>
      </c>
      <c r="D257" s="39" t="str">
        <f>'Por Valoracion (3) Dimension'!B257</f>
        <v>0</v>
      </c>
      <c r="E257" s="39" t="str">
        <f>'Por Valoracion (3) Dimension 2'!B257</f>
        <v>0</v>
      </c>
      <c r="Z257" s="38"/>
      <c r="AB257" s="46"/>
      <c r="AD257" t="str">
        <f>('Gestión de abastecimiento'!A258)</f>
        <v>0</v>
      </c>
      <c r="AE257" s="39" t="str">
        <f>'Por Valoracion (3) Dimension'!D257</f>
        <v>0</v>
      </c>
      <c r="AF257" s="39" t="str">
        <f>'Por Valoracion (3) Dimension 2'!B257</f>
        <v>0</v>
      </c>
      <c r="BA257" s="46"/>
      <c r="BC257" s="47"/>
      <c r="BE257" t="str">
        <f>('Gestión de abastecimiento'!A258)</f>
        <v>0</v>
      </c>
      <c r="BF257" s="39" t="str">
        <f>'Por Valoracion (3) Dimension'!F257</f>
        <v>0</v>
      </c>
      <c r="BG257" s="39" t="str">
        <f>'Por Valoracion (3) Dimension 2'!B257</f>
        <v>0</v>
      </c>
      <c r="CB257" s="47"/>
    </row>
    <row r="258" spans="1:80">
      <c r="A258" s="38"/>
      <c r="C258" t="str">
        <f>('Gestión de abastecimiento'!A259)</f>
        <v>0</v>
      </c>
      <c r="D258" s="39" t="str">
        <f>'Por Valoracion (3) Dimension'!B258</f>
        <v>0</v>
      </c>
      <c r="E258" s="39" t="str">
        <f>'Por Valoracion (3) Dimension 2'!B258</f>
        <v>0</v>
      </c>
      <c r="Z258" s="38"/>
      <c r="AB258" s="46"/>
      <c r="AD258" t="str">
        <f>('Gestión de abastecimiento'!A259)</f>
        <v>0</v>
      </c>
      <c r="AE258" s="39" t="str">
        <f>'Por Valoracion (3) Dimension'!D258</f>
        <v>0</v>
      </c>
      <c r="AF258" s="39" t="str">
        <f>'Por Valoracion (3) Dimension 2'!B258</f>
        <v>0</v>
      </c>
      <c r="BA258" s="46"/>
      <c r="BC258" s="47"/>
      <c r="BE258" t="str">
        <f>('Gestión de abastecimiento'!A259)</f>
        <v>0</v>
      </c>
      <c r="BF258" s="39" t="str">
        <f>'Por Valoracion (3) Dimension'!F258</f>
        <v>0</v>
      </c>
      <c r="BG258" s="39" t="str">
        <f>'Por Valoracion (3) Dimension 2'!B258</f>
        <v>0</v>
      </c>
      <c r="CB258" s="47"/>
    </row>
    <row r="259" spans="1:80">
      <c r="A259" s="38"/>
      <c r="C259" t="str">
        <f>('Gestión de abastecimiento'!A260)</f>
        <v>0</v>
      </c>
      <c r="D259" s="39" t="str">
        <f>'Por Valoracion (3) Dimension'!B259</f>
        <v>0</v>
      </c>
      <c r="E259" s="39" t="str">
        <f>'Por Valoracion (3) Dimension 2'!B259</f>
        <v>0</v>
      </c>
      <c r="Z259" s="38"/>
      <c r="AB259" s="46"/>
      <c r="AD259" t="str">
        <f>('Gestión de abastecimiento'!A260)</f>
        <v>0</v>
      </c>
      <c r="AE259" s="39" t="str">
        <f>'Por Valoracion (3) Dimension'!D259</f>
        <v>0</v>
      </c>
      <c r="AF259" s="39" t="str">
        <f>'Por Valoracion (3) Dimension 2'!B259</f>
        <v>0</v>
      </c>
      <c r="BA259" s="46"/>
      <c r="BC259" s="47"/>
      <c r="BE259" t="str">
        <f>('Gestión de abastecimiento'!A260)</f>
        <v>0</v>
      </c>
      <c r="BF259" s="39" t="str">
        <f>'Por Valoracion (3) Dimension'!F259</f>
        <v>0</v>
      </c>
      <c r="BG259" s="39" t="str">
        <f>'Por Valoracion (3) Dimension 2'!B259</f>
        <v>0</v>
      </c>
      <c r="CB259" s="47"/>
    </row>
    <row r="260" spans="1:80">
      <c r="A260" s="38"/>
      <c r="C260" t="str">
        <f>('Gestión de abastecimiento'!A261)</f>
        <v>0</v>
      </c>
      <c r="D260" s="39" t="str">
        <f>'Por Valoracion (3) Dimension'!B260</f>
        <v>0</v>
      </c>
      <c r="E260" s="39" t="str">
        <f>'Por Valoracion (3) Dimension 2'!B260</f>
        <v>0</v>
      </c>
      <c r="Z260" s="38"/>
      <c r="AB260" s="46"/>
      <c r="AD260" t="str">
        <f>('Gestión de abastecimiento'!A261)</f>
        <v>0</v>
      </c>
      <c r="AE260" s="39" t="str">
        <f>'Por Valoracion (3) Dimension'!D260</f>
        <v>0</v>
      </c>
      <c r="AF260" s="39" t="str">
        <f>'Por Valoracion (3) Dimension 2'!B260</f>
        <v>0</v>
      </c>
      <c r="BA260" s="46"/>
      <c r="BC260" s="47"/>
      <c r="BE260" t="str">
        <f>('Gestión de abastecimiento'!A261)</f>
        <v>0</v>
      </c>
      <c r="BF260" s="39" t="str">
        <f>'Por Valoracion (3) Dimension'!F260</f>
        <v>0</v>
      </c>
      <c r="BG260" s="39" t="str">
        <f>'Por Valoracion (3) Dimension 2'!B260</f>
        <v>0</v>
      </c>
      <c r="CB260" s="47"/>
    </row>
    <row r="261" spans="1:80">
      <c r="A261" s="38"/>
      <c r="C261" t="str">
        <f>('Gestión de abastecimiento'!A262)</f>
        <v>0</v>
      </c>
      <c r="D261" s="39" t="str">
        <f>'Por Valoracion (3) Dimension'!B261</f>
        <v>0</v>
      </c>
      <c r="E261" s="39" t="str">
        <f>'Por Valoracion (3) Dimension 2'!B261</f>
        <v>0</v>
      </c>
      <c r="Z261" s="38"/>
      <c r="AB261" s="46"/>
      <c r="AD261" t="str">
        <f>('Gestión de abastecimiento'!A262)</f>
        <v>0</v>
      </c>
      <c r="AE261" s="39" t="str">
        <f>'Por Valoracion (3) Dimension'!D261</f>
        <v>0</v>
      </c>
      <c r="AF261" s="39" t="str">
        <f>'Por Valoracion (3) Dimension 2'!B261</f>
        <v>0</v>
      </c>
      <c r="BA261" s="46"/>
      <c r="BC261" s="47"/>
      <c r="BE261" t="str">
        <f>('Gestión de abastecimiento'!A262)</f>
        <v>0</v>
      </c>
      <c r="BF261" s="39" t="str">
        <f>'Por Valoracion (3) Dimension'!F261</f>
        <v>0</v>
      </c>
      <c r="BG261" s="39" t="str">
        <f>'Por Valoracion (3) Dimension 2'!B261</f>
        <v>0</v>
      </c>
      <c r="CB261" s="47"/>
    </row>
    <row r="262" spans="1:80">
      <c r="A262" s="38"/>
      <c r="C262" t="str">
        <f>('Gestión de abastecimiento'!A263)</f>
        <v>0</v>
      </c>
      <c r="D262" s="39" t="str">
        <f>'Por Valoracion (3) Dimension'!B262</f>
        <v>0</v>
      </c>
      <c r="E262" s="39" t="str">
        <f>'Por Valoracion (3) Dimension 2'!B262</f>
        <v>0</v>
      </c>
      <c r="Z262" s="38"/>
      <c r="AB262" s="46"/>
      <c r="AD262" t="str">
        <f>('Gestión de abastecimiento'!A263)</f>
        <v>0</v>
      </c>
      <c r="AE262" s="39" t="str">
        <f>'Por Valoracion (3) Dimension'!D262</f>
        <v>0</v>
      </c>
      <c r="AF262" s="39" t="str">
        <f>'Por Valoracion (3) Dimension 2'!B262</f>
        <v>0</v>
      </c>
      <c r="BA262" s="46"/>
      <c r="BC262" s="47"/>
      <c r="BE262" t="str">
        <f>('Gestión de abastecimiento'!A263)</f>
        <v>0</v>
      </c>
      <c r="BF262" s="39" t="str">
        <f>'Por Valoracion (3) Dimension'!F262</f>
        <v>0</v>
      </c>
      <c r="BG262" s="39" t="str">
        <f>'Por Valoracion (3) Dimension 2'!B262</f>
        <v>0</v>
      </c>
      <c r="CB262" s="47"/>
    </row>
    <row r="263" spans="1:80">
      <c r="A263" s="38"/>
      <c r="C263" t="str">
        <f>('Gestión de abastecimiento'!A264)</f>
        <v>0</v>
      </c>
      <c r="D263" s="39" t="str">
        <f>'Por Valoracion (3) Dimension'!B263</f>
        <v>0</v>
      </c>
      <c r="E263" s="39" t="str">
        <f>'Por Valoracion (3) Dimension 2'!B263</f>
        <v>0</v>
      </c>
      <c r="Z263" s="38"/>
      <c r="AB263" s="46"/>
      <c r="AD263" t="str">
        <f>('Gestión de abastecimiento'!A264)</f>
        <v>0</v>
      </c>
      <c r="AE263" s="39" t="str">
        <f>'Por Valoracion (3) Dimension'!D263</f>
        <v>0</v>
      </c>
      <c r="AF263" s="39" t="str">
        <f>'Por Valoracion (3) Dimension 2'!B263</f>
        <v>0</v>
      </c>
      <c r="BA263" s="46"/>
      <c r="BC263" s="47"/>
      <c r="BE263" t="str">
        <f>('Gestión de abastecimiento'!A264)</f>
        <v>0</v>
      </c>
      <c r="BF263" s="39" t="str">
        <f>'Por Valoracion (3) Dimension'!F263</f>
        <v>0</v>
      </c>
      <c r="BG263" s="39" t="str">
        <f>'Por Valoracion (3) Dimension 2'!B263</f>
        <v>0</v>
      </c>
      <c r="CB263" s="47"/>
    </row>
    <row r="264" spans="1:80">
      <c r="A264" s="38"/>
      <c r="C264" t="str">
        <f>('Gestión de abastecimiento'!A265)</f>
        <v>0</v>
      </c>
      <c r="D264" s="39" t="str">
        <f>'Por Valoracion (3) Dimension'!B264</f>
        <v>0</v>
      </c>
      <c r="E264" s="39" t="str">
        <f>'Por Valoracion (3) Dimension 2'!B264</f>
        <v>0</v>
      </c>
      <c r="Z264" s="38"/>
      <c r="AB264" s="46"/>
      <c r="AD264" t="str">
        <f>('Gestión de abastecimiento'!A265)</f>
        <v>0</v>
      </c>
      <c r="AE264" s="39" t="str">
        <f>'Por Valoracion (3) Dimension'!D264</f>
        <v>0</v>
      </c>
      <c r="AF264" s="39" t="str">
        <f>'Por Valoracion (3) Dimension 2'!B264</f>
        <v>0</v>
      </c>
      <c r="BA264" s="46"/>
      <c r="BC264" s="47"/>
      <c r="BE264" t="str">
        <f>('Gestión de abastecimiento'!A265)</f>
        <v>0</v>
      </c>
      <c r="BF264" s="39" t="str">
        <f>'Por Valoracion (3) Dimension'!F264</f>
        <v>0</v>
      </c>
      <c r="BG264" s="39" t="str">
        <f>'Por Valoracion (3) Dimension 2'!B264</f>
        <v>0</v>
      </c>
      <c r="CB264" s="47"/>
    </row>
    <row r="265" spans="1:80">
      <c r="A265" s="38"/>
      <c r="C265" t="str">
        <f>('Gestión de abastecimiento'!A266)</f>
        <v>0</v>
      </c>
      <c r="D265" s="39" t="str">
        <f>'Por Valoracion (3) Dimension'!B265</f>
        <v>0</v>
      </c>
      <c r="E265" s="39" t="str">
        <f>'Por Valoracion (3) Dimension 2'!B265</f>
        <v>0</v>
      </c>
      <c r="Z265" s="38"/>
      <c r="AB265" s="46"/>
      <c r="AD265" t="str">
        <f>('Gestión de abastecimiento'!A266)</f>
        <v>0</v>
      </c>
      <c r="AE265" s="39" t="str">
        <f>'Por Valoracion (3) Dimension'!D265</f>
        <v>0</v>
      </c>
      <c r="AF265" s="39" t="str">
        <f>'Por Valoracion (3) Dimension 2'!B265</f>
        <v>0</v>
      </c>
      <c r="BA265" s="46"/>
      <c r="BC265" s="47"/>
      <c r="BE265" t="str">
        <f>('Gestión de abastecimiento'!A266)</f>
        <v>0</v>
      </c>
      <c r="BF265" s="39" t="str">
        <f>'Por Valoracion (3) Dimension'!F265</f>
        <v>0</v>
      </c>
      <c r="BG265" s="39" t="str">
        <f>'Por Valoracion (3) Dimension 2'!B265</f>
        <v>0</v>
      </c>
      <c r="CB265" s="47"/>
    </row>
    <row r="266" spans="1:80">
      <c r="A266" s="38"/>
      <c r="C266" t="str">
        <f>('Gestión de abastecimiento'!A267)</f>
        <v>0</v>
      </c>
      <c r="D266" s="39" t="str">
        <f>'Por Valoracion (3) Dimension'!B266</f>
        <v>0</v>
      </c>
      <c r="E266" s="39" t="str">
        <f>'Por Valoracion (3) Dimension 2'!B266</f>
        <v>0</v>
      </c>
      <c r="Z266" s="38"/>
      <c r="AB266" s="46"/>
      <c r="AD266" t="str">
        <f>('Gestión de abastecimiento'!A267)</f>
        <v>0</v>
      </c>
      <c r="AE266" s="39" t="str">
        <f>'Por Valoracion (3) Dimension'!D266</f>
        <v>0</v>
      </c>
      <c r="AF266" s="39" t="str">
        <f>'Por Valoracion (3) Dimension 2'!B266</f>
        <v>0</v>
      </c>
      <c r="BA266" s="46"/>
      <c r="BC266" s="47"/>
      <c r="BE266" t="str">
        <f>('Gestión de abastecimiento'!A267)</f>
        <v>0</v>
      </c>
      <c r="BF266" s="39" t="str">
        <f>'Por Valoracion (3) Dimension'!F266</f>
        <v>0</v>
      </c>
      <c r="BG266" s="39" t="str">
        <f>'Por Valoracion (3) Dimension 2'!B266</f>
        <v>0</v>
      </c>
      <c r="CB266" s="47"/>
    </row>
    <row r="267" spans="1:80">
      <c r="A267" s="38"/>
      <c r="C267" t="str">
        <f>('Gestión de abastecimiento'!A268)</f>
        <v>0</v>
      </c>
      <c r="D267" s="39" t="str">
        <f>'Por Valoracion (3) Dimension'!B267</f>
        <v>0</v>
      </c>
      <c r="E267" s="39" t="str">
        <f>'Por Valoracion (3) Dimension 2'!B267</f>
        <v>0</v>
      </c>
      <c r="Z267" s="38"/>
      <c r="AB267" s="46"/>
      <c r="AD267" t="str">
        <f>('Gestión de abastecimiento'!A268)</f>
        <v>0</v>
      </c>
      <c r="AE267" s="39" t="str">
        <f>'Por Valoracion (3) Dimension'!D267</f>
        <v>0</v>
      </c>
      <c r="AF267" s="39" t="str">
        <f>'Por Valoracion (3) Dimension 2'!B267</f>
        <v>0</v>
      </c>
      <c r="BA267" s="46"/>
      <c r="BC267" s="47"/>
      <c r="BE267" t="str">
        <f>('Gestión de abastecimiento'!A268)</f>
        <v>0</v>
      </c>
      <c r="BF267" s="39" t="str">
        <f>'Por Valoracion (3) Dimension'!F267</f>
        <v>0</v>
      </c>
      <c r="BG267" s="39" t="str">
        <f>'Por Valoracion (3) Dimension 2'!B267</f>
        <v>0</v>
      </c>
      <c r="CB267" s="47"/>
    </row>
    <row r="268" spans="1:80">
      <c r="A268" s="38"/>
      <c r="C268" t="str">
        <f>('Gestión de abastecimiento'!A269)</f>
        <v>0</v>
      </c>
      <c r="D268" s="39" t="str">
        <f>'Por Valoracion (3) Dimension'!B268</f>
        <v>0</v>
      </c>
      <c r="E268" s="39" t="str">
        <f>'Por Valoracion (3) Dimension 2'!B268</f>
        <v>0</v>
      </c>
      <c r="Z268" s="38"/>
      <c r="AB268" s="46"/>
      <c r="AD268" t="str">
        <f>('Gestión de abastecimiento'!A269)</f>
        <v>0</v>
      </c>
      <c r="AE268" s="39" t="str">
        <f>'Por Valoracion (3) Dimension'!D268</f>
        <v>0</v>
      </c>
      <c r="AF268" s="39" t="str">
        <f>'Por Valoracion (3) Dimension 2'!B268</f>
        <v>0</v>
      </c>
      <c r="BA268" s="46"/>
      <c r="BC268" s="47"/>
      <c r="BE268" t="str">
        <f>('Gestión de abastecimiento'!A269)</f>
        <v>0</v>
      </c>
      <c r="BF268" s="39" t="str">
        <f>'Por Valoracion (3) Dimension'!F268</f>
        <v>0</v>
      </c>
      <c r="BG268" s="39" t="str">
        <f>'Por Valoracion (3) Dimension 2'!B268</f>
        <v>0</v>
      </c>
      <c r="CB268" s="47"/>
    </row>
    <row r="269" spans="1:80">
      <c r="A269" s="38"/>
      <c r="C269" t="str">
        <f>('Gestión de abastecimiento'!A270)</f>
        <v>0</v>
      </c>
      <c r="D269" s="39" t="str">
        <f>'Por Valoracion (3) Dimension'!B269</f>
        <v>0</v>
      </c>
      <c r="E269" s="39" t="str">
        <f>'Por Valoracion (3) Dimension 2'!B269</f>
        <v>0</v>
      </c>
      <c r="Z269" s="38"/>
      <c r="AB269" s="46"/>
      <c r="AD269" t="str">
        <f>('Gestión de abastecimiento'!A270)</f>
        <v>0</v>
      </c>
      <c r="AE269" s="39" t="str">
        <f>'Por Valoracion (3) Dimension'!D269</f>
        <v>0</v>
      </c>
      <c r="AF269" s="39" t="str">
        <f>'Por Valoracion (3) Dimension 2'!B269</f>
        <v>0</v>
      </c>
      <c r="BA269" s="46"/>
      <c r="BC269" s="47"/>
      <c r="BE269" t="str">
        <f>('Gestión de abastecimiento'!A270)</f>
        <v>0</v>
      </c>
      <c r="BF269" s="39" t="str">
        <f>'Por Valoracion (3) Dimension'!F269</f>
        <v>0</v>
      </c>
      <c r="BG269" s="39" t="str">
        <f>'Por Valoracion (3) Dimension 2'!B269</f>
        <v>0</v>
      </c>
      <c r="CB269" s="47"/>
    </row>
    <row r="270" spans="1:80">
      <c r="A270" s="38"/>
      <c r="C270" t="str">
        <f>('Gestión de abastecimiento'!A271)</f>
        <v>0</v>
      </c>
      <c r="D270" s="39" t="str">
        <f>'Por Valoracion (3) Dimension'!B270</f>
        <v>0</v>
      </c>
      <c r="E270" s="39" t="str">
        <f>'Por Valoracion (3) Dimension 2'!B270</f>
        <v>0</v>
      </c>
      <c r="Z270" s="38"/>
      <c r="AB270" s="46"/>
      <c r="AD270" t="str">
        <f>('Gestión de abastecimiento'!A271)</f>
        <v>0</v>
      </c>
      <c r="AE270" s="39" t="str">
        <f>'Por Valoracion (3) Dimension'!D270</f>
        <v>0</v>
      </c>
      <c r="AF270" s="39" t="str">
        <f>'Por Valoracion (3) Dimension 2'!B270</f>
        <v>0</v>
      </c>
      <c r="BA270" s="46"/>
      <c r="BC270" s="47"/>
      <c r="BE270" t="str">
        <f>('Gestión de abastecimiento'!A271)</f>
        <v>0</v>
      </c>
      <c r="BF270" s="39" t="str">
        <f>'Por Valoracion (3) Dimension'!F270</f>
        <v>0</v>
      </c>
      <c r="BG270" s="39" t="str">
        <f>'Por Valoracion (3) Dimension 2'!B270</f>
        <v>0</v>
      </c>
      <c r="CB270" s="47"/>
    </row>
    <row r="271" spans="1:80">
      <c r="A271" s="38"/>
      <c r="C271" t="str">
        <f>('Gestión de abastecimiento'!A272)</f>
        <v>0</v>
      </c>
      <c r="D271" s="39" t="str">
        <f>'Por Valoracion (3) Dimension'!B271</f>
        <v>0</v>
      </c>
      <c r="E271" s="39" t="str">
        <f>'Por Valoracion (3) Dimension 2'!B271</f>
        <v>0</v>
      </c>
      <c r="Z271" s="38"/>
      <c r="AB271" s="46"/>
      <c r="AD271" t="str">
        <f>('Gestión de abastecimiento'!A272)</f>
        <v>0</v>
      </c>
      <c r="AE271" s="39" t="str">
        <f>'Por Valoracion (3) Dimension'!D271</f>
        <v>0</v>
      </c>
      <c r="AF271" s="39" t="str">
        <f>'Por Valoracion (3) Dimension 2'!B271</f>
        <v>0</v>
      </c>
      <c r="BA271" s="46"/>
      <c r="BC271" s="47"/>
      <c r="BE271" t="str">
        <f>('Gestión de abastecimiento'!A272)</f>
        <v>0</v>
      </c>
      <c r="BF271" s="39" t="str">
        <f>'Por Valoracion (3) Dimension'!F271</f>
        <v>0</v>
      </c>
      <c r="BG271" s="39" t="str">
        <f>'Por Valoracion (3) Dimension 2'!B271</f>
        <v>0</v>
      </c>
      <c r="CB271" s="47"/>
    </row>
    <row r="272" spans="1:80">
      <c r="A272" s="38"/>
      <c r="C272" t="str">
        <f>('Gestión de abastecimiento'!A273)</f>
        <v>0</v>
      </c>
      <c r="D272" s="39" t="str">
        <f>'Por Valoracion (3) Dimension'!B272</f>
        <v>0</v>
      </c>
      <c r="E272" s="39" t="str">
        <f>'Por Valoracion (3) Dimension 2'!B272</f>
        <v>0</v>
      </c>
      <c r="Z272" s="38"/>
      <c r="AB272" s="46"/>
      <c r="AD272" t="str">
        <f>('Gestión de abastecimiento'!A273)</f>
        <v>0</v>
      </c>
      <c r="AE272" s="39" t="str">
        <f>'Por Valoracion (3) Dimension'!D272</f>
        <v>0</v>
      </c>
      <c r="AF272" s="39" t="str">
        <f>'Por Valoracion (3) Dimension 2'!B272</f>
        <v>0</v>
      </c>
      <c r="BA272" s="46"/>
      <c r="BC272" s="47"/>
      <c r="BE272" t="str">
        <f>('Gestión de abastecimiento'!A273)</f>
        <v>0</v>
      </c>
      <c r="BF272" s="39" t="str">
        <f>'Por Valoracion (3) Dimension'!F272</f>
        <v>0</v>
      </c>
      <c r="BG272" s="39" t="str">
        <f>'Por Valoracion (3) Dimension 2'!B272</f>
        <v>0</v>
      </c>
      <c r="CB272" s="47"/>
    </row>
    <row r="273" spans="1:80">
      <c r="A273" s="38"/>
      <c r="C273" t="str">
        <f>('Gestión de abastecimiento'!A274)</f>
        <v>0</v>
      </c>
      <c r="D273" s="39" t="str">
        <f>'Por Valoracion (3) Dimension'!B273</f>
        <v>0</v>
      </c>
      <c r="E273" s="39" t="str">
        <f>'Por Valoracion (3) Dimension 2'!B273</f>
        <v>0</v>
      </c>
      <c r="Z273" s="38"/>
      <c r="AB273" s="46"/>
      <c r="AD273" t="str">
        <f>('Gestión de abastecimiento'!A274)</f>
        <v>0</v>
      </c>
      <c r="AE273" s="39" t="str">
        <f>'Por Valoracion (3) Dimension'!D273</f>
        <v>0</v>
      </c>
      <c r="AF273" s="39" t="str">
        <f>'Por Valoracion (3) Dimension 2'!B273</f>
        <v>0</v>
      </c>
      <c r="BA273" s="46"/>
      <c r="BC273" s="47"/>
      <c r="BE273" t="str">
        <f>('Gestión de abastecimiento'!A274)</f>
        <v>0</v>
      </c>
      <c r="BF273" s="39" t="str">
        <f>'Por Valoracion (3) Dimension'!F273</f>
        <v>0</v>
      </c>
      <c r="BG273" s="39" t="str">
        <f>'Por Valoracion (3) Dimension 2'!B273</f>
        <v>0</v>
      </c>
      <c r="CB273" s="47"/>
    </row>
    <row r="274" spans="1:80">
      <c r="A274" s="38"/>
      <c r="C274" t="str">
        <f>('Gestión de abastecimiento'!A275)</f>
        <v>0</v>
      </c>
      <c r="D274" s="39" t="str">
        <f>'Por Valoracion (3) Dimension'!B274</f>
        <v>0</v>
      </c>
      <c r="E274" s="39" t="str">
        <f>'Por Valoracion (3) Dimension 2'!B274</f>
        <v>0</v>
      </c>
      <c r="Z274" s="38"/>
      <c r="AB274" s="46"/>
      <c r="AD274" t="str">
        <f>('Gestión de abastecimiento'!A275)</f>
        <v>0</v>
      </c>
      <c r="AE274" s="39" t="str">
        <f>'Por Valoracion (3) Dimension'!D274</f>
        <v>0</v>
      </c>
      <c r="AF274" s="39" t="str">
        <f>'Por Valoracion (3) Dimension 2'!B274</f>
        <v>0</v>
      </c>
      <c r="BA274" s="46"/>
      <c r="BC274" s="47"/>
      <c r="BE274" t="str">
        <f>('Gestión de abastecimiento'!A275)</f>
        <v>0</v>
      </c>
      <c r="BF274" s="39" t="str">
        <f>'Por Valoracion (3) Dimension'!F274</f>
        <v>0</v>
      </c>
      <c r="BG274" s="39" t="str">
        <f>'Por Valoracion (3) Dimension 2'!B274</f>
        <v>0</v>
      </c>
      <c r="CB274" s="47"/>
    </row>
    <row r="275" spans="1:80">
      <c r="A275" s="38"/>
      <c r="C275" t="str">
        <f>('Gestión de abastecimiento'!A276)</f>
        <v>0</v>
      </c>
      <c r="D275" s="39" t="str">
        <f>'Por Valoracion (3) Dimension'!B275</f>
        <v>0</v>
      </c>
      <c r="E275" s="39" t="str">
        <f>'Por Valoracion (3) Dimension 2'!B275</f>
        <v>0</v>
      </c>
      <c r="Z275" s="38"/>
      <c r="AB275" s="46"/>
      <c r="AD275" t="str">
        <f>('Gestión de abastecimiento'!A276)</f>
        <v>0</v>
      </c>
      <c r="AE275" s="39" t="str">
        <f>'Por Valoracion (3) Dimension'!D275</f>
        <v>0</v>
      </c>
      <c r="AF275" s="39" t="str">
        <f>'Por Valoracion (3) Dimension 2'!B275</f>
        <v>0</v>
      </c>
      <c r="BA275" s="46"/>
      <c r="BC275" s="47"/>
      <c r="BE275" t="str">
        <f>('Gestión de abastecimiento'!A276)</f>
        <v>0</v>
      </c>
      <c r="BF275" s="39" t="str">
        <f>'Por Valoracion (3) Dimension'!F275</f>
        <v>0</v>
      </c>
      <c r="BG275" s="39" t="str">
        <f>'Por Valoracion (3) Dimension 2'!B275</f>
        <v>0</v>
      </c>
      <c r="CB275" s="47"/>
    </row>
    <row r="276" spans="1:80">
      <c r="A276" s="38"/>
      <c r="C276" t="str">
        <f>('Gestión de abastecimiento'!A277)</f>
        <v>0</v>
      </c>
      <c r="D276" s="39" t="str">
        <f>'Por Valoracion (3) Dimension'!B276</f>
        <v>0</v>
      </c>
      <c r="E276" s="39" t="str">
        <f>'Por Valoracion (3) Dimension 2'!B276</f>
        <v>0</v>
      </c>
      <c r="Z276" s="38"/>
      <c r="AB276" s="46"/>
      <c r="AD276" t="str">
        <f>('Gestión de abastecimiento'!A277)</f>
        <v>0</v>
      </c>
      <c r="AE276" s="39" t="str">
        <f>'Por Valoracion (3) Dimension'!D276</f>
        <v>0</v>
      </c>
      <c r="AF276" s="39" t="str">
        <f>'Por Valoracion (3) Dimension 2'!B276</f>
        <v>0</v>
      </c>
      <c r="BA276" s="46"/>
      <c r="BC276" s="47"/>
      <c r="BE276" t="str">
        <f>('Gestión de abastecimiento'!A277)</f>
        <v>0</v>
      </c>
      <c r="BF276" s="39" t="str">
        <f>'Por Valoracion (3) Dimension'!F276</f>
        <v>0</v>
      </c>
      <c r="BG276" s="39" t="str">
        <f>'Por Valoracion (3) Dimension 2'!B276</f>
        <v>0</v>
      </c>
      <c r="CB276" s="47"/>
    </row>
    <row r="277" spans="1:80">
      <c r="A277" s="38"/>
      <c r="C277" t="str">
        <f>('Gestión de abastecimiento'!A278)</f>
        <v>0</v>
      </c>
      <c r="D277" s="39" t="str">
        <f>'Por Valoracion (3) Dimension'!B277</f>
        <v>0</v>
      </c>
      <c r="E277" s="39" t="str">
        <f>'Por Valoracion (3) Dimension 2'!B277</f>
        <v>0</v>
      </c>
      <c r="Z277" s="38"/>
      <c r="AB277" s="46"/>
      <c r="AD277" t="str">
        <f>('Gestión de abastecimiento'!A278)</f>
        <v>0</v>
      </c>
      <c r="AE277" s="39" t="str">
        <f>'Por Valoracion (3) Dimension'!D277</f>
        <v>0</v>
      </c>
      <c r="AF277" s="39" t="str">
        <f>'Por Valoracion (3) Dimension 2'!B277</f>
        <v>0</v>
      </c>
      <c r="BA277" s="46"/>
      <c r="BC277" s="47"/>
      <c r="BE277" t="str">
        <f>('Gestión de abastecimiento'!A278)</f>
        <v>0</v>
      </c>
      <c r="BF277" s="39" t="str">
        <f>'Por Valoracion (3) Dimension'!F277</f>
        <v>0</v>
      </c>
      <c r="BG277" s="39" t="str">
        <f>'Por Valoracion (3) Dimension 2'!B277</f>
        <v>0</v>
      </c>
      <c r="CB277" s="47"/>
    </row>
    <row r="278" spans="1:80">
      <c r="A278" s="38"/>
      <c r="C278" t="str">
        <f>('Gestión de abastecimiento'!A279)</f>
        <v>0</v>
      </c>
      <c r="D278" s="39" t="str">
        <f>'Por Valoracion (3) Dimension'!B278</f>
        <v>0</v>
      </c>
      <c r="E278" s="39" t="str">
        <f>'Por Valoracion (3) Dimension 2'!B278</f>
        <v>0</v>
      </c>
      <c r="Z278" s="38"/>
      <c r="AB278" s="46"/>
      <c r="AD278" t="str">
        <f>('Gestión de abastecimiento'!A279)</f>
        <v>0</v>
      </c>
      <c r="AE278" s="39" t="str">
        <f>'Por Valoracion (3) Dimension'!D278</f>
        <v>0</v>
      </c>
      <c r="AF278" s="39" t="str">
        <f>'Por Valoracion (3) Dimension 2'!B278</f>
        <v>0</v>
      </c>
      <c r="BA278" s="46"/>
      <c r="BC278" s="47"/>
      <c r="BE278" t="str">
        <f>('Gestión de abastecimiento'!A279)</f>
        <v>0</v>
      </c>
      <c r="BF278" s="39" t="str">
        <f>'Por Valoracion (3) Dimension'!F278</f>
        <v>0</v>
      </c>
      <c r="BG278" s="39" t="str">
        <f>'Por Valoracion (3) Dimension 2'!B278</f>
        <v>0</v>
      </c>
      <c r="CB278" s="47"/>
    </row>
    <row r="279" spans="1:80">
      <c r="A279" s="38"/>
      <c r="C279" t="str">
        <f>('Gestión de abastecimiento'!A280)</f>
        <v>0</v>
      </c>
      <c r="D279" s="39" t="str">
        <f>'Por Valoracion (3) Dimension'!B279</f>
        <v>0</v>
      </c>
      <c r="E279" s="39" t="str">
        <f>'Por Valoracion (3) Dimension 2'!B279</f>
        <v>0</v>
      </c>
      <c r="Z279" s="38"/>
      <c r="AB279" s="46"/>
      <c r="AD279" t="str">
        <f>('Gestión de abastecimiento'!A280)</f>
        <v>0</v>
      </c>
      <c r="AE279" s="39" t="str">
        <f>'Por Valoracion (3) Dimension'!D279</f>
        <v>0</v>
      </c>
      <c r="AF279" s="39" t="str">
        <f>'Por Valoracion (3) Dimension 2'!B279</f>
        <v>0</v>
      </c>
      <c r="BA279" s="46"/>
      <c r="BC279" s="47"/>
      <c r="BE279" t="str">
        <f>('Gestión de abastecimiento'!A280)</f>
        <v>0</v>
      </c>
      <c r="BF279" s="39" t="str">
        <f>'Por Valoracion (3) Dimension'!F279</f>
        <v>0</v>
      </c>
      <c r="BG279" s="39" t="str">
        <f>'Por Valoracion (3) Dimension 2'!B279</f>
        <v>0</v>
      </c>
      <c r="CB279" s="47"/>
    </row>
    <row r="280" spans="1:80">
      <c r="A280" s="38"/>
      <c r="C280" t="str">
        <f>('Gestión de abastecimiento'!A281)</f>
        <v>0</v>
      </c>
      <c r="D280" s="39" t="str">
        <f>'Por Valoracion (3) Dimension'!B280</f>
        <v>0</v>
      </c>
      <c r="E280" s="39" t="str">
        <f>'Por Valoracion (3) Dimension 2'!B280</f>
        <v>0</v>
      </c>
      <c r="Z280" s="38"/>
      <c r="AB280" s="46"/>
      <c r="AD280" t="str">
        <f>('Gestión de abastecimiento'!A281)</f>
        <v>0</v>
      </c>
      <c r="AE280" s="39" t="str">
        <f>'Por Valoracion (3) Dimension'!D280</f>
        <v>0</v>
      </c>
      <c r="AF280" s="39" t="str">
        <f>'Por Valoracion (3) Dimension 2'!B280</f>
        <v>0</v>
      </c>
      <c r="BA280" s="46"/>
      <c r="BC280" s="47"/>
      <c r="BE280" t="str">
        <f>('Gestión de abastecimiento'!A281)</f>
        <v>0</v>
      </c>
      <c r="BF280" s="39" t="str">
        <f>'Por Valoracion (3) Dimension'!F280</f>
        <v>0</v>
      </c>
      <c r="BG280" s="39" t="str">
        <f>'Por Valoracion (3) Dimension 2'!B280</f>
        <v>0</v>
      </c>
      <c r="CB280" s="47"/>
    </row>
    <row r="281" spans="1:80">
      <c r="A281" s="38"/>
      <c r="C281" t="str">
        <f>('Gestión de abastecimiento'!A282)</f>
        <v>0</v>
      </c>
      <c r="D281" s="39" t="str">
        <f>'Por Valoracion (3) Dimension'!B281</f>
        <v>0</v>
      </c>
      <c r="E281" s="39" t="str">
        <f>'Por Valoracion (3) Dimension 2'!B281</f>
        <v>0</v>
      </c>
      <c r="Z281" s="38"/>
      <c r="AB281" s="46"/>
      <c r="AD281" t="str">
        <f>('Gestión de abastecimiento'!A282)</f>
        <v>0</v>
      </c>
      <c r="AE281" s="39" t="str">
        <f>'Por Valoracion (3) Dimension'!D281</f>
        <v>0</v>
      </c>
      <c r="AF281" s="39" t="str">
        <f>'Por Valoracion (3) Dimension 2'!B281</f>
        <v>0</v>
      </c>
      <c r="BA281" s="46"/>
      <c r="BC281" s="47"/>
      <c r="BE281" t="str">
        <f>('Gestión de abastecimiento'!A282)</f>
        <v>0</v>
      </c>
      <c r="BF281" s="39" t="str">
        <f>'Por Valoracion (3) Dimension'!F281</f>
        <v>0</v>
      </c>
      <c r="BG281" s="39" t="str">
        <f>'Por Valoracion (3) Dimension 2'!B281</f>
        <v>0</v>
      </c>
      <c r="CB281" s="47"/>
    </row>
    <row r="282" spans="1:80">
      <c r="A282" s="38"/>
      <c r="C282" t="str">
        <f>('Gestión de abastecimiento'!A283)</f>
        <v>0</v>
      </c>
      <c r="D282" s="39" t="str">
        <f>'Por Valoracion (3) Dimension'!B282</f>
        <v>0</v>
      </c>
      <c r="E282" s="39" t="str">
        <f>'Por Valoracion (3) Dimension 2'!B282</f>
        <v>0</v>
      </c>
      <c r="Z282" s="38"/>
      <c r="AB282" s="46"/>
      <c r="AD282" t="str">
        <f>('Gestión de abastecimiento'!A283)</f>
        <v>0</v>
      </c>
      <c r="AE282" s="39" t="str">
        <f>'Por Valoracion (3) Dimension'!D282</f>
        <v>0</v>
      </c>
      <c r="AF282" s="39" t="str">
        <f>'Por Valoracion (3) Dimension 2'!B282</f>
        <v>0</v>
      </c>
      <c r="BA282" s="46"/>
      <c r="BC282" s="47"/>
      <c r="BE282" t="str">
        <f>('Gestión de abastecimiento'!A283)</f>
        <v>0</v>
      </c>
      <c r="BF282" s="39" t="str">
        <f>'Por Valoracion (3) Dimension'!F282</f>
        <v>0</v>
      </c>
      <c r="BG282" s="39" t="str">
        <f>'Por Valoracion (3) Dimension 2'!B282</f>
        <v>0</v>
      </c>
      <c r="CB282" s="47"/>
    </row>
    <row r="283" spans="1:80">
      <c r="A283" s="38"/>
      <c r="C283" t="str">
        <f>('Gestión de abastecimiento'!A284)</f>
        <v>0</v>
      </c>
      <c r="D283" s="39" t="str">
        <f>'Por Valoracion (3) Dimension'!B283</f>
        <v>0</v>
      </c>
      <c r="E283" s="39" t="str">
        <f>'Por Valoracion (3) Dimension 2'!B283</f>
        <v>0</v>
      </c>
      <c r="Z283" s="38"/>
      <c r="AB283" s="46"/>
      <c r="AD283" t="str">
        <f>('Gestión de abastecimiento'!A284)</f>
        <v>0</v>
      </c>
      <c r="AE283" s="39" t="str">
        <f>'Por Valoracion (3) Dimension'!D283</f>
        <v>0</v>
      </c>
      <c r="AF283" s="39" t="str">
        <f>'Por Valoracion (3) Dimension 2'!B283</f>
        <v>0</v>
      </c>
      <c r="BA283" s="46"/>
      <c r="BC283" s="47"/>
      <c r="BE283" t="str">
        <f>('Gestión de abastecimiento'!A284)</f>
        <v>0</v>
      </c>
      <c r="BF283" s="39" t="str">
        <f>'Por Valoracion (3) Dimension'!F283</f>
        <v>0</v>
      </c>
      <c r="BG283" s="39" t="str">
        <f>'Por Valoracion (3) Dimension 2'!B283</f>
        <v>0</v>
      </c>
      <c r="CB283" s="47"/>
    </row>
    <row r="284" spans="1:80">
      <c r="A284" s="38"/>
      <c r="C284" t="str">
        <f>('Gestión de abastecimiento'!A285)</f>
        <v>0</v>
      </c>
      <c r="D284" s="39" t="str">
        <f>'Por Valoracion (3) Dimension'!B284</f>
        <v>0</v>
      </c>
      <c r="E284" s="39" t="str">
        <f>'Por Valoracion (3) Dimension 2'!B284</f>
        <v>0</v>
      </c>
      <c r="Z284" s="38"/>
      <c r="AB284" s="46"/>
      <c r="AD284" t="str">
        <f>('Gestión de abastecimiento'!A285)</f>
        <v>0</v>
      </c>
      <c r="AE284" s="39" t="str">
        <f>'Por Valoracion (3) Dimension'!D284</f>
        <v>0</v>
      </c>
      <c r="AF284" s="39" t="str">
        <f>'Por Valoracion (3) Dimension 2'!B284</f>
        <v>0</v>
      </c>
      <c r="BA284" s="46"/>
      <c r="BC284" s="47"/>
      <c r="BE284" t="str">
        <f>('Gestión de abastecimiento'!A285)</f>
        <v>0</v>
      </c>
      <c r="BF284" s="39" t="str">
        <f>'Por Valoracion (3) Dimension'!F284</f>
        <v>0</v>
      </c>
      <c r="BG284" s="39" t="str">
        <f>'Por Valoracion (3) Dimension 2'!B284</f>
        <v>0</v>
      </c>
      <c r="CB284" s="47"/>
    </row>
    <row r="285" spans="1:80">
      <c r="A285" s="38"/>
      <c r="C285" t="str">
        <f>('Gestión de abastecimiento'!A286)</f>
        <v>0</v>
      </c>
      <c r="D285" s="39" t="str">
        <f>'Por Valoracion (3) Dimension'!B285</f>
        <v>0</v>
      </c>
      <c r="E285" s="39" t="str">
        <f>'Por Valoracion (3) Dimension 2'!B285</f>
        <v>0</v>
      </c>
      <c r="Z285" s="38"/>
      <c r="AB285" s="46"/>
      <c r="AD285" t="str">
        <f>('Gestión de abastecimiento'!A286)</f>
        <v>0</v>
      </c>
      <c r="AE285" s="39" t="str">
        <f>'Por Valoracion (3) Dimension'!D285</f>
        <v>0</v>
      </c>
      <c r="AF285" s="39" t="str">
        <f>'Por Valoracion (3) Dimension 2'!B285</f>
        <v>0</v>
      </c>
      <c r="BA285" s="46"/>
      <c r="BC285" s="47"/>
      <c r="BE285" t="str">
        <f>('Gestión de abastecimiento'!A286)</f>
        <v>0</v>
      </c>
      <c r="BF285" s="39" t="str">
        <f>'Por Valoracion (3) Dimension'!F285</f>
        <v>0</v>
      </c>
      <c r="BG285" s="39" t="str">
        <f>'Por Valoracion (3) Dimension 2'!B285</f>
        <v>0</v>
      </c>
      <c r="CB285" s="47"/>
    </row>
    <row r="286" spans="1:80">
      <c r="A286" s="38"/>
      <c r="C286" t="str">
        <f>('Gestión de abastecimiento'!A287)</f>
        <v>0</v>
      </c>
      <c r="D286" s="39" t="str">
        <f>'Por Valoracion (3) Dimension'!B286</f>
        <v>0</v>
      </c>
      <c r="E286" s="39" t="str">
        <f>'Por Valoracion (3) Dimension 2'!B286</f>
        <v>0</v>
      </c>
      <c r="Z286" s="38"/>
      <c r="AB286" s="46"/>
      <c r="AD286" t="str">
        <f>('Gestión de abastecimiento'!A287)</f>
        <v>0</v>
      </c>
      <c r="AE286" s="39" t="str">
        <f>'Por Valoracion (3) Dimension'!D286</f>
        <v>0</v>
      </c>
      <c r="AF286" s="39" t="str">
        <f>'Por Valoracion (3) Dimension 2'!B286</f>
        <v>0</v>
      </c>
      <c r="BA286" s="46"/>
      <c r="BC286" s="47"/>
      <c r="BE286" t="str">
        <f>('Gestión de abastecimiento'!A287)</f>
        <v>0</v>
      </c>
      <c r="BF286" s="39" t="str">
        <f>'Por Valoracion (3) Dimension'!F286</f>
        <v>0</v>
      </c>
      <c r="BG286" s="39" t="str">
        <f>'Por Valoracion (3) Dimension 2'!B286</f>
        <v>0</v>
      </c>
      <c r="CB286" s="47"/>
    </row>
    <row r="287" spans="1:80">
      <c r="A287" s="38"/>
      <c r="C287" t="str">
        <f>('Gestión de abastecimiento'!A288)</f>
        <v>0</v>
      </c>
      <c r="D287" s="39" t="str">
        <f>'Por Valoracion (3) Dimension'!B287</f>
        <v>0</v>
      </c>
      <c r="E287" s="39" t="str">
        <f>'Por Valoracion (3) Dimension 2'!B287</f>
        <v>0</v>
      </c>
      <c r="Z287" s="38"/>
      <c r="AB287" s="46"/>
      <c r="AD287" t="str">
        <f>('Gestión de abastecimiento'!A288)</f>
        <v>0</v>
      </c>
      <c r="AE287" s="39" t="str">
        <f>'Por Valoracion (3) Dimension'!D287</f>
        <v>0</v>
      </c>
      <c r="AF287" s="39" t="str">
        <f>'Por Valoracion (3) Dimension 2'!B287</f>
        <v>0</v>
      </c>
      <c r="BA287" s="46"/>
      <c r="BC287" s="47"/>
      <c r="BE287" t="str">
        <f>('Gestión de abastecimiento'!A288)</f>
        <v>0</v>
      </c>
      <c r="BF287" s="39" t="str">
        <f>'Por Valoracion (3) Dimension'!F287</f>
        <v>0</v>
      </c>
      <c r="BG287" s="39" t="str">
        <f>'Por Valoracion (3) Dimension 2'!B287</f>
        <v>0</v>
      </c>
      <c r="CB287" s="47"/>
    </row>
    <row r="288" spans="1:80">
      <c r="A288" s="38"/>
      <c r="C288" t="str">
        <f>('Gestión de abastecimiento'!A289)</f>
        <v>0</v>
      </c>
      <c r="D288" s="39" t="str">
        <f>'Por Valoracion (3) Dimension'!B288</f>
        <v>0</v>
      </c>
      <c r="E288" s="39" t="str">
        <f>'Por Valoracion (3) Dimension 2'!B288</f>
        <v>0</v>
      </c>
      <c r="Z288" s="38"/>
      <c r="AB288" s="46"/>
      <c r="AD288" t="str">
        <f>('Gestión de abastecimiento'!A289)</f>
        <v>0</v>
      </c>
      <c r="AE288" s="39" t="str">
        <f>'Por Valoracion (3) Dimension'!D288</f>
        <v>0</v>
      </c>
      <c r="AF288" s="39" t="str">
        <f>'Por Valoracion (3) Dimension 2'!B288</f>
        <v>0</v>
      </c>
      <c r="BA288" s="46"/>
      <c r="BC288" s="47"/>
      <c r="BE288" t="str">
        <f>('Gestión de abastecimiento'!A289)</f>
        <v>0</v>
      </c>
      <c r="BF288" s="39" t="str">
        <f>'Por Valoracion (3) Dimension'!F288</f>
        <v>0</v>
      </c>
      <c r="BG288" s="39" t="str">
        <f>'Por Valoracion (3) Dimension 2'!B288</f>
        <v>0</v>
      </c>
      <c r="CB288" s="47"/>
    </row>
    <row r="289" spans="1:80">
      <c r="A289" s="38"/>
      <c r="C289" t="str">
        <f>('Gestión de abastecimiento'!A290)</f>
        <v>0</v>
      </c>
      <c r="D289" s="39" t="str">
        <f>'Por Valoracion (3) Dimension'!B289</f>
        <v>0</v>
      </c>
      <c r="E289" s="39" t="str">
        <f>'Por Valoracion (3) Dimension 2'!B289</f>
        <v>0</v>
      </c>
      <c r="Z289" s="38"/>
      <c r="AB289" s="46"/>
      <c r="AD289" t="str">
        <f>('Gestión de abastecimiento'!A290)</f>
        <v>0</v>
      </c>
      <c r="AE289" s="39" t="str">
        <f>'Por Valoracion (3) Dimension'!D289</f>
        <v>0</v>
      </c>
      <c r="AF289" s="39" t="str">
        <f>'Por Valoracion (3) Dimension 2'!B289</f>
        <v>0</v>
      </c>
      <c r="BA289" s="46"/>
      <c r="BC289" s="47"/>
      <c r="BE289" t="str">
        <f>('Gestión de abastecimiento'!A290)</f>
        <v>0</v>
      </c>
      <c r="BF289" s="39" t="str">
        <f>'Por Valoracion (3) Dimension'!F289</f>
        <v>0</v>
      </c>
      <c r="BG289" s="39" t="str">
        <f>'Por Valoracion (3) Dimension 2'!B289</f>
        <v>0</v>
      </c>
      <c r="CB289" s="47"/>
    </row>
    <row r="290" spans="1:80">
      <c r="A290" s="38"/>
      <c r="C290" t="str">
        <f>('Gestión de abastecimiento'!A291)</f>
        <v>0</v>
      </c>
      <c r="D290" s="39" t="str">
        <f>'Por Valoracion (3) Dimension'!B290</f>
        <v>0</v>
      </c>
      <c r="E290" s="39" t="str">
        <f>'Por Valoracion (3) Dimension 2'!B290</f>
        <v>0</v>
      </c>
      <c r="Z290" s="38"/>
      <c r="AB290" s="46"/>
      <c r="AD290" t="str">
        <f>('Gestión de abastecimiento'!A291)</f>
        <v>0</v>
      </c>
      <c r="AE290" s="39" t="str">
        <f>'Por Valoracion (3) Dimension'!D290</f>
        <v>0</v>
      </c>
      <c r="AF290" s="39" t="str">
        <f>'Por Valoracion (3) Dimension 2'!B290</f>
        <v>0</v>
      </c>
      <c r="BA290" s="46"/>
      <c r="BC290" s="47"/>
      <c r="BE290" t="str">
        <f>('Gestión de abastecimiento'!A291)</f>
        <v>0</v>
      </c>
      <c r="BF290" s="39" t="str">
        <f>'Por Valoracion (3) Dimension'!F290</f>
        <v>0</v>
      </c>
      <c r="BG290" s="39" t="str">
        <f>'Por Valoracion (3) Dimension 2'!B290</f>
        <v>0</v>
      </c>
      <c r="CB290" s="47"/>
    </row>
    <row r="291" spans="1:80">
      <c r="A291" s="38"/>
      <c r="C291" t="str">
        <f>('Gestión de abastecimiento'!A292)</f>
        <v>0</v>
      </c>
      <c r="D291" s="39" t="str">
        <f>'Por Valoracion (3) Dimension'!B291</f>
        <v>0</v>
      </c>
      <c r="E291" s="39" t="str">
        <f>'Por Valoracion (3) Dimension 2'!B291</f>
        <v>0</v>
      </c>
      <c r="Z291" s="38"/>
      <c r="AB291" s="46"/>
      <c r="AD291" t="str">
        <f>('Gestión de abastecimiento'!A292)</f>
        <v>0</v>
      </c>
      <c r="AE291" s="39" t="str">
        <f>'Por Valoracion (3) Dimension'!D291</f>
        <v>0</v>
      </c>
      <c r="AF291" s="39" t="str">
        <f>'Por Valoracion (3) Dimension 2'!B291</f>
        <v>0</v>
      </c>
      <c r="BA291" s="46"/>
      <c r="BC291" s="47"/>
      <c r="BE291" t="str">
        <f>('Gestión de abastecimiento'!A292)</f>
        <v>0</v>
      </c>
      <c r="BF291" s="39" t="str">
        <f>'Por Valoracion (3) Dimension'!F291</f>
        <v>0</v>
      </c>
      <c r="BG291" s="39" t="str">
        <f>'Por Valoracion (3) Dimension 2'!B291</f>
        <v>0</v>
      </c>
      <c r="CB291" s="47"/>
    </row>
    <row r="292" spans="1:80">
      <c r="A292" s="38"/>
      <c r="C292" t="str">
        <f>('Gestión de abastecimiento'!A293)</f>
        <v>0</v>
      </c>
      <c r="D292" s="39" t="str">
        <f>'Por Valoracion (3) Dimension'!B292</f>
        <v>0</v>
      </c>
      <c r="E292" s="39" t="str">
        <f>'Por Valoracion (3) Dimension 2'!B292</f>
        <v>0</v>
      </c>
      <c r="Z292" s="38"/>
      <c r="AB292" s="46"/>
      <c r="AD292" t="str">
        <f>('Gestión de abastecimiento'!A293)</f>
        <v>0</v>
      </c>
      <c r="AE292" s="39" t="str">
        <f>'Por Valoracion (3) Dimension'!D292</f>
        <v>0</v>
      </c>
      <c r="AF292" s="39" t="str">
        <f>'Por Valoracion (3) Dimension 2'!B292</f>
        <v>0</v>
      </c>
      <c r="BA292" s="46"/>
      <c r="BC292" s="47"/>
      <c r="BE292" t="str">
        <f>('Gestión de abastecimiento'!A293)</f>
        <v>0</v>
      </c>
      <c r="BF292" s="39" t="str">
        <f>'Por Valoracion (3) Dimension'!F292</f>
        <v>0</v>
      </c>
      <c r="BG292" s="39" t="str">
        <f>'Por Valoracion (3) Dimension 2'!B292</f>
        <v>0</v>
      </c>
      <c r="CB292" s="47"/>
    </row>
    <row r="293" spans="1:80">
      <c r="A293" s="38"/>
      <c r="Z293" s="38"/>
      <c r="AB293" s="46"/>
      <c r="BA293" s="46"/>
      <c r="BC293" s="47"/>
      <c r="CB293" s="47"/>
    </row>
    <row r="294" spans="1:80">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row>
    <row r="297" spans="1:80">
      <c r="D297" t="s">
        <v>479</v>
      </c>
      <c r="E297" t="s">
        <v>479</v>
      </c>
      <c r="F297" t="s">
        <v>480</v>
      </c>
      <c r="G297" t="s">
        <v>481</v>
      </c>
      <c r="H297" t="s">
        <v>482</v>
      </c>
      <c r="I297" t="s">
        <v>483</v>
      </c>
      <c r="M297" t="s">
        <v>484</v>
      </c>
      <c r="N297" t="s">
        <v>485</v>
      </c>
      <c r="O297" t="s">
        <v>486</v>
      </c>
      <c r="R297" t="s">
        <v>484</v>
      </c>
      <c r="S297" t="s">
        <v>485</v>
      </c>
      <c r="T297" t="s">
        <v>487</v>
      </c>
      <c r="AE297" t="s">
        <v>479</v>
      </c>
      <c r="AF297" t="s">
        <v>479</v>
      </c>
      <c r="AG297" t="s">
        <v>480</v>
      </c>
      <c r="AH297" t="s">
        <v>481</v>
      </c>
      <c r="AI297" t="s">
        <v>482</v>
      </c>
      <c r="AJ297" t="s">
        <v>483</v>
      </c>
      <c r="AN297" t="s">
        <v>484</v>
      </c>
      <c r="AO297" t="s">
        <v>485</v>
      </c>
      <c r="AP297" t="s">
        <v>486</v>
      </c>
      <c r="AS297" t="s">
        <v>484</v>
      </c>
      <c r="AT297" t="s">
        <v>485</v>
      </c>
      <c r="AU297" t="s">
        <v>487</v>
      </c>
      <c r="BF297" t="s">
        <v>479</v>
      </c>
      <c r="BG297" t="s">
        <v>479</v>
      </c>
      <c r="BH297" t="s">
        <v>480</v>
      </c>
      <c r="BI297" t="s">
        <v>481</v>
      </c>
      <c r="BJ297" t="s">
        <v>482</v>
      </c>
      <c r="BK297" t="s">
        <v>483</v>
      </c>
      <c r="BO297" t="s">
        <v>484</v>
      </c>
      <c r="BP297" t="s">
        <v>485</v>
      </c>
      <c r="BQ297" t="s">
        <v>486</v>
      </c>
      <c r="BT297" t="s">
        <v>484</v>
      </c>
      <c r="BU297" t="s">
        <v>485</v>
      </c>
      <c r="BV297" t="s">
        <v>487</v>
      </c>
    </row>
    <row r="298" spans="1:80">
      <c r="D298" t="str">
        <f>D3</f>
        <v>0</v>
      </c>
      <c r="E298" t="str">
        <f>E3</f>
        <v>0</v>
      </c>
      <c r="F298" t="str">
        <f>IF(G8&lt;=50,H6,H6)</f>
        <v>0</v>
      </c>
      <c r="G298" t="str">
        <f>IF(E3&lt;5/100,"la distribución de sus valores son diferentes a la distribución normal","la distribución de sus valores no son diferentes a la distribución normal")</f>
        <v>0</v>
      </c>
      <c r="H298" t="str">
        <f>IF(G298="la distribución de sus valores son diferentes a la distribución normal"," es decir los datos no se encuentran normalmente distribuidos"," es decir los datos si se encuentran normalmente distribuidos")</f>
        <v>0</v>
      </c>
      <c r="I298" t="str">
        <f>IF(G298=" es decir los datos no se encuentran normalmente distribuidos"," la prueba no paramétrica de correlación de Rho de Spearman","la prueba paramétrica de correlación de Pearson")</f>
        <v>0</v>
      </c>
      <c r="M298" t="s">
        <v>488</v>
      </c>
      <c r="N298" t="str">
        <f>R14</f>
        <v>0</v>
      </c>
      <c r="O298" t="str">
        <f>R13</f>
        <v>0</v>
      </c>
      <c r="R298" t="s">
        <v>488</v>
      </c>
      <c r="S298" t="str">
        <f>X14</f>
        <v>0</v>
      </c>
      <c r="T298" t="str">
        <f>X13</f>
        <v>0</v>
      </c>
      <c r="AE298" t="str">
        <f>AE3</f>
        <v>0</v>
      </c>
      <c r="AF298" t="str">
        <f>AF3</f>
        <v>0</v>
      </c>
      <c r="AG298" t="str">
        <f>IF(AH8&lt;=50,AI6,AI6)</f>
        <v>0</v>
      </c>
      <c r="AH298" t="str">
        <f>IF(AF3&lt;5/100,"la distribución de sus valores son diferentes a la distribución normal","la distribución de sus valores no son diferentes a la distribución normal")</f>
        <v>0</v>
      </c>
      <c r="AI298" t="str">
        <f>IF(AH298="la distribución de sus valores son diferentes a la distribución normal"," es decir los datos no se encuentran normalmente distribuidos"," es decir los datos si se encuentran normalmente distribuidos")</f>
        <v>0</v>
      </c>
      <c r="AJ298" t="str">
        <f>IF(AH298=" es decir los datos no se encuentran normalmente distribuidos"," la prueba no paramétrica de correlación de Rho de Spearman","la prueba paramétrica de correlación de Pearson")</f>
        <v>0</v>
      </c>
      <c r="AN298" t="s">
        <v>488</v>
      </c>
      <c r="AO298" t="str">
        <f>AS14</f>
        <v>0</v>
      </c>
      <c r="AP298" t="str">
        <f>AS13</f>
        <v>0</v>
      </c>
      <c r="AS298" t="s">
        <v>488</v>
      </c>
      <c r="AT298" t="str">
        <f>AY14</f>
        <v>0</v>
      </c>
      <c r="AU298" t="str">
        <f>AY13</f>
        <v>0</v>
      </c>
      <c r="BF298" t="str">
        <f>BF3</f>
        <v>0</v>
      </c>
      <c r="BG298" t="str">
        <f>BG3</f>
        <v>0</v>
      </c>
      <c r="BH298" t="str">
        <f>IF(BI8&lt;=50,BJ6,BJ6)</f>
        <v>0</v>
      </c>
      <c r="BI298" t="str">
        <f>IF(BG3&lt;5/100,"la distribución de sus valores son diferentes a la distribución normal","la distribución de sus valores no son diferentes a la distribución normal")</f>
        <v>0</v>
      </c>
      <c r="BJ298" t="str">
        <f>IF(BI298="la distribución de sus valores son diferentes a la distribución normal"," es decir los datos no se encuentran normalmente distribuidos"," es decir los datos si se encuentran normalmente distribuidos")</f>
        <v>0</v>
      </c>
      <c r="BK298" t="str">
        <f>IF(BI298=" es decir los datos no se encuentran normalmente distribuidos"," la prueba no paramétrica de correlación de Rho de Spearman","la prueba paramétrica de correlación de Pearson")</f>
        <v>0</v>
      </c>
      <c r="BO298" t="s">
        <v>488</v>
      </c>
      <c r="BP298" t="str">
        <f>BT14</f>
        <v>0</v>
      </c>
      <c r="BQ298" t="str">
        <f>BT13</f>
        <v>0</v>
      </c>
      <c r="BT298" t="s">
        <v>488</v>
      </c>
      <c r="BU298" t="str">
        <f>BZ14</f>
        <v>0</v>
      </c>
      <c r="BV298" t="str">
        <f>BZ13</f>
        <v>0</v>
      </c>
    </row>
    <row r="299" spans="1:80">
      <c r="C299" t="s">
        <v>489</v>
      </c>
      <c r="D299" t="str">
        <f>M8</f>
        <v>0</v>
      </c>
      <c r="E299" t="str">
        <f>M9</f>
        <v>0</v>
      </c>
      <c r="N299" t="str">
        <f>N298/100</f>
        <v>0</v>
      </c>
      <c r="O299" t="str">
        <f>O298*100</f>
        <v>0</v>
      </c>
      <c r="Q299" t="s">
        <v>490</v>
      </c>
      <c r="S299" t="str">
        <f>S298/100</f>
        <v>0</v>
      </c>
      <c r="T299" t="str">
        <f>T298*100</f>
        <v>0</v>
      </c>
      <c r="V299" t="s">
        <v>490</v>
      </c>
      <c r="AD299" t="s">
        <v>489</v>
      </c>
      <c r="AE299" t="str">
        <f>AN8</f>
        <v>0</v>
      </c>
      <c r="AF299" t="str">
        <f>AN9</f>
        <v>0</v>
      </c>
      <c r="AO299" t="str">
        <f>AO298/100</f>
        <v>0</v>
      </c>
      <c r="AP299" t="str">
        <f>AP298*100</f>
        <v>0</v>
      </c>
      <c r="AR299" t="s">
        <v>490</v>
      </c>
      <c r="AT299" t="str">
        <f>AT298/100</f>
        <v>0</v>
      </c>
      <c r="AU299" t="str">
        <f>AU298*100</f>
        <v>0</v>
      </c>
      <c r="AW299" t="s">
        <v>490</v>
      </c>
      <c r="BE299" t="s">
        <v>489</v>
      </c>
      <c r="BF299" t="str">
        <f>BO8</f>
        <v>0</v>
      </c>
      <c r="BG299" t="str">
        <f>BO9</f>
        <v>0</v>
      </c>
      <c r="BP299" t="str">
        <f>BP298/100</f>
        <v>0</v>
      </c>
      <c r="BQ299" t="str">
        <f>BQ298*100</f>
        <v>0</v>
      </c>
      <c r="BS299" t="s">
        <v>490</v>
      </c>
      <c r="BU299" t="str">
        <f>BU298/100</f>
        <v>0</v>
      </c>
      <c r="BV299" t="str">
        <f>BV298*100</f>
        <v>0</v>
      </c>
      <c r="BX299" t="s">
        <v>490</v>
      </c>
    </row>
    <row r="300" spans="1:80">
      <c r="N300" t="str">
        <f>IF(N298&lt;5/100,"existe relación significativa entre las ","no existe relación entre las ")</f>
        <v>0</v>
      </c>
      <c r="O300" t="str">
        <f>IF(O298&lt;='Criterio para el valor r'!$A$2,'Criterio para el valor r'!$C$2,IF(O298&lt;='Criterio para el valor r'!$A$3,'Criterio para el valor r'!$C$3,IF(O298&lt;='Criterio para el valor r'!$A$4,'Criterio para el valor r'!$C$4,IF(O298&lt;='Criterio para el valor r'!$A$5,'Criterio para el valor r'!$C$5,IF(O298&lt;='Criterio para el valor r'!$A$6,'Criterio para el valor r'!$C$6,IF(O298&lt;='Criterio para el valor r'!$A$8,'Criterio para el valor r'!$C$7,IF(O298&lt;='Criterio para el valor r'!$A$7,'Criterio para el valor r'!$C$8,IF(O298&lt;='Criterio para el valor r'!$B$9,'Criterio para el valor r'!$C$9,IF(O298&lt;='Criterio para el valor r'!$B$10,'Criterio para el valor r'!$C$10,IF(O298&lt;='Criterio para el valor r'!$B$11,'Criterio para el valor r'!$C$11,IF(O298&lt;='Criterio para el valor r'!$B$12,'Criterio para el valor r'!$C$12,IF(O298&lt;='Criterio para el valor r'!$B$13,'Criterio para el valor r'!$C$13,IF(O298&lt;='Criterio para el valor r'!$B$14,'Criterio para el valor r'!$C$14,"algo esta mal")))))))))))))</f>
        <v>0</v>
      </c>
      <c r="P300" t="str">
        <f>IF(O298&lt;0,"menor","mayor")</f>
        <v>0</v>
      </c>
      <c r="Q300" t="str">
        <f>IF(N299&gt;=5/100,"se acepta la Ho y se rechaza la Hi","se rechaza la Ho y se acepta la Hi")</f>
        <v>0</v>
      </c>
      <c r="S300" t="str">
        <f>IF(S298&lt;5/100,"existe relación significativa entre las ","no existe relación entre las ")</f>
        <v>0</v>
      </c>
      <c r="T300" t="str">
        <f>IF(T298&lt;5/100,"existe relación significativa entre las ","no existe relación entre las ")</f>
        <v>0</v>
      </c>
      <c r="U300" t="str">
        <f>IF(T298&lt;0,"menor","mayor")</f>
        <v>0</v>
      </c>
      <c r="V300" t="str">
        <f>IF(S299&gt;=5/100,"se acepta la Ho y se rechaza la Hi","se rechaza la Ho y se acepta la Hi")</f>
        <v>0</v>
      </c>
      <c r="AO300" t="str">
        <f>IF(AO298&lt;5/100,"existe relación significativa entre las ","no existe relación entre las ")</f>
        <v>0</v>
      </c>
      <c r="AP300" t="str">
        <f>IF(AP298&lt;='Criterio para el valor r'!$A$2,'Criterio para el valor r'!$C$2,IF(AP298&lt;='Criterio para el valor r'!$A$3,'Criterio para el valor r'!$C$3,IF(AP298&lt;='Criterio para el valor r'!$A$4,'Criterio para el valor r'!$C$4,IF(AP298&lt;='Criterio para el valor r'!$A$5,'Criterio para el valor r'!$C$5,IF(AP298&lt;='Criterio para el valor r'!$A$6,'Criterio para el valor r'!$C$6,IF(AP298&lt;='Criterio para el valor r'!$A$8,'Criterio para el valor r'!$C$7,IF(AP298&lt;='Criterio para el valor r'!$A$7,'Criterio para el valor r'!$C$8,IF(AP298&lt;='Criterio para el valor r'!$B$9,'Criterio para el valor r'!$C$9,IF(AP298&lt;='Criterio para el valor r'!$B$10,'Criterio para el valor r'!$C$10,IF(AP298&lt;='Criterio para el valor r'!$B$11,'Criterio para el valor r'!$C$11,IF(AP298&lt;='Criterio para el valor r'!$B$12,'Criterio para el valor r'!$C$12,IF(AP298&lt;='Criterio para el valor r'!$B$13,'Criterio para el valor r'!$C$13,IF(AP298&lt;='Criterio para el valor r'!$B$14,'Criterio para el valor r'!$C$14,"algo esta mal")))))))))))))</f>
        <v>0</v>
      </c>
      <c r="AQ300" t="str">
        <f>IF(AP298&lt;0,"menor","mayor")</f>
        <v>0</v>
      </c>
      <c r="AR300" t="str">
        <f>IF(AO299&gt;=5/100,"se acepta la Ho y se rechaza la Hi","se rechaza la Ho y se acepta la Hi")</f>
        <v>0</v>
      </c>
      <c r="AT300" t="str">
        <f>IF(AT298&lt;5/100,"existe relación significativa entre las ","no existe relación entre las ")</f>
        <v>0</v>
      </c>
      <c r="AU300" t="str">
        <f>IF(AU298&lt;5/100,"existe relación significativa entre las ","no existe relación entre las ")</f>
        <v>0</v>
      </c>
      <c r="AV300" t="str">
        <f>IF(AU298&lt;0,"menor","mayor")</f>
        <v>0</v>
      </c>
      <c r="AW300" t="str">
        <f>IF(AT299&gt;=5/100,"se acepta la Ho y se rechaza la Hi","se rechaza la Ho y se acepta la Hi")</f>
        <v>0</v>
      </c>
      <c r="BP300" t="str">
        <f>IF(BP298&lt;5/100,"existe relación significativa entre las ","no existe relación entre las ")</f>
        <v>0</v>
      </c>
      <c r="BQ300" t="str">
        <f>IF(BQ298&lt;='Criterio para el valor r'!$A$2,'Criterio para el valor r'!$C$2,IF(BQ298&lt;='Criterio para el valor r'!$A$3,'Criterio para el valor r'!$C$3,IF(BQ298&lt;='Criterio para el valor r'!$A$4,'Criterio para el valor r'!$C$4,IF(BQ298&lt;='Criterio para el valor r'!$A$5,'Criterio para el valor r'!$C$5,IF(BQ298&lt;='Criterio para el valor r'!$A$6,'Criterio para el valor r'!$C$6,IF(BQ298&lt;='Criterio para el valor r'!$A$8,'Criterio para el valor r'!$C$7,IF(BQ298&lt;='Criterio para el valor r'!$A$7,'Criterio para el valor r'!$C$8,IF(BQ298&lt;='Criterio para el valor r'!$B$9,'Criterio para el valor r'!$C$9,IF(BQ298&lt;='Criterio para el valor r'!$B$10,'Criterio para el valor r'!$C$10,IF(BQ298&lt;='Criterio para el valor r'!$B$11,'Criterio para el valor r'!$C$11,IF(BQ298&lt;='Criterio para el valor r'!$B$12,'Criterio para el valor r'!$C$12,IF(BQ298&lt;='Criterio para el valor r'!$B$13,'Criterio para el valor r'!$C$13,IF(BQ298&lt;='Criterio para el valor r'!$B$14,'Criterio para el valor r'!$C$14,"algo esta mal")))))))))))))</f>
        <v>0</v>
      </c>
      <c r="BR300" t="str">
        <f>IF(BQ298&lt;0,"menor","mayor")</f>
        <v>0</v>
      </c>
      <c r="BS300" t="str">
        <f>IF(BP299&gt;=5/100,"se acepta la Ho y se rechaza la Hi","se rechaza la Ho y se acepta la Hi")</f>
        <v>0</v>
      </c>
      <c r="BU300" t="str">
        <f>IF(BU298&lt;5/100,"existe relación significativa entre las ","no existe relación entre las ")</f>
        <v>0</v>
      </c>
      <c r="BV300" t="str">
        <f>IF(BV298&lt;5/100,"existe relación significativa entre las ","no existe relación entre las ")</f>
        <v>0</v>
      </c>
      <c r="BW300" t="str">
        <f>IF(BV298&lt;0,"menor","mayor")</f>
        <v>0</v>
      </c>
      <c r="BX300" t="str">
        <f>IF(BU299&gt;=5/100,"se acepta la Ho y se rechaza la Hi","se rechaza la Ho y se acepta la Hi")</f>
        <v>0</v>
      </c>
    </row>
    <row r="303" spans="1:80">
      <c r="O303" s="27" t="str">
        <f>CONCATENATE("la ",O10," muestra los resultados de la prueba de ",P13,", en donde se evidencia que con una ",N297," del ",N299,"% ",N300," ",M298," ",O13," y ",O16,", adicional a ello se puede observar que la fuerza y/o grado de correlación ",O297," tiene un valor de ",O299,"% lo que afirma que es una ",O300," mismo que asu vez significa que a mayor ",Q12," ",P300," ",O16,", por todo ello en el presente objetivo ",Q300,".")</f>
        <v>0</v>
      </c>
      <c r="T303" s="27" t="str">
        <f>CONCATENATE("la ",T10," muestra los resultados de la prueba de ",V13,", en donde se evidencia que con una ",S297," del ",S299,"% ",S300," ",R298," ",U13," y ",U16,", adicional a ello se puede observar que la fuerza y/o grado de correlación ",T297," tiene un valor de ",T299,"% lo que afirma que es una ",T300," mismo que asu vez significa que a mayor ",W12," ",U300," ",X12,", por todo ello en el presente objetivo ",V300,".")</f>
        <v>0</v>
      </c>
      <c r="AP303" s="27" t="str">
        <f>CONCATENATE("la ",AP10," muestra los resultados de la prueba de ",AQ13,", en donde se evidencia que con una ",AO297," del ",AO299,"% ",AO300," ",AN298," ",AP13," y ",AP16,", adicional a ello se puede observar que la fuerza y/o grado de correlación ",AP297," tiene un valor de ",AP299,"% lo que afirma que es una ",AP300," mismo que asu vez significa que a mayor ",AR12," ",AQ300," ",AP16,", por todo ello en el presente objetivo ",AR300,".")</f>
        <v>0</v>
      </c>
      <c r="AU303" s="27" t="str">
        <f>CONCATENATE("la ",AU10," muestra los resultados de la prueba de ",AW13,", en donde se evidencia que con una ",AT297," del ",AT299,"% ",AT300," ",AS298," ",AV13," y ",AV16,", adicional a ello se puede observar que la fuerza y/o grado de correlación ",AU297," tiene un valor de ",AU299,"% lo que afirma que es una ",AU300," mismo que asu vez significa que a mayor ",AX12," ",AV300," ",AY12,", por todo ello en el presente objetivo ",AW300,".")</f>
        <v>0</v>
      </c>
      <c r="BQ303" s="27" t="str">
        <f>CONCATENATE("la ",BQ10," muestra los resultados de la prueba de ",BR13,", en donde se evidencia que con una ",BP297," del ",BP299,"% ",BP300," ",BO298," ",BQ13," y ",BQ16,", adicional a ello se puede observar que la fuerza y/o grado de correlación ",BQ297," tiene un valor de ",BQ299,"% lo que afirma que es una ",BQ300," mismo que asu vez significa que a mayor ",BS12," ",BR300," ",BQ16,", por todo ello en el presente objetivo ",BS300,".")</f>
        <v>0</v>
      </c>
      <c r="BV303" s="27" t="str">
        <f>CONCATENATE("la ",BV10," muestra los resultados de la prueba de ",BX13,", en donde se evidencia que con una ",BU297," del ",BU299,"% ",BU300," ",BT298," ",BW13," y ",BW16,", adicional a ello se puede observar que la fuerza y/o grado de correlación ",BV297," tiene un valor de ",BV299,"% lo que afirma que es una ",BV300," mismo que asu vez significa que a mayor ",BY12," ",BW300," ",BZ12,", por todo ello en el presente objetivo ",BX300,".")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C4"/>
    <mergeCell ref="C5:C5"/>
    <mergeCell ref="C6:C6"/>
    <mergeCell ref="C7:C7"/>
    <mergeCell ref="C8:C8"/>
    <mergeCell ref="C9:C9"/>
    <mergeCell ref="C10:C10"/>
    <mergeCell ref="C11:C11"/>
    <mergeCell ref="C12:C12"/>
    <mergeCell ref="C13:C13"/>
    <mergeCell ref="C14:C14"/>
    <mergeCell ref="C15:C15"/>
    <mergeCell ref="C16:C16"/>
    <mergeCell ref="C17:C17"/>
    <mergeCell ref="C18:C18"/>
    <mergeCell ref="C19:C19"/>
    <mergeCell ref="C20:C20"/>
    <mergeCell ref="C21:C21"/>
    <mergeCell ref="C22:C22"/>
    <mergeCell ref="C23:C23"/>
    <mergeCell ref="C24:C24"/>
    <mergeCell ref="C25:C25"/>
    <mergeCell ref="C26:C26"/>
    <mergeCell ref="C27:C27"/>
    <mergeCell ref="C28:C28"/>
    <mergeCell ref="C29:C29"/>
    <mergeCell ref="C30:C30"/>
    <mergeCell ref="C31:C31"/>
    <mergeCell ref="C32:C32"/>
    <mergeCell ref="C33:C33"/>
    <mergeCell ref="C34:C34"/>
    <mergeCell ref="C35:C35"/>
    <mergeCell ref="C36:C36"/>
    <mergeCell ref="C37:C37"/>
    <mergeCell ref="C38:C38"/>
    <mergeCell ref="C39:C39"/>
    <mergeCell ref="C40:C40"/>
    <mergeCell ref="C41:C41"/>
    <mergeCell ref="C42:C42"/>
    <mergeCell ref="C43:C43"/>
    <mergeCell ref="C44:C44"/>
    <mergeCell ref="C45:C45"/>
    <mergeCell ref="C46:C46"/>
    <mergeCell ref="C47:C47"/>
    <mergeCell ref="C48:C48"/>
    <mergeCell ref="C49:C49"/>
    <mergeCell ref="C50:C50"/>
    <mergeCell ref="C51:C51"/>
    <mergeCell ref="C52:C52"/>
    <mergeCell ref="C53:C53"/>
    <mergeCell ref="C54:C54"/>
    <mergeCell ref="C55:C55"/>
    <mergeCell ref="C56:C56"/>
    <mergeCell ref="C57:C57"/>
    <mergeCell ref="C58:C58"/>
    <mergeCell ref="C59:C59"/>
    <mergeCell ref="C60:C60"/>
    <mergeCell ref="C61:C61"/>
    <mergeCell ref="C62:C62"/>
    <mergeCell ref="C63:C63"/>
    <mergeCell ref="C64:C64"/>
    <mergeCell ref="C65:C65"/>
    <mergeCell ref="C66:C66"/>
    <mergeCell ref="C67:C67"/>
    <mergeCell ref="C68:C68"/>
    <mergeCell ref="C69:C69"/>
    <mergeCell ref="C70:C70"/>
    <mergeCell ref="C71:C71"/>
    <mergeCell ref="C72:C72"/>
    <mergeCell ref="C73:C73"/>
    <mergeCell ref="C74:C74"/>
    <mergeCell ref="C75:C75"/>
    <mergeCell ref="C76:C76"/>
    <mergeCell ref="C77:C77"/>
    <mergeCell ref="C78:C78"/>
    <mergeCell ref="C79:C79"/>
    <mergeCell ref="C80:C80"/>
    <mergeCell ref="C81:C81"/>
    <mergeCell ref="C82:C82"/>
    <mergeCell ref="C83:C83"/>
    <mergeCell ref="C84:C84"/>
    <mergeCell ref="C85:C85"/>
    <mergeCell ref="C86:C86"/>
    <mergeCell ref="C87:C87"/>
    <mergeCell ref="C88:C88"/>
    <mergeCell ref="C89:C89"/>
    <mergeCell ref="C90:C90"/>
    <mergeCell ref="C91:C91"/>
    <mergeCell ref="C92:C92"/>
    <mergeCell ref="C93:C93"/>
    <mergeCell ref="C94:C94"/>
    <mergeCell ref="C95:C95"/>
    <mergeCell ref="C96:C96"/>
    <mergeCell ref="C97:C97"/>
    <mergeCell ref="C98:C98"/>
    <mergeCell ref="C99:C99"/>
    <mergeCell ref="C100:C100"/>
    <mergeCell ref="C101:C101"/>
    <mergeCell ref="C102:C102"/>
    <mergeCell ref="C103:C103"/>
    <mergeCell ref="C104:C104"/>
    <mergeCell ref="C105:C105"/>
    <mergeCell ref="C106:C106"/>
    <mergeCell ref="C107:C107"/>
    <mergeCell ref="C108:C108"/>
    <mergeCell ref="C109:C109"/>
    <mergeCell ref="C110:C110"/>
    <mergeCell ref="C111:C111"/>
    <mergeCell ref="C112:C112"/>
    <mergeCell ref="C113:C113"/>
    <mergeCell ref="C114:C114"/>
    <mergeCell ref="C115:C115"/>
    <mergeCell ref="C116:C116"/>
    <mergeCell ref="C117:C117"/>
    <mergeCell ref="C118:C118"/>
    <mergeCell ref="C119:C119"/>
    <mergeCell ref="C120:C120"/>
    <mergeCell ref="C121:C121"/>
    <mergeCell ref="C122:C122"/>
    <mergeCell ref="C123:C123"/>
    <mergeCell ref="C124:C124"/>
    <mergeCell ref="C125:C125"/>
    <mergeCell ref="C126:C126"/>
    <mergeCell ref="C127:C127"/>
    <mergeCell ref="C128:C128"/>
    <mergeCell ref="C129:C129"/>
    <mergeCell ref="C130:C130"/>
    <mergeCell ref="C131:C131"/>
    <mergeCell ref="C132:C132"/>
    <mergeCell ref="C133:C133"/>
    <mergeCell ref="C134:C134"/>
    <mergeCell ref="C135:C135"/>
    <mergeCell ref="C136:C136"/>
    <mergeCell ref="C137:C137"/>
    <mergeCell ref="C138:C138"/>
    <mergeCell ref="C139:C139"/>
    <mergeCell ref="C140:C140"/>
    <mergeCell ref="C141:C141"/>
    <mergeCell ref="C142:C142"/>
    <mergeCell ref="C143:C143"/>
    <mergeCell ref="C144:C144"/>
    <mergeCell ref="C145:C145"/>
    <mergeCell ref="C146:C146"/>
    <mergeCell ref="C147:C147"/>
    <mergeCell ref="C148:C148"/>
    <mergeCell ref="C149:C149"/>
    <mergeCell ref="C150:C150"/>
    <mergeCell ref="C151:C151"/>
    <mergeCell ref="C152:C152"/>
    <mergeCell ref="C153:C153"/>
    <mergeCell ref="C154:C154"/>
    <mergeCell ref="C155:C155"/>
    <mergeCell ref="C156:C156"/>
    <mergeCell ref="C157:C157"/>
    <mergeCell ref="C158:C158"/>
    <mergeCell ref="C159:C159"/>
    <mergeCell ref="C160:C160"/>
    <mergeCell ref="C161:C161"/>
    <mergeCell ref="C162:C162"/>
    <mergeCell ref="C163:C163"/>
    <mergeCell ref="C164:C164"/>
    <mergeCell ref="C165:C165"/>
    <mergeCell ref="C166:C166"/>
    <mergeCell ref="C167:C167"/>
    <mergeCell ref="C168:C168"/>
    <mergeCell ref="C169:C169"/>
    <mergeCell ref="C170:C170"/>
    <mergeCell ref="C171:C171"/>
    <mergeCell ref="C172:C172"/>
    <mergeCell ref="C173:C173"/>
    <mergeCell ref="C174:C174"/>
    <mergeCell ref="C175:C175"/>
    <mergeCell ref="C176:C176"/>
    <mergeCell ref="C177:C177"/>
    <mergeCell ref="C178:C178"/>
    <mergeCell ref="C179:C179"/>
    <mergeCell ref="C180:C180"/>
    <mergeCell ref="C181:C181"/>
    <mergeCell ref="C182:C182"/>
    <mergeCell ref="C183:C183"/>
    <mergeCell ref="C184:C184"/>
    <mergeCell ref="C185:C185"/>
    <mergeCell ref="C186:C186"/>
    <mergeCell ref="C187:C187"/>
    <mergeCell ref="C188:C188"/>
    <mergeCell ref="C189:C189"/>
    <mergeCell ref="C190:C190"/>
    <mergeCell ref="C191:C191"/>
    <mergeCell ref="C192:C192"/>
    <mergeCell ref="C193:C193"/>
    <mergeCell ref="C194:C194"/>
    <mergeCell ref="C195:C195"/>
    <mergeCell ref="C196:C196"/>
    <mergeCell ref="C197:C197"/>
    <mergeCell ref="C198:C198"/>
    <mergeCell ref="C199:C199"/>
    <mergeCell ref="C200:C200"/>
    <mergeCell ref="C201:C201"/>
    <mergeCell ref="C202:C202"/>
    <mergeCell ref="C203:C203"/>
    <mergeCell ref="C204:C204"/>
    <mergeCell ref="C205:C205"/>
    <mergeCell ref="C206:C206"/>
    <mergeCell ref="C207:C207"/>
    <mergeCell ref="C208:C208"/>
    <mergeCell ref="C209:C209"/>
    <mergeCell ref="C210:C210"/>
    <mergeCell ref="C211:C211"/>
    <mergeCell ref="C212:C212"/>
    <mergeCell ref="C213:C213"/>
    <mergeCell ref="C214:C214"/>
    <mergeCell ref="C215:C215"/>
    <mergeCell ref="C216:C216"/>
    <mergeCell ref="C217:C217"/>
    <mergeCell ref="C218:C218"/>
    <mergeCell ref="C219:C219"/>
    <mergeCell ref="C220:C220"/>
    <mergeCell ref="C221:C221"/>
    <mergeCell ref="C222:C222"/>
    <mergeCell ref="C223:C223"/>
    <mergeCell ref="C224:C224"/>
    <mergeCell ref="C225:C225"/>
    <mergeCell ref="C226:C226"/>
    <mergeCell ref="C227:C227"/>
    <mergeCell ref="C228:C228"/>
    <mergeCell ref="C229:C229"/>
    <mergeCell ref="C230:C230"/>
    <mergeCell ref="C231:C231"/>
    <mergeCell ref="C232:C232"/>
    <mergeCell ref="C233:C233"/>
    <mergeCell ref="C234:C234"/>
    <mergeCell ref="C235:C235"/>
    <mergeCell ref="C236:C236"/>
    <mergeCell ref="C237:C237"/>
    <mergeCell ref="C238:C238"/>
    <mergeCell ref="C239:C239"/>
    <mergeCell ref="C240:C240"/>
    <mergeCell ref="C241:C241"/>
    <mergeCell ref="C242:C242"/>
    <mergeCell ref="C243:C243"/>
    <mergeCell ref="C244:C244"/>
    <mergeCell ref="C245:C245"/>
    <mergeCell ref="C246:C246"/>
    <mergeCell ref="C247:C247"/>
    <mergeCell ref="C248:C248"/>
    <mergeCell ref="C249:C249"/>
    <mergeCell ref="C250:C250"/>
    <mergeCell ref="C251:C251"/>
    <mergeCell ref="C252:C252"/>
    <mergeCell ref="C253:C253"/>
    <mergeCell ref="C254:C254"/>
    <mergeCell ref="C255:C255"/>
    <mergeCell ref="C256:C256"/>
    <mergeCell ref="C257:C257"/>
    <mergeCell ref="C258:C258"/>
    <mergeCell ref="C259:C259"/>
    <mergeCell ref="C260:C260"/>
    <mergeCell ref="C261:C261"/>
    <mergeCell ref="C262:C262"/>
    <mergeCell ref="C263:C263"/>
    <mergeCell ref="C264:C264"/>
    <mergeCell ref="C265:C265"/>
    <mergeCell ref="C266:C266"/>
    <mergeCell ref="C267:C267"/>
    <mergeCell ref="C268:C268"/>
    <mergeCell ref="C269:C269"/>
    <mergeCell ref="C270:C270"/>
    <mergeCell ref="C271:C271"/>
    <mergeCell ref="C272:C272"/>
    <mergeCell ref="C273:C273"/>
    <mergeCell ref="C274:C274"/>
    <mergeCell ref="C275:C275"/>
    <mergeCell ref="C276:C276"/>
    <mergeCell ref="C277:C277"/>
    <mergeCell ref="C278:C278"/>
    <mergeCell ref="C279:C279"/>
    <mergeCell ref="C280:C280"/>
    <mergeCell ref="C281:C281"/>
    <mergeCell ref="C282:C282"/>
    <mergeCell ref="C283:C283"/>
    <mergeCell ref="C284:C284"/>
    <mergeCell ref="C285:C285"/>
    <mergeCell ref="C286:C286"/>
    <mergeCell ref="C287:C287"/>
    <mergeCell ref="C288:C288"/>
    <mergeCell ref="C289:C289"/>
    <mergeCell ref="C290:C290"/>
    <mergeCell ref="C291:C291"/>
    <mergeCell ref="C292:C292"/>
    <mergeCell ref="G5:M5"/>
    <mergeCell ref="G12:M17"/>
    <mergeCell ref="G10:M10"/>
    <mergeCell ref="G6:G7"/>
    <mergeCell ref="H6:J6"/>
    <mergeCell ref="K6:M6"/>
    <mergeCell ref="O11:R11"/>
    <mergeCell ref="O12:P12"/>
    <mergeCell ref="O13:O15"/>
    <mergeCell ref="O16:O18"/>
    <mergeCell ref="O19:R19"/>
    <mergeCell ref="O303:R308"/>
    <mergeCell ref="T11:X11"/>
    <mergeCell ref="T12:V12"/>
    <mergeCell ref="T19:X19"/>
    <mergeCell ref="T13:T18"/>
    <mergeCell ref="T303:W308"/>
    <mergeCell ref="U13:U15"/>
    <mergeCell ref="U16:U18"/>
    <mergeCell ref="AD4:AD4"/>
    <mergeCell ref="AD5:AD5"/>
    <mergeCell ref="AD6:AD6"/>
    <mergeCell ref="AD7:AD7"/>
    <mergeCell ref="AD8:AD8"/>
    <mergeCell ref="AD9:AD9"/>
    <mergeCell ref="AD10:AD10"/>
    <mergeCell ref="AD11:AD11"/>
    <mergeCell ref="AD12:AD12"/>
    <mergeCell ref="AD13:AD13"/>
    <mergeCell ref="AD14:AD14"/>
    <mergeCell ref="AD15:AD15"/>
    <mergeCell ref="AD16:AD16"/>
    <mergeCell ref="AD17:AD17"/>
    <mergeCell ref="AD18:AD18"/>
    <mergeCell ref="AD19:AD19"/>
    <mergeCell ref="AD20:AD20"/>
    <mergeCell ref="AD21:AD21"/>
    <mergeCell ref="AD22:AD22"/>
    <mergeCell ref="AD23:AD23"/>
    <mergeCell ref="AD24:AD24"/>
    <mergeCell ref="AD25:AD25"/>
    <mergeCell ref="AD26:AD26"/>
    <mergeCell ref="AD27:AD27"/>
    <mergeCell ref="AD28:AD28"/>
    <mergeCell ref="AD29:AD29"/>
    <mergeCell ref="AD30:AD30"/>
    <mergeCell ref="AD31:AD31"/>
    <mergeCell ref="AD32:AD32"/>
    <mergeCell ref="AD33:AD33"/>
    <mergeCell ref="AD34:AD34"/>
    <mergeCell ref="AD35:AD35"/>
    <mergeCell ref="AD36:AD36"/>
    <mergeCell ref="AD37:AD37"/>
    <mergeCell ref="AD38:AD38"/>
    <mergeCell ref="AD39:AD39"/>
    <mergeCell ref="AD40:AD40"/>
    <mergeCell ref="AD41:AD41"/>
    <mergeCell ref="AD42:AD42"/>
    <mergeCell ref="AD43:AD43"/>
    <mergeCell ref="AD44:AD44"/>
    <mergeCell ref="AD45:AD45"/>
    <mergeCell ref="AD46:AD46"/>
    <mergeCell ref="AD47:AD47"/>
    <mergeCell ref="AD48:AD48"/>
    <mergeCell ref="AD49:AD49"/>
    <mergeCell ref="AD50:AD50"/>
    <mergeCell ref="AD51:AD51"/>
    <mergeCell ref="AD52:AD52"/>
    <mergeCell ref="AD53:AD53"/>
    <mergeCell ref="AD54:AD54"/>
    <mergeCell ref="AD55:AD55"/>
    <mergeCell ref="AD56:AD56"/>
    <mergeCell ref="AD57:AD57"/>
    <mergeCell ref="AD58:AD58"/>
    <mergeCell ref="AD59:AD59"/>
    <mergeCell ref="AD60:AD60"/>
    <mergeCell ref="AD61:AD61"/>
    <mergeCell ref="AD62:AD62"/>
    <mergeCell ref="AD63:AD63"/>
    <mergeCell ref="AD64:AD64"/>
    <mergeCell ref="AD65:AD65"/>
    <mergeCell ref="AD66:AD66"/>
    <mergeCell ref="AD67:AD67"/>
    <mergeCell ref="AD68:AD68"/>
    <mergeCell ref="AD69:AD69"/>
    <mergeCell ref="AD70:AD70"/>
    <mergeCell ref="AD71:AD71"/>
    <mergeCell ref="AD72:AD72"/>
    <mergeCell ref="AD73:AD73"/>
    <mergeCell ref="AD74:AD74"/>
    <mergeCell ref="AD75:AD75"/>
    <mergeCell ref="AD76:AD76"/>
    <mergeCell ref="AD77:AD77"/>
    <mergeCell ref="AD78:AD78"/>
    <mergeCell ref="AD79:AD79"/>
    <mergeCell ref="AD80:AD80"/>
    <mergeCell ref="AD81:AD81"/>
    <mergeCell ref="AD82:AD82"/>
    <mergeCell ref="AD83:AD83"/>
    <mergeCell ref="AD84:AD84"/>
    <mergeCell ref="AD85:AD85"/>
    <mergeCell ref="AD86:AD86"/>
    <mergeCell ref="AD87:AD87"/>
    <mergeCell ref="AD88:AD88"/>
    <mergeCell ref="AD89:AD89"/>
    <mergeCell ref="AD90:AD90"/>
    <mergeCell ref="AD91:AD91"/>
    <mergeCell ref="AD92:AD92"/>
    <mergeCell ref="AD93:AD93"/>
    <mergeCell ref="AD94:AD94"/>
    <mergeCell ref="AD95:AD95"/>
    <mergeCell ref="AD96:AD96"/>
    <mergeCell ref="AD97:AD97"/>
    <mergeCell ref="AD98:AD98"/>
    <mergeCell ref="AD99:AD99"/>
    <mergeCell ref="AD100:AD100"/>
    <mergeCell ref="AD101:AD101"/>
    <mergeCell ref="AD102:AD102"/>
    <mergeCell ref="AD103:AD103"/>
    <mergeCell ref="AD104:AD104"/>
    <mergeCell ref="AD105:AD105"/>
    <mergeCell ref="AD106:AD106"/>
    <mergeCell ref="AD107:AD107"/>
    <mergeCell ref="AD108:AD108"/>
    <mergeCell ref="AD109:AD109"/>
    <mergeCell ref="AD110:AD110"/>
    <mergeCell ref="AD111:AD111"/>
    <mergeCell ref="AD112:AD112"/>
    <mergeCell ref="AD113:AD113"/>
    <mergeCell ref="AD114:AD114"/>
    <mergeCell ref="AD115:AD115"/>
    <mergeCell ref="AD116:AD116"/>
    <mergeCell ref="AD117:AD117"/>
    <mergeCell ref="AD118:AD118"/>
    <mergeCell ref="AD119:AD119"/>
    <mergeCell ref="AD120:AD120"/>
    <mergeCell ref="AD121:AD121"/>
    <mergeCell ref="AD122:AD122"/>
    <mergeCell ref="AD123:AD123"/>
    <mergeCell ref="AD124:AD124"/>
    <mergeCell ref="AD125:AD125"/>
    <mergeCell ref="AD126:AD126"/>
    <mergeCell ref="AD127:AD127"/>
    <mergeCell ref="AD128:AD128"/>
    <mergeCell ref="AD129:AD129"/>
    <mergeCell ref="AD130:AD130"/>
    <mergeCell ref="AD131:AD131"/>
    <mergeCell ref="AD132:AD132"/>
    <mergeCell ref="AD133:AD133"/>
    <mergeCell ref="AD134:AD134"/>
    <mergeCell ref="AD135:AD135"/>
    <mergeCell ref="AD136:AD136"/>
    <mergeCell ref="AD137:AD137"/>
    <mergeCell ref="AD138:AD138"/>
    <mergeCell ref="AD139:AD139"/>
    <mergeCell ref="AD140:AD140"/>
    <mergeCell ref="AD141:AD141"/>
    <mergeCell ref="AD142:AD142"/>
    <mergeCell ref="AD143:AD143"/>
    <mergeCell ref="AD144:AD144"/>
    <mergeCell ref="AD145:AD145"/>
    <mergeCell ref="AD146:AD146"/>
    <mergeCell ref="AD147:AD147"/>
    <mergeCell ref="AD148:AD148"/>
    <mergeCell ref="AD149:AD149"/>
    <mergeCell ref="AD150:AD150"/>
    <mergeCell ref="AD151:AD151"/>
    <mergeCell ref="AD152:AD152"/>
    <mergeCell ref="AD153:AD153"/>
    <mergeCell ref="AD154:AD154"/>
    <mergeCell ref="AD155:AD155"/>
    <mergeCell ref="AD156:AD156"/>
    <mergeCell ref="AD157:AD157"/>
    <mergeCell ref="AD158:AD158"/>
    <mergeCell ref="AD159:AD159"/>
    <mergeCell ref="AD160:AD160"/>
    <mergeCell ref="AD161:AD161"/>
    <mergeCell ref="AD162:AD162"/>
    <mergeCell ref="AD163:AD163"/>
    <mergeCell ref="AD164:AD164"/>
    <mergeCell ref="AD165:AD165"/>
    <mergeCell ref="AD166:AD166"/>
    <mergeCell ref="AD167:AD167"/>
    <mergeCell ref="AD168:AD168"/>
    <mergeCell ref="AD169:AD169"/>
    <mergeCell ref="AD170:AD170"/>
    <mergeCell ref="AD171:AD171"/>
    <mergeCell ref="AD172:AD172"/>
    <mergeCell ref="AD173:AD173"/>
    <mergeCell ref="AD174:AD174"/>
    <mergeCell ref="AD175:AD175"/>
    <mergeCell ref="AD176:AD176"/>
    <mergeCell ref="AD177:AD177"/>
    <mergeCell ref="AD178:AD178"/>
    <mergeCell ref="AD179:AD179"/>
    <mergeCell ref="AD180:AD180"/>
    <mergeCell ref="AD181:AD181"/>
    <mergeCell ref="AD182:AD182"/>
    <mergeCell ref="AD183:AD183"/>
    <mergeCell ref="AD184:AD184"/>
    <mergeCell ref="AD185:AD185"/>
    <mergeCell ref="AD186:AD186"/>
    <mergeCell ref="AD187:AD187"/>
    <mergeCell ref="AD188:AD188"/>
    <mergeCell ref="AD189:AD189"/>
    <mergeCell ref="AD190:AD190"/>
    <mergeCell ref="AD191:AD191"/>
    <mergeCell ref="AD192:AD192"/>
    <mergeCell ref="AD193:AD193"/>
    <mergeCell ref="AD194:AD194"/>
    <mergeCell ref="AD195:AD195"/>
    <mergeCell ref="AD196:AD196"/>
    <mergeCell ref="AD197:AD197"/>
    <mergeCell ref="AD198:AD198"/>
    <mergeCell ref="AD199:AD199"/>
    <mergeCell ref="AD200:AD200"/>
    <mergeCell ref="AD201:AD201"/>
    <mergeCell ref="AD202:AD202"/>
    <mergeCell ref="AD203:AD203"/>
    <mergeCell ref="AD204:AD204"/>
    <mergeCell ref="AD205:AD205"/>
    <mergeCell ref="AD206:AD206"/>
    <mergeCell ref="AD207:AD207"/>
    <mergeCell ref="AD208:AD208"/>
    <mergeCell ref="AD209:AD209"/>
    <mergeCell ref="AD210:AD210"/>
    <mergeCell ref="AD211:AD211"/>
    <mergeCell ref="AD212:AD212"/>
    <mergeCell ref="AD213:AD213"/>
    <mergeCell ref="AD214:AD214"/>
    <mergeCell ref="AD215:AD215"/>
    <mergeCell ref="AD216:AD216"/>
    <mergeCell ref="AD217:AD217"/>
    <mergeCell ref="AD218:AD218"/>
    <mergeCell ref="AD219:AD219"/>
    <mergeCell ref="AD220:AD220"/>
    <mergeCell ref="AD221:AD221"/>
    <mergeCell ref="AD222:AD222"/>
    <mergeCell ref="AD223:AD223"/>
    <mergeCell ref="AD224:AD224"/>
    <mergeCell ref="AD225:AD225"/>
    <mergeCell ref="AD226:AD226"/>
    <mergeCell ref="AD227:AD227"/>
    <mergeCell ref="AD228:AD228"/>
    <mergeCell ref="AD229:AD229"/>
    <mergeCell ref="AD230:AD230"/>
    <mergeCell ref="AD231:AD231"/>
    <mergeCell ref="AD232:AD232"/>
    <mergeCell ref="AD233:AD233"/>
    <mergeCell ref="AD234:AD234"/>
    <mergeCell ref="AD235:AD235"/>
    <mergeCell ref="AD236:AD236"/>
    <mergeCell ref="AD237:AD237"/>
    <mergeCell ref="AD238:AD238"/>
    <mergeCell ref="AD239:AD239"/>
    <mergeCell ref="AD240:AD240"/>
    <mergeCell ref="AD241:AD241"/>
    <mergeCell ref="AD242:AD242"/>
    <mergeCell ref="AD243:AD243"/>
    <mergeCell ref="AD244:AD244"/>
    <mergeCell ref="AD245:AD245"/>
    <mergeCell ref="AD246:AD246"/>
    <mergeCell ref="AD247:AD247"/>
    <mergeCell ref="AD248:AD248"/>
    <mergeCell ref="AD249:AD249"/>
    <mergeCell ref="AD250:AD250"/>
    <mergeCell ref="AD251:AD251"/>
    <mergeCell ref="AD252:AD252"/>
    <mergeCell ref="AD253:AD253"/>
    <mergeCell ref="AD254:AD254"/>
    <mergeCell ref="AD255:AD255"/>
    <mergeCell ref="AD256:AD256"/>
    <mergeCell ref="AD257:AD257"/>
    <mergeCell ref="AD258:AD258"/>
    <mergeCell ref="AD259:AD259"/>
    <mergeCell ref="AD260:AD260"/>
    <mergeCell ref="AD261:AD261"/>
    <mergeCell ref="AD262:AD262"/>
    <mergeCell ref="AD263:AD263"/>
    <mergeCell ref="AD264:AD264"/>
    <mergeCell ref="AD265:AD265"/>
    <mergeCell ref="AD266:AD266"/>
    <mergeCell ref="AD267:AD267"/>
    <mergeCell ref="AD268:AD268"/>
    <mergeCell ref="AD269:AD269"/>
    <mergeCell ref="AD270:AD270"/>
    <mergeCell ref="AD271:AD271"/>
    <mergeCell ref="AD272:AD272"/>
    <mergeCell ref="AD273:AD273"/>
    <mergeCell ref="AD274:AD274"/>
    <mergeCell ref="AD275:AD275"/>
    <mergeCell ref="AD276:AD276"/>
    <mergeCell ref="AD277:AD277"/>
    <mergeCell ref="AD278:AD278"/>
    <mergeCell ref="AD279:AD279"/>
    <mergeCell ref="AD280:AD280"/>
    <mergeCell ref="AD281:AD281"/>
    <mergeCell ref="AD282:AD282"/>
    <mergeCell ref="AD283:AD283"/>
    <mergeCell ref="AD284:AD284"/>
    <mergeCell ref="AD285:AD285"/>
    <mergeCell ref="AD286:AD286"/>
    <mergeCell ref="AD287:AD287"/>
    <mergeCell ref="AD288:AD288"/>
    <mergeCell ref="AD289:AD289"/>
    <mergeCell ref="AD290:AD290"/>
    <mergeCell ref="AD291:AD291"/>
    <mergeCell ref="AD292:AD292"/>
    <mergeCell ref="AH5:AN5"/>
    <mergeCell ref="AH12:AN17"/>
    <mergeCell ref="AH10:AN10"/>
    <mergeCell ref="AH6:AH7"/>
    <mergeCell ref="AI6:AK6"/>
    <mergeCell ref="AL6:AN6"/>
    <mergeCell ref="AP11:AS11"/>
    <mergeCell ref="AP12:AQ12"/>
    <mergeCell ref="AP13:AP15"/>
    <mergeCell ref="AP16:AP18"/>
    <mergeCell ref="AP19:AS19"/>
    <mergeCell ref="AP303:AS308"/>
    <mergeCell ref="AU11:AY11"/>
    <mergeCell ref="AU12:AW12"/>
    <mergeCell ref="AU19:AY19"/>
    <mergeCell ref="AU13:AU18"/>
    <mergeCell ref="AU303:AX308"/>
    <mergeCell ref="AV13:AV15"/>
    <mergeCell ref="AV16:AV18"/>
    <mergeCell ref="BE4:BE4"/>
    <mergeCell ref="BE5:BE5"/>
    <mergeCell ref="BE6:BE6"/>
    <mergeCell ref="BE7:BE7"/>
    <mergeCell ref="BE8:BE8"/>
    <mergeCell ref="BE9:BE9"/>
    <mergeCell ref="BE10:BE10"/>
    <mergeCell ref="BE11:BE11"/>
    <mergeCell ref="BE12:BE12"/>
    <mergeCell ref="BE13:BE13"/>
    <mergeCell ref="BE14:BE14"/>
    <mergeCell ref="BE15:BE15"/>
    <mergeCell ref="BE16:BE16"/>
    <mergeCell ref="BE17:BE17"/>
    <mergeCell ref="BE18:BE18"/>
    <mergeCell ref="BE19:BE19"/>
    <mergeCell ref="BE20:BE20"/>
    <mergeCell ref="BE21:BE21"/>
    <mergeCell ref="BE22:BE22"/>
    <mergeCell ref="BE23:BE23"/>
    <mergeCell ref="BE24:BE24"/>
    <mergeCell ref="BE25:BE25"/>
    <mergeCell ref="BE26:BE26"/>
    <mergeCell ref="BE27:BE27"/>
    <mergeCell ref="BE28:BE28"/>
    <mergeCell ref="BE29:BE29"/>
    <mergeCell ref="BE30:BE30"/>
    <mergeCell ref="BE31:BE31"/>
    <mergeCell ref="BE32:BE32"/>
    <mergeCell ref="BE33:BE33"/>
    <mergeCell ref="BE34:BE34"/>
    <mergeCell ref="BE35:BE35"/>
    <mergeCell ref="BE36:BE36"/>
    <mergeCell ref="BE37:BE37"/>
    <mergeCell ref="BE38:BE38"/>
    <mergeCell ref="BE39:BE39"/>
    <mergeCell ref="BE40:BE40"/>
    <mergeCell ref="BE41:BE41"/>
    <mergeCell ref="BE42:BE42"/>
    <mergeCell ref="BE43:BE43"/>
    <mergeCell ref="BE44:BE44"/>
    <mergeCell ref="BE45:BE45"/>
    <mergeCell ref="BE46:BE46"/>
    <mergeCell ref="BE47:BE47"/>
    <mergeCell ref="BE48:BE48"/>
    <mergeCell ref="BE49:BE49"/>
    <mergeCell ref="BE50:BE50"/>
    <mergeCell ref="BE51:BE51"/>
    <mergeCell ref="BE52:BE52"/>
    <mergeCell ref="BE53:BE53"/>
    <mergeCell ref="BE54:BE54"/>
    <mergeCell ref="BE55:BE55"/>
    <mergeCell ref="BE56:BE56"/>
    <mergeCell ref="BE57:BE57"/>
    <mergeCell ref="BE58:BE58"/>
    <mergeCell ref="BE59:BE59"/>
    <mergeCell ref="BE60:BE60"/>
    <mergeCell ref="BE61:BE61"/>
    <mergeCell ref="BE62:BE62"/>
    <mergeCell ref="BE63:BE63"/>
    <mergeCell ref="BE64:BE64"/>
    <mergeCell ref="BE65:BE65"/>
    <mergeCell ref="BE66:BE66"/>
    <mergeCell ref="BE67:BE67"/>
    <mergeCell ref="BE68:BE68"/>
    <mergeCell ref="BE69:BE69"/>
    <mergeCell ref="BE70:BE70"/>
    <mergeCell ref="BE71:BE71"/>
    <mergeCell ref="BE72:BE72"/>
    <mergeCell ref="BE73:BE73"/>
    <mergeCell ref="BE74:BE74"/>
    <mergeCell ref="BE75:BE75"/>
    <mergeCell ref="BE76:BE76"/>
    <mergeCell ref="BE77:BE77"/>
    <mergeCell ref="BE78:BE78"/>
    <mergeCell ref="BE79:BE79"/>
    <mergeCell ref="BE80:BE80"/>
    <mergeCell ref="BE81:BE81"/>
    <mergeCell ref="BE82:BE82"/>
    <mergeCell ref="BE83:BE83"/>
    <mergeCell ref="BE84:BE84"/>
    <mergeCell ref="BE85:BE85"/>
    <mergeCell ref="BE86:BE86"/>
    <mergeCell ref="BE87:BE87"/>
    <mergeCell ref="BE88:BE88"/>
    <mergeCell ref="BE89:BE89"/>
    <mergeCell ref="BE90:BE90"/>
    <mergeCell ref="BE91:BE91"/>
    <mergeCell ref="BE92:BE92"/>
    <mergeCell ref="BE93:BE93"/>
    <mergeCell ref="BE94:BE94"/>
    <mergeCell ref="BE95:BE95"/>
    <mergeCell ref="BE96:BE96"/>
    <mergeCell ref="BE97:BE97"/>
    <mergeCell ref="BE98:BE98"/>
    <mergeCell ref="BE99:BE99"/>
    <mergeCell ref="BE100:BE100"/>
    <mergeCell ref="BE101:BE101"/>
    <mergeCell ref="BE102:BE102"/>
    <mergeCell ref="BE103:BE103"/>
    <mergeCell ref="BE104:BE104"/>
    <mergeCell ref="BE105:BE105"/>
    <mergeCell ref="BE106:BE106"/>
    <mergeCell ref="BE107:BE107"/>
    <mergeCell ref="BE108:BE108"/>
    <mergeCell ref="BE109:BE109"/>
    <mergeCell ref="BE110:BE110"/>
    <mergeCell ref="BE111:BE111"/>
    <mergeCell ref="BE112:BE112"/>
    <mergeCell ref="BE113:BE113"/>
    <mergeCell ref="BE114:BE114"/>
    <mergeCell ref="BE115:BE115"/>
    <mergeCell ref="BE116:BE116"/>
    <mergeCell ref="BE117:BE117"/>
    <mergeCell ref="BE118:BE118"/>
    <mergeCell ref="BE119:BE119"/>
    <mergeCell ref="BE120:BE120"/>
    <mergeCell ref="BE121:BE121"/>
    <mergeCell ref="BE122:BE122"/>
    <mergeCell ref="BE123:BE123"/>
    <mergeCell ref="BE124:BE124"/>
    <mergeCell ref="BE125:BE125"/>
    <mergeCell ref="BE126:BE126"/>
    <mergeCell ref="BE127:BE127"/>
    <mergeCell ref="BE128:BE128"/>
    <mergeCell ref="BE129:BE129"/>
    <mergeCell ref="BE130:BE130"/>
    <mergeCell ref="BE131:BE131"/>
    <mergeCell ref="BE132:BE132"/>
    <mergeCell ref="BE133:BE133"/>
    <mergeCell ref="BE134:BE134"/>
    <mergeCell ref="BE135:BE135"/>
    <mergeCell ref="BE136:BE136"/>
    <mergeCell ref="BE137:BE137"/>
    <mergeCell ref="BE138:BE138"/>
    <mergeCell ref="BE139:BE139"/>
    <mergeCell ref="BE140:BE140"/>
    <mergeCell ref="BE141:BE141"/>
    <mergeCell ref="BE142:BE142"/>
    <mergeCell ref="BE143:BE143"/>
    <mergeCell ref="BE144:BE144"/>
    <mergeCell ref="BE145:BE145"/>
    <mergeCell ref="BE146:BE146"/>
    <mergeCell ref="BE147:BE147"/>
    <mergeCell ref="BE148:BE148"/>
    <mergeCell ref="BE149:BE149"/>
    <mergeCell ref="BE150:BE150"/>
    <mergeCell ref="BE151:BE151"/>
    <mergeCell ref="BE152:BE152"/>
    <mergeCell ref="BE153:BE153"/>
    <mergeCell ref="BE154:BE154"/>
    <mergeCell ref="BE155:BE155"/>
    <mergeCell ref="BE156:BE156"/>
    <mergeCell ref="BE157:BE157"/>
    <mergeCell ref="BE158:BE158"/>
    <mergeCell ref="BE159:BE159"/>
    <mergeCell ref="BE160:BE160"/>
    <mergeCell ref="BE161:BE161"/>
    <mergeCell ref="BE162:BE162"/>
    <mergeCell ref="BE163:BE163"/>
    <mergeCell ref="BE164:BE164"/>
    <mergeCell ref="BE165:BE165"/>
    <mergeCell ref="BE166:BE166"/>
    <mergeCell ref="BE167:BE167"/>
    <mergeCell ref="BE168:BE168"/>
    <mergeCell ref="BE169:BE169"/>
    <mergeCell ref="BE170:BE170"/>
    <mergeCell ref="BE171:BE171"/>
    <mergeCell ref="BE172:BE172"/>
    <mergeCell ref="BE173:BE173"/>
    <mergeCell ref="BE174:BE174"/>
    <mergeCell ref="BE175:BE175"/>
    <mergeCell ref="BE176:BE176"/>
    <mergeCell ref="BE177:BE177"/>
    <mergeCell ref="BE178:BE178"/>
    <mergeCell ref="BE179:BE179"/>
    <mergeCell ref="BE180:BE180"/>
    <mergeCell ref="BE181:BE181"/>
    <mergeCell ref="BE182:BE182"/>
    <mergeCell ref="BE183:BE183"/>
    <mergeCell ref="BE184:BE184"/>
    <mergeCell ref="BE185:BE185"/>
    <mergeCell ref="BE186:BE186"/>
    <mergeCell ref="BE187:BE187"/>
    <mergeCell ref="BE188:BE188"/>
    <mergeCell ref="BE189:BE189"/>
    <mergeCell ref="BE190:BE190"/>
    <mergeCell ref="BE191:BE191"/>
    <mergeCell ref="BE192:BE192"/>
    <mergeCell ref="BE193:BE193"/>
    <mergeCell ref="BE194:BE194"/>
    <mergeCell ref="BE195:BE195"/>
    <mergeCell ref="BE196:BE196"/>
    <mergeCell ref="BE197:BE197"/>
    <mergeCell ref="BE198:BE198"/>
    <mergeCell ref="BE199:BE199"/>
    <mergeCell ref="BE200:BE200"/>
    <mergeCell ref="BE201:BE201"/>
    <mergeCell ref="BE202:BE202"/>
    <mergeCell ref="BE203:BE203"/>
    <mergeCell ref="BE204:BE204"/>
    <mergeCell ref="BE205:BE205"/>
    <mergeCell ref="BE206:BE206"/>
    <mergeCell ref="BE207:BE207"/>
    <mergeCell ref="BE208:BE208"/>
    <mergeCell ref="BE209:BE209"/>
    <mergeCell ref="BE210:BE210"/>
    <mergeCell ref="BE211:BE211"/>
    <mergeCell ref="BE212:BE212"/>
    <mergeCell ref="BE213:BE213"/>
    <mergeCell ref="BE214:BE214"/>
    <mergeCell ref="BE215:BE215"/>
    <mergeCell ref="BE216:BE216"/>
    <mergeCell ref="BE217:BE217"/>
    <mergeCell ref="BE218:BE218"/>
    <mergeCell ref="BE219:BE219"/>
    <mergeCell ref="BE220:BE220"/>
    <mergeCell ref="BE221:BE221"/>
    <mergeCell ref="BE222:BE222"/>
    <mergeCell ref="BE223:BE223"/>
    <mergeCell ref="BE224:BE224"/>
    <mergeCell ref="BE225:BE225"/>
    <mergeCell ref="BE226:BE226"/>
    <mergeCell ref="BE227:BE227"/>
    <mergeCell ref="BE228:BE228"/>
    <mergeCell ref="BE229:BE229"/>
    <mergeCell ref="BE230:BE230"/>
    <mergeCell ref="BE231:BE231"/>
    <mergeCell ref="BE232:BE232"/>
    <mergeCell ref="BE233:BE233"/>
    <mergeCell ref="BE234:BE234"/>
    <mergeCell ref="BE235:BE235"/>
    <mergeCell ref="BE236:BE236"/>
    <mergeCell ref="BE237:BE237"/>
    <mergeCell ref="BE238:BE238"/>
    <mergeCell ref="BE239:BE239"/>
    <mergeCell ref="BE240:BE240"/>
    <mergeCell ref="BE241:BE241"/>
    <mergeCell ref="BE242:BE242"/>
    <mergeCell ref="BE243:BE243"/>
    <mergeCell ref="BE244:BE244"/>
    <mergeCell ref="BE245:BE245"/>
    <mergeCell ref="BE246:BE246"/>
    <mergeCell ref="BE247:BE247"/>
    <mergeCell ref="BE248:BE248"/>
    <mergeCell ref="BE249:BE249"/>
    <mergeCell ref="BE250:BE250"/>
    <mergeCell ref="BE251:BE251"/>
    <mergeCell ref="BE252:BE252"/>
    <mergeCell ref="BE253:BE253"/>
    <mergeCell ref="BE254:BE254"/>
    <mergeCell ref="BE255:BE255"/>
    <mergeCell ref="BE256:BE256"/>
    <mergeCell ref="BE257:BE257"/>
    <mergeCell ref="BE258:BE258"/>
    <mergeCell ref="BE259:BE259"/>
    <mergeCell ref="BE260:BE260"/>
    <mergeCell ref="BE261:BE261"/>
    <mergeCell ref="BE262:BE262"/>
    <mergeCell ref="BE263:BE263"/>
    <mergeCell ref="BE264:BE264"/>
    <mergeCell ref="BE265:BE265"/>
    <mergeCell ref="BE266:BE266"/>
    <mergeCell ref="BE267:BE267"/>
    <mergeCell ref="BE268:BE268"/>
    <mergeCell ref="BE269:BE269"/>
    <mergeCell ref="BE270:BE270"/>
    <mergeCell ref="BE271:BE271"/>
    <mergeCell ref="BE272:BE272"/>
    <mergeCell ref="BE273:BE273"/>
    <mergeCell ref="BE274:BE274"/>
    <mergeCell ref="BE275:BE275"/>
    <mergeCell ref="BE276:BE276"/>
    <mergeCell ref="BE277:BE277"/>
    <mergeCell ref="BE278:BE278"/>
    <mergeCell ref="BE279:BE279"/>
    <mergeCell ref="BE280:BE280"/>
    <mergeCell ref="BE281:BE281"/>
    <mergeCell ref="BE282:BE282"/>
    <mergeCell ref="BE283:BE283"/>
    <mergeCell ref="BE284:BE284"/>
    <mergeCell ref="BE285:BE285"/>
    <mergeCell ref="BE286:BE286"/>
    <mergeCell ref="BE287:BE287"/>
    <mergeCell ref="BE288:BE288"/>
    <mergeCell ref="BE289:BE289"/>
    <mergeCell ref="BE290:BE290"/>
    <mergeCell ref="BE291:BE291"/>
    <mergeCell ref="BE292:BE292"/>
    <mergeCell ref="BI5:BO5"/>
    <mergeCell ref="BI12:BO17"/>
    <mergeCell ref="BI10:BO10"/>
    <mergeCell ref="BI6:BI7"/>
    <mergeCell ref="BJ6:BL6"/>
    <mergeCell ref="BM6:BO6"/>
    <mergeCell ref="BQ11:BT11"/>
    <mergeCell ref="BQ12:BR12"/>
    <mergeCell ref="BQ13:BQ15"/>
    <mergeCell ref="BQ16:BQ18"/>
    <mergeCell ref="BQ19:BT19"/>
    <mergeCell ref="BQ303:BT308"/>
    <mergeCell ref="BV11:BZ11"/>
    <mergeCell ref="BV12:BX12"/>
    <mergeCell ref="BV19:BZ19"/>
    <mergeCell ref="BV13:BV18"/>
    <mergeCell ref="BV303:BY308"/>
    <mergeCell ref="BW13:BW15"/>
    <mergeCell ref="BW16:BW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CY303"/>
  <sheetViews>
    <sheetView tabSelected="0" workbookViewId="0" showGridLines="true" showRowColHeaders="1">
      <selection activeCell="CW12" sqref="CW12"/>
    </sheetView>
  </sheetViews>
  <sheetFormatPr defaultRowHeight="14.4" outlineLevelRow="0" outlineLevelCol="0"/>
  <cols>
    <col min="3" max="3" width="20" customWidth="true" style="0"/>
    <col min="4" max="4" width="12" customWidth="true" style="0"/>
    <col min="5" max="5" width="12" customWidth="true" style="0"/>
    <col min="7" max="7" width="2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 min="15" max="15" width="23" customWidth="true" style="0"/>
    <col min="16" max="16" width="15" customWidth="true" style="0"/>
    <col min="17" max="17" width="20" customWidth="true" style="0"/>
    <col min="18" max="18" width="20" customWidth="true" style="0"/>
    <col min="20" max="20" width="22" customWidth="true" style="0"/>
    <col min="21" max="21" width="22" customWidth="true" style="0"/>
    <col min="22" max="22" width="15" customWidth="true" style="0"/>
    <col min="23" max="23" width="20" customWidth="true" style="0"/>
    <col min="28" max="28" width="20" customWidth="true" style="0"/>
    <col min="29" max="29" width="12" customWidth="true" style="0"/>
    <col min="30" max="30" width="12" customWidth="true" style="0"/>
    <col min="32" max="32" width="20" customWidth="true" style="0"/>
    <col min="33" max="33" width="10" customWidth="true" style="0"/>
    <col min="34" max="34" width="10" customWidth="true" style="0"/>
    <col min="35" max="35" width="10" customWidth="true" style="0"/>
    <col min="36" max="36" width="10" customWidth="true" style="0"/>
    <col min="37" max="37" width="10" customWidth="true" style="0"/>
    <col min="38" max="38" width="10" customWidth="true" style="0"/>
    <col min="40" max="40" width="23" customWidth="true" style="0"/>
    <col min="41" max="41" width="15" customWidth="true" style="0"/>
    <col min="42" max="42" width="20" customWidth="true" style="0"/>
    <col min="43" max="43" width="20" customWidth="true" style="0"/>
    <col min="45" max="45" width="22" customWidth="true" style="0"/>
    <col min="46" max="46" width="22" customWidth="true" style="0"/>
    <col min="47" max="47" width="15" customWidth="true" style="0"/>
    <col min="48" max="48" width="20" customWidth="true" style="0"/>
    <col min="53" max="53" width="20" customWidth="true" style="0"/>
    <col min="54" max="54" width="12" customWidth="true" style="0"/>
    <col min="55" max="55" width="12" customWidth="true" style="0"/>
    <col min="57" max="57" width="20" customWidth="true" style="0"/>
    <col min="58" max="58" width="10" customWidth="true" style="0"/>
    <col min="59" max="59" width="10" customWidth="true" style="0"/>
    <col min="60" max="60" width="10" customWidth="true" style="0"/>
    <col min="61" max="61" width="10" customWidth="true" style="0"/>
    <col min="62" max="62" width="10" customWidth="true" style="0"/>
    <col min="63" max="63" width="10" customWidth="true" style="0"/>
    <col min="65" max="65" width="23" customWidth="true" style="0"/>
    <col min="66" max="66" width="15" customWidth="true" style="0"/>
    <col min="67" max="67" width="20" customWidth="true" style="0"/>
    <col min="68" max="68" width="20" customWidth="true" style="0"/>
    <col min="70" max="70" width="22" customWidth="true" style="0"/>
    <col min="71" max="71" width="22" customWidth="true" style="0"/>
    <col min="72" max="72" width="15" customWidth="true" style="0"/>
    <col min="73" max="73" width="20" customWidth="true" style="0"/>
    <col min="80" max="80" width="20" customWidth="true" style="0"/>
    <col min="81" max="81" width="12" customWidth="true" style="0"/>
    <col min="82" max="82" width="12" customWidth="true" style="0"/>
    <col min="84" max="84" width="20" customWidth="true" style="0"/>
    <col min="85" max="85" width="10" customWidth="true" style="0"/>
    <col min="86" max="86" width="10" customWidth="true" style="0"/>
    <col min="87" max="87" width="10" customWidth="true" style="0"/>
    <col min="88" max="88" width="10" customWidth="true" style="0"/>
    <col min="89" max="89" width="10" customWidth="true" style="0"/>
    <col min="90" max="90" width="10" customWidth="true" style="0"/>
    <col min="92" max="92" width="23" customWidth="true" style="0"/>
    <col min="93" max="93" width="15" customWidth="true" style="0"/>
    <col min="94" max="94" width="20" customWidth="true" style="0"/>
    <col min="95" max="95" width="20" customWidth="true" style="0"/>
    <col min="97" max="97" width="22" customWidth="true" style="0"/>
    <col min="98" max="98" width="22" customWidth="true" style="0"/>
    <col min="99" max="99" width="15" customWidth="true" style="0"/>
    <col min="100" max="100" width="20" customWidth="true" style="0"/>
  </cols>
  <sheetData>
    <row r="1" spans="1:103">
      <c r="A1" s="48"/>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row>
    <row r="2" spans="1:103">
      <c r="A2" s="48"/>
      <c r="D2" s="40" t="s">
        <v>461</v>
      </c>
      <c r="E2" s="40" t="s">
        <v>491</v>
      </c>
      <c r="Z2" s="48"/>
      <c r="AC2" s="40" t="s">
        <v>463</v>
      </c>
      <c r="AD2" s="40" t="s">
        <v>491</v>
      </c>
      <c r="AY2" s="48"/>
      <c r="BB2" s="40" t="s">
        <v>464</v>
      </c>
      <c r="BC2" s="40" t="s">
        <v>491</v>
      </c>
      <c r="BX2" s="48"/>
      <c r="BZ2" s="49"/>
      <c r="CC2" s="40" t="s">
        <v>462</v>
      </c>
      <c r="CD2" s="40" t="s">
        <v>453</v>
      </c>
      <c r="CY2" s="49"/>
    </row>
    <row r="3" spans="1:103">
      <c r="A3" s="48"/>
      <c r="D3" s="40" t="str">
        <f>'Por Valoracion (3) Dimension'!B2</f>
        <v>0</v>
      </c>
      <c r="E3" s="40" t="str">
        <f>'Por Valoracion (3) Dimension 2'!D2</f>
        <v>0</v>
      </c>
      <c r="Z3" s="48"/>
      <c r="AC3" s="40" t="str">
        <f>'Por Valoracion (3) Dimension'!D2</f>
        <v>0</v>
      </c>
      <c r="AD3" s="40" t="str">
        <f>'Por Valoracion (3) Dimension 2'!D2</f>
        <v>0</v>
      </c>
      <c r="AY3" s="48"/>
      <c r="BB3" s="40" t="str">
        <f>'Por Valoracion (3) Dimension'!F2</f>
        <v>0</v>
      </c>
      <c r="BC3" s="40" t="str">
        <f>'Por Valoracion (3) Dimension 2'!D2</f>
        <v>0</v>
      </c>
      <c r="BX3" s="48"/>
      <c r="BZ3" s="49"/>
      <c r="CC3" s="40" t="str">
        <f>'Por Valoracion (3) Dimension 2'!B2</f>
        <v>0</v>
      </c>
      <c r="CD3" s="40" t="str">
        <f>'Por Valoracion (3) Dimension'!H2</f>
        <v>0</v>
      </c>
      <c r="CY3" s="49"/>
    </row>
    <row r="4" spans="1:103">
      <c r="A4" s="48"/>
      <c r="C4" t="str">
        <f>('Gestión de abastecimiento'!A5)</f>
        <v>0</v>
      </c>
      <c r="D4" s="39" t="str">
        <f>'Por Valoracion (3) Dimension'!B4</f>
        <v>0</v>
      </c>
      <c r="E4" s="39" t="str">
        <f>'Por Valoracion (3) Dimension 2'!D4</f>
        <v>0</v>
      </c>
      <c r="G4" s="10" t="s">
        <v>343</v>
      </c>
      <c r="Z4" s="48"/>
      <c r="AB4" t="str">
        <f>('Gestión de abastecimiento'!A5)</f>
        <v>0</v>
      </c>
      <c r="AC4" s="39" t="str">
        <f>'Por Valoracion (3) Dimension'!D4</f>
        <v>0</v>
      </c>
      <c r="AD4" s="39" t="str">
        <f>'Por Valoracion (3) Dimension 2'!D4</f>
        <v>0</v>
      </c>
      <c r="AF4" s="10" t="s">
        <v>344</v>
      </c>
      <c r="AY4" s="48"/>
      <c r="BA4" t="str">
        <f>('Gestión de abastecimiento'!A5)</f>
        <v>0</v>
      </c>
      <c r="BB4" s="39" t="str">
        <f>'Por Valoracion (3) Dimension'!F4</f>
        <v>0</v>
      </c>
      <c r="BC4" s="39" t="str">
        <f>'Por Valoracion (3) Dimension 2'!D4</f>
        <v>0</v>
      </c>
      <c r="BE4" s="10" t="s">
        <v>345</v>
      </c>
      <c r="BX4" s="48"/>
      <c r="BZ4" s="49"/>
      <c r="CB4" t="str">
        <f>('Gestión de abastecimiento'!A5)</f>
        <v>0</v>
      </c>
      <c r="CC4" s="39" t="str">
        <f>'Por Valoracion (3) Dimension 2'!B4</f>
        <v>0</v>
      </c>
      <c r="CD4" s="39" t="str">
        <f>'Por Valoracion (3) Dimension'!H4</f>
        <v>0</v>
      </c>
      <c r="CF4" s="10" t="s">
        <v>346</v>
      </c>
      <c r="CY4" s="49"/>
    </row>
    <row r="5" spans="1:103">
      <c r="A5" s="48"/>
      <c r="C5" t="str">
        <f>('Gestión de abastecimiento'!A6)</f>
        <v>0</v>
      </c>
      <c r="D5" s="39" t="str">
        <f>'Por Valoracion (3) Dimension'!B5</f>
        <v>0</v>
      </c>
      <c r="E5" s="39" t="str">
        <f>'Por Valoracion (3) Dimension 2'!D5</f>
        <v>0</v>
      </c>
      <c r="G5" s="42" t="s">
        <v>465</v>
      </c>
      <c r="H5" s="12"/>
      <c r="I5" s="12"/>
      <c r="J5" s="12"/>
      <c r="K5" s="12"/>
      <c r="L5" s="12"/>
      <c r="M5" s="12"/>
      <c r="Z5" s="48"/>
      <c r="AB5" t="str">
        <f>('Gestión de abastecimiento'!A6)</f>
        <v>0</v>
      </c>
      <c r="AC5" s="39" t="str">
        <f>'Por Valoracion (3) Dimension'!D5</f>
        <v>0</v>
      </c>
      <c r="AD5" s="39" t="str">
        <f>'Por Valoracion (3) Dimension 2'!D5</f>
        <v>0</v>
      </c>
      <c r="AF5" s="42" t="s">
        <v>465</v>
      </c>
      <c r="AG5" s="12"/>
      <c r="AH5" s="12"/>
      <c r="AI5" s="12"/>
      <c r="AJ5" s="12"/>
      <c r="AK5" s="12"/>
      <c r="AL5" s="12"/>
      <c r="AY5" s="48"/>
      <c r="BA5" t="str">
        <f>('Gestión de abastecimiento'!A6)</f>
        <v>0</v>
      </c>
      <c r="BB5" s="39" t="str">
        <f>'Por Valoracion (3) Dimension'!F5</f>
        <v>0</v>
      </c>
      <c r="BC5" s="39" t="str">
        <f>'Por Valoracion (3) Dimension 2'!D5</f>
        <v>0</v>
      </c>
      <c r="BE5" s="42" t="s">
        <v>465</v>
      </c>
      <c r="BF5" s="12"/>
      <c r="BG5" s="12"/>
      <c r="BH5" s="12"/>
      <c r="BI5" s="12"/>
      <c r="BJ5" s="12"/>
      <c r="BK5" s="12"/>
      <c r="BX5" s="48"/>
      <c r="BZ5" s="49"/>
      <c r="CB5" t="str">
        <f>('Gestión de abastecimiento'!A6)</f>
        <v>0</v>
      </c>
      <c r="CC5" s="39" t="str">
        <f>'Por Valoracion (3) Dimension 2'!B5</f>
        <v>0</v>
      </c>
      <c r="CD5" s="39" t="str">
        <f>'Por Valoracion (3) Dimension'!H5</f>
        <v>0</v>
      </c>
      <c r="CF5" s="42" t="s">
        <v>465</v>
      </c>
      <c r="CG5" s="12"/>
      <c r="CH5" s="12"/>
      <c r="CI5" s="12"/>
      <c r="CJ5" s="12"/>
      <c r="CK5" s="12"/>
      <c r="CL5" s="12"/>
      <c r="CY5" s="49"/>
    </row>
    <row r="6" spans="1:103">
      <c r="A6" s="48"/>
      <c r="C6" t="str">
        <f>('Gestión de abastecimiento'!A7)</f>
        <v>0</v>
      </c>
      <c r="D6" s="39" t="str">
        <f>'Por Valoracion (3) Dimension'!B6</f>
        <v>0</v>
      </c>
      <c r="E6" s="39" t="str">
        <f>'Por Valoracion (3) Dimension 2'!D6</f>
        <v>0</v>
      </c>
      <c r="G6"/>
      <c r="H6" s="41" t="s">
        <v>466</v>
      </c>
      <c r="K6" s="41" t="s">
        <v>467</v>
      </c>
      <c r="Z6" s="48"/>
      <c r="AB6" t="str">
        <f>('Gestión de abastecimiento'!A7)</f>
        <v>0</v>
      </c>
      <c r="AC6" s="39" t="str">
        <f>'Por Valoracion (3) Dimension'!D6</f>
        <v>0</v>
      </c>
      <c r="AD6" s="39" t="str">
        <f>'Por Valoracion (3) Dimension 2'!D6</f>
        <v>0</v>
      </c>
      <c r="AF6"/>
      <c r="AG6" s="41" t="s">
        <v>466</v>
      </c>
      <c r="AJ6" s="41" t="s">
        <v>467</v>
      </c>
      <c r="AY6" s="48"/>
      <c r="BA6" t="str">
        <f>('Gestión de abastecimiento'!A7)</f>
        <v>0</v>
      </c>
      <c r="BB6" s="39" t="str">
        <f>'Por Valoracion (3) Dimension'!F6</f>
        <v>0</v>
      </c>
      <c r="BC6" s="39" t="str">
        <f>'Por Valoracion (3) Dimension 2'!D6</f>
        <v>0</v>
      </c>
      <c r="BE6"/>
      <c r="BF6" s="41" t="s">
        <v>466</v>
      </c>
      <c r="BI6" s="41" t="s">
        <v>467</v>
      </c>
      <c r="BX6" s="48"/>
      <c r="BZ6" s="49"/>
      <c r="CB6" t="str">
        <f>('Gestión de abastecimiento'!A7)</f>
        <v>0</v>
      </c>
      <c r="CC6" s="39" t="str">
        <f>'Por Valoracion (3) Dimension 2'!B6</f>
        <v>0</v>
      </c>
      <c r="CD6" s="39" t="str">
        <f>'Por Valoracion (3) Dimension'!H6</f>
        <v>0</v>
      </c>
      <c r="CF6"/>
      <c r="CG6" s="41" t="s">
        <v>466</v>
      </c>
      <c r="CJ6" s="41" t="s">
        <v>467</v>
      </c>
      <c r="CY6" s="49"/>
    </row>
    <row r="7" spans="1:103">
      <c r="A7" s="48"/>
      <c r="C7" t="str">
        <f>('Gestión de abastecimiento'!A8)</f>
        <v>0</v>
      </c>
      <c r="D7" s="39" t="str">
        <f>'Por Valoracion (3) Dimension'!B7</f>
        <v>0</v>
      </c>
      <c r="E7" s="39" t="str">
        <f>'Por Valoracion (3) Dimension 2'!D7</f>
        <v>0</v>
      </c>
      <c r="G7" s="12"/>
      <c r="H7" s="43" t="s">
        <v>468</v>
      </c>
      <c r="I7" s="43" t="s">
        <v>469</v>
      </c>
      <c r="J7" s="43" t="s">
        <v>470</v>
      </c>
      <c r="K7" s="43" t="s">
        <v>468</v>
      </c>
      <c r="L7" s="45" t="s">
        <v>469</v>
      </c>
      <c r="M7" s="43" t="s">
        <v>470</v>
      </c>
      <c r="Z7" s="48"/>
      <c r="AB7" t="str">
        <f>('Gestión de abastecimiento'!A8)</f>
        <v>0</v>
      </c>
      <c r="AC7" s="39" t="str">
        <f>'Por Valoracion (3) Dimension'!D7</f>
        <v>0</v>
      </c>
      <c r="AD7" s="39" t="str">
        <f>'Por Valoracion (3) Dimension 2'!D7</f>
        <v>0</v>
      </c>
      <c r="AF7" s="12"/>
      <c r="AG7" s="43" t="s">
        <v>468</v>
      </c>
      <c r="AH7" s="43" t="s">
        <v>469</v>
      </c>
      <c r="AI7" s="43" t="s">
        <v>470</v>
      </c>
      <c r="AJ7" s="43" t="s">
        <v>468</v>
      </c>
      <c r="AK7" s="45" t="s">
        <v>469</v>
      </c>
      <c r="AL7" s="43" t="s">
        <v>470</v>
      </c>
      <c r="AY7" s="48"/>
      <c r="BA7" t="str">
        <f>('Gestión de abastecimiento'!A8)</f>
        <v>0</v>
      </c>
      <c r="BB7" s="39" t="str">
        <f>'Por Valoracion (3) Dimension'!F7</f>
        <v>0</v>
      </c>
      <c r="BC7" s="39" t="str">
        <f>'Por Valoracion (3) Dimension 2'!D7</f>
        <v>0</v>
      </c>
      <c r="BE7" s="12"/>
      <c r="BF7" s="43" t="s">
        <v>468</v>
      </c>
      <c r="BG7" s="43" t="s">
        <v>469</v>
      </c>
      <c r="BH7" s="43" t="s">
        <v>470</v>
      </c>
      <c r="BI7" s="43" t="s">
        <v>468</v>
      </c>
      <c r="BJ7" s="45" t="s">
        <v>469</v>
      </c>
      <c r="BK7" s="43" t="s">
        <v>470</v>
      </c>
      <c r="BX7" s="48"/>
      <c r="BZ7" s="49"/>
      <c r="CB7" t="str">
        <f>('Gestión de abastecimiento'!A8)</f>
        <v>0</v>
      </c>
      <c r="CC7" s="39" t="str">
        <f>'Por Valoracion (3) Dimension 2'!B7</f>
        <v>0</v>
      </c>
      <c r="CD7" s="39" t="str">
        <f>'Por Valoracion (3) Dimension'!H7</f>
        <v>0</v>
      </c>
      <c r="CF7" s="12"/>
      <c r="CG7" s="43" t="s">
        <v>468</v>
      </c>
      <c r="CH7" s="43" t="s">
        <v>469</v>
      </c>
      <c r="CI7" s="43" t="s">
        <v>470</v>
      </c>
      <c r="CJ7" s="43" t="s">
        <v>468</v>
      </c>
      <c r="CK7" s="45" t="s">
        <v>469</v>
      </c>
      <c r="CL7" s="43" t="s">
        <v>470</v>
      </c>
      <c r="CY7" s="49"/>
    </row>
    <row r="8" spans="1:103">
      <c r="A8" s="48"/>
      <c r="C8" t="str">
        <f>('Gestión de abastecimiento'!A9)</f>
        <v>0</v>
      </c>
      <c r="D8" s="39" t="str">
        <f>'Por Valoracion (3) Dimension'!B8</f>
        <v>0</v>
      </c>
      <c r="E8" s="39" t="str">
        <f>'Por Valoracion (3) Dimension 2'!D8</f>
        <v>0</v>
      </c>
      <c r="G8" s="41" t="str">
        <f>D3</f>
        <v>0</v>
      </c>
      <c r="H8" s="44"/>
      <c r="I8" s="44"/>
      <c r="J8" s="44"/>
      <c r="K8" s="44"/>
      <c r="L8" s="44"/>
      <c r="M8" s="44"/>
      <c r="Z8" s="48"/>
      <c r="AB8" t="str">
        <f>('Gestión de abastecimiento'!A9)</f>
        <v>0</v>
      </c>
      <c r="AC8" s="39" t="str">
        <f>'Por Valoracion (3) Dimension'!D8</f>
        <v>0</v>
      </c>
      <c r="AD8" s="39" t="str">
        <f>'Por Valoracion (3) Dimension 2'!D8</f>
        <v>0</v>
      </c>
      <c r="AF8" s="41" t="str">
        <f>AC3</f>
        <v>0</v>
      </c>
      <c r="AG8" s="44"/>
      <c r="AH8" s="44"/>
      <c r="AI8" s="44"/>
      <c r="AJ8" s="44"/>
      <c r="AK8" s="44"/>
      <c r="AL8" s="44"/>
      <c r="AY8" s="48"/>
      <c r="BA8" t="str">
        <f>('Gestión de abastecimiento'!A9)</f>
        <v>0</v>
      </c>
      <c r="BB8" s="39" t="str">
        <f>'Por Valoracion (3) Dimension'!F8</f>
        <v>0</v>
      </c>
      <c r="BC8" s="39" t="str">
        <f>'Por Valoracion (3) Dimension 2'!D8</f>
        <v>0</v>
      </c>
      <c r="BE8" s="41" t="str">
        <f>BB3</f>
        <v>0</v>
      </c>
      <c r="BF8" s="44"/>
      <c r="BG8" s="44"/>
      <c r="BH8" s="44"/>
      <c r="BI8" s="44"/>
      <c r="BJ8" s="44"/>
      <c r="BK8" s="44"/>
      <c r="BX8" s="48"/>
      <c r="BZ8" s="49"/>
      <c r="CB8" t="str">
        <f>('Gestión de abastecimiento'!A9)</f>
        <v>0</v>
      </c>
      <c r="CC8" s="39" t="str">
        <f>'Por Valoracion (3) Dimension 2'!B8</f>
        <v>0</v>
      </c>
      <c r="CD8" s="39" t="str">
        <f>'Por Valoracion (3) Dimension'!H8</f>
        <v>0</v>
      </c>
      <c r="CF8" s="41" t="str">
        <f>CC3</f>
        <v>0</v>
      </c>
      <c r="CG8" s="44"/>
      <c r="CH8" s="44"/>
      <c r="CI8" s="44"/>
      <c r="CJ8" s="44"/>
      <c r="CK8" s="44"/>
      <c r="CL8" s="44"/>
      <c r="CY8" s="49"/>
    </row>
    <row r="9" spans="1:103">
      <c r="A9" s="48"/>
      <c r="C9" t="str">
        <f>('Gestión de abastecimiento'!A10)</f>
        <v>0</v>
      </c>
      <c r="D9" s="39" t="str">
        <f>'Por Valoracion (3) Dimension'!B9</f>
        <v>0</v>
      </c>
      <c r="E9" s="39" t="str">
        <f>'Por Valoracion (3) Dimension 2'!D9</f>
        <v>0</v>
      </c>
      <c r="G9" s="42" t="str">
        <f>E3</f>
        <v>0</v>
      </c>
      <c r="H9" s="12"/>
      <c r="I9" s="12"/>
      <c r="J9" s="12"/>
      <c r="K9" s="12"/>
      <c r="L9" s="12"/>
      <c r="M9" s="12"/>
      <c r="Z9" s="48"/>
      <c r="AB9" t="str">
        <f>('Gestión de abastecimiento'!A10)</f>
        <v>0</v>
      </c>
      <c r="AC9" s="39" t="str">
        <f>'Por Valoracion (3) Dimension'!D9</f>
        <v>0</v>
      </c>
      <c r="AD9" s="39" t="str">
        <f>'Por Valoracion (3) Dimension 2'!D9</f>
        <v>0</v>
      </c>
      <c r="AF9" s="42" t="str">
        <f>AD3</f>
        <v>0</v>
      </c>
      <c r="AG9" s="12" t="str">
        <f>H9</f>
        <v>0</v>
      </c>
      <c r="AH9" s="12" t="str">
        <f>I9</f>
        <v>0</v>
      </c>
      <c r="AI9" s="12" t="str">
        <f>J9</f>
        <v>0</v>
      </c>
      <c r="AJ9" s="12" t="str">
        <f>K9</f>
        <v>0</v>
      </c>
      <c r="AK9" s="12" t="str">
        <f>L9</f>
        <v>0</v>
      </c>
      <c r="AL9" s="12" t="str">
        <f>M9</f>
        <v>0</v>
      </c>
      <c r="AY9" s="48"/>
      <c r="BA9" t="str">
        <f>('Gestión de abastecimiento'!A10)</f>
        <v>0</v>
      </c>
      <c r="BB9" s="39" t="str">
        <f>'Por Valoracion (3) Dimension'!F9</f>
        <v>0</v>
      </c>
      <c r="BC9" s="39" t="str">
        <f>'Por Valoracion (3) Dimension 2'!D9</f>
        <v>0</v>
      </c>
      <c r="BE9" s="42" t="str">
        <f>BC3</f>
        <v>0</v>
      </c>
      <c r="BF9" s="12" t="str">
        <f>H9</f>
        <v>0</v>
      </c>
      <c r="BG9" s="12" t="str">
        <f>I9</f>
        <v>0</v>
      </c>
      <c r="BH9" s="12" t="str">
        <f>J9</f>
        <v>0</v>
      </c>
      <c r="BI9" s="12" t="str">
        <f>K9</f>
        <v>0</v>
      </c>
      <c r="BJ9" s="12" t="str">
        <f>L9</f>
        <v>0</v>
      </c>
      <c r="BK9" s="12" t="str">
        <f>M9</f>
        <v>0</v>
      </c>
      <c r="BX9" s="48"/>
      <c r="BZ9" s="49"/>
      <c r="CB9" t="str">
        <f>('Gestión de abastecimiento'!A10)</f>
        <v>0</v>
      </c>
      <c r="CC9" s="39" t="str">
        <f>'Por Valoracion (3) Dimension 2'!B9</f>
        <v>0</v>
      </c>
      <c r="CD9" s="39" t="str">
        <f>'Por Valoracion (3) Dimension'!H9</f>
        <v>0</v>
      </c>
      <c r="CF9" s="42" t="str">
        <f>CD3</f>
        <v>0</v>
      </c>
      <c r="CG9" s="43"/>
      <c r="CH9" s="45"/>
      <c r="CI9" s="43"/>
      <c r="CJ9" s="43"/>
      <c r="CK9" s="43"/>
      <c r="CL9" s="45"/>
      <c r="CY9" s="49"/>
    </row>
    <row r="10" spans="1:103">
      <c r="A10" s="48"/>
      <c r="C10" t="str">
        <f>('Gestión de abastecimiento'!A11)</f>
        <v>0</v>
      </c>
      <c r="D10" s="39" t="str">
        <f>'Por Valoracion (3) Dimension'!B10</f>
        <v>0</v>
      </c>
      <c r="E10" s="39" t="str">
        <f>'Por Valoracion (3) Dimension 2'!D10</f>
        <v>0</v>
      </c>
      <c r="G10" s="41" t="s">
        <v>471</v>
      </c>
      <c r="O10" s="10" t="s">
        <v>343</v>
      </c>
      <c r="T10" s="10" t="s">
        <v>343</v>
      </c>
      <c r="Z10" s="48"/>
      <c r="AB10" t="str">
        <f>('Gestión de abastecimiento'!A11)</f>
        <v>0</v>
      </c>
      <c r="AC10" s="39" t="str">
        <f>'Por Valoracion (3) Dimension'!D10</f>
        <v>0</v>
      </c>
      <c r="AD10" s="39" t="str">
        <f>'Por Valoracion (3) Dimension 2'!D10</f>
        <v>0</v>
      </c>
      <c r="AF10" s="41" t="s">
        <v>471</v>
      </c>
      <c r="AN10" s="10" t="s">
        <v>344</v>
      </c>
      <c r="AS10" s="10" t="s">
        <v>344</v>
      </c>
      <c r="AY10" s="48"/>
      <c r="BA10" t="str">
        <f>('Gestión de abastecimiento'!A11)</f>
        <v>0</v>
      </c>
      <c r="BB10" s="39" t="str">
        <f>'Por Valoracion (3) Dimension'!F10</f>
        <v>0</v>
      </c>
      <c r="BC10" s="39" t="str">
        <f>'Por Valoracion (3) Dimension 2'!D10</f>
        <v>0</v>
      </c>
      <c r="BE10" s="41" t="s">
        <v>471</v>
      </c>
      <c r="BM10" s="10" t="s">
        <v>345</v>
      </c>
      <c r="BR10" s="10" t="s">
        <v>345</v>
      </c>
      <c r="BX10" s="48"/>
      <c r="BZ10" s="49"/>
      <c r="CB10" t="str">
        <f>('Gestión de abastecimiento'!A11)</f>
        <v>0</v>
      </c>
      <c r="CC10" s="39" t="str">
        <f>'Por Valoracion (3) Dimension 2'!B10</f>
        <v>0</v>
      </c>
      <c r="CD10" s="39" t="str">
        <f>'Por Valoracion (3) Dimension'!H10</f>
        <v>0</v>
      </c>
      <c r="CF10" s="41" t="s">
        <v>471</v>
      </c>
      <c r="CN10" s="10" t="s">
        <v>346</v>
      </c>
      <c r="CS10" s="10" t="s">
        <v>346</v>
      </c>
      <c r="CY10" s="49"/>
    </row>
    <row r="11" spans="1:103">
      <c r="A11" s="48"/>
      <c r="C11" t="str">
        <f>('Gestión de abastecimiento'!A12)</f>
        <v>0</v>
      </c>
      <c r="D11" s="39" t="str">
        <f>'Por Valoracion (3) Dimension'!B11</f>
        <v>0</v>
      </c>
      <c r="E11" s="39" t="str">
        <f>'Por Valoracion (3) Dimension 2'!D11</f>
        <v>0</v>
      </c>
      <c r="O11" s="42" t="s">
        <v>472</v>
      </c>
      <c r="P11" s="12"/>
      <c r="Q11" s="12"/>
      <c r="R11" s="12"/>
      <c r="T11" s="42" t="s">
        <v>472</v>
      </c>
      <c r="U11" s="12"/>
      <c r="V11" s="12"/>
      <c r="W11" s="12"/>
      <c r="X11" s="12"/>
      <c r="Z11" s="48"/>
      <c r="AB11" t="str">
        <f>('Gestión de abastecimiento'!A12)</f>
        <v>0</v>
      </c>
      <c r="AC11" s="39" t="str">
        <f>'Por Valoracion (3) Dimension'!D11</f>
        <v>0</v>
      </c>
      <c r="AD11" s="39" t="str">
        <f>'Por Valoracion (3) Dimension 2'!D11</f>
        <v>0</v>
      </c>
      <c r="AN11" s="42" t="s">
        <v>472</v>
      </c>
      <c r="AO11" s="12"/>
      <c r="AP11" s="12"/>
      <c r="AQ11" s="12"/>
      <c r="AS11" s="42" t="s">
        <v>472</v>
      </c>
      <c r="AT11" s="12"/>
      <c r="AU11" s="12"/>
      <c r="AV11" s="12"/>
      <c r="AW11" s="12"/>
      <c r="AY11" s="48"/>
      <c r="BA11" t="str">
        <f>('Gestión de abastecimiento'!A12)</f>
        <v>0</v>
      </c>
      <c r="BB11" s="39" t="str">
        <f>'Por Valoracion (3) Dimension'!F11</f>
        <v>0</v>
      </c>
      <c r="BC11" s="39" t="str">
        <f>'Por Valoracion (3) Dimension 2'!D11</f>
        <v>0</v>
      </c>
      <c r="BM11" s="42" t="s">
        <v>472</v>
      </c>
      <c r="BN11" s="12"/>
      <c r="BO11" s="12"/>
      <c r="BP11" s="12"/>
      <c r="BR11" s="42" t="s">
        <v>472</v>
      </c>
      <c r="BS11" s="12"/>
      <c r="BT11" s="12"/>
      <c r="BU11" s="12"/>
      <c r="BV11" s="12"/>
      <c r="BX11" s="48"/>
      <c r="BZ11" s="49"/>
      <c r="CB11" t="str">
        <f>('Gestión de abastecimiento'!A12)</f>
        <v>0</v>
      </c>
      <c r="CC11" s="39" t="str">
        <f>'Por Valoracion (3) Dimension 2'!B11</f>
        <v>0</v>
      </c>
      <c r="CD11" s="39" t="str">
        <f>'Por Valoracion (3) Dimension'!H11</f>
        <v>0</v>
      </c>
      <c r="CN11" s="42" t="s">
        <v>472</v>
      </c>
      <c r="CO11" s="12"/>
      <c r="CP11" s="12"/>
      <c r="CQ11" s="12"/>
      <c r="CS11" s="42" t="s">
        <v>472</v>
      </c>
      <c r="CT11" s="12"/>
      <c r="CU11" s="12"/>
      <c r="CV11" s="12"/>
      <c r="CW11" s="12"/>
      <c r="CY11" s="49"/>
    </row>
    <row r="12" spans="1:103">
      <c r="A12" s="48"/>
      <c r="C12" t="str">
        <f>('Gestión de abastecimiento'!A13)</f>
        <v>0</v>
      </c>
      <c r="D12" s="39" t="str">
        <f>'Por Valoracion (3) Dimension'!B12</f>
        <v>0</v>
      </c>
      <c r="E12" s="39" t="str">
        <f>'Por Valoracion (3) Dimension 2'!D12</f>
        <v>0</v>
      </c>
      <c r="G12" s="27" t="str">
        <f>CONCATENATE("en la ",G4," y basándose en la prueba de ",F298," se puede observar que, ","con una probabilidad de error de ",D299,"% para la ",D297," ",D298," y ",E299,"% para la ",E297," ",E298,", ",G298,H298, " por tal motivo se procederá a utilizar ",I298,".")</f>
        <v>0</v>
      </c>
      <c r="O12" s="12"/>
      <c r="P12" s="12"/>
      <c r="Q12" s="42" t="str">
        <f>D3</f>
        <v>0</v>
      </c>
      <c r="R12" s="42" t="str">
        <f>E3</f>
        <v>0</v>
      </c>
      <c r="T12" s="12"/>
      <c r="U12" s="12"/>
      <c r="V12" s="12"/>
      <c r="W12" s="42" t="str">
        <f>D3</f>
        <v>0</v>
      </c>
      <c r="X12" s="42" t="str">
        <f>E3</f>
        <v>0</v>
      </c>
      <c r="Z12" s="48"/>
      <c r="AB12" t="str">
        <f>('Gestión de abastecimiento'!A13)</f>
        <v>0</v>
      </c>
      <c r="AC12" s="39" t="str">
        <f>'Por Valoracion (3) Dimension'!D12</f>
        <v>0</v>
      </c>
      <c r="AD12" s="39" t="str">
        <f>'Por Valoracion (3) Dimension 2'!D12</f>
        <v>0</v>
      </c>
      <c r="AF12" s="27" t="str">
        <f>CONCATENATE("en la ",AF4," y basándose en la prueba de ",AE298," se puede observar que, ","con una probabilidad de error de ",AC299,"% para la ",AC297," ",AC298," y ",AD299,"% para la ",AD297," ",AD298,", ",AF298,AG298, " por tal motivo se procederá a utilizar ",AH298,".")</f>
        <v>0</v>
      </c>
      <c r="AN12" s="12"/>
      <c r="AO12" s="12"/>
      <c r="AP12" s="42" t="str">
        <f>AC3</f>
        <v>0</v>
      </c>
      <c r="AQ12" s="42" t="str">
        <f>AD3</f>
        <v>0</v>
      </c>
      <c r="AS12" s="12"/>
      <c r="AT12" s="12"/>
      <c r="AU12" s="12"/>
      <c r="AV12" s="42" t="str">
        <f>AC3</f>
        <v>0</v>
      </c>
      <c r="AW12" s="42" t="str">
        <f>AD3</f>
        <v>0</v>
      </c>
      <c r="AY12" s="48"/>
      <c r="BA12" t="str">
        <f>('Gestión de abastecimiento'!A13)</f>
        <v>0</v>
      </c>
      <c r="BB12" s="39" t="str">
        <f>'Por Valoracion (3) Dimension'!F12</f>
        <v>0</v>
      </c>
      <c r="BC12" s="39" t="str">
        <f>'Por Valoracion (3) Dimension 2'!D12</f>
        <v>0</v>
      </c>
      <c r="BE12" s="27" t="str">
        <f>CONCATENATE("en la ",BE4," y basándose en la prueba de ",BD298," se puede observar que, ","con una probabilidad de error de ",BB299,"% para la ",BB297," ",BB298," y ",BC299,"% para la ",BC297," ",BC298,", ",BE298,BF298, " por tal motivo se procederá a utilizar ",BG298,".")</f>
        <v>0</v>
      </c>
      <c r="BM12" s="12"/>
      <c r="BN12" s="12"/>
      <c r="BO12" s="42" t="str">
        <f>BB3</f>
        <v>0</v>
      </c>
      <c r="BP12" s="42" t="str">
        <f>BC3</f>
        <v>0</v>
      </c>
      <c r="BR12" s="12"/>
      <c r="BS12" s="12"/>
      <c r="BT12" s="12"/>
      <c r="BU12" s="42" t="str">
        <f>BB3</f>
        <v>0</v>
      </c>
      <c r="BV12" s="42" t="str">
        <f>BC3</f>
        <v>0</v>
      </c>
      <c r="BX12" s="48"/>
      <c r="BZ12" s="49"/>
      <c r="CB12" t="str">
        <f>('Gestión de abastecimiento'!A13)</f>
        <v>0</v>
      </c>
      <c r="CC12" s="39" t="str">
        <f>'Por Valoracion (3) Dimension 2'!B12</f>
        <v>0</v>
      </c>
      <c r="CD12" s="39" t="str">
        <f>'Por Valoracion (3) Dimension'!H12</f>
        <v>0</v>
      </c>
      <c r="CF12" s="27" t="str">
        <f>CONCATENATE("en la ",CF4," y basándose en la prueba de ",CE298," se puede observar que, ","con una probabilidad de error de ",CC299,"% para la ",CC297," ",CC298," y ",CD299,"% para la ",CD297," ",CD298,", ",CF298,CG298, " por tal motivo se procederá a utilizar ",CH298,".")</f>
        <v>0</v>
      </c>
      <c r="CN12" s="12"/>
      <c r="CO12" s="12"/>
      <c r="CP12" s="42" t="str">
        <f>CC3</f>
        <v>0</v>
      </c>
      <c r="CQ12" s="42" t="str">
        <f>CD3</f>
        <v>0</v>
      </c>
      <c r="CS12" s="12"/>
      <c r="CT12" s="12"/>
      <c r="CU12" s="12"/>
      <c r="CV12" s="42" t="str">
        <f>CC3</f>
        <v>0</v>
      </c>
      <c r="CW12" s="42" t="str">
        <f>CD3</f>
        <v>0</v>
      </c>
      <c r="CY12" s="49"/>
    </row>
    <row r="13" spans="1:103">
      <c r="A13" s="48"/>
      <c r="C13" t="str">
        <f>('Gestión de abastecimiento'!A14)</f>
        <v>0</v>
      </c>
      <c r="D13" s="39" t="str">
        <f>'Por Valoracion (3) Dimension'!B13</f>
        <v>0</v>
      </c>
      <c r="E13" s="39" t="str">
        <f>'Por Valoracion (3) Dimension 2'!D13</f>
        <v>0</v>
      </c>
      <c r="O13" s="41" t="str">
        <f>D3</f>
        <v>0</v>
      </c>
      <c r="P13" s="44" t="s">
        <v>473</v>
      </c>
      <c r="T13" s="44" t="s">
        <v>474</v>
      </c>
      <c r="U13" s="41" t="str">
        <f>D3</f>
        <v>0</v>
      </c>
      <c r="V13" s="44" t="s">
        <v>475</v>
      </c>
      <c r="Z13" s="48"/>
      <c r="AB13" t="str">
        <f>('Gestión de abastecimiento'!A14)</f>
        <v>0</v>
      </c>
      <c r="AC13" s="39" t="str">
        <f>'Por Valoracion (3) Dimension'!D13</f>
        <v>0</v>
      </c>
      <c r="AD13" s="39" t="str">
        <f>'Por Valoracion (3) Dimension 2'!D13</f>
        <v>0</v>
      </c>
      <c r="AN13" s="41" t="str">
        <f>AC3</f>
        <v>0</v>
      </c>
      <c r="AO13" s="44" t="s">
        <v>473</v>
      </c>
      <c r="AS13" s="44" t="s">
        <v>474</v>
      </c>
      <c r="AT13" s="41" t="str">
        <f>AC3</f>
        <v>0</v>
      </c>
      <c r="AU13" s="44" t="s">
        <v>475</v>
      </c>
      <c r="AY13" s="48"/>
      <c r="BA13" t="str">
        <f>('Gestión de abastecimiento'!A14)</f>
        <v>0</v>
      </c>
      <c r="BB13" s="39" t="str">
        <f>'Por Valoracion (3) Dimension'!F13</f>
        <v>0</v>
      </c>
      <c r="BC13" s="39" t="str">
        <f>'Por Valoracion (3) Dimension 2'!D13</f>
        <v>0</v>
      </c>
      <c r="BM13" s="41" t="str">
        <f>BB3</f>
        <v>0</v>
      </c>
      <c r="BN13" s="44" t="s">
        <v>473</v>
      </c>
      <c r="BR13" s="44" t="s">
        <v>474</v>
      </c>
      <c r="BS13" s="41" t="str">
        <f>BB3</f>
        <v>0</v>
      </c>
      <c r="BT13" s="44" t="s">
        <v>475</v>
      </c>
      <c r="BX13" s="48"/>
      <c r="BZ13" s="49"/>
      <c r="CB13" t="str">
        <f>('Gestión de abastecimiento'!A14)</f>
        <v>0</v>
      </c>
      <c r="CC13" s="39" t="str">
        <f>'Por Valoracion (3) Dimension 2'!B13</f>
        <v>0</v>
      </c>
      <c r="CD13" s="39" t="str">
        <f>'Por Valoracion (3) Dimension'!H13</f>
        <v>0</v>
      </c>
      <c r="CN13" s="41" t="str">
        <f>CC3</f>
        <v>0</v>
      </c>
      <c r="CO13" s="44" t="s">
        <v>473</v>
      </c>
      <c r="CS13" s="44" t="s">
        <v>474</v>
      </c>
      <c r="CT13" s="41" t="str">
        <f>CC3</f>
        <v>0</v>
      </c>
      <c r="CU13" s="44" t="s">
        <v>475</v>
      </c>
      <c r="CY13" s="49"/>
    </row>
    <row r="14" spans="1:103">
      <c r="A14" s="48"/>
      <c r="C14" t="str">
        <f>('Gestión de abastecimiento'!A15)</f>
        <v>0</v>
      </c>
      <c r="D14" s="39" t="str">
        <f>'Por Valoracion (3) Dimension'!B14</f>
        <v>0</v>
      </c>
      <c r="E14" s="39" t="str">
        <f>'Por Valoracion (3) Dimension 2'!D14</f>
        <v>0</v>
      </c>
      <c r="P14" s="44" t="s">
        <v>476</v>
      </c>
      <c r="V14" s="44" t="s">
        <v>476</v>
      </c>
      <c r="Z14" s="48"/>
      <c r="AB14" t="str">
        <f>('Gestión de abastecimiento'!A15)</f>
        <v>0</v>
      </c>
      <c r="AC14" s="39" t="str">
        <f>'Por Valoracion (3) Dimension'!D14</f>
        <v>0</v>
      </c>
      <c r="AD14" s="39" t="str">
        <f>'Por Valoracion (3) Dimension 2'!D14</f>
        <v>0</v>
      </c>
      <c r="AO14" s="44" t="s">
        <v>476</v>
      </c>
      <c r="AU14" s="44" t="s">
        <v>476</v>
      </c>
      <c r="AY14" s="48"/>
      <c r="BA14" t="str">
        <f>('Gestión de abastecimiento'!A15)</f>
        <v>0</v>
      </c>
      <c r="BB14" s="39" t="str">
        <f>'Por Valoracion (3) Dimension'!F14</f>
        <v>0</v>
      </c>
      <c r="BC14" s="39" t="str">
        <f>'Por Valoracion (3) Dimension 2'!D14</f>
        <v>0</v>
      </c>
      <c r="BN14" s="44" t="s">
        <v>476</v>
      </c>
      <c r="BT14" s="44" t="s">
        <v>476</v>
      </c>
      <c r="BX14" s="48"/>
      <c r="BZ14" s="49"/>
      <c r="CB14" t="str">
        <f>('Gestión de abastecimiento'!A15)</f>
        <v>0</v>
      </c>
      <c r="CC14" s="39" t="str">
        <f>'Por Valoracion (3) Dimension 2'!B14</f>
        <v>0</v>
      </c>
      <c r="CD14" s="39" t="str">
        <f>'Por Valoracion (3) Dimension'!H14</f>
        <v>0</v>
      </c>
      <c r="CO14" s="44" t="s">
        <v>476</v>
      </c>
      <c r="CU14" s="44" t="s">
        <v>476</v>
      </c>
      <c r="CY14" s="49"/>
    </row>
    <row r="15" spans="1:103">
      <c r="A15" s="48"/>
      <c r="C15" t="str">
        <f>('Gestión de abastecimiento'!A16)</f>
        <v>0</v>
      </c>
      <c r="D15" s="39" t="str">
        <f>'Por Valoracion (3) Dimension'!B15</f>
        <v>0</v>
      </c>
      <c r="E15" s="39" t="str">
        <f>'Por Valoracion (3) Dimension 2'!D15</f>
        <v>0</v>
      </c>
      <c r="P15" s="44" t="s">
        <v>477</v>
      </c>
      <c r="V15" s="44" t="s">
        <v>477</v>
      </c>
      <c r="Z15" s="48"/>
      <c r="AB15" t="str">
        <f>('Gestión de abastecimiento'!A16)</f>
        <v>0</v>
      </c>
      <c r="AC15" s="39" t="str">
        <f>'Por Valoracion (3) Dimension'!D15</f>
        <v>0</v>
      </c>
      <c r="AD15" s="39" t="str">
        <f>'Por Valoracion (3) Dimension 2'!D15</f>
        <v>0</v>
      </c>
      <c r="AO15" s="44" t="s">
        <v>477</v>
      </c>
      <c r="AU15" s="44" t="s">
        <v>477</v>
      </c>
      <c r="AY15" s="48"/>
      <c r="BA15" t="str">
        <f>('Gestión de abastecimiento'!A16)</f>
        <v>0</v>
      </c>
      <c r="BB15" s="39" t="str">
        <f>'Por Valoracion (3) Dimension'!F15</f>
        <v>0</v>
      </c>
      <c r="BC15" s="39" t="str">
        <f>'Por Valoracion (3) Dimension 2'!D15</f>
        <v>0</v>
      </c>
      <c r="BN15" s="44" t="s">
        <v>477</v>
      </c>
      <c r="BT15" s="44" t="s">
        <v>477</v>
      </c>
      <c r="BX15" s="48"/>
      <c r="BZ15" s="49"/>
      <c r="CB15" t="str">
        <f>('Gestión de abastecimiento'!A16)</f>
        <v>0</v>
      </c>
      <c r="CC15" s="39" t="str">
        <f>'Por Valoracion (3) Dimension 2'!B15</f>
        <v>0</v>
      </c>
      <c r="CD15" s="39" t="str">
        <f>'Por Valoracion (3) Dimension'!H15</f>
        <v>0</v>
      </c>
      <c r="CO15" s="44" t="s">
        <v>477</v>
      </c>
      <c r="CU15" s="44" t="s">
        <v>477</v>
      </c>
      <c r="CY15" s="49"/>
    </row>
    <row r="16" spans="1:103">
      <c r="A16" s="48"/>
      <c r="C16" t="str">
        <f>('Gestión de abastecimiento'!A17)</f>
        <v>0</v>
      </c>
      <c r="D16" s="39" t="str">
        <f>'Por Valoracion (3) Dimension'!B16</f>
        <v>0</v>
      </c>
      <c r="E16" s="39" t="str">
        <f>'Por Valoracion (3) Dimension 2'!D16</f>
        <v>0</v>
      </c>
      <c r="O16" s="41" t="str">
        <f>E3</f>
        <v>0</v>
      </c>
      <c r="P16" s="44" t="s">
        <v>473</v>
      </c>
      <c r="U16" s="41" t="str">
        <f>E3</f>
        <v>0</v>
      </c>
      <c r="V16" s="44" t="s">
        <v>475</v>
      </c>
      <c r="Z16" s="48"/>
      <c r="AB16" t="str">
        <f>('Gestión de abastecimiento'!A17)</f>
        <v>0</v>
      </c>
      <c r="AC16" s="39" t="str">
        <f>'Por Valoracion (3) Dimension'!D16</f>
        <v>0</v>
      </c>
      <c r="AD16" s="39" t="str">
        <f>'Por Valoracion (3) Dimension 2'!D16</f>
        <v>0</v>
      </c>
      <c r="AN16" s="41" t="str">
        <f>AD3</f>
        <v>0</v>
      </c>
      <c r="AO16" s="44" t="s">
        <v>473</v>
      </c>
      <c r="AT16" s="41" t="str">
        <f>AD3</f>
        <v>0</v>
      </c>
      <c r="AU16" s="44" t="s">
        <v>475</v>
      </c>
      <c r="AY16" s="48"/>
      <c r="BA16" t="str">
        <f>('Gestión de abastecimiento'!A17)</f>
        <v>0</v>
      </c>
      <c r="BB16" s="39" t="str">
        <f>'Por Valoracion (3) Dimension'!F16</f>
        <v>0</v>
      </c>
      <c r="BC16" s="39" t="str">
        <f>'Por Valoracion (3) Dimension 2'!D16</f>
        <v>0</v>
      </c>
      <c r="BM16" s="41" t="str">
        <f>BC3</f>
        <v>0</v>
      </c>
      <c r="BN16" s="44" t="s">
        <v>473</v>
      </c>
      <c r="BS16" s="41" t="str">
        <f>BC3</f>
        <v>0</v>
      </c>
      <c r="BT16" s="44" t="s">
        <v>475</v>
      </c>
      <c r="BX16" s="48"/>
      <c r="BZ16" s="49"/>
      <c r="CB16" t="str">
        <f>('Gestión de abastecimiento'!A17)</f>
        <v>0</v>
      </c>
      <c r="CC16" s="39" t="str">
        <f>'Por Valoracion (3) Dimension 2'!B16</f>
        <v>0</v>
      </c>
      <c r="CD16" s="39" t="str">
        <f>'Por Valoracion (3) Dimension'!H16</f>
        <v>0</v>
      </c>
      <c r="CN16" s="41" t="str">
        <f>CD3</f>
        <v>0</v>
      </c>
      <c r="CO16" s="44" t="s">
        <v>473</v>
      </c>
      <c r="CT16" s="41" t="str">
        <f>CD3</f>
        <v>0</v>
      </c>
      <c r="CU16" s="44" t="s">
        <v>475</v>
      </c>
      <c r="CY16" s="49"/>
    </row>
    <row r="17" spans="1:103">
      <c r="A17" s="48"/>
      <c r="C17" t="str">
        <f>('Gestión de abastecimiento'!A18)</f>
        <v>0</v>
      </c>
      <c r="D17" s="39" t="str">
        <f>'Por Valoracion (3) Dimension'!B17</f>
        <v>0</v>
      </c>
      <c r="E17" s="39" t="str">
        <f>'Por Valoracion (3) Dimension 2'!D17</f>
        <v>0</v>
      </c>
      <c r="P17" s="44" t="s">
        <v>476</v>
      </c>
      <c r="V17" s="44" t="s">
        <v>476</v>
      </c>
      <c r="Z17" s="48"/>
      <c r="AB17" t="str">
        <f>('Gestión de abastecimiento'!A18)</f>
        <v>0</v>
      </c>
      <c r="AC17" s="39" t="str">
        <f>'Por Valoracion (3) Dimension'!D17</f>
        <v>0</v>
      </c>
      <c r="AD17" s="39" t="str">
        <f>'Por Valoracion (3) Dimension 2'!D17</f>
        <v>0</v>
      </c>
      <c r="AO17" s="44" t="s">
        <v>476</v>
      </c>
      <c r="AU17" s="44" t="s">
        <v>476</v>
      </c>
      <c r="AY17" s="48"/>
      <c r="BA17" t="str">
        <f>('Gestión de abastecimiento'!A18)</f>
        <v>0</v>
      </c>
      <c r="BB17" s="39" t="str">
        <f>'Por Valoracion (3) Dimension'!F17</f>
        <v>0</v>
      </c>
      <c r="BC17" s="39" t="str">
        <f>'Por Valoracion (3) Dimension 2'!D17</f>
        <v>0</v>
      </c>
      <c r="BN17" s="44" t="s">
        <v>476</v>
      </c>
      <c r="BT17" s="44" t="s">
        <v>476</v>
      </c>
      <c r="BX17" s="48"/>
      <c r="BZ17" s="49"/>
      <c r="CB17" t="str">
        <f>('Gestión de abastecimiento'!A18)</f>
        <v>0</v>
      </c>
      <c r="CC17" s="39" t="str">
        <f>'Por Valoracion (3) Dimension 2'!B17</f>
        <v>0</v>
      </c>
      <c r="CD17" s="39" t="str">
        <f>'Por Valoracion (3) Dimension'!H17</f>
        <v>0</v>
      </c>
      <c r="CO17" s="44" t="s">
        <v>476</v>
      </c>
      <c r="CU17" s="44" t="s">
        <v>476</v>
      </c>
      <c r="CY17" s="49"/>
    </row>
    <row r="18" spans="1:103">
      <c r="A18" s="48"/>
      <c r="C18" t="str">
        <f>('Gestión de abastecimiento'!A19)</f>
        <v>0</v>
      </c>
      <c r="D18" s="39" t="str">
        <f>'Por Valoracion (3) Dimension'!B18</f>
        <v>0</v>
      </c>
      <c r="E18" s="39" t="str">
        <f>'Por Valoracion (3) Dimension 2'!D18</f>
        <v>0</v>
      </c>
      <c r="O18" s="12"/>
      <c r="P18" s="43" t="s">
        <v>477</v>
      </c>
      <c r="Q18" s="12"/>
      <c r="R18" s="12"/>
      <c r="T18" s="12"/>
      <c r="U18" s="12"/>
      <c r="V18" s="43" t="s">
        <v>477</v>
      </c>
      <c r="W18" s="12"/>
      <c r="X18" s="12"/>
      <c r="Z18" s="48"/>
      <c r="AB18" t="str">
        <f>('Gestión de abastecimiento'!A19)</f>
        <v>0</v>
      </c>
      <c r="AC18" s="39" t="str">
        <f>'Por Valoracion (3) Dimension'!D18</f>
        <v>0</v>
      </c>
      <c r="AD18" s="39" t="str">
        <f>'Por Valoracion (3) Dimension 2'!D18</f>
        <v>0</v>
      </c>
      <c r="AN18" s="12"/>
      <c r="AO18" s="43" t="s">
        <v>477</v>
      </c>
      <c r="AP18" s="12"/>
      <c r="AQ18" s="12"/>
      <c r="AS18" s="12"/>
      <c r="AT18" s="12"/>
      <c r="AU18" s="43" t="s">
        <v>477</v>
      </c>
      <c r="AV18" s="12"/>
      <c r="AW18" s="12"/>
      <c r="AY18" s="48"/>
      <c r="BA18" t="str">
        <f>('Gestión de abastecimiento'!A19)</f>
        <v>0</v>
      </c>
      <c r="BB18" s="39" t="str">
        <f>'Por Valoracion (3) Dimension'!F18</f>
        <v>0</v>
      </c>
      <c r="BC18" s="39" t="str">
        <f>'Por Valoracion (3) Dimension 2'!D18</f>
        <v>0</v>
      </c>
      <c r="BM18" s="12"/>
      <c r="BN18" s="43" t="s">
        <v>477</v>
      </c>
      <c r="BO18" s="12"/>
      <c r="BP18" s="12"/>
      <c r="BR18" s="12"/>
      <c r="BS18" s="12"/>
      <c r="BT18" s="43" t="s">
        <v>477</v>
      </c>
      <c r="BU18" s="12"/>
      <c r="BV18" s="12"/>
      <c r="BX18" s="48"/>
      <c r="BZ18" s="49"/>
      <c r="CB18" t="str">
        <f>('Gestión de abastecimiento'!A19)</f>
        <v>0</v>
      </c>
      <c r="CC18" s="39" t="str">
        <f>'Por Valoracion (3) Dimension 2'!B18</f>
        <v>0</v>
      </c>
      <c r="CD18" s="39" t="str">
        <f>'Por Valoracion (3) Dimension'!H18</f>
        <v>0</v>
      </c>
      <c r="CN18" s="12"/>
      <c r="CO18" s="43" t="s">
        <v>477</v>
      </c>
      <c r="CP18" s="12"/>
      <c r="CQ18" s="12"/>
      <c r="CS18" s="12"/>
      <c r="CT18" s="12"/>
      <c r="CU18" s="43" t="s">
        <v>477</v>
      </c>
      <c r="CV18" s="12"/>
      <c r="CW18" s="12"/>
      <c r="CY18" s="49"/>
    </row>
    <row r="19" spans="1:103">
      <c r="A19" s="48"/>
      <c r="C19" t="str">
        <f>('Gestión de abastecimiento'!A20)</f>
        <v>0</v>
      </c>
      <c r="D19" s="39" t="str">
        <f>'Por Valoracion (3) Dimension'!B19</f>
        <v>0</v>
      </c>
      <c r="E19" s="39" t="str">
        <f>'Por Valoracion (3) Dimension 2'!D19</f>
        <v>0</v>
      </c>
      <c r="O19" s="41" t="s">
        <v>478</v>
      </c>
      <c r="T19" s="41" t="s">
        <v>478</v>
      </c>
      <c r="Z19" s="48"/>
      <c r="AB19" t="str">
        <f>('Gestión de abastecimiento'!A20)</f>
        <v>0</v>
      </c>
      <c r="AC19" s="39" t="str">
        <f>'Por Valoracion (3) Dimension'!D19</f>
        <v>0</v>
      </c>
      <c r="AD19" s="39" t="str">
        <f>'Por Valoracion (3) Dimension 2'!D19</f>
        <v>0</v>
      </c>
      <c r="AN19" s="41" t="s">
        <v>478</v>
      </c>
      <c r="AS19" s="41" t="s">
        <v>478</v>
      </c>
      <c r="AY19" s="48"/>
      <c r="BA19" t="str">
        <f>('Gestión de abastecimiento'!A20)</f>
        <v>0</v>
      </c>
      <c r="BB19" s="39" t="str">
        <f>'Por Valoracion (3) Dimension'!F19</f>
        <v>0</v>
      </c>
      <c r="BC19" s="39" t="str">
        <f>'Por Valoracion (3) Dimension 2'!D19</f>
        <v>0</v>
      </c>
      <c r="BM19" s="41" t="s">
        <v>478</v>
      </c>
      <c r="BR19" s="41" t="s">
        <v>478</v>
      </c>
      <c r="BX19" s="48"/>
      <c r="BZ19" s="49"/>
      <c r="CB19" t="str">
        <f>('Gestión de abastecimiento'!A20)</f>
        <v>0</v>
      </c>
      <c r="CC19" s="39" t="str">
        <f>'Por Valoracion (3) Dimension 2'!B19</f>
        <v>0</v>
      </c>
      <c r="CD19" s="39" t="str">
        <f>'Por Valoracion (3) Dimension'!H19</f>
        <v>0</v>
      </c>
      <c r="CN19" s="41" t="s">
        <v>478</v>
      </c>
      <c r="CS19" s="41" t="s">
        <v>478</v>
      </c>
      <c r="CY19" s="49"/>
    </row>
    <row r="20" spans="1:103">
      <c r="A20" s="48"/>
      <c r="C20" t="str">
        <f>('Gestión de abastecimiento'!A21)</f>
        <v>0</v>
      </c>
      <c r="D20" s="39" t="str">
        <f>'Por Valoracion (3) Dimension'!B20</f>
        <v>0</v>
      </c>
      <c r="E20" s="39" t="str">
        <f>'Por Valoracion (3) Dimension 2'!D20</f>
        <v>0</v>
      </c>
      <c r="Z20" s="48"/>
      <c r="AB20" t="str">
        <f>('Gestión de abastecimiento'!A21)</f>
        <v>0</v>
      </c>
      <c r="AC20" s="39" t="str">
        <f>'Por Valoracion (3) Dimension'!D20</f>
        <v>0</v>
      </c>
      <c r="AD20" s="39" t="str">
        <f>'Por Valoracion (3) Dimension 2'!D20</f>
        <v>0</v>
      </c>
      <c r="AY20" s="48"/>
      <c r="BA20" t="str">
        <f>('Gestión de abastecimiento'!A21)</f>
        <v>0</v>
      </c>
      <c r="BB20" s="39" t="str">
        <f>'Por Valoracion (3) Dimension'!F20</f>
        <v>0</v>
      </c>
      <c r="BC20" s="39" t="str">
        <f>'Por Valoracion (3) Dimension 2'!D20</f>
        <v>0</v>
      </c>
      <c r="BX20" s="48"/>
      <c r="BZ20" s="49"/>
      <c r="CB20" t="str">
        <f>('Gestión de abastecimiento'!A21)</f>
        <v>0</v>
      </c>
      <c r="CC20" s="39" t="str">
        <f>'Por Valoracion (3) Dimension 2'!B20</f>
        <v>0</v>
      </c>
      <c r="CD20" s="39" t="str">
        <f>'Por Valoracion (3) Dimension'!H20</f>
        <v>0</v>
      </c>
      <c r="CY20" s="49"/>
    </row>
    <row r="21" spans="1:103">
      <c r="A21" s="48"/>
      <c r="C21" t="str">
        <f>('Gestión de abastecimiento'!A22)</f>
        <v>0</v>
      </c>
      <c r="D21" s="39" t="str">
        <f>'Por Valoracion (3) Dimension'!B21</f>
        <v>0</v>
      </c>
      <c r="E21" s="39" t="str">
        <f>'Por Valoracion (3) Dimension 2'!D21</f>
        <v>0</v>
      </c>
      <c r="Z21" s="48"/>
      <c r="AB21" t="str">
        <f>('Gestión de abastecimiento'!A22)</f>
        <v>0</v>
      </c>
      <c r="AC21" s="39" t="str">
        <f>'Por Valoracion (3) Dimension'!D21</f>
        <v>0</v>
      </c>
      <c r="AD21" s="39" t="str">
        <f>'Por Valoracion (3) Dimension 2'!D21</f>
        <v>0</v>
      </c>
      <c r="AY21" s="48"/>
      <c r="BA21" t="str">
        <f>('Gestión de abastecimiento'!A22)</f>
        <v>0</v>
      </c>
      <c r="BB21" s="39" t="str">
        <f>'Por Valoracion (3) Dimension'!F21</f>
        <v>0</v>
      </c>
      <c r="BC21" s="39" t="str">
        <f>'Por Valoracion (3) Dimension 2'!D21</f>
        <v>0</v>
      </c>
      <c r="BX21" s="48"/>
      <c r="BZ21" s="49"/>
      <c r="CB21" t="str">
        <f>('Gestión de abastecimiento'!A22)</f>
        <v>0</v>
      </c>
      <c r="CC21" s="39" t="str">
        <f>'Por Valoracion (3) Dimension 2'!B21</f>
        <v>0</v>
      </c>
      <c r="CD21" s="39" t="str">
        <f>'Por Valoracion (3) Dimension'!H21</f>
        <v>0</v>
      </c>
      <c r="CY21" s="49"/>
    </row>
    <row r="22" spans="1:103">
      <c r="A22" s="48"/>
      <c r="C22" t="str">
        <f>('Gestión de abastecimiento'!A23)</f>
        <v>0</v>
      </c>
      <c r="D22" s="39" t="str">
        <f>'Por Valoracion (3) Dimension'!B22</f>
        <v>0</v>
      </c>
      <c r="E22" s="39" t="str">
        <f>'Por Valoracion (3) Dimension 2'!D22</f>
        <v>0</v>
      </c>
      <c r="Z22" s="48"/>
      <c r="AB22" t="str">
        <f>('Gestión de abastecimiento'!A23)</f>
        <v>0</v>
      </c>
      <c r="AC22" s="39" t="str">
        <f>'Por Valoracion (3) Dimension'!D22</f>
        <v>0</v>
      </c>
      <c r="AD22" s="39" t="str">
        <f>'Por Valoracion (3) Dimension 2'!D22</f>
        <v>0</v>
      </c>
      <c r="AY22" s="48"/>
      <c r="BA22" t="str">
        <f>('Gestión de abastecimiento'!A23)</f>
        <v>0</v>
      </c>
      <c r="BB22" s="39" t="str">
        <f>'Por Valoracion (3) Dimension'!F22</f>
        <v>0</v>
      </c>
      <c r="BC22" s="39" t="str">
        <f>'Por Valoracion (3) Dimension 2'!D22</f>
        <v>0</v>
      </c>
      <c r="BX22" s="48"/>
      <c r="BZ22" s="49"/>
      <c r="CB22" t="str">
        <f>('Gestión de abastecimiento'!A23)</f>
        <v>0</v>
      </c>
      <c r="CC22" s="39" t="str">
        <f>'Por Valoracion (3) Dimension 2'!B22</f>
        <v>0</v>
      </c>
      <c r="CD22" s="39" t="str">
        <f>'Por Valoracion (3) Dimension'!H22</f>
        <v>0</v>
      </c>
      <c r="CY22" s="49"/>
    </row>
    <row r="23" spans="1:103">
      <c r="A23" s="48"/>
      <c r="C23" t="str">
        <f>('Gestión de abastecimiento'!A24)</f>
        <v>0</v>
      </c>
      <c r="D23" s="39" t="str">
        <f>'Por Valoracion (3) Dimension'!B23</f>
        <v>0</v>
      </c>
      <c r="E23" s="39" t="str">
        <f>'Por Valoracion (3) Dimension 2'!D23</f>
        <v>0</v>
      </c>
      <c r="Z23" s="48"/>
      <c r="AB23" t="str">
        <f>('Gestión de abastecimiento'!A24)</f>
        <v>0</v>
      </c>
      <c r="AC23" s="39" t="str">
        <f>'Por Valoracion (3) Dimension'!D23</f>
        <v>0</v>
      </c>
      <c r="AD23" s="39" t="str">
        <f>'Por Valoracion (3) Dimension 2'!D23</f>
        <v>0</v>
      </c>
      <c r="AY23" s="48"/>
      <c r="BA23" t="str">
        <f>('Gestión de abastecimiento'!A24)</f>
        <v>0</v>
      </c>
      <c r="BB23" s="39" t="str">
        <f>'Por Valoracion (3) Dimension'!F23</f>
        <v>0</v>
      </c>
      <c r="BC23" s="39" t="str">
        <f>'Por Valoracion (3) Dimension 2'!D23</f>
        <v>0</v>
      </c>
      <c r="BX23" s="48"/>
      <c r="BZ23" s="49"/>
      <c r="CB23" t="str">
        <f>('Gestión de abastecimiento'!A24)</f>
        <v>0</v>
      </c>
      <c r="CC23" s="39" t="str">
        <f>'Por Valoracion (3) Dimension 2'!B23</f>
        <v>0</v>
      </c>
      <c r="CD23" s="39" t="str">
        <f>'Por Valoracion (3) Dimension'!H23</f>
        <v>0</v>
      </c>
      <c r="CY23" s="49"/>
    </row>
    <row r="24" spans="1:103">
      <c r="A24" s="48"/>
      <c r="C24" t="str">
        <f>('Gestión de abastecimiento'!A25)</f>
        <v>0</v>
      </c>
      <c r="D24" s="39" t="str">
        <f>'Por Valoracion (3) Dimension'!B24</f>
        <v>0</v>
      </c>
      <c r="E24" s="39" t="str">
        <f>'Por Valoracion (3) Dimension 2'!D24</f>
        <v>0</v>
      </c>
      <c r="Z24" s="48"/>
      <c r="AB24" t="str">
        <f>('Gestión de abastecimiento'!A25)</f>
        <v>0</v>
      </c>
      <c r="AC24" s="39" t="str">
        <f>'Por Valoracion (3) Dimension'!D24</f>
        <v>0</v>
      </c>
      <c r="AD24" s="39" t="str">
        <f>'Por Valoracion (3) Dimension 2'!D24</f>
        <v>0</v>
      </c>
      <c r="AY24" s="48"/>
      <c r="BA24" t="str">
        <f>('Gestión de abastecimiento'!A25)</f>
        <v>0</v>
      </c>
      <c r="BB24" s="39" t="str">
        <f>'Por Valoracion (3) Dimension'!F24</f>
        <v>0</v>
      </c>
      <c r="BC24" s="39" t="str">
        <f>'Por Valoracion (3) Dimension 2'!D24</f>
        <v>0</v>
      </c>
      <c r="BX24" s="48"/>
      <c r="BZ24" s="49"/>
      <c r="CB24" t="str">
        <f>('Gestión de abastecimiento'!A25)</f>
        <v>0</v>
      </c>
      <c r="CC24" s="39" t="str">
        <f>'Por Valoracion (3) Dimension 2'!B24</f>
        <v>0</v>
      </c>
      <c r="CD24" s="39" t="str">
        <f>'Por Valoracion (3) Dimension'!H24</f>
        <v>0</v>
      </c>
      <c r="CY24" s="49"/>
    </row>
    <row r="25" spans="1:103">
      <c r="A25" s="48"/>
      <c r="C25" t="str">
        <f>('Gestión de abastecimiento'!A26)</f>
        <v>0</v>
      </c>
      <c r="D25" s="39" t="str">
        <f>'Por Valoracion (3) Dimension'!B25</f>
        <v>0</v>
      </c>
      <c r="E25" s="39" t="str">
        <f>'Por Valoracion (3) Dimension 2'!D25</f>
        <v>0</v>
      </c>
      <c r="Z25" s="48"/>
      <c r="AB25" t="str">
        <f>('Gestión de abastecimiento'!A26)</f>
        <v>0</v>
      </c>
      <c r="AC25" s="39" t="str">
        <f>'Por Valoracion (3) Dimension'!D25</f>
        <v>0</v>
      </c>
      <c r="AD25" s="39" t="str">
        <f>'Por Valoracion (3) Dimension 2'!D25</f>
        <v>0</v>
      </c>
      <c r="AY25" s="48"/>
      <c r="BA25" t="str">
        <f>('Gestión de abastecimiento'!A26)</f>
        <v>0</v>
      </c>
      <c r="BB25" s="39" t="str">
        <f>'Por Valoracion (3) Dimension'!F25</f>
        <v>0</v>
      </c>
      <c r="BC25" s="39" t="str">
        <f>'Por Valoracion (3) Dimension 2'!D25</f>
        <v>0</v>
      </c>
      <c r="BX25" s="48"/>
      <c r="BZ25" s="49"/>
      <c r="CB25" t="str">
        <f>('Gestión de abastecimiento'!A26)</f>
        <v>0</v>
      </c>
      <c r="CC25" s="39" t="str">
        <f>'Por Valoracion (3) Dimension 2'!B25</f>
        <v>0</v>
      </c>
      <c r="CD25" s="39" t="str">
        <f>'Por Valoracion (3) Dimension'!H25</f>
        <v>0</v>
      </c>
      <c r="CY25" s="49"/>
    </row>
    <row r="26" spans="1:103">
      <c r="A26" s="48"/>
      <c r="C26" t="str">
        <f>('Gestión de abastecimiento'!A27)</f>
        <v>0</v>
      </c>
      <c r="D26" s="39" t="str">
        <f>'Por Valoracion (3) Dimension'!B26</f>
        <v>0</v>
      </c>
      <c r="E26" s="39" t="str">
        <f>'Por Valoracion (3) Dimension 2'!D26</f>
        <v>0</v>
      </c>
      <c r="Z26" s="48"/>
      <c r="AB26" t="str">
        <f>('Gestión de abastecimiento'!A27)</f>
        <v>0</v>
      </c>
      <c r="AC26" s="39" t="str">
        <f>'Por Valoracion (3) Dimension'!D26</f>
        <v>0</v>
      </c>
      <c r="AD26" s="39" t="str">
        <f>'Por Valoracion (3) Dimension 2'!D26</f>
        <v>0</v>
      </c>
      <c r="AY26" s="48"/>
      <c r="BA26" t="str">
        <f>('Gestión de abastecimiento'!A27)</f>
        <v>0</v>
      </c>
      <c r="BB26" s="39" t="str">
        <f>'Por Valoracion (3) Dimension'!F26</f>
        <v>0</v>
      </c>
      <c r="BC26" s="39" t="str">
        <f>'Por Valoracion (3) Dimension 2'!D26</f>
        <v>0</v>
      </c>
      <c r="BX26" s="48"/>
      <c r="BZ26" s="49"/>
      <c r="CB26" t="str">
        <f>('Gestión de abastecimiento'!A27)</f>
        <v>0</v>
      </c>
      <c r="CC26" s="39" t="str">
        <f>'Por Valoracion (3) Dimension 2'!B26</f>
        <v>0</v>
      </c>
      <c r="CD26" s="39" t="str">
        <f>'Por Valoracion (3) Dimension'!H26</f>
        <v>0</v>
      </c>
      <c r="CY26" s="49"/>
    </row>
    <row r="27" spans="1:103">
      <c r="A27" s="48"/>
      <c r="C27" t="str">
        <f>('Gestión de abastecimiento'!A28)</f>
        <v>0</v>
      </c>
      <c r="D27" s="39" t="str">
        <f>'Por Valoracion (3) Dimension'!B27</f>
        <v>0</v>
      </c>
      <c r="E27" s="39" t="str">
        <f>'Por Valoracion (3) Dimension 2'!D27</f>
        <v>0</v>
      </c>
      <c r="Z27" s="48"/>
      <c r="AB27" t="str">
        <f>('Gestión de abastecimiento'!A28)</f>
        <v>0</v>
      </c>
      <c r="AC27" s="39" t="str">
        <f>'Por Valoracion (3) Dimension'!D27</f>
        <v>0</v>
      </c>
      <c r="AD27" s="39" t="str">
        <f>'Por Valoracion (3) Dimension 2'!D27</f>
        <v>0</v>
      </c>
      <c r="AY27" s="48"/>
      <c r="BA27" t="str">
        <f>('Gestión de abastecimiento'!A28)</f>
        <v>0</v>
      </c>
      <c r="BB27" s="39" t="str">
        <f>'Por Valoracion (3) Dimension'!F27</f>
        <v>0</v>
      </c>
      <c r="BC27" s="39" t="str">
        <f>'Por Valoracion (3) Dimension 2'!D27</f>
        <v>0</v>
      </c>
      <c r="BX27" s="48"/>
      <c r="BZ27" s="49"/>
      <c r="CB27" t="str">
        <f>('Gestión de abastecimiento'!A28)</f>
        <v>0</v>
      </c>
      <c r="CC27" s="39" t="str">
        <f>'Por Valoracion (3) Dimension 2'!B27</f>
        <v>0</v>
      </c>
      <c r="CD27" s="39" t="str">
        <f>'Por Valoracion (3) Dimension'!H27</f>
        <v>0</v>
      </c>
      <c r="CY27" s="49"/>
    </row>
    <row r="28" spans="1:103">
      <c r="A28" s="48"/>
      <c r="C28" t="str">
        <f>('Gestión de abastecimiento'!A29)</f>
        <v>0</v>
      </c>
      <c r="D28" s="39" t="str">
        <f>'Por Valoracion (3) Dimension'!B28</f>
        <v>0</v>
      </c>
      <c r="E28" s="39" t="str">
        <f>'Por Valoracion (3) Dimension 2'!D28</f>
        <v>0</v>
      </c>
      <c r="Z28" s="48"/>
      <c r="AB28" t="str">
        <f>('Gestión de abastecimiento'!A29)</f>
        <v>0</v>
      </c>
      <c r="AC28" s="39" t="str">
        <f>'Por Valoracion (3) Dimension'!D28</f>
        <v>0</v>
      </c>
      <c r="AD28" s="39" t="str">
        <f>'Por Valoracion (3) Dimension 2'!D28</f>
        <v>0</v>
      </c>
      <c r="AY28" s="48"/>
      <c r="BA28" t="str">
        <f>('Gestión de abastecimiento'!A29)</f>
        <v>0</v>
      </c>
      <c r="BB28" s="39" t="str">
        <f>'Por Valoracion (3) Dimension'!F28</f>
        <v>0</v>
      </c>
      <c r="BC28" s="39" t="str">
        <f>'Por Valoracion (3) Dimension 2'!D28</f>
        <v>0</v>
      </c>
      <c r="BX28" s="48"/>
      <c r="BZ28" s="49"/>
      <c r="CB28" t="str">
        <f>('Gestión de abastecimiento'!A29)</f>
        <v>0</v>
      </c>
      <c r="CC28" s="39" t="str">
        <f>'Por Valoracion (3) Dimension 2'!B28</f>
        <v>0</v>
      </c>
      <c r="CD28" s="39" t="str">
        <f>'Por Valoracion (3) Dimension'!H28</f>
        <v>0</v>
      </c>
      <c r="CY28" s="49"/>
    </row>
    <row r="29" spans="1:103">
      <c r="A29" s="48"/>
      <c r="C29" t="str">
        <f>('Gestión de abastecimiento'!A30)</f>
        <v>0</v>
      </c>
      <c r="D29" s="39" t="str">
        <f>'Por Valoracion (3) Dimension'!B29</f>
        <v>0</v>
      </c>
      <c r="E29" s="39" t="str">
        <f>'Por Valoracion (3) Dimension 2'!D29</f>
        <v>0</v>
      </c>
      <c r="Z29" s="48"/>
      <c r="AB29" t="str">
        <f>('Gestión de abastecimiento'!A30)</f>
        <v>0</v>
      </c>
      <c r="AC29" s="39" t="str">
        <f>'Por Valoracion (3) Dimension'!D29</f>
        <v>0</v>
      </c>
      <c r="AD29" s="39" t="str">
        <f>'Por Valoracion (3) Dimension 2'!D29</f>
        <v>0</v>
      </c>
      <c r="AY29" s="48"/>
      <c r="BA29" t="str">
        <f>('Gestión de abastecimiento'!A30)</f>
        <v>0</v>
      </c>
      <c r="BB29" s="39" t="str">
        <f>'Por Valoracion (3) Dimension'!F29</f>
        <v>0</v>
      </c>
      <c r="BC29" s="39" t="str">
        <f>'Por Valoracion (3) Dimension 2'!D29</f>
        <v>0</v>
      </c>
      <c r="BX29" s="48"/>
      <c r="BZ29" s="49"/>
      <c r="CB29" t="str">
        <f>('Gestión de abastecimiento'!A30)</f>
        <v>0</v>
      </c>
      <c r="CC29" s="39" t="str">
        <f>'Por Valoracion (3) Dimension 2'!B29</f>
        <v>0</v>
      </c>
      <c r="CD29" s="39" t="str">
        <f>'Por Valoracion (3) Dimension'!H29</f>
        <v>0</v>
      </c>
      <c r="CY29" s="49"/>
    </row>
    <row r="30" spans="1:103">
      <c r="A30" s="48"/>
      <c r="C30" t="str">
        <f>('Gestión de abastecimiento'!A31)</f>
        <v>0</v>
      </c>
      <c r="D30" s="39" t="str">
        <f>'Por Valoracion (3) Dimension'!B30</f>
        <v>0</v>
      </c>
      <c r="E30" s="39" t="str">
        <f>'Por Valoracion (3) Dimension 2'!D30</f>
        <v>0</v>
      </c>
      <c r="Z30" s="48"/>
      <c r="AB30" t="str">
        <f>('Gestión de abastecimiento'!A31)</f>
        <v>0</v>
      </c>
      <c r="AC30" s="39" t="str">
        <f>'Por Valoracion (3) Dimension'!D30</f>
        <v>0</v>
      </c>
      <c r="AD30" s="39" t="str">
        <f>'Por Valoracion (3) Dimension 2'!D30</f>
        <v>0</v>
      </c>
      <c r="AY30" s="48"/>
      <c r="BA30" t="str">
        <f>('Gestión de abastecimiento'!A31)</f>
        <v>0</v>
      </c>
      <c r="BB30" s="39" t="str">
        <f>'Por Valoracion (3) Dimension'!F30</f>
        <v>0</v>
      </c>
      <c r="BC30" s="39" t="str">
        <f>'Por Valoracion (3) Dimension 2'!D30</f>
        <v>0</v>
      </c>
      <c r="BX30" s="48"/>
      <c r="BZ30" s="49"/>
      <c r="CB30" t="str">
        <f>('Gestión de abastecimiento'!A31)</f>
        <v>0</v>
      </c>
      <c r="CC30" s="39" t="str">
        <f>'Por Valoracion (3) Dimension 2'!B30</f>
        <v>0</v>
      </c>
      <c r="CD30" s="39" t="str">
        <f>'Por Valoracion (3) Dimension'!H30</f>
        <v>0</v>
      </c>
      <c r="CY30" s="49"/>
    </row>
    <row r="31" spans="1:103">
      <c r="A31" s="48"/>
      <c r="C31" t="str">
        <f>('Gestión de abastecimiento'!A32)</f>
        <v>0</v>
      </c>
      <c r="D31" s="39" t="str">
        <f>'Por Valoracion (3) Dimension'!B31</f>
        <v>0</v>
      </c>
      <c r="E31" s="39" t="str">
        <f>'Por Valoracion (3) Dimension 2'!D31</f>
        <v>0</v>
      </c>
      <c r="Z31" s="48"/>
      <c r="AB31" t="str">
        <f>('Gestión de abastecimiento'!A32)</f>
        <v>0</v>
      </c>
      <c r="AC31" s="39" t="str">
        <f>'Por Valoracion (3) Dimension'!D31</f>
        <v>0</v>
      </c>
      <c r="AD31" s="39" t="str">
        <f>'Por Valoracion (3) Dimension 2'!D31</f>
        <v>0</v>
      </c>
      <c r="AY31" s="48"/>
      <c r="BA31" t="str">
        <f>('Gestión de abastecimiento'!A32)</f>
        <v>0</v>
      </c>
      <c r="BB31" s="39" t="str">
        <f>'Por Valoracion (3) Dimension'!F31</f>
        <v>0</v>
      </c>
      <c r="BC31" s="39" t="str">
        <f>'Por Valoracion (3) Dimension 2'!D31</f>
        <v>0</v>
      </c>
      <c r="BX31" s="48"/>
      <c r="BZ31" s="49"/>
      <c r="CB31" t="str">
        <f>('Gestión de abastecimiento'!A32)</f>
        <v>0</v>
      </c>
      <c r="CC31" s="39" t="str">
        <f>'Por Valoracion (3) Dimension 2'!B31</f>
        <v>0</v>
      </c>
      <c r="CD31" s="39" t="str">
        <f>'Por Valoracion (3) Dimension'!H31</f>
        <v>0</v>
      </c>
      <c r="CY31" s="49"/>
    </row>
    <row r="32" spans="1:103">
      <c r="A32" s="48"/>
      <c r="C32" t="str">
        <f>('Gestión de abastecimiento'!A33)</f>
        <v>0</v>
      </c>
      <c r="D32" s="39" t="str">
        <f>'Por Valoracion (3) Dimension'!B32</f>
        <v>0</v>
      </c>
      <c r="E32" s="39" t="str">
        <f>'Por Valoracion (3) Dimension 2'!D32</f>
        <v>0</v>
      </c>
      <c r="Z32" s="48"/>
      <c r="AB32" t="str">
        <f>('Gestión de abastecimiento'!A33)</f>
        <v>0</v>
      </c>
      <c r="AC32" s="39" t="str">
        <f>'Por Valoracion (3) Dimension'!D32</f>
        <v>0</v>
      </c>
      <c r="AD32" s="39" t="str">
        <f>'Por Valoracion (3) Dimension 2'!D32</f>
        <v>0</v>
      </c>
      <c r="AY32" s="48"/>
      <c r="BA32" t="str">
        <f>('Gestión de abastecimiento'!A33)</f>
        <v>0</v>
      </c>
      <c r="BB32" s="39" t="str">
        <f>'Por Valoracion (3) Dimension'!F32</f>
        <v>0</v>
      </c>
      <c r="BC32" s="39" t="str">
        <f>'Por Valoracion (3) Dimension 2'!D32</f>
        <v>0</v>
      </c>
      <c r="BX32" s="48"/>
      <c r="BZ32" s="49"/>
      <c r="CB32" t="str">
        <f>('Gestión de abastecimiento'!A33)</f>
        <v>0</v>
      </c>
      <c r="CC32" s="39" t="str">
        <f>'Por Valoracion (3) Dimension 2'!B32</f>
        <v>0</v>
      </c>
      <c r="CD32" s="39" t="str">
        <f>'Por Valoracion (3) Dimension'!H32</f>
        <v>0</v>
      </c>
      <c r="CY32" s="49"/>
    </row>
    <row r="33" spans="1:103">
      <c r="A33" s="48"/>
      <c r="C33" t="str">
        <f>('Gestión de abastecimiento'!A34)</f>
        <v>0</v>
      </c>
      <c r="D33" s="39" t="str">
        <f>'Por Valoracion (3) Dimension'!B33</f>
        <v>0</v>
      </c>
      <c r="E33" s="39" t="str">
        <f>'Por Valoracion (3) Dimension 2'!D33</f>
        <v>0</v>
      </c>
      <c r="Z33" s="48"/>
      <c r="AB33" t="str">
        <f>('Gestión de abastecimiento'!A34)</f>
        <v>0</v>
      </c>
      <c r="AC33" s="39" t="str">
        <f>'Por Valoracion (3) Dimension'!D33</f>
        <v>0</v>
      </c>
      <c r="AD33" s="39" t="str">
        <f>'Por Valoracion (3) Dimension 2'!D33</f>
        <v>0</v>
      </c>
      <c r="AY33" s="48"/>
      <c r="BA33" t="str">
        <f>('Gestión de abastecimiento'!A34)</f>
        <v>0</v>
      </c>
      <c r="BB33" s="39" t="str">
        <f>'Por Valoracion (3) Dimension'!F33</f>
        <v>0</v>
      </c>
      <c r="BC33" s="39" t="str">
        <f>'Por Valoracion (3) Dimension 2'!D33</f>
        <v>0</v>
      </c>
      <c r="BX33" s="48"/>
      <c r="BZ33" s="49"/>
      <c r="CB33" t="str">
        <f>('Gestión de abastecimiento'!A34)</f>
        <v>0</v>
      </c>
      <c r="CC33" s="39" t="str">
        <f>'Por Valoracion (3) Dimension 2'!B33</f>
        <v>0</v>
      </c>
      <c r="CD33" s="39" t="str">
        <f>'Por Valoracion (3) Dimension'!H33</f>
        <v>0</v>
      </c>
      <c r="CY33" s="49"/>
    </row>
    <row r="34" spans="1:103">
      <c r="A34" s="48"/>
      <c r="C34" t="str">
        <f>('Gestión de abastecimiento'!A35)</f>
        <v>0</v>
      </c>
      <c r="D34" s="39" t="str">
        <f>'Por Valoracion (3) Dimension'!B34</f>
        <v>0</v>
      </c>
      <c r="E34" s="39" t="str">
        <f>'Por Valoracion (3) Dimension 2'!D34</f>
        <v>0</v>
      </c>
      <c r="Z34" s="48"/>
      <c r="AB34" t="str">
        <f>('Gestión de abastecimiento'!A35)</f>
        <v>0</v>
      </c>
      <c r="AC34" s="39" t="str">
        <f>'Por Valoracion (3) Dimension'!D34</f>
        <v>0</v>
      </c>
      <c r="AD34" s="39" t="str">
        <f>'Por Valoracion (3) Dimension 2'!D34</f>
        <v>0</v>
      </c>
      <c r="AY34" s="48"/>
      <c r="BA34" t="str">
        <f>('Gestión de abastecimiento'!A35)</f>
        <v>0</v>
      </c>
      <c r="BB34" s="39" t="str">
        <f>'Por Valoracion (3) Dimension'!F34</f>
        <v>0</v>
      </c>
      <c r="BC34" s="39" t="str">
        <f>'Por Valoracion (3) Dimension 2'!D34</f>
        <v>0</v>
      </c>
      <c r="BX34" s="48"/>
      <c r="BZ34" s="49"/>
      <c r="CB34" t="str">
        <f>('Gestión de abastecimiento'!A35)</f>
        <v>0</v>
      </c>
      <c r="CC34" s="39" t="str">
        <f>'Por Valoracion (3) Dimension 2'!B34</f>
        <v>0</v>
      </c>
      <c r="CD34" s="39" t="str">
        <f>'Por Valoracion (3) Dimension'!H34</f>
        <v>0</v>
      </c>
      <c r="CY34" s="49"/>
    </row>
    <row r="35" spans="1:103">
      <c r="A35" s="48"/>
      <c r="C35" t="str">
        <f>('Gestión de abastecimiento'!A36)</f>
        <v>0</v>
      </c>
      <c r="D35" s="39" t="str">
        <f>'Por Valoracion (3) Dimension'!B35</f>
        <v>0</v>
      </c>
      <c r="E35" s="39" t="str">
        <f>'Por Valoracion (3) Dimension 2'!D35</f>
        <v>0</v>
      </c>
      <c r="Z35" s="48"/>
      <c r="AB35" t="str">
        <f>('Gestión de abastecimiento'!A36)</f>
        <v>0</v>
      </c>
      <c r="AC35" s="39" t="str">
        <f>'Por Valoracion (3) Dimension'!D35</f>
        <v>0</v>
      </c>
      <c r="AD35" s="39" t="str">
        <f>'Por Valoracion (3) Dimension 2'!D35</f>
        <v>0</v>
      </c>
      <c r="AY35" s="48"/>
      <c r="BA35" t="str">
        <f>('Gestión de abastecimiento'!A36)</f>
        <v>0</v>
      </c>
      <c r="BB35" s="39" t="str">
        <f>'Por Valoracion (3) Dimension'!F35</f>
        <v>0</v>
      </c>
      <c r="BC35" s="39" t="str">
        <f>'Por Valoracion (3) Dimension 2'!D35</f>
        <v>0</v>
      </c>
      <c r="BX35" s="48"/>
      <c r="BZ35" s="49"/>
      <c r="CB35" t="str">
        <f>('Gestión de abastecimiento'!A36)</f>
        <v>0</v>
      </c>
      <c r="CC35" s="39" t="str">
        <f>'Por Valoracion (3) Dimension 2'!B35</f>
        <v>0</v>
      </c>
      <c r="CD35" s="39" t="str">
        <f>'Por Valoracion (3) Dimension'!H35</f>
        <v>0</v>
      </c>
      <c r="CY35" s="49"/>
    </row>
    <row r="36" spans="1:103">
      <c r="A36" s="48"/>
      <c r="C36" t="str">
        <f>('Gestión de abastecimiento'!A37)</f>
        <v>0</v>
      </c>
      <c r="D36" s="39" t="str">
        <f>'Por Valoracion (3) Dimension'!B36</f>
        <v>0</v>
      </c>
      <c r="E36" s="39" t="str">
        <f>'Por Valoracion (3) Dimension 2'!D36</f>
        <v>0</v>
      </c>
      <c r="Z36" s="48"/>
      <c r="AB36" t="str">
        <f>('Gestión de abastecimiento'!A37)</f>
        <v>0</v>
      </c>
      <c r="AC36" s="39" t="str">
        <f>'Por Valoracion (3) Dimension'!D36</f>
        <v>0</v>
      </c>
      <c r="AD36" s="39" t="str">
        <f>'Por Valoracion (3) Dimension 2'!D36</f>
        <v>0</v>
      </c>
      <c r="AY36" s="48"/>
      <c r="BA36" t="str">
        <f>('Gestión de abastecimiento'!A37)</f>
        <v>0</v>
      </c>
      <c r="BB36" s="39" t="str">
        <f>'Por Valoracion (3) Dimension'!F36</f>
        <v>0</v>
      </c>
      <c r="BC36" s="39" t="str">
        <f>'Por Valoracion (3) Dimension 2'!D36</f>
        <v>0</v>
      </c>
      <c r="BX36" s="48"/>
      <c r="BZ36" s="49"/>
      <c r="CB36" t="str">
        <f>('Gestión de abastecimiento'!A37)</f>
        <v>0</v>
      </c>
      <c r="CC36" s="39" t="str">
        <f>'Por Valoracion (3) Dimension 2'!B36</f>
        <v>0</v>
      </c>
      <c r="CD36" s="39" t="str">
        <f>'Por Valoracion (3) Dimension'!H36</f>
        <v>0</v>
      </c>
      <c r="CY36" s="49"/>
    </row>
    <row r="37" spans="1:103">
      <c r="A37" s="48"/>
      <c r="C37" t="str">
        <f>('Gestión de abastecimiento'!A38)</f>
        <v>0</v>
      </c>
      <c r="D37" s="39" t="str">
        <f>'Por Valoracion (3) Dimension'!B37</f>
        <v>0</v>
      </c>
      <c r="E37" s="39" t="str">
        <f>'Por Valoracion (3) Dimension 2'!D37</f>
        <v>0</v>
      </c>
      <c r="Z37" s="48"/>
      <c r="AB37" t="str">
        <f>('Gestión de abastecimiento'!A38)</f>
        <v>0</v>
      </c>
      <c r="AC37" s="39" t="str">
        <f>'Por Valoracion (3) Dimension'!D37</f>
        <v>0</v>
      </c>
      <c r="AD37" s="39" t="str">
        <f>'Por Valoracion (3) Dimension 2'!D37</f>
        <v>0</v>
      </c>
      <c r="AY37" s="48"/>
      <c r="BA37" t="str">
        <f>('Gestión de abastecimiento'!A38)</f>
        <v>0</v>
      </c>
      <c r="BB37" s="39" t="str">
        <f>'Por Valoracion (3) Dimension'!F37</f>
        <v>0</v>
      </c>
      <c r="BC37" s="39" t="str">
        <f>'Por Valoracion (3) Dimension 2'!D37</f>
        <v>0</v>
      </c>
      <c r="BX37" s="48"/>
      <c r="BZ37" s="49"/>
      <c r="CB37" t="str">
        <f>('Gestión de abastecimiento'!A38)</f>
        <v>0</v>
      </c>
      <c r="CC37" s="39" t="str">
        <f>'Por Valoracion (3) Dimension 2'!B37</f>
        <v>0</v>
      </c>
      <c r="CD37" s="39" t="str">
        <f>'Por Valoracion (3) Dimension'!H37</f>
        <v>0</v>
      </c>
      <c r="CY37" s="49"/>
    </row>
    <row r="38" spans="1:103">
      <c r="A38" s="48"/>
      <c r="C38" t="str">
        <f>('Gestión de abastecimiento'!A39)</f>
        <v>0</v>
      </c>
      <c r="D38" s="39" t="str">
        <f>'Por Valoracion (3) Dimension'!B38</f>
        <v>0</v>
      </c>
      <c r="E38" s="39" t="str">
        <f>'Por Valoracion (3) Dimension 2'!D38</f>
        <v>0</v>
      </c>
      <c r="Z38" s="48"/>
      <c r="AB38" t="str">
        <f>('Gestión de abastecimiento'!A39)</f>
        <v>0</v>
      </c>
      <c r="AC38" s="39" t="str">
        <f>'Por Valoracion (3) Dimension'!D38</f>
        <v>0</v>
      </c>
      <c r="AD38" s="39" t="str">
        <f>'Por Valoracion (3) Dimension 2'!D38</f>
        <v>0</v>
      </c>
      <c r="AY38" s="48"/>
      <c r="BA38" t="str">
        <f>('Gestión de abastecimiento'!A39)</f>
        <v>0</v>
      </c>
      <c r="BB38" s="39" t="str">
        <f>'Por Valoracion (3) Dimension'!F38</f>
        <v>0</v>
      </c>
      <c r="BC38" s="39" t="str">
        <f>'Por Valoracion (3) Dimension 2'!D38</f>
        <v>0</v>
      </c>
      <c r="BX38" s="48"/>
      <c r="BZ38" s="49"/>
      <c r="CB38" t="str">
        <f>('Gestión de abastecimiento'!A39)</f>
        <v>0</v>
      </c>
      <c r="CC38" s="39" t="str">
        <f>'Por Valoracion (3) Dimension 2'!B38</f>
        <v>0</v>
      </c>
      <c r="CD38" s="39" t="str">
        <f>'Por Valoracion (3) Dimension'!H38</f>
        <v>0</v>
      </c>
      <c r="CY38" s="49"/>
    </row>
    <row r="39" spans="1:103">
      <c r="A39" s="48"/>
      <c r="C39" t="str">
        <f>('Gestión de abastecimiento'!A40)</f>
        <v>0</v>
      </c>
      <c r="D39" s="39" t="str">
        <f>'Por Valoracion (3) Dimension'!B39</f>
        <v>0</v>
      </c>
      <c r="E39" s="39" t="str">
        <f>'Por Valoracion (3) Dimension 2'!D39</f>
        <v>0</v>
      </c>
      <c r="Z39" s="48"/>
      <c r="AB39" t="str">
        <f>('Gestión de abastecimiento'!A40)</f>
        <v>0</v>
      </c>
      <c r="AC39" s="39" t="str">
        <f>'Por Valoracion (3) Dimension'!D39</f>
        <v>0</v>
      </c>
      <c r="AD39" s="39" t="str">
        <f>'Por Valoracion (3) Dimension 2'!D39</f>
        <v>0</v>
      </c>
      <c r="AY39" s="48"/>
      <c r="BA39" t="str">
        <f>('Gestión de abastecimiento'!A40)</f>
        <v>0</v>
      </c>
      <c r="BB39" s="39" t="str">
        <f>'Por Valoracion (3) Dimension'!F39</f>
        <v>0</v>
      </c>
      <c r="BC39" s="39" t="str">
        <f>'Por Valoracion (3) Dimension 2'!D39</f>
        <v>0</v>
      </c>
      <c r="BX39" s="48"/>
      <c r="BZ39" s="49"/>
      <c r="CB39" t="str">
        <f>('Gestión de abastecimiento'!A40)</f>
        <v>0</v>
      </c>
      <c r="CC39" s="39" t="str">
        <f>'Por Valoracion (3) Dimension 2'!B39</f>
        <v>0</v>
      </c>
      <c r="CD39" s="39" t="str">
        <f>'Por Valoracion (3) Dimension'!H39</f>
        <v>0</v>
      </c>
      <c r="CY39" s="49"/>
    </row>
    <row r="40" spans="1:103">
      <c r="A40" s="48"/>
      <c r="C40" t="str">
        <f>('Gestión de abastecimiento'!A41)</f>
        <v>0</v>
      </c>
      <c r="D40" s="39" t="str">
        <f>'Por Valoracion (3) Dimension'!B40</f>
        <v>0</v>
      </c>
      <c r="E40" s="39" t="str">
        <f>'Por Valoracion (3) Dimension 2'!D40</f>
        <v>0</v>
      </c>
      <c r="Z40" s="48"/>
      <c r="AB40" t="str">
        <f>('Gestión de abastecimiento'!A41)</f>
        <v>0</v>
      </c>
      <c r="AC40" s="39" t="str">
        <f>'Por Valoracion (3) Dimension'!D40</f>
        <v>0</v>
      </c>
      <c r="AD40" s="39" t="str">
        <f>'Por Valoracion (3) Dimension 2'!D40</f>
        <v>0</v>
      </c>
      <c r="AY40" s="48"/>
      <c r="BA40" t="str">
        <f>('Gestión de abastecimiento'!A41)</f>
        <v>0</v>
      </c>
      <c r="BB40" s="39" t="str">
        <f>'Por Valoracion (3) Dimension'!F40</f>
        <v>0</v>
      </c>
      <c r="BC40" s="39" t="str">
        <f>'Por Valoracion (3) Dimension 2'!D40</f>
        <v>0</v>
      </c>
      <c r="BX40" s="48"/>
      <c r="BZ40" s="49"/>
      <c r="CB40" t="str">
        <f>('Gestión de abastecimiento'!A41)</f>
        <v>0</v>
      </c>
      <c r="CC40" s="39" t="str">
        <f>'Por Valoracion (3) Dimension 2'!B40</f>
        <v>0</v>
      </c>
      <c r="CD40" s="39" t="str">
        <f>'Por Valoracion (3) Dimension'!H40</f>
        <v>0</v>
      </c>
      <c r="CY40" s="49"/>
    </row>
    <row r="41" spans="1:103">
      <c r="A41" s="48"/>
      <c r="C41" t="str">
        <f>('Gestión de abastecimiento'!A42)</f>
        <v>0</v>
      </c>
      <c r="D41" s="39" t="str">
        <f>'Por Valoracion (3) Dimension'!B41</f>
        <v>0</v>
      </c>
      <c r="E41" s="39" t="str">
        <f>'Por Valoracion (3) Dimension 2'!D41</f>
        <v>0</v>
      </c>
      <c r="Z41" s="48"/>
      <c r="AB41" t="str">
        <f>('Gestión de abastecimiento'!A42)</f>
        <v>0</v>
      </c>
      <c r="AC41" s="39" t="str">
        <f>'Por Valoracion (3) Dimension'!D41</f>
        <v>0</v>
      </c>
      <c r="AD41" s="39" t="str">
        <f>'Por Valoracion (3) Dimension 2'!D41</f>
        <v>0</v>
      </c>
      <c r="AY41" s="48"/>
      <c r="BA41" t="str">
        <f>('Gestión de abastecimiento'!A42)</f>
        <v>0</v>
      </c>
      <c r="BB41" s="39" t="str">
        <f>'Por Valoracion (3) Dimension'!F41</f>
        <v>0</v>
      </c>
      <c r="BC41" s="39" t="str">
        <f>'Por Valoracion (3) Dimension 2'!D41</f>
        <v>0</v>
      </c>
      <c r="BX41" s="48"/>
      <c r="BZ41" s="49"/>
      <c r="CB41" t="str">
        <f>('Gestión de abastecimiento'!A42)</f>
        <v>0</v>
      </c>
      <c r="CC41" s="39" t="str">
        <f>'Por Valoracion (3) Dimension 2'!B41</f>
        <v>0</v>
      </c>
      <c r="CD41" s="39" t="str">
        <f>'Por Valoracion (3) Dimension'!H41</f>
        <v>0</v>
      </c>
      <c r="CY41" s="49"/>
    </row>
    <row r="42" spans="1:103">
      <c r="A42" s="48"/>
      <c r="C42" t="str">
        <f>('Gestión de abastecimiento'!A43)</f>
        <v>0</v>
      </c>
      <c r="D42" s="39" t="str">
        <f>'Por Valoracion (3) Dimension'!B42</f>
        <v>0</v>
      </c>
      <c r="E42" s="39" t="str">
        <f>'Por Valoracion (3) Dimension 2'!D42</f>
        <v>0</v>
      </c>
      <c r="Z42" s="48"/>
      <c r="AB42" t="str">
        <f>('Gestión de abastecimiento'!A43)</f>
        <v>0</v>
      </c>
      <c r="AC42" s="39" t="str">
        <f>'Por Valoracion (3) Dimension'!D42</f>
        <v>0</v>
      </c>
      <c r="AD42" s="39" t="str">
        <f>'Por Valoracion (3) Dimension 2'!D42</f>
        <v>0</v>
      </c>
      <c r="AY42" s="48"/>
      <c r="BA42" t="str">
        <f>('Gestión de abastecimiento'!A43)</f>
        <v>0</v>
      </c>
      <c r="BB42" s="39" t="str">
        <f>'Por Valoracion (3) Dimension'!F42</f>
        <v>0</v>
      </c>
      <c r="BC42" s="39" t="str">
        <f>'Por Valoracion (3) Dimension 2'!D42</f>
        <v>0</v>
      </c>
      <c r="BX42" s="48"/>
      <c r="BZ42" s="49"/>
      <c r="CB42" t="str">
        <f>('Gestión de abastecimiento'!A43)</f>
        <v>0</v>
      </c>
      <c r="CC42" s="39" t="str">
        <f>'Por Valoracion (3) Dimension 2'!B42</f>
        <v>0</v>
      </c>
      <c r="CD42" s="39" t="str">
        <f>'Por Valoracion (3) Dimension'!H42</f>
        <v>0</v>
      </c>
      <c r="CY42" s="49"/>
    </row>
    <row r="43" spans="1:103">
      <c r="A43" s="48"/>
      <c r="C43" t="str">
        <f>('Gestión de abastecimiento'!A44)</f>
        <v>0</v>
      </c>
      <c r="D43" s="39" t="str">
        <f>'Por Valoracion (3) Dimension'!B43</f>
        <v>0</v>
      </c>
      <c r="E43" s="39" t="str">
        <f>'Por Valoracion (3) Dimension 2'!D43</f>
        <v>0</v>
      </c>
      <c r="Z43" s="48"/>
      <c r="AB43" t="str">
        <f>('Gestión de abastecimiento'!A44)</f>
        <v>0</v>
      </c>
      <c r="AC43" s="39" t="str">
        <f>'Por Valoracion (3) Dimension'!D43</f>
        <v>0</v>
      </c>
      <c r="AD43" s="39" t="str">
        <f>'Por Valoracion (3) Dimension 2'!D43</f>
        <v>0</v>
      </c>
      <c r="AY43" s="48"/>
      <c r="BA43" t="str">
        <f>('Gestión de abastecimiento'!A44)</f>
        <v>0</v>
      </c>
      <c r="BB43" s="39" t="str">
        <f>'Por Valoracion (3) Dimension'!F43</f>
        <v>0</v>
      </c>
      <c r="BC43" s="39" t="str">
        <f>'Por Valoracion (3) Dimension 2'!D43</f>
        <v>0</v>
      </c>
      <c r="BX43" s="48"/>
      <c r="BZ43" s="49"/>
      <c r="CB43" t="str">
        <f>('Gestión de abastecimiento'!A44)</f>
        <v>0</v>
      </c>
      <c r="CC43" s="39" t="str">
        <f>'Por Valoracion (3) Dimension 2'!B43</f>
        <v>0</v>
      </c>
      <c r="CD43" s="39" t="str">
        <f>'Por Valoracion (3) Dimension'!H43</f>
        <v>0</v>
      </c>
      <c r="CY43" s="49"/>
    </row>
    <row r="44" spans="1:103">
      <c r="A44" s="48"/>
      <c r="C44" t="str">
        <f>('Gestión de abastecimiento'!A45)</f>
        <v>0</v>
      </c>
      <c r="D44" s="39" t="str">
        <f>'Por Valoracion (3) Dimension'!B44</f>
        <v>0</v>
      </c>
      <c r="E44" s="39" t="str">
        <f>'Por Valoracion (3) Dimension 2'!D44</f>
        <v>0</v>
      </c>
      <c r="Z44" s="48"/>
      <c r="AB44" t="str">
        <f>('Gestión de abastecimiento'!A45)</f>
        <v>0</v>
      </c>
      <c r="AC44" s="39" t="str">
        <f>'Por Valoracion (3) Dimension'!D44</f>
        <v>0</v>
      </c>
      <c r="AD44" s="39" t="str">
        <f>'Por Valoracion (3) Dimension 2'!D44</f>
        <v>0</v>
      </c>
      <c r="AY44" s="48"/>
      <c r="BA44" t="str">
        <f>('Gestión de abastecimiento'!A45)</f>
        <v>0</v>
      </c>
      <c r="BB44" s="39" t="str">
        <f>'Por Valoracion (3) Dimension'!F44</f>
        <v>0</v>
      </c>
      <c r="BC44" s="39" t="str">
        <f>'Por Valoracion (3) Dimension 2'!D44</f>
        <v>0</v>
      </c>
      <c r="BX44" s="48"/>
      <c r="BZ44" s="49"/>
      <c r="CB44" t="str">
        <f>('Gestión de abastecimiento'!A45)</f>
        <v>0</v>
      </c>
      <c r="CC44" s="39" t="str">
        <f>'Por Valoracion (3) Dimension 2'!B44</f>
        <v>0</v>
      </c>
      <c r="CD44" s="39" t="str">
        <f>'Por Valoracion (3) Dimension'!H44</f>
        <v>0</v>
      </c>
      <c r="CY44" s="49"/>
    </row>
    <row r="45" spans="1:103">
      <c r="A45" s="48"/>
      <c r="C45" t="str">
        <f>('Gestión de abastecimiento'!A46)</f>
        <v>0</v>
      </c>
      <c r="D45" s="39" t="str">
        <f>'Por Valoracion (3) Dimension'!B45</f>
        <v>0</v>
      </c>
      <c r="E45" s="39" t="str">
        <f>'Por Valoracion (3) Dimension 2'!D45</f>
        <v>0</v>
      </c>
      <c r="Z45" s="48"/>
      <c r="AB45" t="str">
        <f>('Gestión de abastecimiento'!A46)</f>
        <v>0</v>
      </c>
      <c r="AC45" s="39" t="str">
        <f>'Por Valoracion (3) Dimension'!D45</f>
        <v>0</v>
      </c>
      <c r="AD45" s="39" t="str">
        <f>'Por Valoracion (3) Dimension 2'!D45</f>
        <v>0</v>
      </c>
      <c r="AY45" s="48"/>
      <c r="BA45" t="str">
        <f>('Gestión de abastecimiento'!A46)</f>
        <v>0</v>
      </c>
      <c r="BB45" s="39" t="str">
        <f>'Por Valoracion (3) Dimension'!F45</f>
        <v>0</v>
      </c>
      <c r="BC45" s="39" t="str">
        <f>'Por Valoracion (3) Dimension 2'!D45</f>
        <v>0</v>
      </c>
      <c r="BX45" s="48"/>
      <c r="BZ45" s="49"/>
      <c r="CB45" t="str">
        <f>('Gestión de abastecimiento'!A46)</f>
        <v>0</v>
      </c>
      <c r="CC45" s="39" t="str">
        <f>'Por Valoracion (3) Dimension 2'!B45</f>
        <v>0</v>
      </c>
      <c r="CD45" s="39" t="str">
        <f>'Por Valoracion (3) Dimension'!H45</f>
        <v>0</v>
      </c>
      <c r="CY45" s="49"/>
    </row>
    <row r="46" spans="1:103">
      <c r="A46" s="48"/>
      <c r="C46" t="str">
        <f>('Gestión de abastecimiento'!A47)</f>
        <v>0</v>
      </c>
      <c r="D46" s="39" t="str">
        <f>'Por Valoracion (3) Dimension'!B46</f>
        <v>0</v>
      </c>
      <c r="E46" s="39" t="str">
        <f>'Por Valoracion (3) Dimension 2'!D46</f>
        <v>0</v>
      </c>
      <c r="Z46" s="48"/>
      <c r="AB46" t="str">
        <f>('Gestión de abastecimiento'!A47)</f>
        <v>0</v>
      </c>
      <c r="AC46" s="39" t="str">
        <f>'Por Valoracion (3) Dimension'!D46</f>
        <v>0</v>
      </c>
      <c r="AD46" s="39" t="str">
        <f>'Por Valoracion (3) Dimension 2'!D46</f>
        <v>0</v>
      </c>
      <c r="AY46" s="48"/>
      <c r="BA46" t="str">
        <f>('Gestión de abastecimiento'!A47)</f>
        <v>0</v>
      </c>
      <c r="BB46" s="39" t="str">
        <f>'Por Valoracion (3) Dimension'!F46</f>
        <v>0</v>
      </c>
      <c r="BC46" s="39" t="str">
        <f>'Por Valoracion (3) Dimension 2'!D46</f>
        <v>0</v>
      </c>
      <c r="BX46" s="48"/>
      <c r="BZ46" s="49"/>
      <c r="CB46" t="str">
        <f>('Gestión de abastecimiento'!A47)</f>
        <v>0</v>
      </c>
      <c r="CC46" s="39" t="str">
        <f>'Por Valoracion (3) Dimension 2'!B46</f>
        <v>0</v>
      </c>
      <c r="CD46" s="39" t="str">
        <f>'Por Valoracion (3) Dimension'!H46</f>
        <v>0</v>
      </c>
      <c r="CY46" s="49"/>
    </row>
    <row r="47" spans="1:103">
      <c r="A47" s="48"/>
      <c r="C47" t="str">
        <f>('Gestión de abastecimiento'!A48)</f>
        <v>0</v>
      </c>
      <c r="D47" s="39" t="str">
        <f>'Por Valoracion (3) Dimension'!B47</f>
        <v>0</v>
      </c>
      <c r="E47" s="39" t="str">
        <f>'Por Valoracion (3) Dimension 2'!D47</f>
        <v>0</v>
      </c>
      <c r="Z47" s="48"/>
      <c r="AB47" t="str">
        <f>('Gestión de abastecimiento'!A48)</f>
        <v>0</v>
      </c>
      <c r="AC47" s="39" t="str">
        <f>'Por Valoracion (3) Dimension'!D47</f>
        <v>0</v>
      </c>
      <c r="AD47" s="39" t="str">
        <f>'Por Valoracion (3) Dimension 2'!D47</f>
        <v>0</v>
      </c>
      <c r="AY47" s="48"/>
      <c r="BA47" t="str">
        <f>('Gestión de abastecimiento'!A48)</f>
        <v>0</v>
      </c>
      <c r="BB47" s="39" t="str">
        <f>'Por Valoracion (3) Dimension'!F47</f>
        <v>0</v>
      </c>
      <c r="BC47" s="39" t="str">
        <f>'Por Valoracion (3) Dimension 2'!D47</f>
        <v>0</v>
      </c>
      <c r="BX47" s="48"/>
      <c r="BZ47" s="49"/>
      <c r="CB47" t="str">
        <f>('Gestión de abastecimiento'!A48)</f>
        <v>0</v>
      </c>
      <c r="CC47" s="39" t="str">
        <f>'Por Valoracion (3) Dimension 2'!B47</f>
        <v>0</v>
      </c>
      <c r="CD47" s="39" t="str">
        <f>'Por Valoracion (3) Dimension'!H47</f>
        <v>0</v>
      </c>
      <c r="CY47" s="49"/>
    </row>
    <row r="48" spans="1:103">
      <c r="A48" s="48"/>
      <c r="C48" t="str">
        <f>('Gestión de abastecimiento'!A49)</f>
        <v>0</v>
      </c>
      <c r="D48" s="39" t="str">
        <f>'Por Valoracion (3) Dimension'!B48</f>
        <v>0</v>
      </c>
      <c r="E48" s="39" t="str">
        <f>'Por Valoracion (3) Dimension 2'!D48</f>
        <v>0</v>
      </c>
      <c r="Z48" s="48"/>
      <c r="AB48" t="str">
        <f>('Gestión de abastecimiento'!A49)</f>
        <v>0</v>
      </c>
      <c r="AC48" s="39" t="str">
        <f>'Por Valoracion (3) Dimension'!D48</f>
        <v>0</v>
      </c>
      <c r="AD48" s="39" t="str">
        <f>'Por Valoracion (3) Dimension 2'!D48</f>
        <v>0</v>
      </c>
      <c r="AY48" s="48"/>
      <c r="BA48" t="str">
        <f>('Gestión de abastecimiento'!A49)</f>
        <v>0</v>
      </c>
      <c r="BB48" s="39" t="str">
        <f>'Por Valoracion (3) Dimension'!F48</f>
        <v>0</v>
      </c>
      <c r="BC48" s="39" t="str">
        <f>'Por Valoracion (3) Dimension 2'!D48</f>
        <v>0</v>
      </c>
      <c r="BX48" s="48"/>
      <c r="BZ48" s="49"/>
      <c r="CB48" t="str">
        <f>('Gestión de abastecimiento'!A49)</f>
        <v>0</v>
      </c>
      <c r="CC48" s="39" t="str">
        <f>'Por Valoracion (3) Dimension 2'!B48</f>
        <v>0</v>
      </c>
      <c r="CD48" s="39" t="str">
        <f>'Por Valoracion (3) Dimension'!H48</f>
        <v>0</v>
      </c>
      <c r="CY48" s="49"/>
    </row>
    <row r="49" spans="1:103">
      <c r="A49" s="48"/>
      <c r="C49" t="str">
        <f>('Gestión de abastecimiento'!A50)</f>
        <v>0</v>
      </c>
      <c r="D49" s="39" t="str">
        <f>'Por Valoracion (3) Dimension'!B49</f>
        <v>0</v>
      </c>
      <c r="E49" s="39" t="str">
        <f>'Por Valoracion (3) Dimension 2'!D49</f>
        <v>0</v>
      </c>
      <c r="Z49" s="48"/>
      <c r="AB49" t="str">
        <f>('Gestión de abastecimiento'!A50)</f>
        <v>0</v>
      </c>
      <c r="AC49" s="39" t="str">
        <f>'Por Valoracion (3) Dimension'!D49</f>
        <v>0</v>
      </c>
      <c r="AD49" s="39" t="str">
        <f>'Por Valoracion (3) Dimension 2'!D49</f>
        <v>0</v>
      </c>
      <c r="AY49" s="48"/>
      <c r="BA49" t="str">
        <f>('Gestión de abastecimiento'!A50)</f>
        <v>0</v>
      </c>
      <c r="BB49" s="39" t="str">
        <f>'Por Valoracion (3) Dimension'!F49</f>
        <v>0</v>
      </c>
      <c r="BC49" s="39" t="str">
        <f>'Por Valoracion (3) Dimension 2'!D49</f>
        <v>0</v>
      </c>
      <c r="BX49" s="48"/>
      <c r="BZ49" s="49"/>
      <c r="CB49" t="str">
        <f>('Gestión de abastecimiento'!A50)</f>
        <v>0</v>
      </c>
      <c r="CC49" s="39" t="str">
        <f>'Por Valoracion (3) Dimension 2'!B49</f>
        <v>0</v>
      </c>
      <c r="CD49" s="39" t="str">
        <f>'Por Valoracion (3) Dimension'!H49</f>
        <v>0</v>
      </c>
      <c r="CY49" s="49"/>
    </row>
    <row r="50" spans="1:103">
      <c r="A50" s="48"/>
      <c r="C50" t="str">
        <f>('Gestión de abastecimiento'!A51)</f>
        <v>0</v>
      </c>
      <c r="D50" s="39" t="str">
        <f>'Por Valoracion (3) Dimension'!B50</f>
        <v>0</v>
      </c>
      <c r="E50" s="39" t="str">
        <f>'Por Valoracion (3) Dimension 2'!D50</f>
        <v>0</v>
      </c>
      <c r="Z50" s="48"/>
      <c r="AB50" t="str">
        <f>('Gestión de abastecimiento'!A51)</f>
        <v>0</v>
      </c>
      <c r="AC50" s="39" t="str">
        <f>'Por Valoracion (3) Dimension'!D50</f>
        <v>0</v>
      </c>
      <c r="AD50" s="39" t="str">
        <f>'Por Valoracion (3) Dimension 2'!D50</f>
        <v>0</v>
      </c>
      <c r="AY50" s="48"/>
      <c r="BA50" t="str">
        <f>('Gestión de abastecimiento'!A51)</f>
        <v>0</v>
      </c>
      <c r="BB50" s="39" t="str">
        <f>'Por Valoracion (3) Dimension'!F50</f>
        <v>0</v>
      </c>
      <c r="BC50" s="39" t="str">
        <f>'Por Valoracion (3) Dimension 2'!D50</f>
        <v>0</v>
      </c>
      <c r="BX50" s="48"/>
      <c r="BZ50" s="49"/>
      <c r="CB50" t="str">
        <f>('Gestión de abastecimiento'!A51)</f>
        <v>0</v>
      </c>
      <c r="CC50" s="39" t="str">
        <f>'Por Valoracion (3) Dimension 2'!B50</f>
        <v>0</v>
      </c>
      <c r="CD50" s="39" t="str">
        <f>'Por Valoracion (3) Dimension'!H50</f>
        <v>0</v>
      </c>
      <c r="CY50" s="49"/>
    </row>
    <row r="51" spans="1:103">
      <c r="A51" s="48"/>
      <c r="C51" t="str">
        <f>('Gestión de abastecimiento'!A52)</f>
        <v>0</v>
      </c>
      <c r="D51" s="39" t="str">
        <f>'Por Valoracion (3) Dimension'!B51</f>
        <v>0</v>
      </c>
      <c r="E51" s="39" t="str">
        <f>'Por Valoracion (3) Dimension 2'!D51</f>
        <v>0</v>
      </c>
      <c r="Z51" s="48"/>
      <c r="AB51" t="str">
        <f>('Gestión de abastecimiento'!A52)</f>
        <v>0</v>
      </c>
      <c r="AC51" s="39" t="str">
        <f>'Por Valoracion (3) Dimension'!D51</f>
        <v>0</v>
      </c>
      <c r="AD51" s="39" t="str">
        <f>'Por Valoracion (3) Dimension 2'!D51</f>
        <v>0</v>
      </c>
      <c r="AY51" s="48"/>
      <c r="BA51" t="str">
        <f>('Gestión de abastecimiento'!A52)</f>
        <v>0</v>
      </c>
      <c r="BB51" s="39" t="str">
        <f>'Por Valoracion (3) Dimension'!F51</f>
        <v>0</v>
      </c>
      <c r="BC51" s="39" t="str">
        <f>'Por Valoracion (3) Dimension 2'!D51</f>
        <v>0</v>
      </c>
      <c r="BX51" s="48"/>
      <c r="BZ51" s="49"/>
      <c r="CB51" t="str">
        <f>('Gestión de abastecimiento'!A52)</f>
        <v>0</v>
      </c>
      <c r="CC51" s="39" t="str">
        <f>'Por Valoracion (3) Dimension 2'!B51</f>
        <v>0</v>
      </c>
      <c r="CD51" s="39" t="str">
        <f>'Por Valoracion (3) Dimension'!H51</f>
        <v>0</v>
      </c>
      <c r="CY51" s="49"/>
    </row>
    <row r="52" spans="1:103">
      <c r="A52" s="48"/>
      <c r="C52" t="str">
        <f>('Gestión de abastecimiento'!A53)</f>
        <v>0</v>
      </c>
      <c r="D52" s="39" t="str">
        <f>'Por Valoracion (3) Dimension'!B52</f>
        <v>0</v>
      </c>
      <c r="E52" s="39" t="str">
        <f>'Por Valoracion (3) Dimension 2'!D52</f>
        <v>0</v>
      </c>
      <c r="Z52" s="48"/>
      <c r="AB52" t="str">
        <f>('Gestión de abastecimiento'!A53)</f>
        <v>0</v>
      </c>
      <c r="AC52" s="39" t="str">
        <f>'Por Valoracion (3) Dimension'!D52</f>
        <v>0</v>
      </c>
      <c r="AD52" s="39" t="str">
        <f>'Por Valoracion (3) Dimension 2'!D52</f>
        <v>0</v>
      </c>
      <c r="AY52" s="48"/>
      <c r="BA52" t="str">
        <f>('Gestión de abastecimiento'!A53)</f>
        <v>0</v>
      </c>
      <c r="BB52" s="39" t="str">
        <f>'Por Valoracion (3) Dimension'!F52</f>
        <v>0</v>
      </c>
      <c r="BC52" s="39" t="str">
        <f>'Por Valoracion (3) Dimension 2'!D52</f>
        <v>0</v>
      </c>
      <c r="BX52" s="48"/>
      <c r="BZ52" s="49"/>
      <c r="CB52" t="str">
        <f>('Gestión de abastecimiento'!A53)</f>
        <v>0</v>
      </c>
      <c r="CC52" s="39" t="str">
        <f>'Por Valoracion (3) Dimension 2'!B52</f>
        <v>0</v>
      </c>
      <c r="CD52" s="39" t="str">
        <f>'Por Valoracion (3) Dimension'!H52</f>
        <v>0</v>
      </c>
      <c r="CY52" s="49"/>
    </row>
    <row r="53" spans="1:103">
      <c r="A53" s="48"/>
      <c r="C53" t="str">
        <f>('Gestión de abastecimiento'!A54)</f>
        <v>0</v>
      </c>
      <c r="D53" s="39" t="str">
        <f>'Por Valoracion (3) Dimension'!B53</f>
        <v>0</v>
      </c>
      <c r="E53" s="39" t="str">
        <f>'Por Valoracion (3) Dimension 2'!D53</f>
        <v>0</v>
      </c>
      <c r="Z53" s="48"/>
      <c r="AB53" t="str">
        <f>('Gestión de abastecimiento'!A54)</f>
        <v>0</v>
      </c>
      <c r="AC53" s="39" t="str">
        <f>'Por Valoracion (3) Dimension'!D53</f>
        <v>0</v>
      </c>
      <c r="AD53" s="39" t="str">
        <f>'Por Valoracion (3) Dimension 2'!D53</f>
        <v>0</v>
      </c>
      <c r="AY53" s="48"/>
      <c r="BA53" t="str">
        <f>('Gestión de abastecimiento'!A54)</f>
        <v>0</v>
      </c>
      <c r="BB53" s="39" t="str">
        <f>'Por Valoracion (3) Dimension'!F53</f>
        <v>0</v>
      </c>
      <c r="BC53" s="39" t="str">
        <f>'Por Valoracion (3) Dimension 2'!D53</f>
        <v>0</v>
      </c>
      <c r="BX53" s="48"/>
      <c r="BZ53" s="49"/>
      <c r="CB53" t="str">
        <f>('Gestión de abastecimiento'!A54)</f>
        <v>0</v>
      </c>
      <c r="CC53" s="39" t="str">
        <f>'Por Valoracion (3) Dimension 2'!B53</f>
        <v>0</v>
      </c>
      <c r="CD53" s="39" t="str">
        <f>'Por Valoracion (3) Dimension'!H53</f>
        <v>0</v>
      </c>
      <c r="CY53" s="49"/>
    </row>
    <row r="54" spans="1:103">
      <c r="A54" s="48"/>
      <c r="C54" t="str">
        <f>('Gestión de abastecimiento'!A55)</f>
        <v>0</v>
      </c>
      <c r="D54" s="39" t="str">
        <f>'Por Valoracion (3) Dimension'!B54</f>
        <v>0</v>
      </c>
      <c r="E54" s="39" t="str">
        <f>'Por Valoracion (3) Dimension 2'!D54</f>
        <v>0</v>
      </c>
      <c r="Z54" s="48"/>
      <c r="AB54" t="str">
        <f>('Gestión de abastecimiento'!A55)</f>
        <v>0</v>
      </c>
      <c r="AC54" s="39" t="str">
        <f>'Por Valoracion (3) Dimension'!D54</f>
        <v>0</v>
      </c>
      <c r="AD54" s="39" t="str">
        <f>'Por Valoracion (3) Dimension 2'!D54</f>
        <v>0</v>
      </c>
      <c r="AY54" s="48"/>
      <c r="BA54" t="str">
        <f>('Gestión de abastecimiento'!A55)</f>
        <v>0</v>
      </c>
      <c r="BB54" s="39" t="str">
        <f>'Por Valoracion (3) Dimension'!F54</f>
        <v>0</v>
      </c>
      <c r="BC54" s="39" t="str">
        <f>'Por Valoracion (3) Dimension 2'!D54</f>
        <v>0</v>
      </c>
      <c r="BX54" s="48"/>
      <c r="BZ54" s="49"/>
      <c r="CB54" t="str">
        <f>('Gestión de abastecimiento'!A55)</f>
        <v>0</v>
      </c>
      <c r="CC54" s="39" t="str">
        <f>'Por Valoracion (3) Dimension 2'!B54</f>
        <v>0</v>
      </c>
      <c r="CD54" s="39" t="str">
        <f>'Por Valoracion (3) Dimension'!H54</f>
        <v>0</v>
      </c>
      <c r="CY54" s="49"/>
    </row>
    <row r="55" spans="1:103">
      <c r="A55" s="48"/>
      <c r="C55" t="str">
        <f>('Gestión de abastecimiento'!A56)</f>
        <v>0</v>
      </c>
      <c r="D55" s="39" t="str">
        <f>'Por Valoracion (3) Dimension'!B55</f>
        <v>0</v>
      </c>
      <c r="E55" s="39" t="str">
        <f>'Por Valoracion (3) Dimension 2'!D55</f>
        <v>0</v>
      </c>
      <c r="Z55" s="48"/>
      <c r="AB55" t="str">
        <f>('Gestión de abastecimiento'!A56)</f>
        <v>0</v>
      </c>
      <c r="AC55" s="39" t="str">
        <f>'Por Valoracion (3) Dimension'!D55</f>
        <v>0</v>
      </c>
      <c r="AD55" s="39" t="str">
        <f>'Por Valoracion (3) Dimension 2'!D55</f>
        <v>0</v>
      </c>
      <c r="AY55" s="48"/>
      <c r="BA55" t="str">
        <f>('Gestión de abastecimiento'!A56)</f>
        <v>0</v>
      </c>
      <c r="BB55" s="39" t="str">
        <f>'Por Valoracion (3) Dimension'!F55</f>
        <v>0</v>
      </c>
      <c r="BC55" s="39" t="str">
        <f>'Por Valoracion (3) Dimension 2'!D55</f>
        <v>0</v>
      </c>
      <c r="BX55" s="48"/>
      <c r="BZ55" s="49"/>
      <c r="CB55" t="str">
        <f>('Gestión de abastecimiento'!A56)</f>
        <v>0</v>
      </c>
      <c r="CC55" s="39" t="str">
        <f>'Por Valoracion (3) Dimension 2'!B55</f>
        <v>0</v>
      </c>
      <c r="CD55" s="39" t="str">
        <f>'Por Valoracion (3) Dimension'!H55</f>
        <v>0</v>
      </c>
      <c r="CY55" s="49"/>
    </row>
    <row r="56" spans="1:103">
      <c r="A56" s="48"/>
      <c r="C56" t="str">
        <f>('Gestión de abastecimiento'!A57)</f>
        <v>0</v>
      </c>
      <c r="D56" s="39" t="str">
        <f>'Por Valoracion (3) Dimension'!B56</f>
        <v>0</v>
      </c>
      <c r="E56" s="39" t="str">
        <f>'Por Valoracion (3) Dimension 2'!D56</f>
        <v>0</v>
      </c>
      <c r="Z56" s="48"/>
      <c r="AB56" t="str">
        <f>('Gestión de abastecimiento'!A57)</f>
        <v>0</v>
      </c>
      <c r="AC56" s="39" t="str">
        <f>'Por Valoracion (3) Dimension'!D56</f>
        <v>0</v>
      </c>
      <c r="AD56" s="39" t="str">
        <f>'Por Valoracion (3) Dimension 2'!D56</f>
        <v>0</v>
      </c>
      <c r="AY56" s="48"/>
      <c r="BA56" t="str">
        <f>('Gestión de abastecimiento'!A57)</f>
        <v>0</v>
      </c>
      <c r="BB56" s="39" t="str">
        <f>'Por Valoracion (3) Dimension'!F56</f>
        <v>0</v>
      </c>
      <c r="BC56" s="39" t="str">
        <f>'Por Valoracion (3) Dimension 2'!D56</f>
        <v>0</v>
      </c>
      <c r="BX56" s="48"/>
      <c r="BZ56" s="49"/>
      <c r="CB56" t="str">
        <f>('Gestión de abastecimiento'!A57)</f>
        <v>0</v>
      </c>
      <c r="CC56" s="39" t="str">
        <f>'Por Valoracion (3) Dimension 2'!B56</f>
        <v>0</v>
      </c>
      <c r="CD56" s="39" t="str">
        <f>'Por Valoracion (3) Dimension'!H56</f>
        <v>0</v>
      </c>
      <c r="CY56" s="49"/>
    </row>
    <row r="57" spans="1:103">
      <c r="A57" s="48"/>
      <c r="C57" t="str">
        <f>('Gestión de abastecimiento'!A58)</f>
        <v>0</v>
      </c>
      <c r="D57" s="39" t="str">
        <f>'Por Valoracion (3) Dimension'!B57</f>
        <v>0</v>
      </c>
      <c r="E57" s="39" t="str">
        <f>'Por Valoracion (3) Dimension 2'!D57</f>
        <v>0</v>
      </c>
      <c r="Z57" s="48"/>
      <c r="AB57" t="str">
        <f>('Gestión de abastecimiento'!A58)</f>
        <v>0</v>
      </c>
      <c r="AC57" s="39" t="str">
        <f>'Por Valoracion (3) Dimension'!D57</f>
        <v>0</v>
      </c>
      <c r="AD57" s="39" t="str">
        <f>'Por Valoracion (3) Dimension 2'!D57</f>
        <v>0</v>
      </c>
      <c r="AY57" s="48"/>
      <c r="BA57" t="str">
        <f>('Gestión de abastecimiento'!A58)</f>
        <v>0</v>
      </c>
      <c r="BB57" s="39" t="str">
        <f>'Por Valoracion (3) Dimension'!F57</f>
        <v>0</v>
      </c>
      <c r="BC57" s="39" t="str">
        <f>'Por Valoracion (3) Dimension 2'!D57</f>
        <v>0</v>
      </c>
      <c r="BX57" s="48"/>
      <c r="BZ57" s="49"/>
      <c r="CB57" t="str">
        <f>('Gestión de abastecimiento'!A58)</f>
        <v>0</v>
      </c>
      <c r="CC57" s="39" t="str">
        <f>'Por Valoracion (3) Dimension 2'!B57</f>
        <v>0</v>
      </c>
      <c r="CD57" s="39" t="str">
        <f>'Por Valoracion (3) Dimension'!H57</f>
        <v>0</v>
      </c>
      <c r="CY57" s="49"/>
    </row>
    <row r="58" spans="1:103">
      <c r="A58" s="48"/>
      <c r="C58" t="str">
        <f>('Gestión de abastecimiento'!A59)</f>
        <v>0</v>
      </c>
      <c r="D58" s="39" t="str">
        <f>'Por Valoracion (3) Dimension'!B58</f>
        <v>0</v>
      </c>
      <c r="E58" s="39" t="str">
        <f>'Por Valoracion (3) Dimension 2'!D58</f>
        <v>0</v>
      </c>
      <c r="Z58" s="48"/>
      <c r="AB58" t="str">
        <f>('Gestión de abastecimiento'!A59)</f>
        <v>0</v>
      </c>
      <c r="AC58" s="39" t="str">
        <f>'Por Valoracion (3) Dimension'!D58</f>
        <v>0</v>
      </c>
      <c r="AD58" s="39" t="str">
        <f>'Por Valoracion (3) Dimension 2'!D58</f>
        <v>0</v>
      </c>
      <c r="AY58" s="48"/>
      <c r="BA58" t="str">
        <f>('Gestión de abastecimiento'!A59)</f>
        <v>0</v>
      </c>
      <c r="BB58" s="39" t="str">
        <f>'Por Valoracion (3) Dimension'!F58</f>
        <v>0</v>
      </c>
      <c r="BC58" s="39" t="str">
        <f>'Por Valoracion (3) Dimension 2'!D58</f>
        <v>0</v>
      </c>
      <c r="BX58" s="48"/>
      <c r="BZ58" s="49"/>
      <c r="CB58" t="str">
        <f>('Gestión de abastecimiento'!A59)</f>
        <v>0</v>
      </c>
      <c r="CC58" s="39" t="str">
        <f>'Por Valoracion (3) Dimension 2'!B58</f>
        <v>0</v>
      </c>
      <c r="CD58" s="39" t="str">
        <f>'Por Valoracion (3) Dimension'!H58</f>
        <v>0</v>
      </c>
      <c r="CY58" s="49"/>
    </row>
    <row r="59" spans="1:103">
      <c r="A59" s="48"/>
      <c r="C59" t="str">
        <f>('Gestión de abastecimiento'!A60)</f>
        <v>0</v>
      </c>
      <c r="D59" s="39" t="str">
        <f>'Por Valoracion (3) Dimension'!B59</f>
        <v>0</v>
      </c>
      <c r="E59" s="39" t="str">
        <f>'Por Valoracion (3) Dimension 2'!D59</f>
        <v>0</v>
      </c>
      <c r="Z59" s="48"/>
      <c r="AB59" t="str">
        <f>('Gestión de abastecimiento'!A60)</f>
        <v>0</v>
      </c>
      <c r="AC59" s="39" t="str">
        <f>'Por Valoracion (3) Dimension'!D59</f>
        <v>0</v>
      </c>
      <c r="AD59" s="39" t="str">
        <f>'Por Valoracion (3) Dimension 2'!D59</f>
        <v>0</v>
      </c>
      <c r="AY59" s="48"/>
      <c r="BA59" t="str">
        <f>('Gestión de abastecimiento'!A60)</f>
        <v>0</v>
      </c>
      <c r="BB59" s="39" t="str">
        <f>'Por Valoracion (3) Dimension'!F59</f>
        <v>0</v>
      </c>
      <c r="BC59" s="39" t="str">
        <f>'Por Valoracion (3) Dimension 2'!D59</f>
        <v>0</v>
      </c>
      <c r="BX59" s="48"/>
      <c r="BZ59" s="49"/>
      <c r="CB59" t="str">
        <f>('Gestión de abastecimiento'!A60)</f>
        <v>0</v>
      </c>
      <c r="CC59" s="39" t="str">
        <f>'Por Valoracion (3) Dimension 2'!B59</f>
        <v>0</v>
      </c>
      <c r="CD59" s="39" t="str">
        <f>'Por Valoracion (3) Dimension'!H59</f>
        <v>0</v>
      </c>
      <c r="CY59" s="49"/>
    </row>
    <row r="60" spans="1:103">
      <c r="A60" s="48"/>
      <c r="C60" t="str">
        <f>('Gestión de abastecimiento'!A61)</f>
        <v>0</v>
      </c>
      <c r="D60" s="39" t="str">
        <f>'Por Valoracion (3) Dimension'!B60</f>
        <v>0</v>
      </c>
      <c r="E60" s="39" t="str">
        <f>'Por Valoracion (3) Dimension 2'!D60</f>
        <v>0</v>
      </c>
      <c r="Z60" s="48"/>
      <c r="AB60" t="str">
        <f>('Gestión de abastecimiento'!A61)</f>
        <v>0</v>
      </c>
      <c r="AC60" s="39" t="str">
        <f>'Por Valoracion (3) Dimension'!D60</f>
        <v>0</v>
      </c>
      <c r="AD60" s="39" t="str">
        <f>'Por Valoracion (3) Dimension 2'!D60</f>
        <v>0</v>
      </c>
      <c r="AY60" s="48"/>
      <c r="BA60" t="str">
        <f>('Gestión de abastecimiento'!A61)</f>
        <v>0</v>
      </c>
      <c r="BB60" s="39" t="str">
        <f>'Por Valoracion (3) Dimension'!F60</f>
        <v>0</v>
      </c>
      <c r="BC60" s="39" t="str">
        <f>'Por Valoracion (3) Dimension 2'!D60</f>
        <v>0</v>
      </c>
      <c r="BX60" s="48"/>
      <c r="BZ60" s="49"/>
      <c r="CB60" t="str">
        <f>('Gestión de abastecimiento'!A61)</f>
        <v>0</v>
      </c>
      <c r="CC60" s="39" t="str">
        <f>'Por Valoracion (3) Dimension 2'!B60</f>
        <v>0</v>
      </c>
      <c r="CD60" s="39" t="str">
        <f>'Por Valoracion (3) Dimension'!H60</f>
        <v>0</v>
      </c>
      <c r="CY60" s="49"/>
    </row>
    <row r="61" spans="1:103">
      <c r="A61" s="48"/>
      <c r="C61" t="str">
        <f>('Gestión de abastecimiento'!A62)</f>
        <v>0</v>
      </c>
      <c r="D61" s="39" t="str">
        <f>'Por Valoracion (3) Dimension'!B61</f>
        <v>0</v>
      </c>
      <c r="E61" s="39" t="str">
        <f>'Por Valoracion (3) Dimension 2'!D61</f>
        <v>0</v>
      </c>
      <c r="Z61" s="48"/>
      <c r="AB61" t="str">
        <f>('Gestión de abastecimiento'!A62)</f>
        <v>0</v>
      </c>
      <c r="AC61" s="39" t="str">
        <f>'Por Valoracion (3) Dimension'!D61</f>
        <v>0</v>
      </c>
      <c r="AD61" s="39" t="str">
        <f>'Por Valoracion (3) Dimension 2'!D61</f>
        <v>0</v>
      </c>
      <c r="AY61" s="48"/>
      <c r="BA61" t="str">
        <f>('Gestión de abastecimiento'!A62)</f>
        <v>0</v>
      </c>
      <c r="BB61" s="39" t="str">
        <f>'Por Valoracion (3) Dimension'!F61</f>
        <v>0</v>
      </c>
      <c r="BC61" s="39" t="str">
        <f>'Por Valoracion (3) Dimension 2'!D61</f>
        <v>0</v>
      </c>
      <c r="BX61" s="48"/>
      <c r="BZ61" s="49"/>
      <c r="CB61" t="str">
        <f>('Gestión de abastecimiento'!A62)</f>
        <v>0</v>
      </c>
      <c r="CC61" s="39" t="str">
        <f>'Por Valoracion (3) Dimension 2'!B61</f>
        <v>0</v>
      </c>
      <c r="CD61" s="39" t="str">
        <f>'Por Valoracion (3) Dimension'!H61</f>
        <v>0</v>
      </c>
      <c r="CY61" s="49"/>
    </row>
    <row r="62" spans="1:103">
      <c r="A62" s="48"/>
      <c r="C62" t="str">
        <f>('Gestión de abastecimiento'!A63)</f>
        <v>0</v>
      </c>
      <c r="D62" s="39" t="str">
        <f>'Por Valoracion (3) Dimension'!B62</f>
        <v>0</v>
      </c>
      <c r="E62" s="39" t="str">
        <f>'Por Valoracion (3) Dimension 2'!D62</f>
        <v>0</v>
      </c>
      <c r="Z62" s="48"/>
      <c r="AB62" t="str">
        <f>('Gestión de abastecimiento'!A63)</f>
        <v>0</v>
      </c>
      <c r="AC62" s="39" t="str">
        <f>'Por Valoracion (3) Dimension'!D62</f>
        <v>0</v>
      </c>
      <c r="AD62" s="39" t="str">
        <f>'Por Valoracion (3) Dimension 2'!D62</f>
        <v>0</v>
      </c>
      <c r="AY62" s="48"/>
      <c r="BA62" t="str">
        <f>('Gestión de abastecimiento'!A63)</f>
        <v>0</v>
      </c>
      <c r="BB62" s="39" t="str">
        <f>'Por Valoracion (3) Dimension'!F62</f>
        <v>0</v>
      </c>
      <c r="BC62" s="39" t="str">
        <f>'Por Valoracion (3) Dimension 2'!D62</f>
        <v>0</v>
      </c>
      <c r="BX62" s="48"/>
      <c r="BZ62" s="49"/>
      <c r="CB62" t="str">
        <f>('Gestión de abastecimiento'!A63)</f>
        <v>0</v>
      </c>
      <c r="CC62" s="39" t="str">
        <f>'Por Valoracion (3) Dimension 2'!B62</f>
        <v>0</v>
      </c>
      <c r="CD62" s="39" t="str">
        <f>'Por Valoracion (3) Dimension'!H62</f>
        <v>0</v>
      </c>
      <c r="CY62" s="49"/>
    </row>
    <row r="63" spans="1:103">
      <c r="A63" s="48"/>
      <c r="C63" t="str">
        <f>('Gestión de abastecimiento'!A64)</f>
        <v>0</v>
      </c>
      <c r="D63" s="39" t="str">
        <f>'Por Valoracion (3) Dimension'!B63</f>
        <v>0</v>
      </c>
      <c r="E63" s="39" t="str">
        <f>'Por Valoracion (3) Dimension 2'!D63</f>
        <v>0</v>
      </c>
      <c r="Z63" s="48"/>
      <c r="AB63" t="str">
        <f>('Gestión de abastecimiento'!A64)</f>
        <v>0</v>
      </c>
      <c r="AC63" s="39" t="str">
        <f>'Por Valoracion (3) Dimension'!D63</f>
        <v>0</v>
      </c>
      <c r="AD63" s="39" t="str">
        <f>'Por Valoracion (3) Dimension 2'!D63</f>
        <v>0</v>
      </c>
      <c r="AY63" s="48"/>
      <c r="BA63" t="str">
        <f>('Gestión de abastecimiento'!A64)</f>
        <v>0</v>
      </c>
      <c r="BB63" s="39" t="str">
        <f>'Por Valoracion (3) Dimension'!F63</f>
        <v>0</v>
      </c>
      <c r="BC63" s="39" t="str">
        <f>'Por Valoracion (3) Dimension 2'!D63</f>
        <v>0</v>
      </c>
      <c r="BX63" s="48"/>
      <c r="BZ63" s="49"/>
      <c r="CB63" t="str">
        <f>('Gestión de abastecimiento'!A64)</f>
        <v>0</v>
      </c>
      <c r="CC63" s="39" t="str">
        <f>'Por Valoracion (3) Dimension 2'!B63</f>
        <v>0</v>
      </c>
      <c r="CD63" s="39" t="str">
        <f>'Por Valoracion (3) Dimension'!H63</f>
        <v>0</v>
      </c>
      <c r="CY63" s="49"/>
    </row>
    <row r="64" spans="1:103">
      <c r="A64" s="48"/>
      <c r="C64" t="str">
        <f>('Gestión de abastecimiento'!A65)</f>
        <v>0</v>
      </c>
      <c r="D64" s="39" t="str">
        <f>'Por Valoracion (3) Dimension'!B64</f>
        <v>0</v>
      </c>
      <c r="E64" s="39" t="str">
        <f>'Por Valoracion (3) Dimension 2'!D64</f>
        <v>0</v>
      </c>
      <c r="Z64" s="48"/>
      <c r="AB64" t="str">
        <f>('Gestión de abastecimiento'!A65)</f>
        <v>0</v>
      </c>
      <c r="AC64" s="39" t="str">
        <f>'Por Valoracion (3) Dimension'!D64</f>
        <v>0</v>
      </c>
      <c r="AD64" s="39" t="str">
        <f>'Por Valoracion (3) Dimension 2'!D64</f>
        <v>0</v>
      </c>
      <c r="AY64" s="48"/>
      <c r="BA64" t="str">
        <f>('Gestión de abastecimiento'!A65)</f>
        <v>0</v>
      </c>
      <c r="BB64" s="39" t="str">
        <f>'Por Valoracion (3) Dimension'!F64</f>
        <v>0</v>
      </c>
      <c r="BC64" s="39" t="str">
        <f>'Por Valoracion (3) Dimension 2'!D64</f>
        <v>0</v>
      </c>
      <c r="BX64" s="48"/>
      <c r="BZ64" s="49"/>
      <c r="CB64" t="str">
        <f>('Gestión de abastecimiento'!A65)</f>
        <v>0</v>
      </c>
      <c r="CC64" s="39" t="str">
        <f>'Por Valoracion (3) Dimension 2'!B64</f>
        <v>0</v>
      </c>
      <c r="CD64" s="39" t="str">
        <f>'Por Valoracion (3) Dimension'!H64</f>
        <v>0</v>
      </c>
      <c r="CY64" s="49"/>
    </row>
    <row r="65" spans="1:103">
      <c r="A65" s="48"/>
      <c r="C65" t="str">
        <f>('Gestión de abastecimiento'!A66)</f>
        <v>0</v>
      </c>
      <c r="D65" s="39" t="str">
        <f>'Por Valoracion (3) Dimension'!B65</f>
        <v>0</v>
      </c>
      <c r="E65" s="39" t="str">
        <f>'Por Valoracion (3) Dimension 2'!D65</f>
        <v>0</v>
      </c>
      <c r="Z65" s="48"/>
      <c r="AB65" t="str">
        <f>('Gestión de abastecimiento'!A66)</f>
        <v>0</v>
      </c>
      <c r="AC65" s="39" t="str">
        <f>'Por Valoracion (3) Dimension'!D65</f>
        <v>0</v>
      </c>
      <c r="AD65" s="39" t="str">
        <f>'Por Valoracion (3) Dimension 2'!D65</f>
        <v>0</v>
      </c>
      <c r="AY65" s="48"/>
      <c r="BA65" t="str">
        <f>('Gestión de abastecimiento'!A66)</f>
        <v>0</v>
      </c>
      <c r="BB65" s="39" t="str">
        <f>'Por Valoracion (3) Dimension'!F65</f>
        <v>0</v>
      </c>
      <c r="BC65" s="39" t="str">
        <f>'Por Valoracion (3) Dimension 2'!D65</f>
        <v>0</v>
      </c>
      <c r="BX65" s="48"/>
      <c r="BZ65" s="49"/>
      <c r="CB65" t="str">
        <f>('Gestión de abastecimiento'!A66)</f>
        <v>0</v>
      </c>
      <c r="CC65" s="39" t="str">
        <f>'Por Valoracion (3) Dimension 2'!B65</f>
        <v>0</v>
      </c>
      <c r="CD65" s="39" t="str">
        <f>'Por Valoracion (3) Dimension'!H65</f>
        <v>0</v>
      </c>
      <c r="CY65" s="49"/>
    </row>
    <row r="66" spans="1:103">
      <c r="A66" s="48"/>
      <c r="C66" t="str">
        <f>('Gestión de abastecimiento'!A67)</f>
        <v>0</v>
      </c>
      <c r="D66" s="39" t="str">
        <f>'Por Valoracion (3) Dimension'!B66</f>
        <v>0</v>
      </c>
      <c r="E66" s="39" t="str">
        <f>'Por Valoracion (3) Dimension 2'!D66</f>
        <v>0</v>
      </c>
      <c r="Z66" s="48"/>
      <c r="AB66" t="str">
        <f>('Gestión de abastecimiento'!A67)</f>
        <v>0</v>
      </c>
      <c r="AC66" s="39" t="str">
        <f>'Por Valoracion (3) Dimension'!D66</f>
        <v>0</v>
      </c>
      <c r="AD66" s="39" t="str">
        <f>'Por Valoracion (3) Dimension 2'!D66</f>
        <v>0</v>
      </c>
      <c r="AY66" s="48"/>
      <c r="BA66" t="str">
        <f>('Gestión de abastecimiento'!A67)</f>
        <v>0</v>
      </c>
      <c r="BB66" s="39" t="str">
        <f>'Por Valoracion (3) Dimension'!F66</f>
        <v>0</v>
      </c>
      <c r="BC66" s="39" t="str">
        <f>'Por Valoracion (3) Dimension 2'!D66</f>
        <v>0</v>
      </c>
      <c r="BX66" s="48"/>
      <c r="BZ66" s="49"/>
      <c r="CB66" t="str">
        <f>('Gestión de abastecimiento'!A67)</f>
        <v>0</v>
      </c>
      <c r="CC66" s="39" t="str">
        <f>'Por Valoracion (3) Dimension 2'!B66</f>
        <v>0</v>
      </c>
      <c r="CD66" s="39" t="str">
        <f>'Por Valoracion (3) Dimension'!H66</f>
        <v>0</v>
      </c>
      <c r="CY66" s="49"/>
    </row>
    <row r="67" spans="1:103">
      <c r="A67" s="48"/>
      <c r="C67" t="str">
        <f>('Gestión de abastecimiento'!A68)</f>
        <v>0</v>
      </c>
      <c r="D67" s="39" t="str">
        <f>'Por Valoracion (3) Dimension'!B67</f>
        <v>0</v>
      </c>
      <c r="E67" s="39" t="str">
        <f>'Por Valoracion (3) Dimension 2'!D67</f>
        <v>0</v>
      </c>
      <c r="Z67" s="48"/>
      <c r="AB67" t="str">
        <f>('Gestión de abastecimiento'!A68)</f>
        <v>0</v>
      </c>
      <c r="AC67" s="39" t="str">
        <f>'Por Valoracion (3) Dimension'!D67</f>
        <v>0</v>
      </c>
      <c r="AD67" s="39" t="str">
        <f>'Por Valoracion (3) Dimension 2'!D67</f>
        <v>0</v>
      </c>
      <c r="AY67" s="48"/>
      <c r="BA67" t="str">
        <f>('Gestión de abastecimiento'!A68)</f>
        <v>0</v>
      </c>
      <c r="BB67" s="39" t="str">
        <f>'Por Valoracion (3) Dimension'!F67</f>
        <v>0</v>
      </c>
      <c r="BC67" s="39" t="str">
        <f>'Por Valoracion (3) Dimension 2'!D67</f>
        <v>0</v>
      </c>
      <c r="BX67" s="48"/>
      <c r="BZ67" s="49"/>
      <c r="CB67" t="str">
        <f>('Gestión de abastecimiento'!A68)</f>
        <v>0</v>
      </c>
      <c r="CC67" s="39" t="str">
        <f>'Por Valoracion (3) Dimension 2'!B67</f>
        <v>0</v>
      </c>
      <c r="CD67" s="39" t="str">
        <f>'Por Valoracion (3) Dimension'!H67</f>
        <v>0</v>
      </c>
      <c r="CY67" s="49"/>
    </row>
    <row r="68" spans="1:103">
      <c r="A68" s="48"/>
      <c r="C68" t="str">
        <f>('Gestión de abastecimiento'!A69)</f>
        <v>0</v>
      </c>
      <c r="D68" s="39" t="str">
        <f>'Por Valoracion (3) Dimension'!B68</f>
        <v>0</v>
      </c>
      <c r="E68" s="39" t="str">
        <f>'Por Valoracion (3) Dimension 2'!D68</f>
        <v>0</v>
      </c>
      <c r="Z68" s="48"/>
      <c r="AB68" t="str">
        <f>('Gestión de abastecimiento'!A69)</f>
        <v>0</v>
      </c>
      <c r="AC68" s="39" t="str">
        <f>'Por Valoracion (3) Dimension'!D68</f>
        <v>0</v>
      </c>
      <c r="AD68" s="39" t="str">
        <f>'Por Valoracion (3) Dimension 2'!D68</f>
        <v>0</v>
      </c>
      <c r="AY68" s="48"/>
      <c r="BA68" t="str">
        <f>('Gestión de abastecimiento'!A69)</f>
        <v>0</v>
      </c>
      <c r="BB68" s="39" t="str">
        <f>'Por Valoracion (3) Dimension'!F68</f>
        <v>0</v>
      </c>
      <c r="BC68" s="39" t="str">
        <f>'Por Valoracion (3) Dimension 2'!D68</f>
        <v>0</v>
      </c>
      <c r="BX68" s="48"/>
      <c r="BZ68" s="49"/>
      <c r="CB68" t="str">
        <f>('Gestión de abastecimiento'!A69)</f>
        <v>0</v>
      </c>
      <c r="CC68" s="39" t="str">
        <f>'Por Valoracion (3) Dimension 2'!B68</f>
        <v>0</v>
      </c>
      <c r="CD68" s="39" t="str">
        <f>'Por Valoracion (3) Dimension'!H68</f>
        <v>0</v>
      </c>
      <c r="CY68" s="49"/>
    </row>
    <row r="69" spans="1:103">
      <c r="A69" s="48"/>
      <c r="C69" t="str">
        <f>('Gestión de abastecimiento'!A70)</f>
        <v>0</v>
      </c>
      <c r="D69" s="39" t="str">
        <f>'Por Valoracion (3) Dimension'!B69</f>
        <v>0</v>
      </c>
      <c r="E69" s="39" t="str">
        <f>'Por Valoracion (3) Dimension 2'!D69</f>
        <v>0</v>
      </c>
      <c r="Z69" s="48"/>
      <c r="AB69" t="str">
        <f>('Gestión de abastecimiento'!A70)</f>
        <v>0</v>
      </c>
      <c r="AC69" s="39" t="str">
        <f>'Por Valoracion (3) Dimension'!D69</f>
        <v>0</v>
      </c>
      <c r="AD69" s="39" t="str">
        <f>'Por Valoracion (3) Dimension 2'!D69</f>
        <v>0</v>
      </c>
      <c r="AY69" s="48"/>
      <c r="BA69" t="str">
        <f>('Gestión de abastecimiento'!A70)</f>
        <v>0</v>
      </c>
      <c r="BB69" s="39" t="str">
        <f>'Por Valoracion (3) Dimension'!F69</f>
        <v>0</v>
      </c>
      <c r="BC69" s="39" t="str">
        <f>'Por Valoracion (3) Dimension 2'!D69</f>
        <v>0</v>
      </c>
      <c r="BX69" s="48"/>
      <c r="BZ69" s="49"/>
      <c r="CB69" t="str">
        <f>('Gestión de abastecimiento'!A70)</f>
        <v>0</v>
      </c>
      <c r="CC69" s="39" t="str">
        <f>'Por Valoracion (3) Dimension 2'!B69</f>
        <v>0</v>
      </c>
      <c r="CD69" s="39" t="str">
        <f>'Por Valoracion (3) Dimension'!H69</f>
        <v>0</v>
      </c>
      <c r="CY69" s="49"/>
    </row>
    <row r="70" spans="1:103">
      <c r="A70" s="48"/>
      <c r="C70" t="str">
        <f>('Gestión de abastecimiento'!A71)</f>
        <v>0</v>
      </c>
      <c r="D70" s="39" t="str">
        <f>'Por Valoracion (3) Dimension'!B70</f>
        <v>0</v>
      </c>
      <c r="E70" s="39" t="str">
        <f>'Por Valoracion (3) Dimension 2'!D70</f>
        <v>0</v>
      </c>
      <c r="Z70" s="48"/>
      <c r="AB70" t="str">
        <f>('Gestión de abastecimiento'!A71)</f>
        <v>0</v>
      </c>
      <c r="AC70" s="39" t="str">
        <f>'Por Valoracion (3) Dimension'!D70</f>
        <v>0</v>
      </c>
      <c r="AD70" s="39" t="str">
        <f>'Por Valoracion (3) Dimension 2'!D70</f>
        <v>0</v>
      </c>
      <c r="AY70" s="48"/>
      <c r="BA70" t="str">
        <f>('Gestión de abastecimiento'!A71)</f>
        <v>0</v>
      </c>
      <c r="BB70" s="39" t="str">
        <f>'Por Valoracion (3) Dimension'!F70</f>
        <v>0</v>
      </c>
      <c r="BC70" s="39" t="str">
        <f>'Por Valoracion (3) Dimension 2'!D70</f>
        <v>0</v>
      </c>
      <c r="BX70" s="48"/>
      <c r="BZ70" s="49"/>
      <c r="CB70" t="str">
        <f>('Gestión de abastecimiento'!A71)</f>
        <v>0</v>
      </c>
      <c r="CC70" s="39" t="str">
        <f>'Por Valoracion (3) Dimension 2'!B70</f>
        <v>0</v>
      </c>
      <c r="CD70" s="39" t="str">
        <f>'Por Valoracion (3) Dimension'!H70</f>
        <v>0</v>
      </c>
      <c r="CY70" s="49"/>
    </row>
    <row r="71" spans="1:103">
      <c r="A71" s="48"/>
      <c r="C71" t="str">
        <f>('Gestión de abastecimiento'!A72)</f>
        <v>0</v>
      </c>
      <c r="D71" s="39" t="str">
        <f>'Por Valoracion (3) Dimension'!B71</f>
        <v>0</v>
      </c>
      <c r="E71" s="39" t="str">
        <f>'Por Valoracion (3) Dimension 2'!D71</f>
        <v>0</v>
      </c>
      <c r="Z71" s="48"/>
      <c r="AB71" t="str">
        <f>('Gestión de abastecimiento'!A72)</f>
        <v>0</v>
      </c>
      <c r="AC71" s="39" t="str">
        <f>'Por Valoracion (3) Dimension'!D71</f>
        <v>0</v>
      </c>
      <c r="AD71" s="39" t="str">
        <f>'Por Valoracion (3) Dimension 2'!D71</f>
        <v>0</v>
      </c>
      <c r="AY71" s="48"/>
      <c r="BA71" t="str">
        <f>('Gestión de abastecimiento'!A72)</f>
        <v>0</v>
      </c>
      <c r="BB71" s="39" t="str">
        <f>'Por Valoracion (3) Dimension'!F71</f>
        <v>0</v>
      </c>
      <c r="BC71" s="39" t="str">
        <f>'Por Valoracion (3) Dimension 2'!D71</f>
        <v>0</v>
      </c>
      <c r="BX71" s="48"/>
      <c r="BZ71" s="49"/>
      <c r="CB71" t="str">
        <f>('Gestión de abastecimiento'!A72)</f>
        <v>0</v>
      </c>
      <c r="CC71" s="39" t="str">
        <f>'Por Valoracion (3) Dimension 2'!B71</f>
        <v>0</v>
      </c>
      <c r="CD71" s="39" t="str">
        <f>'Por Valoracion (3) Dimension'!H71</f>
        <v>0</v>
      </c>
      <c r="CY71" s="49"/>
    </row>
    <row r="72" spans="1:103">
      <c r="A72" s="48"/>
      <c r="C72" t="str">
        <f>('Gestión de abastecimiento'!A73)</f>
        <v>0</v>
      </c>
      <c r="D72" s="39" t="str">
        <f>'Por Valoracion (3) Dimension'!B72</f>
        <v>0</v>
      </c>
      <c r="E72" s="39" t="str">
        <f>'Por Valoracion (3) Dimension 2'!D72</f>
        <v>0</v>
      </c>
      <c r="Z72" s="48"/>
      <c r="AB72" t="str">
        <f>('Gestión de abastecimiento'!A73)</f>
        <v>0</v>
      </c>
      <c r="AC72" s="39" t="str">
        <f>'Por Valoracion (3) Dimension'!D72</f>
        <v>0</v>
      </c>
      <c r="AD72" s="39" t="str">
        <f>'Por Valoracion (3) Dimension 2'!D72</f>
        <v>0</v>
      </c>
      <c r="AY72" s="48"/>
      <c r="BA72" t="str">
        <f>('Gestión de abastecimiento'!A73)</f>
        <v>0</v>
      </c>
      <c r="BB72" s="39" t="str">
        <f>'Por Valoracion (3) Dimension'!F72</f>
        <v>0</v>
      </c>
      <c r="BC72" s="39" t="str">
        <f>'Por Valoracion (3) Dimension 2'!D72</f>
        <v>0</v>
      </c>
      <c r="BX72" s="48"/>
      <c r="BZ72" s="49"/>
      <c r="CB72" t="str">
        <f>('Gestión de abastecimiento'!A73)</f>
        <v>0</v>
      </c>
      <c r="CC72" s="39" t="str">
        <f>'Por Valoracion (3) Dimension 2'!B72</f>
        <v>0</v>
      </c>
      <c r="CD72" s="39" t="str">
        <f>'Por Valoracion (3) Dimension'!H72</f>
        <v>0</v>
      </c>
      <c r="CY72" s="49"/>
    </row>
    <row r="73" spans="1:103">
      <c r="A73" s="48"/>
      <c r="C73" t="str">
        <f>('Gestión de abastecimiento'!A74)</f>
        <v>0</v>
      </c>
      <c r="D73" s="39" t="str">
        <f>'Por Valoracion (3) Dimension'!B73</f>
        <v>0</v>
      </c>
      <c r="E73" s="39" t="str">
        <f>'Por Valoracion (3) Dimension 2'!D73</f>
        <v>0</v>
      </c>
      <c r="Z73" s="48"/>
      <c r="AB73" t="str">
        <f>('Gestión de abastecimiento'!A74)</f>
        <v>0</v>
      </c>
      <c r="AC73" s="39" t="str">
        <f>'Por Valoracion (3) Dimension'!D73</f>
        <v>0</v>
      </c>
      <c r="AD73" s="39" t="str">
        <f>'Por Valoracion (3) Dimension 2'!D73</f>
        <v>0</v>
      </c>
      <c r="AY73" s="48"/>
      <c r="BA73" t="str">
        <f>('Gestión de abastecimiento'!A74)</f>
        <v>0</v>
      </c>
      <c r="BB73" s="39" t="str">
        <f>'Por Valoracion (3) Dimension'!F73</f>
        <v>0</v>
      </c>
      <c r="BC73" s="39" t="str">
        <f>'Por Valoracion (3) Dimension 2'!D73</f>
        <v>0</v>
      </c>
      <c r="BX73" s="48"/>
      <c r="BZ73" s="49"/>
      <c r="CB73" t="str">
        <f>('Gestión de abastecimiento'!A74)</f>
        <v>0</v>
      </c>
      <c r="CC73" s="39" t="str">
        <f>'Por Valoracion (3) Dimension 2'!B73</f>
        <v>0</v>
      </c>
      <c r="CD73" s="39" t="str">
        <f>'Por Valoracion (3) Dimension'!H73</f>
        <v>0</v>
      </c>
      <c r="CY73" s="49"/>
    </row>
    <row r="74" spans="1:103">
      <c r="A74" s="48"/>
      <c r="C74" t="str">
        <f>('Gestión de abastecimiento'!A75)</f>
        <v>0</v>
      </c>
      <c r="D74" s="39" t="str">
        <f>'Por Valoracion (3) Dimension'!B74</f>
        <v>0</v>
      </c>
      <c r="E74" s="39" t="str">
        <f>'Por Valoracion (3) Dimension 2'!D74</f>
        <v>0</v>
      </c>
      <c r="Z74" s="48"/>
      <c r="AB74" t="str">
        <f>('Gestión de abastecimiento'!A75)</f>
        <v>0</v>
      </c>
      <c r="AC74" s="39" t="str">
        <f>'Por Valoracion (3) Dimension'!D74</f>
        <v>0</v>
      </c>
      <c r="AD74" s="39" t="str">
        <f>'Por Valoracion (3) Dimension 2'!D74</f>
        <v>0</v>
      </c>
      <c r="AY74" s="48"/>
      <c r="BA74" t="str">
        <f>('Gestión de abastecimiento'!A75)</f>
        <v>0</v>
      </c>
      <c r="BB74" s="39" t="str">
        <f>'Por Valoracion (3) Dimension'!F74</f>
        <v>0</v>
      </c>
      <c r="BC74" s="39" t="str">
        <f>'Por Valoracion (3) Dimension 2'!D74</f>
        <v>0</v>
      </c>
      <c r="BX74" s="48"/>
      <c r="BZ74" s="49"/>
      <c r="CB74" t="str">
        <f>('Gestión de abastecimiento'!A75)</f>
        <v>0</v>
      </c>
      <c r="CC74" s="39" t="str">
        <f>'Por Valoracion (3) Dimension 2'!B74</f>
        <v>0</v>
      </c>
      <c r="CD74" s="39" t="str">
        <f>'Por Valoracion (3) Dimension'!H74</f>
        <v>0</v>
      </c>
      <c r="CY74" s="49"/>
    </row>
    <row r="75" spans="1:103">
      <c r="A75" s="48"/>
      <c r="C75" t="str">
        <f>('Gestión de abastecimiento'!A76)</f>
        <v>0</v>
      </c>
      <c r="D75" s="39" t="str">
        <f>'Por Valoracion (3) Dimension'!B75</f>
        <v>0</v>
      </c>
      <c r="E75" s="39" t="str">
        <f>'Por Valoracion (3) Dimension 2'!D75</f>
        <v>0</v>
      </c>
      <c r="Z75" s="48"/>
      <c r="AB75" t="str">
        <f>('Gestión de abastecimiento'!A76)</f>
        <v>0</v>
      </c>
      <c r="AC75" s="39" t="str">
        <f>'Por Valoracion (3) Dimension'!D75</f>
        <v>0</v>
      </c>
      <c r="AD75" s="39" t="str">
        <f>'Por Valoracion (3) Dimension 2'!D75</f>
        <v>0</v>
      </c>
      <c r="AY75" s="48"/>
      <c r="BA75" t="str">
        <f>('Gestión de abastecimiento'!A76)</f>
        <v>0</v>
      </c>
      <c r="BB75" s="39" t="str">
        <f>'Por Valoracion (3) Dimension'!F75</f>
        <v>0</v>
      </c>
      <c r="BC75" s="39" t="str">
        <f>'Por Valoracion (3) Dimension 2'!D75</f>
        <v>0</v>
      </c>
      <c r="BX75" s="48"/>
      <c r="BZ75" s="49"/>
      <c r="CB75" t="str">
        <f>('Gestión de abastecimiento'!A76)</f>
        <v>0</v>
      </c>
      <c r="CC75" s="39" t="str">
        <f>'Por Valoracion (3) Dimension 2'!B75</f>
        <v>0</v>
      </c>
      <c r="CD75" s="39" t="str">
        <f>'Por Valoracion (3) Dimension'!H75</f>
        <v>0</v>
      </c>
      <c r="CY75" s="49"/>
    </row>
    <row r="76" spans="1:103">
      <c r="A76" s="48"/>
      <c r="C76" t="str">
        <f>('Gestión de abastecimiento'!A77)</f>
        <v>0</v>
      </c>
      <c r="D76" s="39" t="str">
        <f>'Por Valoracion (3) Dimension'!B76</f>
        <v>0</v>
      </c>
      <c r="E76" s="39" t="str">
        <f>'Por Valoracion (3) Dimension 2'!D76</f>
        <v>0</v>
      </c>
      <c r="Z76" s="48"/>
      <c r="AB76" t="str">
        <f>('Gestión de abastecimiento'!A77)</f>
        <v>0</v>
      </c>
      <c r="AC76" s="39" t="str">
        <f>'Por Valoracion (3) Dimension'!D76</f>
        <v>0</v>
      </c>
      <c r="AD76" s="39" t="str">
        <f>'Por Valoracion (3) Dimension 2'!D76</f>
        <v>0</v>
      </c>
      <c r="AY76" s="48"/>
      <c r="BA76" t="str">
        <f>('Gestión de abastecimiento'!A77)</f>
        <v>0</v>
      </c>
      <c r="BB76" s="39" t="str">
        <f>'Por Valoracion (3) Dimension'!F76</f>
        <v>0</v>
      </c>
      <c r="BC76" s="39" t="str">
        <f>'Por Valoracion (3) Dimension 2'!D76</f>
        <v>0</v>
      </c>
      <c r="BX76" s="48"/>
      <c r="BZ76" s="49"/>
      <c r="CB76" t="str">
        <f>('Gestión de abastecimiento'!A77)</f>
        <v>0</v>
      </c>
      <c r="CC76" s="39" t="str">
        <f>'Por Valoracion (3) Dimension 2'!B76</f>
        <v>0</v>
      </c>
      <c r="CD76" s="39" t="str">
        <f>'Por Valoracion (3) Dimension'!H76</f>
        <v>0</v>
      </c>
      <c r="CY76" s="49"/>
    </row>
    <row r="77" spans="1:103">
      <c r="A77" s="48"/>
      <c r="C77" t="str">
        <f>('Gestión de abastecimiento'!A78)</f>
        <v>0</v>
      </c>
      <c r="D77" s="39" t="str">
        <f>'Por Valoracion (3) Dimension'!B77</f>
        <v>0</v>
      </c>
      <c r="E77" s="39" t="str">
        <f>'Por Valoracion (3) Dimension 2'!D77</f>
        <v>0</v>
      </c>
      <c r="Z77" s="48"/>
      <c r="AB77" t="str">
        <f>('Gestión de abastecimiento'!A78)</f>
        <v>0</v>
      </c>
      <c r="AC77" s="39" t="str">
        <f>'Por Valoracion (3) Dimension'!D77</f>
        <v>0</v>
      </c>
      <c r="AD77" s="39" t="str">
        <f>'Por Valoracion (3) Dimension 2'!D77</f>
        <v>0</v>
      </c>
      <c r="AY77" s="48"/>
      <c r="BA77" t="str">
        <f>('Gestión de abastecimiento'!A78)</f>
        <v>0</v>
      </c>
      <c r="BB77" s="39" t="str">
        <f>'Por Valoracion (3) Dimension'!F77</f>
        <v>0</v>
      </c>
      <c r="BC77" s="39" t="str">
        <f>'Por Valoracion (3) Dimension 2'!D77</f>
        <v>0</v>
      </c>
      <c r="BX77" s="48"/>
      <c r="BZ77" s="49"/>
      <c r="CB77" t="str">
        <f>('Gestión de abastecimiento'!A78)</f>
        <v>0</v>
      </c>
      <c r="CC77" s="39" t="str">
        <f>'Por Valoracion (3) Dimension 2'!B77</f>
        <v>0</v>
      </c>
      <c r="CD77" s="39" t="str">
        <f>'Por Valoracion (3) Dimension'!H77</f>
        <v>0</v>
      </c>
      <c r="CY77" s="49"/>
    </row>
    <row r="78" spans="1:103">
      <c r="A78" s="48"/>
      <c r="C78" t="str">
        <f>('Gestión de abastecimiento'!A79)</f>
        <v>0</v>
      </c>
      <c r="D78" s="39" t="str">
        <f>'Por Valoracion (3) Dimension'!B78</f>
        <v>0</v>
      </c>
      <c r="E78" s="39" t="str">
        <f>'Por Valoracion (3) Dimension 2'!D78</f>
        <v>0</v>
      </c>
      <c r="Z78" s="48"/>
      <c r="AB78" t="str">
        <f>('Gestión de abastecimiento'!A79)</f>
        <v>0</v>
      </c>
      <c r="AC78" s="39" t="str">
        <f>'Por Valoracion (3) Dimension'!D78</f>
        <v>0</v>
      </c>
      <c r="AD78" s="39" t="str">
        <f>'Por Valoracion (3) Dimension 2'!D78</f>
        <v>0</v>
      </c>
      <c r="AY78" s="48"/>
      <c r="BA78" t="str">
        <f>('Gestión de abastecimiento'!A79)</f>
        <v>0</v>
      </c>
      <c r="BB78" s="39" t="str">
        <f>'Por Valoracion (3) Dimension'!F78</f>
        <v>0</v>
      </c>
      <c r="BC78" s="39" t="str">
        <f>'Por Valoracion (3) Dimension 2'!D78</f>
        <v>0</v>
      </c>
      <c r="BX78" s="48"/>
      <c r="BZ78" s="49"/>
      <c r="CB78" t="str">
        <f>('Gestión de abastecimiento'!A79)</f>
        <v>0</v>
      </c>
      <c r="CC78" s="39" t="str">
        <f>'Por Valoracion (3) Dimension 2'!B78</f>
        <v>0</v>
      </c>
      <c r="CD78" s="39" t="str">
        <f>'Por Valoracion (3) Dimension'!H78</f>
        <v>0</v>
      </c>
      <c r="CY78" s="49"/>
    </row>
    <row r="79" spans="1:103">
      <c r="A79" s="48"/>
      <c r="C79" t="str">
        <f>('Gestión de abastecimiento'!A80)</f>
        <v>0</v>
      </c>
      <c r="D79" s="39" t="str">
        <f>'Por Valoracion (3) Dimension'!B79</f>
        <v>0</v>
      </c>
      <c r="E79" s="39" t="str">
        <f>'Por Valoracion (3) Dimension 2'!D79</f>
        <v>0</v>
      </c>
      <c r="Z79" s="48"/>
      <c r="AB79" t="str">
        <f>('Gestión de abastecimiento'!A80)</f>
        <v>0</v>
      </c>
      <c r="AC79" s="39" t="str">
        <f>'Por Valoracion (3) Dimension'!D79</f>
        <v>0</v>
      </c>
      <c r="AD79" s="39" t="str">
        <f>'Por Valoracion (3) Dimension 2'!D79</f>
        <v>0</v>
      </c>
      <c r="AY79" s="48"/>
      <c r="BA79" t="str">
        <f>('Gestión de abastecimiento'!A80)</f>
        <v>0</v>
      </c>
      <c r="BB79" s="39" t="str">
        <f>'Por Valoracion (3) Dimension'!F79</f>
        <v>0</v>
      </c>
      <c r="BC79" s="39" t="str">
        <f>'Por Valoracion (3) Dimension 2'!D79</f>
        <v>0</v>
      </c>
      <c r="BX79" s="48"/>
      <c r="BZ79" s="49"/>
      <c r="CB79" t="str">
        <f>('Gestión de abastecimiento'!A80)</f>
        <v>0</v>
      </c>
      <c r="CC79" s="39" t="str">
        <f>'Por Valoracion (3) Dimension 2'!B79</f>
        <v>0</v>
      </c>
      <c r="CD79" s="39" t="str">
        <f>'Por Valoracion (3) Dimension'!H79</f>
        <v>0</v>
      </c>
      <c r="CY79" s="49"/>
    </row>
    <row r="80" spans="1:103">
      <c r="A80" s="48"/>
      <c r="C80" t="str">
        <f>('Gestión de abastecimiento'!A81)</f>
        <v>0</v>
      </c>
      <c r="D80" s="39" t="str">
        <f>'Por Valoracion (3) Dimension'!B80</f>
        <v>0</v>
      </c>
      <c r="E80" s="39" t="str">
        <f>'Por Valoracion (3) Dimension 2'!D80</f>
        <v>0</v>
      </c>
      <c r="Z80" s="48"/>
      <c r="AB80" t="str">
        <f>('Gestión de abastecimiento'!A81)</f>
        <v>0</v>
      </c>
      <c r="AC80" s="39" t="str">
        <f>'Por Valoracion (3) Dimension'!D80</f>
        <v>0</v>
      </c>
      <c r="AD80" s="39" t="str">
        <f>'Por Valoracion (3) Dimension 2'!D80</f>
        <v>0</v>
      </c>
      <c r="AY80" s="48"/>
      <c r="BA80" t="str">
        <f>('Gestión de abastecimiento'!A81)</f>
        <v>0</v>
      </c>
      <c r="BB80" s="39" t="str">
        <f>'Por Valoracion (3) Dimension'!F80</f>
        <v>0</v>
      </c>
      <c r="BC80" s="39" t="str">
        <f>'Por Valoracion (3) Dimension 2'!D80</f>
        <v>0</v>
      </c>
      <c r="BX80" s="48"/>
      <c r="BZ80" s="49"/>
      <c r="CB80" t="str">
        <f>('Gestión de abastecimiento'!A81)</f>
        <v>0</v>
      </c>
      <c r="CC80" s="39" t="str">
        <f>'Por Valoracion (3) Dimension 2'!B80</f>
        <v>0</v>
      </c>
      <c r="CD80" s="39" t="str">
        <f>'Por Valoracion (3) Dimension'!H80</f>
        <v>0</v>
      </c>
      <c r="CY80" s="49"/>
    </row>
    <row r="81" spans="1:103">
      <c r="A81" s="48"/>
      <c r="C81" t="str">
        <f>('Gestión de abastecimiento'!A82)</f>
        <v>0</v>
      </c>
      <c r="D81" s="39" t="str">
        <f>'Por Valoracion (3) Dimension'!B81</f>
        <v>0</v>
      </c>
      <c r="E81" s="39" t="str">
        <f>'Por Valoracion (3) Dimension 2'!D81</f>
        <v>0</v>
      </c>
      <c r="Z81" s="48"/>
      <c r="AB81" t="str">
        <f>('Gestión de abastecimiento'!A82)</f>
        <v>0</v>
      </c>
      <c r="AC81" s="39" t="str">
        <f>'Por Valoracion (3) Dimension'!D81</f>
        <v>0</v>
      </c>
      <c r="AD81" s="39" t="str">
        <f>'Por Valoracion (3) Dimension 2'!D81</f>
        <v>0</v>
      </c>
      <c r="AY81" s="48"/>
      <c r="BA81" t="str">
        <f>('Gestión de abastecimiento'!A82)</f>
        <v>0</v>
      </c>
      <c r="BB81" s="39" t="str">
        <f>'Por Valoracion (3) Dimension'!F81</f>
        <v>0</v>
      </c>
      <c r="BC81" s="39" t="str">
        <f>'Por Valoracion (3) Dimension 2'!D81</f>
        <v>0</v>
      </c>
      <c r="BX81" s="48"/>
      <c r="BZ81" s="49"/>
      <c r="CB81" t="str">
        <f>('Gestión de abastecimiento'!A82)</f>
        <v>0</v>
      </c>
      <c r="CC81" s="39" t="str">
        <f>'Por Valoracion (3) Dimension 2'!B81</f>
        <v>0</v>
      </c>
      <c r="CD81" s="39" t="str">
        <f>'Por Valoracion (3) Dimension'!H81</f>
        <v>0</v>
      </c>
      <c r="CY81" s="49"/>
    </row>
    <row r="82" spans="1:103">
      <c r="A82" s="48"/>
      <c r="C82" t="str">
        <f>('Gestión de abastecimiento'!A83)</f>
        <v>0</v>
      </c>
      <c r="D82" s="39" t="str">
        <f>'Por Valoracion (3) Dimension'!B82</f>
        <v>0</v>
      </c>
      <c r="E82" s="39" t="str">
        <f>'Por Valoracion (3) Dimension 2'!D82</f>
        <v>0</v>
      </c>
      <c r="Z82" s="48"/>
      <c r="AB82" t="str">
        <f>('Gestión de abastecimiento'!A83)</f>
        <v>0</v>
      </c>
      <c r="AC82" s="39" t="str">
        <f>'Por Valoracion (3) Dimension'!D82</f>
        <v>0</v>
      </c>
      <c r="AD82" s="39" t="str">
        <f>'Por Valoracion (3) Dimension 2'!D82</f>
        <v>0</v>
      </c>
      <c r="AY82" s="48"/>
      <c r="BA82" t="str">
        <f>('Gestión de abastecimiento'!A83)</f>
        <v>0</v>
      </c>
      <c r="BB82" s="39" t="str">
        <f>'Por Valoracion (3) Dimension'!F82</f>
        <v>0</v>
      </c>
      <c r="BC82" s="39" t="str">
        <f>'Por Valoracion (3) Dimension 2'!D82</f>
        <v>0</v>
      </c>
      <c r="BX82" s="48"/>
      <c r="BZ82" s="49"/>
      <c r="CB82" t="str">
        <f>('Gestión de abastecimiento'!A83)</f>
        <v>0</v>
      </c>
      <c r="CC82" s="39" t="str">
        <f>'Por Valoracion (3) Dimension 2'!B82</f>
        <v>0</v>
      </c>
      <c r="CD82" s="39" t="str">
        <f>'Por Valoracion (3) Dimension'!H82</f>
        <v>0</v>
      </c>
      <c r="CY82" s="49"/>
    </row>
    <row r="83" spans="1:103">
      <c r="A83" s="48"/>
      <c r="C83" t="str">
        <f>('Gestión de abastecimiento'!A84)</f>
        <v>0</v>
      </c>
      <c r="D83" s="39" t="str">
        <f>'Por Valoracion (3) Dimension'!B83</f>
        <v>0</v>
      </c>
      <c r="E83" s="39" t="str">
        <f>'Por Valoracion (3) Dimension 2'!D83</f>
        <v>0</v>
      </c>
      <c r="Z83" s="48"/>
      <c r="AB83" t="str">
        <f>('Gestión de abastecimiento'!A84)</f>
        <v>0</v>
      </c>
      <c r="AC83" s="39" t="str">
        <f>'Por Valoracion (3) Dimension'!D83</f>
        <v>0</v>
      </c>
      <c r="AD83" s="39" t="str">
        <f>'Por Valoracion (3) Dimension 2'!D83</f>
        <v>0</v>
      </c>
      <c r="AY83" s="48"/>
      <c r="BA83" t="str">
        <f>('Gestión de abastecimiento'!A84)</f>
        <v>0</v>
      </c>
      <c r="BB83" s="39" t="str">
        <f>'Por Valoracion (3) Dimension'!F83</f>
        <v>0</v>
      </c>
      <c r="BC83" s="39" t="str">
        <f>'Por Valoracion (3) Dimension 2'!D83</f>
        <v>0</v>
      </c>
      <c r="BX83" s="48"/>
      <c r="BZ83" s="49"/>
      <c r="CB83" t="str">
        <f>('Gestión de abastecimiento'!A84)</f>
        <v>0</v>
      </c>
      <c r="CC83" s="39" t="str">
        <f>'Por Valoracion (3) Dimension 2'!B83</f>
        <v>0</v>
      </c>
      <c r="CD83" s="39" t="str">
        <f>'Por Valoracion (3) Dimension'!H83</f>
        <v>0</v>
      </c>
      <c r="CY83" s="49"/>
    </row>
    <row r="84" spans="1:103">
      <c r="A84" s="48"/>
      <c r="C84" t="str">
        <f>('Gestión de abastecimiento'!A85)</f>
        <v>0</v>
      </c>
      <c r="D84" s="39" t="str">
        <f>'Por Valoracion (3) Dimension'!B84</f>
        <v>0</v>
      </c>
      <c r="E84" s="39" t="str">
        <f>'Por Valoracion (3) Dimension 2'!D84</f>
        <v>0</v>
      </c>
      <c r="Z84" s="48"/>
      <c r="AB84" t="str">
        <f>('Gestión de abastecimiento'!A85)</f>
        <v>0</v>
      </c>
      <c r="AC84" s="39" t="str">
        <f>'Por Valoracion (3) Dimension'!D84</f>
        <v>0</v>
      </c>
      <c r="AD84" s="39" t="str">
        <f>'Por Valoracion (3) Dimension 2'!D84</f>
        <v>0</v>
      </c>
      <c r="AY84" s="48"/>
      <c r="BA84" t="str">
        <f>('Gestión de abastecimiento'!A85)</f>
        <v>0</v>
      </c>
      <c r="BB84" s="39" t="str">
        <f>'Por Valoracion (3) Dimension'!F84</f>
        <v>0</v>
      </c>
      <c r="BC84" s="39" t="str">
        <f>'Por Valoracion (3) Dimension 2'!D84</f>
        <v>0</v>
      </c>
      <c r="BX84" s="48"/>
      <c r="BZ84" s="49"/>
      <c r="CB84" t="str">
        <f>('Gestión de abastecimiento'!A85)</f>
        <v>0</v>
      </c>
      <c r="CC84" s="39" t="str">
        <f>'Por Valoracion (3) Dimension 2'!B84</f>
        <v>0</v>
      </c>
      <c r="CD84" s="39" t="str">
        <f>'Por Valoracion (3) Dimension'!H84</f>
        <v>0</v>
      </c>
      <c r="CY84" s="49"/>
    </row>
    <row r="85" spans="1:103">
      <c r="A85" s="48"/>
      <c r="C85" t="str">
        <f>('Gestión de abastecimiento'!A86)</f>
        <v>0</v>
      </c>
      <c r="D85" s="39" t="str">
        <f>'Por Valoracion (3) Dimension'!B85</f>
        <v>0</v>
      </c>
      <c r="E85" s="39" t="str">
        <f>'Por Valoracion (3) Dimension 2'!D85</f>
        <v>0</v>
      </c>
      <c r="Z85" s="48"/>
      <c r="AB85" t="str">
        <f>('Gestión de abastecimiento'!A86)</f>
        <v>0</v>
      </c>
      <c r="AC85" s="39" t="str">
        <f>'Por Valoracion (3) Dimension'!D85</f>
        <v>0</v>
      </c>
      <c r="AD85" s="39" t="str">
        <f>'Por Valoracion (3) Dimension 2'!D85</f>
        <v>0</v>
      </c>
      <c r="AY85" s="48"/>
      <c r="BA85" t="str">
        <f>('Gestión de abastecimiento'!A86)</f>
        <v>0</v>
      </c>
      <c r="BB85" s="39" t="str">
        <f>'Por Valoracion (3) Dimension'!F85</f>
        <v>0</v>
      </c>
      <c r="BC85" s="39" t="str">
        <f>'Por Valoracion (3) Dimension 2'!D85</f>
        <v>0</v>
      </c>
      <c r="BX85" s="48"/>
      <c r="BZ85" s="49"/>
      <c r="CB85" t="str">
        <f>('Gestión de abastecimiento'!A86)</f>
        <v>0</v>
      </c>
      <c r="CC85" s="39" t="str">
        <f>'Por Valoracion (3) Dimension 2'!B85</f>
        <v>0</v>
      </c>
      <c r="CD85" s="39" t="str">
        <f>'Por Valoracion (3) Dimension'!H85</f>
        <v>0</v>
      </c>
      <c r="CY85" s="49"/>
    </row>
    <row r="86" spans="1:103">
      <c r="A86" s="48"/>
      <c r="C86" t="str">
        <f>('Gestión de abastecimiento'!A87)</f>
        <v>0</v>
      </c>
      <c r="D86" s="39" t="str">
        <f>'Por Valoracion (3) Dimension'!B86</f>
        <v>0</v>
      </c>
      <c r="E86" s="39" t="str">
        <f>'Por Valoracion (3) Dimension 2'!D86</f>
        <v>0</v>
      </c>
      <c r="Z86" s="48"/>
      <c r="AB86" t="str">
        <f>('Gestión de abastecimiento'!A87)</f>
        <v>0</v>
      </c>
      <c r="AC86" s="39" t="str">
        <f>'Por Valoracion (3) Dimension'!D86</f>
        <v>0</v>
      </c>
      <c r="AD86" s="39" t="str">
        <f>'Por Valoracion (3) Dimension 2'!D86</f>
        <v>0</v>
      </c>
      <c r="AY86" s="48"/>
      <c r="BA86" t="str">
        <f>('Gestión de abastecimiento'!A87)</f>
        <v>0</v>
      </c>
      <c r="BB86" s="39" t="str">
        <f>'Por Valoracion (3) Dimension'!F86</f>
        <v>0</v>
      </c>
      <c r="BC86" s="39" t="str">
        <f>'Por Valoracion (3) Dimension 2'!D86</f>
        <v>0</v>
      </c>
      <c r="BX86" s="48"/>
      <c r="BZ86" s="49"/>
      <c r="CB86" t="str">
        <f>('Gestión de abastecimiento'!A87)</f>
        <v>0</v>
      </c>
      <c r="CC86" s="39" t="str">
        <f>'Por Valoracion (3) Dimension 2'!B86</f>
        <v>0</v>
      </c>
      <c r="CD86" s="39" t="str">
        <f>'Por Valoracion (3) Dimension'!H86</f>
        <v>0</v>
      </c>
      <c r="CY86" s="49"/>
    </row>
    <row r="87" spans="1:103">
      <c r="A87" s="48"/>
      <c r="C87" t="str">
        <f>('Gestión de abastecimiento'!A88)</f>
        <v>0</v>
      </c>
      <c r="D87" s="39" t="str">
        <f>'Por Valoracion (3) Dimension'!B87</f>
        <v>0</v>
      </c>
      <c r="E87" s="39" t="str">
        <f>'Por Valoracion (3) Dimension 2'!D87</f>
        <v>0</v>
      </c>
      <c r="Z87" s="48"/>
      <c r="AB87" t="str">
        <f>('Gestión de abastecimiento'!A88)</f>
        <v>0</v>
      </c>
      <c r="AC87" s="39" t="str">
        <f>'Por Valoracion (3) Dimension'!D87</f>
        <v>0</v>
      </c>
      <c r="AD87" s="39" t="str">
        <f>'Por Valoracion (3) Dimension 2'!D87</f>
        <v>0</v>
      </c>
      <c r="AY87" s="48"/>
      <c r="BA87" t="str">
        <f>('Gestión de abastecimiento'!A88)</f>
        <v>0</v>
      </c>
      <c r="BB87" s="39" t="str">
        <f>'Por Valoracion (3) Dimension'!F87</f>
        <v>0</v>
      </c>
      <c r="BC87" s="39" t="str">
        <f>'Por Valoracion (3) Dimension 2'!D87</f>
        <v>0</v>
      </c>
      <c r="BX87" s="48"/>
      <c r="BZ87" s="49"/>
      <c r="CB87" t="str">
        <f>('Gestión de abastecimiento'!A88)</f>
        <v>0</v>
      </c>
      <c r="CC87" s="39" t="str">
        <f>'Por Valoracion (3) Dimension 2'!B87</f>
        <v>0</v>
      </c>
      <c r="CD87" s="39" t="str">
        <f>'Por Valoracion (3) Dimension'!H87</f>
        <v>0</v>
      </c>
      <c r="CY87" s="49"/>
    </row>
    <row r="88" spans="1:103">
      <c r="A88" s="48"/>
      <c r="C88" t="str">
        <f>('Gestión de abastecimiento'!A89)</f>
        <v>0</v>
      </c>
      <c r="D88" s="39" t="str">
        <f>'Por Valoracion (3) Dimension'!B88</f>
        <v>0</v>
      </c>
      <c r="E88" s="39" t="str">
        <f>'Por Valoracion (3) Dimension 2'!D88</f>
        <v>0</v>
      </c>
      <c r="Z88" s="48"/>
      <c r="AB88" t="str">
        <f>('Gestión de abastecimiento'!A89)</f>
        <v>0</v>
      </c>
      <c r="AC88" s="39" t="str">
        <f>'Por Valoracion (3) Dimension'!D88</f>
        <v>0</v>
      </c>
      <c r="AD88" s="39" t="str">
        <f>'Por Valoracion (3) Dimension 2'!D88</f>
        <v>0</v>
      </c>
      <c r="AY88" s="48"/>
      <c r="BA88" t="str">
        <f>('Gestión de abastecimiento'!A89)</f>
        <v>0</v>
      </c>
      <c r="BB88" s="39" t="str">
        <f>'Por Valoracion (3) Dimension'!F88</f>
        <v>0</v>
      </c>
      <c r="BC88" s="39" t="str">
        <f>'Por Valoracion (3) Dimension 2'!D88</f>
        <v>0</v>
      </c>
      <c r="BX88" s="48"/>
      <c r="BZ88" s="49"/>
      <c r="CB88" t="str">
        <f>('Gestión de abastecimiento'!A89)</f>
        <v>0</v>
      </c>
      <c r="CC88" s="39" t="str">
        <f>'Por Valoracion (3) Dimension 2'!B88</f>
        <v>0</v>
      </c>
      <c r="CD88" s="39" t="str">
        <f>'Por Valoracion (3) Dimension'!H88</f>
        <v>0</v>
      </c>
      <c r="CY88" s="49"/>
    </row>
    <row r="89" spans="1:103">
      <c r="A89" s="48"/>
      <c r="C89" t="str">
        <f>('Gestión de abastecimiento'!A90)</f>
        <v>0</v>
      </c>
      <c r="D89" s="39" t="str">
        <f>'Por Valoracion (3) Dimension'!B89</f>
        <v>0</v>
      </c>
      <c r="E89" s="39" t="str">
        <f>'Por Valoracion (3) Dimension 2'!D89</f>
        <v>0</v>
      </c>
      <c r="Z89" s="48"/>
      <c r="AB89" t="str">
        <f>('Gestión de abastecimiento'!A90)</f>
        <v>0</v>
      </c>
      <c r="AC89" s="39" t="str">
        <f>'Por Valoracion (3) Dimension'!D89</f>
        <v>0</v>
      </c>
      <c r="AD89" s="39" t="str">
        <f>'Por Valoracion (3) Dimension 2'!D89</f>
        <v>0</v>
      </c>
      <c r="AY89" s="48"/>
      <c r="BA89" t="str">
        <f>('Gestión de abastecimiento'!A90)</f>
        <v>0</v>
      </c>
      <c r="BB89" s="39" t="str">
        <f>'Por Valoracion (3) Dimension'!F89</f>
        <v>0</v>
      </c>
      <c r="BC89" s="39" t="str">
        <f>'Por Valoracion (3) Dimension 2'!D89</f>
        <v>0</v>
      </c>
      <c r="BX89" s="48"/>
      <c r="BZ89" s="49"/>
      <c r="CB89" t="str">
        <f>('Gestión de abastecimiento'!A90)</f>
        <v>0</v>
      </c>
      <c r="CC89" s="39" t="str">
        <f>'Por Valoracion (3) Dimension 2'!B89</f>
        <v>0</v>
      </c>
      <c r="CD89" s="39" t="str">
        <f>'Por Valoracion (3) Dimension'!H89</f>
        <v>0</v>
      </c>
      <c r="CY89" s="49"/>
    </row>
    <row r="90" spans="1:103">
      <c r="A90" s="48"/>
      <c r="C90" t="str">
        <f>('Gestión de abastecimiento'!A91)</f>
        <v>0</v>
      </c>
      <c r="D90" s="39" t="str">
        <f>'Por Valoracion (3) Dimension'!B90</f>
        <v>0</v>
      </c>
      <c r="E90" s="39" t="str">
        <f>'Por Valoracion (3) Dimension 2'!D90</f>
        <v>0</v>
      </c>
      <c r="Z90" s="48"/>
      <c r="AB90" t="str">
        <f>('Gestión de abastecimiento'!A91)</f>
        <v>0</v>
      </c>
      <c r="AC90" s="39" t="str">
        <f>'Por Valoracion (3) Dimension'!D90</f>
        <v>0</v>
      </c>
      <c r="AD90" s="39" t="str">
        <f>'Por Valoracion (3) Dimension 2'!D90</f>
        <v>0</v>
      </c>
      <c r="AY90" s="48"/>
      <c r="BA90" t="str">
        <f>('Gestión de abastecimiento'!A91)</f>
        <v>0</v>
      </c>
      <c r="BB90" s="39" t="str">
        <f>'Por Valoracion (3) Dimension'!F90</f>
        <v>0</v>
      </c>
      <c r="BC90" s="39" t="str">
        <f>'Por Valoracion (3) Dimension 2'!D90</f>
        <v>0</v>
      </c>
      <c r="BX90" s="48"/>
      <c r="BZ90" s="49"/>
      <c r="CB90" t="str">
        <f>('Gestión de abastecimiento'!A91)</f>
        <v>0</v>
      </c>
      <c r="CC90" s="39" t="str">
        <f>'Por Valoracion (3) Dimension 2'!B90</f>
        <v>0</v>
      </c>
      <c r="CD90" s="39" t="str">
        <f>'Por Valoracion (3) Dimension'!H90</f>
        <v>0</v>
      </c>
      <c r="CY90" s="49"/>
    </row>
    <row r="91" spans="1:103">
      <c r="A91" s="48"/>
      <c r="C91" t="str">
        <f>('Gestión de abastecimiento'!A92)</f>
        <v>0</v>
      </c>
      <c r="D91" s="39" t="str">
        <f>'Por Valoracion (3) Dimension'!B91</f>
        <v>0</v>
      </c>
      <c r="E91" s="39" t="str">
        <f>'Por Valoracion (3) Dimension 2'!D91</f>
        <v>0</v>
      </c>
      <c r="Z91" s="48"/>
      <c r="AB91" t="str">
        <f>('Gestión de abastecimiento'!A92)</f>
        <v>0</v>
      </c>
      <c r="AC91" s="39" t="str">
        <f>'Por Valoracion (3) Dimension'!D91</f>
        <v>0</v>
      </c>
      <c r="AD91" s="39" t="str">
        <f>'Por Valoracion (3) Dimension 2'!D91</f>
        <v>0</v>
      </c>
      <c r="AY91" s="48"/>
      <c r="BA91" t="str">
        <f>('Gestión de abastecimiento'!A92)</f>
        <v>0</v>
      </c>
      <c r="BB91" s="39" t="str">
        <f>'Por Valoracion (3) Dimension'!F91</f>
        <v>0</v>
      </c>
      <c r="BC91" s="39" t="str">
        <f>'Por Valoracion (3) Dimension 2'!D91</f>
        <v>0</v>
      </c>
      <c r="BX91" s="48"/>
      <c r="BZ91" s="49"/>
      <c r="CB91" t="str">
        <f>('Gestión de abastecimiento'!A92)</f>
        <v>0</v>
      </c>
      <c r="CC91" s="39" t="str">
        <f>'Por Valoracion (3) Dimension 2'!B91</f>
        <v>0</v>
      </c>
      <c r="CD91" s="39" t="str">
        <f>'Por Valoracion (3) Dimension'!H91</f>
        <v>0</v>
      </c>
      <c r="CY91" s="49"/>
    </row>
    <row r="92" spans="1:103">
      <c r="A92" s="48"/>
      <c r="C92" t="str">
        <f>('Gestión de abastecimiento'!A93)</f>
        <v>0</v>
      </c>
      <c r="D92" s="39" t="str">
        <f>'Por Valoracion (3) Dimension'!B92</f>
        <v>0</v>
      </c>
      <c r="E92" s="39" t="str">
        <f>'Por Valoracion (3) Dimension 2'!D92</f>
        <v>0</v>
      </c>
      <c r="Z92" s="48"/>
      <c r="AB92" t="str">
        <f>('Gestión de abastecimiento'!A93)</f>
        <v>0</v>
      </c>
      <c r="AC92" s="39" t="str">
        <f>'Por Valoracion (3) Dimension'!D92</f>
        <v>0</v>
      </c>
      <c r="AD92" s="39" t="str">
        <f>'Por Valoracion (3) Dimension 2'!D92</f>
        <v>0</v>
      </c>
      <c r="AY92" s="48"/>
      <c r="BA92" t="str">
        <f>('Gestión de abastecimiento'!A93)</f>
        <v>0</v>
      </c>
      <c r="BB92" s="39" t="str">
        <f>'Por Valoracion (3) Dimension'!F92</f>
        <v>0</v>
      </c>
      <c r="BC92" s="39" t="str">
        <f>'Por Valoracion (3) Dimension 2'!D92</f>
        <v>0</v>
      </c>
      <c r="BX92" s="48"/>
      <c r="BZ92" s="49"/>
      <c r="CB92" t="str">
        <f>('Gestión de abastecimiento'!A93)</f>
        <v>0</v>
      </c>
      <c r="CC92" s="39" t="str">
        <f>'Por Valoracion (3) Dimension 2'!B92</f>
        <v>0</v>
      </c>
      <c r="CD92" s="39" t="str">
        <f>'Por Valoracion (3) Dimension'!H92</f>
        <v>0</v>
      </c>
      <c r="CY92" s="49"/>
    </row>
    <row r="93" spans="1:103">
      <c r="A93" s="48"/>
      <c r="C93" t="str">
        <f>('Gestión de abastecimiento'!A94)</f>
        <v>0</v>
      </c>
      <c r="D93" s="39" t="str">
        <f>'Por Valoracion (3) Dimension'!B93</f>
        <v>0</v>
      </c>
      <c r="E93" s="39" t="str">
        <f>'Por Valoracion (3) Dimension 2'!D93</f>
        <v>0</v>
      </c>
      <c r="Z93" s="48"/>
      <c r="AB93" t="str">
        <f>('Gestión de abastecimiento'!A94)</f>
        <v>0</v>
      </c>
      <c r="AC93" s="39" t="str">
        <f>'Por Valoracion (3) Dimension'!D93</f>
        <v>0</v>
      </c>
      <c r="AD93" s="39" t="str">
        <f>'Por Valoracion (3) Dimension 2'!D93</f>
        <v>0</v>
      </c>
      <c r="AY93" s="48"/>
      <c r="BA93" t="str">
        <f>('Gestión de abastecimiento'!A94)</f>
        <v>0</v>
      </c>
      <c r="BB93" s="39" t="str">
        <f>'Por Valoracion (3) Dimension'!F93</f>
        <v>0</v>
      </c>
      <c r="BC93" s="39" t="str">
        <f>'Por Valoracion (3) Dimension 2'!D93</f>
        <v>0</v>
      </c>
      <c r="BX93" s="48"/>
      <c r="BZ93" s="49"/>
      <c r="CB93" t="str">
        <f>('Gestión de abastecimiento'!A94)</f>
        <v>0</v>
      </c>
      <c r="CC93" s="39" t="str">
        <f>'Por Valoracion (3) Dimension 2'!B93</f>
        <v>0</v>
      </c>
      <c r="CD93" s="39" t="str">
        <f>'Por Valoracion (3) Dimension'!H93</f>
        <v>0</v>
      </c>
      <c r="CY93" s="49"/>
    </row>
    <row r="94" spans="1:103">
      <c r="A94" s="48"/>
      <c r="C94" t="str">
        <f>('Gestión de abastecimiento'!A95)</f>
        <v>0</v>
      </c>
      <c r="D94" s="39" t="str">
        <f>'Por Valoracion (3) Dimension'!B94</f>
        <v>0</v>
      </c>
      <c r="E94" s="39" t="str">
        <f>'Por Valoracion (3) Dimension 2'!D94</f>
        <v>0</v>
      </c>
      <c r="Z94" s="48"/>
      <c r="AB94" t="str">
        <f>('Gestión de abastecimiento'!A95)</f>
        <v>0</v>
      </c>
      <c r="AC94" s="39" t="str">
        <f>'Por Valoracion (3) Dimension'!D94</f>
        <v>0</v>
      </c>
      <c r="AD94" s="39" t="str">
        <f>'Por Valoracion (3) Dimension 2'!D94</f>
        <v>0</v>
      </c>
      <c r="AY94" s="48"/>
      <c r="BA94" t="str">
        <f>('Gestión de abastecimiento'!A95)</f>
        <v>0</v>
      </c>
      <c r="BB94" s="39" t="str">
        <f>'Por Valoracion (3) Dimension'!F94</f>
        <v>0</v>
      </c>
      <c r="BC94" s="39" t="str">
        <f>'Por Valoracion (3) Dimension 2'!D94</f>
        <v>0</v>
      </c>
      <c r="BX94" s="48"/>
      <c r="BZ94" s="49"/>
      <c r="CB94" t="str">
        <f>('Gestión de abastecimiento'!A95)</f>
        <v>0</v>
      </c>
      <c r="CC94" s="39" t="str">
        <f>'Por Valoracion (3) Dimension 2'!B94</f>
        <v>0</v>
      </c>
      <c r="CD94" s="39" t="str">
        <f>'Por Valoracion (3) Dimension'!H94</f>
        <v>0</v>
      </c>
      <c r="CY94" s="49"/>
    </row>
    <row r="95" spans="1:103">
      <c r="A95" s="48"/>
      <c r="C95" t="str">
        <f>('Gestión de abastecimiento'!A96)</f>
        <v>0</v>
      </c>
      <c r="D95" s="39" t="str">
        <f>'Por Valoracion (3) Dimension'!B95</f>
        <v>0</v>
      </c>
      <c r="E95" s="39" t="str">
        <f>'Por Valoracion (3) Dimension 2'!D95</f>
        <v>0</v>
      </c>
      <c r="Z95" s="48"/>
      <c r="AB95" t="str">
        <f>('Gestión de abastecimiento'!A96)</f>
        <v>0</v>
      </c>
      <c r="AC95" s="39" t="str">
        <f>'Por Valoracion (3) Dimension'!D95</f>
        <v>0</v>
      </c>
      <c r="AD95" s="39" t="str">
        <f>'Por Valoracion (3) Dimension 2'!D95</f>
        <v>0</v>
      </c>
      <c r="AY95" s="48"/>
      <c r="BA95" t="str">
        <f>('Gestión de abastecimiento'!A96)</f>
        <v>0</v>
      </c>
      <c r="BB95" s="39" t="str">
        <f>'Por Valoracion (3) Dimension'!F95</f>
        <v>0</v>
      </c>
      <c r="BC95" s="39" t="str">
        <f>'Por Valoracion (3) Dimension 2'!D95</f>
        <v>0</v>
      </c>
      <c r="BX95" s="48"/>
      <c r="BZ95" s="49"/>
      <c r="CB95" t="str">
        <f>('Gestión de abastecimiento'!A96)</f>
        <v>0</v>
      </c>
      <c r="CC95" s="39" t="str">
        <f>'Por Valoracion (3) Dimension 2'!B95</f>
        <v>0</v>
      </c>
      <c r="CD95" s="39" t="str">
        <f>'Por Valoracion (3) Dimension'!H95</f>
        <v>0</v>
      </c>
      <c r="CY95" s="49"/>
    </row>
    <row r="96" spans="1:103">
      <c r="A96" s="48"/>
      <c r="C96" t="str">
        <f>('Gestión de abastecimiento'!A97)</f>
        <v>0</v>
      </c>
      <c r="D96" s="39" t="str">
        <f>'Por Valoracion (3) Dimension'!B96</f>
        <v>0</v>
      </c>
      <c r="E96" s="39" t="str">
        <f>'Por Valoracion (3) Dimension 2'!D96</f>
        <v>0</v>
      </c>
      <c r="Z96" s="48"/>
      <c r="AB96" t="str">
        <f>('Gestión de abastecimiento'!A97)</f>
        <v>0</v>
      </c>
      <c r="AC96" s="39" t="str">
        <f>'Por Valoracion (3) Dimension'!D96</f>
        <v>0</v>
      </c>
      <c r="AD96" s="39" t="str">
        <f>'Por Valoracion (3) Dimension 2'!D96</f>
        <v>0</v>
      </c>
      <c r="AY96" s="48"/>
      <c r="BA96" t="str">
        <f>('Gestión de abastecimiento'!A97)</f>
        <v>0</v>
      </c>
      <c r="BB96" s="39" t="str">
        <f>'Por Valoracion (3) Dimension'!F96</f>
        <v>0</v>
      </c>
      <c r="BC96" s="39" t="str">
        <f>'Por Valoracion (3) Dimension 2'!D96</f>
        <v>0</v>
      </c>
      <c r="BX96" s="48"/>
      <c r="BZ96" s="49"/>
      <c r="CB96" t="str">
        <f>('Gestión de abastecimiento'!A97)</f>
        <v>0</v>
      </c>
      <c r="CC96" s="39" t="str">
        <f>'Por Valoracion (3) Dimension 2'!B96</f>
        <v>0</v>
      </c>
      <c r="CD96" s="39" t="str">
        <f>'Por Valoracion (3) Dimension'!H96</f>
        <v>0</v>
      </c>
      <c r="CY96" s="49"/>
    </row>
    <row r="97" spans="1:103">
      <c r="A97" s="48"/>
      <c r="C97" t="str">
        <f>('Gestión de abastecimiento'!A98)</f>
        <v>0</v>
      </c>
      <c r="D97" s="39" t="str">
        <f>'Por Valoracion (3) Dimension'!B97</f>
        <v>0</v>
      </c>
      <c r="E97" s="39" t="str">
        <f>'Por Valoracion (3) Dimension 2'!D97</f>
        <v>0</v>
      </c>
      <c r="Z97" s="48"/>
      <c r="AB97" t="str">
        <f>('Gestión de abastecimiento'!A98)</f>
        <v>0</v>
      </c>
      <c r="AC97" s="39" t="str">
        <f>'Por Valoracion (3) Dimension'!D97</f>
        <v>0</v>
      </c>
      <c r="AD97" s="39" t="str">
        <f>'Por Valoracion (3) Dimension 2'!D97</f>
        <v>0</v>
      </c>
      <c r="AY97" s="48"/>
      <c r="BA97" t="str">
        <f>('Gestión de abastecimiento'!A98)</f>
        <v>0</v>
      </c>
      <c r="BB97" s="39" t="str">
        <f>'Por Valoracion (3) Dimension'!F97</f>
        <v>0</v>
      </c>
      <c r="BC97" s="39" t="str">
        <f>'Por Valoracion (3) Dimension 2'!D97</f>
        <v>0</v>
      </c>
      <c r="BX97" s="48"/>
      <c r="BZ97" s="49"/>
      <c r="CB97" t="str">
        <f>('Gestión de abastecimiento'!A98)</f>
        <v>0</v>
      </c>
      <c r="CC97" s="39" t="str">
        <f>'Por Valoracion (3) Dimension 2'!B97</f>
        <v>0</v>
      </c>
      <c r="CD97" s="39" t="str">
        <f>'Por Valoracion (3) Dimension'!H97</f>
        <v>0</v>
      </c>
      <c r="CY97" s="49"/>
    </row>
    <row r="98" spans="1:103">
      <c r="A98" s="48"/>
      <c r="C98" t="str">
        <f>('Gestión de abastecimiento'!A99)</f>
        <v>0</v>
      </c>
      <c r="D98" s="39" t="str">
        <f>'Por Valoracion (3) Dimension'!B98</f>
        <v>0</v>
      </c>
      <c r="E98" s="39" t="str">
        <f>'Por Valoracion (3) Dimension 2'!D98</f>
        <v>0</v>
      </c>
      <c r="Z98" s="48"/>
      <c r="AB98" t="str">
        <f>('Gestión de abastecimiento'!A99)</f>
        <v>0</v>
      </c>
      <c r="AC98" s="39" t="str">
        <f>'Por Valoracion (3) Dimension'!D98</f>
        <v>0</v>
      </c>
      <c r="AD98" s="39" t="str">
        <f>'Por Valoracion (3) Dimension 2'!D98</f>
        <v>0</v>
      </c>
      <c r="AY98" s="48"/>
      <c r="BA98" t="str">
        <f>('Gestión de abastecimiento'!A99)</f>
        <v>0</v>
      </c>
      <c r="BB98" s="39" t="str">
        <f>'Por Valoracion (3) Dimension'!F98</f>
        <v>0</v>
      </c>
      <c r="BC98" s="39" t="str">
        <f>'Por Valoracion (3) Dimension 2'!D98</f>
        <v>0</v>
      </c>
      <c r="BX98" s="48"/>
      <c r="BZ98" s="49"/>
      <c r="CB98" t="str">
        <f>('Gestión de abastecimiento'!A99)</f>
        <v>0</v>
      </c>
      <c r="CC98" s="39" t="str">
        <f>'Por Valoracion (3) Dimension 2'!B98</f>
        <v>0</v>
      </c>
      <c r="CD98" s="39" t="str">
        <f>'Por Valoracion (3) Dimension'!H98</f>
        <v>0</v>
      </c>
      <c r="CY98" s="49"/>
    </row>
    <row r="99" spans="1:103">
      <c r="A99" s="48"/>
      <c r="C99" t="str">
        <f>('Gestión de abastecimiento'!A100)</f>
        <v>0</v>
      </c>
      <c r="D99" s="39" t="str">
        <f>'Por Valoracion (3) Dimension'!B99</f>
        <v>0</v>
      </c>
      <c r="E99" s="39" t="str">
        <f>'Por Valoracion (3) Dimension 2'!D99</f>
        <v>0</v>
      </c>
      <c r="Z99" s="48"/>
      <c r="AB99" t="str">
        <f>('Gestión de abastecimiento'!A100)</f>
        <v>0</v>
      </c>
      <c r="AC99" s="39" t="str">
        <f>'Por Valoracion (3) Dimension'!D99</f>
        <v>0</v>
      </c>
      <c r="AD99" s="39" t="str">
        <f>'Por Valoracion (3) Dimension 2'!D99</f>
        <v>0</v>
      </c>
      <c r="AY99" s="48"/>
      <c r="BA99" t="str">
        <f>('Gestión de abastecimiento'!A100)</f>
        <v>0</v>
      </c>
      <c r="BB99" s="39" t="str">
        <f>'Por Valoracion (3) Dimension'!F99</f>
        <v>0</v>
      </c>
      <c r="BC99" s="39" t="str">
        <f>'Por Valoracion (3) Dimension 2'!D99</f>
        <v>0</v>
      </c>
      <c r="BX99" s="48"/>
      <c r="BZ99" s="49"/>
      <c r="CB99" t="str">
        <f>('Gestión de abastecimiento'!A100)</f>
        <v>0</v>
      </c>
      <c r="CC99" s="39" t="str">
        <f>'Por Valoracion (3) Dimension 2'!B99</f>
        <v>0</v>
      </c>
      <c r="CD99" s="39" t="str">
        <f>'Por Valoracion (3) Dimension'!H99</f>
        <v>0</v>
      </c>
      <c r="CY99" s="49"/>
    </row>
    <row r="100" spans="1:103">
      <c r="A100" s="48"/>
      <c r="C100" t="str">
        <f>('Gestión de abastecimiento'!A101)</f>
        <v>0</v>
      </c>
      <c r="D100" s="39" t="str">
        <f>'Por Valoracion (3) Dimension'!B100</f>
        <v>0</v>
      </c>
      <c r="E100" s="39" t="str">
        <f>'Por Valoracion (3) Dimension 2'!D100</f>
        <v>0</v>
      </c>
      <c r="Z100" s="48"/>
      <c r="AB100" t="str">
        <f>('Gestión de abastecimiento'!A101)</f>
        <v>0</v>
      </c>
      <c r="AC100" s="39" t="str">
        <f>'Por Valoracion (3) Dimension'!D100</f>
        <v>0</v>
      </c>
      <c r="AD100" s="39" t="str">
        <f>'Por Valoracion (3) Dimension 2'!D100</f>
        <v>0</v>
      </c>
      <c r="AY100" s="48"/>
      <c r="BA100" t="str">
        <f>('Gestión de abastecimiento'!A101)</f>
        <v>0</v>
      </c>
      <c r="BB100" s="39" t="str">
        <f>'Por Valoracion (3) Dimension'!F100</f>
        <v>0</v>
      </c>
      <c r="BC100" s="39" t="str">
        <f>'Por Valoracion (3) Dimension 2'!D100</f>
        <v>0</v>
      </c>
      <c r="BX100" s="48"/>
      <c r="BZ100" s="49"/>
      <c r="CB100" t="str">
        <f>('Gestión de abastecimiento'!A101)</f>
        <v>0</v>
      </c>
      <c r="CC100" s="39" t="str">
        <f>'Por Valoracion (3) Dimension 2'!B100</f>
        <v>0</v>
      </c>
      <c r="CD100" s="39" t="str">
        <f>'Por Valoracion (3) Dimension'!H100</f>
        <v>0</v>
      </c>
      <c r="CY100" s="49"/>
    </row>
    <row r="101" spans="1:103">
      <c r="A101" s="48"/>
      <c r="C101" t="str">
        <f>('Gestión de abastecimiento'!A102)</f>
        <v>0</v>
      </c>
      <c r="D101" s="39" t="str">
        <f>'Por Valoracion (3) Dimension'!B101</f>
        <v>0</v>
      </c>
      <c r="E101" s="39" t="str">
        <f>'Por Valoracion (3) Dimension 2'!D101</f>
        <v>0</v>
      </c>
      <c r="Z101" s="48"/>
      <c r="AB101" t="str">
        <f>('Gestión de abastecimiento'!A102)</f>
        <v>0</v>
      </c>
      <c r="AC101" s="39" t="str">
        <f>'Por Valoracion (3) Dimension'!D101</f>
        <v>0</v>
      </c>
      <c r="AD101" s="39" t="str">
        <f>'Por Valoracion (3) Dimension 2'!D101</f>
        <v>0</v>
      </c>
      <c r="AY101" s="48"/>
      <c r="BA101" t="str">
        <f>('Gestión de abastecimiento'!A102)</f>
        <v>0</v>
      </c>
      <c r="BB101" s="39" t="str">
        <f>'Por Valoracion (3) Dimension'!F101</f>
        <v>0</v>
      </c>
      <c r="BC101" s="39" t="str">
        <f>'Por Valoracion (3) Dimension 2'!D101</f>
        <v>0</v>
      </c>
      <c r="BX101" s="48"/>
      <c r="BZ101" s="49"/>
      <c r="CB101" t="str">
        <f>('Gestión de abastecimiento'!A102)</f>
        <v>0</v>
      </c>
      <c r="CC101" s="39" t="str">
        <f>'Por Valoracion (3) Dimension 2'!B101</f>
        <v>0</v>
      </c>
      <c r="CD101" s="39" t="str">
        <f>'Por Valoracion (3) Dimension'!H101</f>
        <v>0</v>
      </c>
      <c r="CY101" s="49"/>
    </row>
    <row r="102" spans="1:103">
      <c r="A102" s="48"/>
      <c r="C102" t="str">
        <f>('Gestión de abastecimiento'!A103)</f>
        <v>0</v>
      </c>
      <c r="D102" s="39" t="str">
        <f>'Por Valoracion (3) Dimension'!B102</f>
        <v>0</v>
      </c>
      <c r="E102" s="39" t="str">
        <f>'Por Valoracion (3) Dimension 2'!D102</f>
        <v>0</v>
      </c>
      <c r="Z102" s="48"/>
      <c r="AB102" t="str">
        <f>('Gestión de abastecimiento'!A103)</f>
        <v>0</v>
      </c>
      <c r="AC102" s="39" t="str">
        <f>'Por Valoracion (3) Dimension'!D102</f>
        <v>0</v>
      </c>
      <c r="AD102" s="39" t="str">
        <f>'Por Valoracion (3) Dimension 2'!D102</f>
        <v>0</v>
      </c>
      <c r="AY102" s="48"/>
      <c r="BA102" t="str">
        <f>('Gestión de abastecimiento'!A103)</f>
        <v>0</v>
      </c>
      <c r="BB102" s="39" t="str">
        <f>'Por Valoracion (3) Dimension'!F102</f>
        <v>0</v>
      </c>
      <c r="BC102" s="39" t="str">
        <f>'Por Valoracion (3) Dimension 2'!D102</f>
        <v>0</v>
      </c>
      <c r="BX102" s="48"/>
      <c r="BZ102" s="49"/>
      <c r="CB102" t="str">
        <f>('Gestión de abastecimiento'!A103)</f>
        <v>0</v>
      </c>
      <c r="CC102" s="39" t="str">
        <f>'Por Valoracion (3) Dimension 2'!B102</f>
        <v>0</v>
      </c>
      <c r="CD102" s="39" t="str">
        <f>'Por Valoracion (3) Dimension'!H102</f>
        <v>0</v>
      </c>
      <c r="CY102" s="49"/>
    </row>
    <row r="103" spans="1:103">
      <c r="A103" s="48"/>
      <c r="C103" t="str">
        <f>('Gestión de abastecimiento'!A104)</f>
        <v>0</v>
      </c>
      <c r="D103" s="39" t="str">
        <f>'Por Valoracion (3) Dimension'!B103</f>
        <v>0</v>
      </c>
      <c r="E103" s="39" t="str">
        <f>'Por Valoracion (3) Dimension 2'!D103</f>
        <v>0</v>
      </c>
      <c r="Z103" s="48"/>
      <c r="AB103" t="str">
        <f>('Gestión de abastecimiento'!A104)</f>
        <v>0</v>
      </c>
      <c r="AC103" s="39" t="str">
        <f>'Por Valoracion (3) Dimension'!D103</f>
        <v>0</v>
      </c>
      <c r="AD103" s="39" t="str">
        <f>'Por Valoracion (3) Dimension 2'!D103</f>
        <v>0</v>
      </c>
      <c r="AY103" s="48"/>
      <c r="BA103" t="str">
        <f>('Gestión de abastecimiento'!A104)</f>
        <v>0</v>
      </c>
      <c r="BB103" s="39" t="str">
        <f>'Por Valoracion (3) Dimension'!F103</f>
        <v>0</v>
      </c>
      <c r="BC103" s="39" t="str">
        <f>'Por Valoracion (3) Dimension 2'!D103</f>
        <v>0</v>
      </c>
      <c r="BX103" s="48"/>
      <c r="BZ103" s="49"/>
      <c r="CB103" t="str">
        <f>('Gestión de abastecimiento'!A104)</f>
        <v>0</v>
      </c>
      <c r="CC103" s="39" t="str">
        <f>'Por Valoracion (3) Dimension 2'!B103</f>
        <v>0</v>
      </c>
      <c r="CD103" s="39" t="str">
        <f>'Por Valoracion (3) Dimension'!H103</f>
        <v>0</v>
      </c>
      <c r="CY103" s="49"/>
    </row>
    <row r="104" spans="1:103">
      <c r="A104" s="48"/>
      <c r="C104" t="str">
        <f>('Gestión de abastecimiento'!A105)</f>
        <v>0</v>
      </c>
      <c r="D104" s="39" t="str">
        <f>'Por Valoracion (3) Dimension'!B104</f>
        <v>0</v>
      </c>
      <c r="E104" s="39" t="str">
        <f>'Por Valoracion (3) Dimension 2'!D104</f>
        <v>0</v>
      </c>
      <c r="Z104" s="48"/>
      <c r="AB104" t="str">
        <f>('Gestión de abastecimiento'!A105)</f>
        <v>0</v>
      </c>
      <c r="AC104" s="39" t="str">
        <f>'Por Valoracion (3) Dimension'!D104</f>
        <v>0</v>
      </c>
      <c r="AD104" s="39" t="str">
        <f>'Por Valoracion (3) Dimension 2'!D104</f>
        <v>0</v>
      </c>
      <c r="AY104" s="48"/>
      <c r="BA104" t="str">
        <f>('Gestión de abastecimiento'!A105)</f>
        <v>0</v>
      </c>
      <c r="BB104" s="39" t="str">
        <f>'Por Valoracion (3) Dimension'!F104</f>
        <v>0</v>
      </c>
      <c r="BC104" s="39" t="str">
        <f>'Por Valoracion (3) Dimension 2'!D104</f>
        <v>0</v>
      </c>
      <c r="BX104" s="48"/>
      <c r="BZ104" s="49"/>
      <c r="CB104" t="str">
        <f>('Gestión de abastecimiento'!A105)</f>
        <v>0</v>
      </c>
      <c r="CC104" s="39" t="str">
        <f>'Por Valoracion (3) Dimension 2'!B104</f>
        <v>0</v>
      </c>
      <c r="CD104" s="39" t="str">
        <f>'Por Valoracion (3) Dimension'!H104</f>
        <v>0</v>
      </c>
      <c r="CY104" s="49"/>
    </row>
    <row r="105" spans="1:103">
      <c r="A105" s="48"/>
      <c r="C105" t="str">
        <f>('Gestión de abastecimiento'!A106)</f>
        <v>0</v>
      </c>
      <c r="D105" s="39" t="str">
        <f>'Por Valoracion (3) Dimension'!B105</f>
        <v>0</v>
      </c>
      <c r="E105" s="39" t="str">
        <f>'Por Valoracion (3) Dimension 2'!D105</f>
        <v>0</v>
      </c>
      <c r="Z105" s="48"/>
      <c r="AB105" t="str">
        <f>('Gestión de abastecimiento'!A106)</f>
        <v>0</v>
      </c>
      <c r="AC105" s="39" t="str">
        <f>'Por Valoracion (3) Dimension'!D105</f>
        <v>0</v>
      </c>
      <c r="AD105" s="39" t="str">
        <f>'Por Valoracion (3) Dimension 2'!D105</f>
        <v>0</v>
      </c>
      <c r="AY105" s="48"/>
      <c r="BA105" t="str">
        <f>('Gestión de abastecimiento'!A106)</f>
        <v>0</v>
      </c>
      <c r="BB105" s="39" t="str">
        <f>'Por Valoracion (3) Dimension'!F105</f>
        <v>0</v>
      </c>
      <c r="BC105" s="39" t="str">
        <f>'Por Valoracion (3) Dimension 2'!D105</f>
        <v>0</v>
      </c>
      <c r="BX105" s="48"/>
      <c r="BZ105" s="49"/>
      <c r="CB105" t="str">
        <f>('Gestión de abastecimiento'!A106)</f>
        <v>0</v>
      </c>
      <c r="CC105" s="39" t="str">
        <f>'Por Valoracion (3) Dimension 2'!B105</f>
        <v>0</v>
      </c>
      <c r="CD105" s="39" t="str">
        <f>'Por Valoracion (3) Dimension'!H105</f>
        <v>0</v>
      </c>
      <c r="CY105" s="49"/>
    </row>
    <row r="106" spans="1:103">
      <c r="A106" s="48"/>
      <c r="C106" t="str">
        <f>('Gestión de abastecimiento'!A107)</f>
        <v>0</v>
      </c>
      <c r="D106" s="39" t="str">
        <f>'Por Valoracion (3) Dimension'!B106</f>
        <v>0</v>
      </c>
      <c r="E106" s="39" t="str">
        <f>'Por Valoracion (3) Dimension 2'!D106</f>
        <v>0</v>
      </c>
      <c r="Z106" s="48"/>
      <c r="AB106" t="str">
        <f>('Gestión de abastecimiento'!A107)</f>
        <v>0</v>
      </c>
      <c r="AC106" s="39" t="str">
        <f>'Por Valoracion (3) Dimension'!D106</f>
        <v>0</v>
      </c>
      <c r="AD106" s="39" t="str">
        <f>'Por Valoracion (3) Dimension 2'!D106</f>
        <v>0</v>
      </c>
      <c r="AY106" s="48"/>
      <c r="BA106" t="str">
        <f>('Gestión de abastecimiento'!A107)</f>
        <v>0</v>
      </c>
      <c r="BB106" s="39" t="str">
        <f>'Por Valoracion (3) Dimension'!F106</f>
        <v>0</v>
      </c>
      <c r="BC106" s="39" t="str">
        <f>'Por Valoracion (3) Dimension 2'!D106</f>
        <v>0</v>
      </c>
      <c r="BX106" s="48"/>
      <c r="BZ106" s="49"/>
      <c r="CB106" t="str">
        <f>('Gestión de abastecimiento'!A107)</f>
        <v>0</v>
      </c>
      <c r="CC106" s="39" t="str">
        <f>'Por Valoracion (3) Dimension 2'!B106</f>
        <v>0</v>
      </c>
      <c r="CD106" s="39" t="str">
        <f>'Por Valoracion (3) Dimension'!H106</f>
        <v>0</v>
      </c>
      <c r="CY106" s="49"/>
    </row>
    <row r="107" spans="1:103">
      <c r="A107" s="48"/>
      <c r="C107" t="str">
        <f>('Gestión de abastecimiento'!A108)</f>
        <v>0</v>
      </c>
      <c r="D107" s="39" t="str">
        <f>'Por Valoracion (3) Dimension'!B107</f>
        <v>0</v>
      </c>
      <c r="E107" s="39" t="str">
        <f>'Por Valoracion (3) Dimension 2'!D107</f>
        <v>0</v>
      </c>
      <c r="Z107" s="48"/>
      <c r="AB107" t="str">
        <f>('Gestión de abastecimiento'!A108)</f>
        <v>0</v>
      </c>
      <c r="AC107" s="39" t="str">
        <f>'Por Valoracion (3) Dimension'!D107</f>
        <v>0</v>
      </c>
      <c r="AD107" s="39" t="str">
        <f>'Por Valoracion (3) Dimension 2'!D107</f>
        <v>0</v>
      </c>
      <c r="AY107" s="48"/>
      <c r="BA107" t="str">
        <f>('Gestión de abastecimiento'!A108)</f>
        <v>0</v>
      </c>
      <c r="BB107" s="39" t="str">
        <f>'Por Valoracion (3) Dimension'!F107</f>
        <v>0</v>
      </c>
      <c r="BC107" s="39" t="str">
        <f>'Por Valoracion (3) Dimension 2'!D107</f>
        <v>0</v>
      </c>
      <c r="BX107" s="48"/>
      <c r="BZ107" s="49"/>
      <c r="CB107" t="str">
        <f>('Gestión de abastecimiento'!A108)</f>
        <v>0</v>
      </c>
      <c r="CC107" s="39" t="str">
        <f>'Por Valoracion (3) Dimension 2'!B107</f>
        <v>0</v>
      </c>
      <c r="CD107" s="39" t="str">
        <f>'Por Valoracion (3) Dimension'!H107</f>
        <v>0</v>
      </c>
      <c r="CY107" s="49"/>
    </row>
    <row r="108" spans="1:103">
      <c r="A108" s="48"/>
      <c r="C108" t="str">
        <f>('Gestión de abastecimiento'!A109)</f>
        <v>0</v>
      </c>
      <c r="D108" s="39" t="str">
        <f>'Por Valoracion (3) Dimension'!B108</f>
        <v>0</v>
      </c>
      <c r="E108" s="39" t="str">
        <f>'Por Valoracion (3) Dimension 2'!D108</f>
        <v>0</v>
      </c>
      <c r="Z108" s="48"/>
      <c r="AB108" t="str">
        <f>('Gestión de abastecimiento'!A109)</f>
        <v>0</v>
      </c>
      <c r="AC108" s="39" t="str">
        <f>'Por Valoracion (3) Dimension'!D108</f>
        <v>0</v>
      </c>
      <c r="AD108" s="39" t="str">
        <f>'Por Valoracion (3) Dimension 2'!D108</f>
        <v>0</v>
      </c>
      <c r="AY108" s="48"/>
      <c r="BA108" t="str">
        <f>('Gestión de abastecimiento'!A109)</f>
        <v>0</v>
      </c>
      <c r="BB108" s="39" t="str">
        <f>'Por Valoracion (3) Dimension'!F108</f>
        <v>0</v>
      </c>
      <c r="BC108" s="39" t="str">
        <f>'Por Valoracion (3) Dimension 2'!D108</f>
        <v>0</v>
      </c>
      <c r="BX108" s="48"/>
      <c r="BZ108" s="49"/>
      <c r="CB108" t="str">
        <f>('Gestión de abastecimiento'!A109)</f>
        <v>0</v>
      </c>
      <c r="CC108" s="39" t="str">
        <f>'Por Valoracion (3) Dimension 2'!B108</f>
        <v>0</v>
      </c>
      <c r="CD108" s="39" t="str">
        <f>'Por Valoracion (3) Dimension'!H108</f>
        <v>0</v>
      </c>
      <c r="CY108" s="49"/>
    </row>
    <row r="109" spans="1:103">
      <c r="A109" s="48"/>
      <c r="C109" t="str">
        <f>('Gestión de abastecimiento'!A110)</f>
        <v>0</v>
      </c>
      <c r="D109" s="39" t="str">
        <f>'Por Valoracion (3) Dimension'!B109</f>
        <v>0</v>
      </c>
      <c r="E109" s="39" t="str">
        <f>'Por Valoracion (3) Dimension 2'!D109</f>
        <v>0</v>
      </c>
      <c r="Z109" s="48"/>
      <c r="AB109" t="str">
        <f>('Gestión de abastecimiento'!A110)</f>
        <v>0</v>
      </c>
      <c r="AC109" s="39" t="str">
        <f>'Por Valoracion (3) Dimension'!D109</f>
        <v>0</v>
      </c>
      <c r="AD109" s="39" t="str">
        <f>'Por Valoracion (3) Dimension 2'!D109</f>
        <v>0</v>
      </c>
      <c r="AY109" s="48"/>
      <c r="BA109" t="str">
        <f>('Gestión de abastecimiento'!A110)</f>
        <v>0</v>
      </c>
      <c r="BB109" s="39" t="str">
        <f>'Por Valoracion (3) Dimension'!F109</f>
        <v>0</v>
      </c>
      <c r="BC109" s="39" t="str">
        <f>'Por Valoracion (3) Dimension 2'!D109</f>
        <v>0</v>
      </c>
      <c r="BX109" s="48"/>
      <c r="BZ109" s="49"/>
      <c r="CB109" t="str">
        <f>('Gestión de abastecimiento'!A110)</f>
        <v>0</v>
      </c>
      <c r="CC109" s="39" t="str">
        <f>'Por Valoracion (3) Dimension 2'!B109</f>
        <v>0</v>
      </c>
      <c r="CD109" s="39" t="str">
        <f>'Por Valoracion (3) Dimension'!H109</f>
        <v>0</v>
      </c>
      <c r="CY109" s="49"/>
    </row>
    <row r="110" spans="1:103">
      <c r="A110" s="48"/>
      <c r="C110" t="str">
        <f>('Gestión de abastecimiento'!A111)</f>
        <v>0</v>
      </c>
      <c r="D110" s="39" t="str">
        <f>'Por Valoracion (3) Dimension'!B110</f>
        <v>0</v>
      </c>
      <c r="E110" s="39" t="str">
        <f>'Por Valoracion (3) Dimension 2'!D110</f>
        <v>0</v>
      </c>
      <c r="Z110" s="48"/>
      <c r="AB110" t="str">
        <f>('Gestión de abastecimiento'!A111)</f>
        <v>0</v>
      </c>
      <c r="AC110" s="39" t="str">
        <f>'Por Valoracion (3) Dimension'!D110</f>
        <v>0</v>
      </c>
      <c r="AD110" s="39" t="str">
        <f>'Por Valoracion (3) Dimension 2'!D110</f>
        <v>0</v>
      </c>
      <c r="AY110" s="48"/>
      <c r="BA110" t="str">
        <f>('Gestión de abastecimiento'!A111)</f>
        <v>0</v>
      </c>
      <c r="BB110" s="39" t="str">
        <f>'Por Valoracion (3) Dimension'!F110</f>
        <v>0</v>
      </c>
      <c r="BC110" s="39" t="str">
        <f>'Por Valoracion (3) Dimension 2'!D110</f>
        <v>0</v>
      </c>
      <c r="BX110" s="48"/>
      <c r="BZ110" s="49"/>
      <c r="CB110" t="str">
        <f>('Gestión de abastecimiento'!A111)</f>
        <v>0</v>
      </c>
      <c r="CC110" s="39" t="str">
        <f>'Por Valoracion (3) Dimension 2'!B110</f>
        <v>0</v>
      </c>
      <c r="CD110" s="39" t="str">
        <f>'Por Valoracion (3) Dimension'!H110</f>
        <v>0</v>
      </c>
      <c r="CY110" s="49"/>
    </row>
    <row r="111" spans="1:103">
      <c r="A111" s="48"/>
      <c r="C111" t="str">
        <f>('Gestión de abastecimiento'!A112)</f>
        <v>0</v>
      </c>
      <c r="D111" s="39" t="str">
        <f>'Por Valoracion (3) Dimension'!B111</f>
        <v>0</v>
      </c>
      <c r="E111" s="39" t="str">
        <f>'Por Valoracion (3) Dimension 2'!D111</f>
        <v>0</v>
      </c>
      <c r="Z111" s="48"/>
      <c r="AB111" t="str">
        <f>('Gestión de abastecimiento'!A112)</f>
        <v>0</v>
      </c>
      <c r="AC111" s="39" t="str">
        <f>'Por Valoracion (3) Dimension'!D111</f>
        <v>0</v>
      </c>
      <c r="AD111" s="39" t="str">
        <f>'Por Valoracion (3) Dimension 2'!D111</f>
        <v>0</v>
      </c>
      <c r="AY111" s="48"/>
      <c r="BA111" t="str">
        <f>('Gestión de abastecimiento'!A112)</f>
        <v>0</v>
      </c>
      <c r="BB111" s="39" t="str">
        <f>'Por Valoracion (3) Dimension'!F111</f>
        <v>0</v>
      </c>
      <c r="BC111" s="39" t="str">
        <f>'Por Valoracion (3) Dimension 2'!D111</f>
        <v>0</v>
      </c>
      <c r="BX111" s="48"/>
      <c r="BZ111" s="49"/>
      <c r="CB111" t="str">
        <f>('Gestión de abastecimiento'!A112)</f>
        <v>0</v>
      </c>
      <c r="CC111" s="39" t="str">
        <f>'Por Valoracion (3) Dimension 2'!B111</f>
        <v>0</v>
      </c>
      <c r="CD111" s="39" t="str">
        <f>'Por Valoracion (3) Dimension'!H111</f>
        <v>0</v>
      </c>
      <c r="CY111" s="49"/>
    </row>
    <row r="112" spans="1:103">
      <c r="A112" s="48"/>
      <c r="C112" t="str">
        <f>('Gestión de abastecimiento'!A113)</f>
        <v>0</v>
      </c>
      <c r="D112" s="39" t="str">
        <f>'Por Valoracion (3) Dimension'!B112</f>
        <v>0</v>
      </c>
      <c r="E112" s="39" t="str">
        <f>'Por Valoracion (3) Dimension 2'!D112</f>
        <v>0</v>
      </c>
      <c r="Z112" s="48"/>
      <c r="AB112" t="str">
        <f>('Gestión de abastecimiento'!A113)</f>
        <v>0</v>
      </c>
      <c r="AC112" s="39" t="str">
        <f>'Por Valoracion (3) Dimension'!D112</f>
        <v>0</v>
      </c>
      <c r="AD112" s="39" t="str">
        <f>'Por Valoracion (3) Dimension 2'!D112</f>
        <v>0</v>
      </c>
      <c r="AY112" s="48"/>
      <c r="BA112" t="str">
        <f>('Gestión de abastecimiento'!A113)</f>
        <v>0</v>
      </c>
      <c r="BB112" s="39" t="str">
        <f>'Por Valoracion (3) Dimension'!F112</f>
        <v>0</v>
      </c>
      <c r="BC112" s="39" t="str">
        <f>'Por Valoracion (3) Dimension 2'!D112</f>
        <v>0</v>
      </c>
      <c r="BX112" s="48"/>
      <c r="BZ112" s="49"/>
      <c r="CB112" t="str">
        <f>('Gestión de abastecimiento'!A113)</f>
        <v>0</v>
      </c>
      <c r="CC112" s="39" t="str">
        <f>'Por Valoracion (3) Dimension 2'!B112</f>
        <v>0</v>
      </c>
      <c r="CD112" s="39" t="str">
        <f>'Por Valoracion (3) Dimension'!H112</f>
        <v>0</v>
      </c>
      <c r="CY112" s="49"/>
    </row>
    <row r="113" spans="1:103">
      <c r="A113" s="48"/>
      <c r="C113" t="str">
        <f>('Gestión de abastecimiento'!A114)</f>
        <v>0</v>
      </c>
      <c r="D113" s="39" t="str">
        <f>'Por Valoracion (3) Dimension'!B113</f>
        <v>0</v>
      </c>
      <c r="E113" s="39" t="str">
        <f>'Por Valoracion (3) Dimension 2'!D113</f>
        <v>0</v>
      </c>
      <c r="Z113" s="48"/>
      <c r="AB113" t="str">
        <f>('Gestión de abastecimiento'!A114)</f>
        <v>0</v>
      </c>
      <c r="AC113" s="39" t="str">
        <f>'Por Valoracion (3) Dimension'!D113</f>
        <v>0</v>
      </c>
      <c r="AD113" s="39" t="str">
        <f>'Por Valoracion (3) Dimension 2'!D113</f>
        <v>0</v>
      </c>
      <c r="AY113" s="48"/>
      <c r="BA113" t="str">
        <f>('Gestión de abastecimiento'!A114)</f>
        <v>0</v>
      </c>
      <c r="BB113" s="39" t="str">
        <f>'Por Valoracion (3) Dimension'!F113</f>
        <v>0</v>
      </c>
      <c r="BC113" s="39" t="str">
        <f>'Por Valoracion (3) Dimension 2'!D113</f>
        <v>0</v>
      </c>
      <c r="BX113" s="48"/>
      <c r="BZ113" s="49"/>
      <c r="CB113" t="str">
        <f>('Gestión de abastecimiento'!A114)</f>
        <v>0</v>
      </c>
      <c r="CC113" s="39" t="str">
        <f>'Por Valoracion (3) Dimension 2'!B113</f>
        <v>0</v>
      </c>
      <c r="CD113" s="39" t="str">
        <f>'Por Valoracion (3) Dimension'!H113</f>
        <v>0</v>
      </c>
      <c r="CY113" s="49"/>
    </row>
    <row r="114" spans="1:103">
      <c r="A114" s="48"/>
      <c r="C114" t="str">
        <f>('Gestión de abastecimiento'!A115)</f>
        <v>0</v>
      </c>
      <c r="D114" s="39" t="str">
        <f>'Por Valoracion (3) Dimension'!B114</f>
        <v>0</v>
      </c>
      <c r="E114" s="39" t="str">
        <f>'Por Valoracion (3) Dimension 2'!D114</f>
        <v>0</v>
      </c>
      <c r="Z114" s="48"/>
      <c r="AB114" t="str">
        <f>('Gestión de abastecimiento'!A115)</f>
        <v>0</v>
      </c>
      <c r="AC114" s="39" t="str">
        <f>'Por Valoracion (3) Dimension'!D114</f>
        <v>0</v>
      </c>
      <c r="AD114" s="39" t="str">
        <f>'Por Valoracion (3) Dimension 2'!D114</f>
        <v>0</v>
      </c>
      <c r="AY114" s="48"/>
      <c r="BA114" t="str">
        <f>('Gestión de abastecimiento'!A115)</f>
        <v>0</v>
      </c>
      <c r="BB114" s="39" t="str">
        <f>'Por Valoracion (3) Dimension'!F114</f>
        <v>0</v>
      </c>
      <c r="BC114" s="39" t="str">
        <f>'Por Valoracion (3) Dimension 2'!D114</f>
        <v>0</v>
      </c>
      <c r="BX114" s="48"/>
      <c r="BZ114" s="49"/>
      <c r="CB114" t="str">
        <f>('Gestión de abastecimiento'!A115)</f>
        <v>0</v>
      </c>
      <c r="CC114" s="39" t="str">
        <f>'Por Valoracion (3) Dimension 2'!B114</f>
        <v>0</v>
      </c>
      <c r="CD114" s="39" t="str">
        <f>'Por Valoracion (3) Dimension'!H114</f>
        <v>0</v>
      </c>
      <c r="CY114" s="49"/>
    </row>
    <row r="115" spans="1:103">
      <c r="A115" s="48"/>
      <c r="C115" t="str">
        <f>('Gestión de abastecimiento'!A116)</f>
        <v>0</v>
      </c>
      <c r="D115" s="39" t="str">
        <f>'Por Valoracion (3) Dimension'!B115</f>
        <v>0</v>
      </c>
      <c r="E115" s="39" t="str">
        <f>'Por Valoracion (3) Dimension 2'!D115</f>
        <v>0</v>
      </c>
      <c r="Z115" s="48"/>
      <c r="AB115" t="str">
        <f>('Gestión de abastecimiento'!A116)</f>
        <v>0</v>
      </c>
      <c r="AC115" s="39" t="str">
        <f>'Por Valoracion (3) Dimension'!D115</f>
        <v>0</v>
      </c>
      <c r="AD115" s="39" t="str">
        <f>'Por Valoracion (3) Dimension 2'!D115</f>
        <v>0</v>
      </c>
      <c r="AY115" s="48"/>
      <c r="BA115" t="str">
        <f>('Gestión de abastecimiento'!A116)</f>
        <v>0</v>
      </c>
      <c r="BB115" s="39" t="str">
        <f>'Por Valoracion (3) Dimension'!F115</f>
        <v>0</v>
      </c>
      <c r="BC115" s="39" t="str">
        <f>'Por Valoracion (3) Dimension 2'!D115</f>
        <v>0</v>
      </c>
      <c r="BX115" s="48"/>
      <c r="BZ115" s="49"/>
      <c r="CB115" t="str">
        <f>('Gestión de abastecimiento'!A116)</f>
        <v>0</v>
      </c>
      <c r="CC115" s="39" t="str">
        <f>'Por Valoracion (3) Dimension 2'!B115</f>
        <v>0</v>
      </c>
      <c r="CD115" s="39" t="str">
        <f>'Por Valoracion (3) Dimension'!H115</f>
        <v>0</v>
      </c>
      <c r="CY115" s="49"/>
    </row>
    <row r="116" spans="1:103">
      <c r="A116" s="48"/>
      <c r="C116" t="str">
        <f>('Gestión de abastecimiento'!A117)</f>
        <v>0</v>
      </c>
      <c r="D116" s="39" t="str">
        <f>'Por Valoracion (3) Dimension'!B116</f>
        <v>0</v>
      </c>
      <c r="E116" s="39" t="str">
        <f>'Por Valoracion (3) Dimension 2'!D116</f>
        <v>0</v>
      </c>
      <c r="Z116" s="48"/>
      <c r="AB116" t="str">
        <f>('Gestión de abastecimiento'!A117)</f>
        <v>0</v>
      </c>
      <c r="AC116" s="39" t="str">
        <f>'Por Valoracion (3) Dimension'!D116</f>
        <v>0</v>
      </c>
      <c r="AD116" s="39" t="str">
        <f>'Por Valoracion (3) Dimension 2'!D116</f>
        <v>0</v>
      </c>
      <c r="AY116" s="48"/>
      <c r="BA116" t="str">
        <f>('Gestión de abastecimiento'!A117)</f>
        <v>0</v>
      </c>
      <c r="BB116" s="39" t="str">
        <f>'Por Valoracion (3) Dimension'!F116</f>
        <v>0</v>
      </c>
      <c r="BC116" s="39" t="str">
        <f>'Por Valoracion (3) Dimension 2'!D116</f>
        <v>0</v>
      </c>
      <c r="BX116" s="48"/>
      <c r="BZ116" s="49"/>
      <c r="CB116" t="str">
        <f>('Gestión de abastecimiento'!A117)</f>
        <v>0</v>
      </c>
      <c r="CC116" s="39" t="str">
        <f>'Por Valoracion (3) Dimension 2'!B116</f>
        <v>0</v>
      </c>
      <c r="CD116" s="39" t="str">
        <f>'Por Valoracion (3) Dimension'!H116</f>
        <v>0</v>
      </c>
      <c r="CY116" s="49"/>
    </row>
    <row r="117" spans="1:103">
      <c r="A117" s="48"/>
      <c r="C117" t="str">
        <f>('Gestión de abastecimiento'!A118)</f>
        <v>0</v>
      </c>
      <c r="D117" s="39" t="str">
        <f>'Por Valoracion (3) Dimension'!B117</f>
        <v>0</v>
      </c>
      <c r="E117" s="39" t="str">
        <f>'Por Valoracion (3) Dimension 2'!D117</f>
        <v>0</v>
      </c>
      <c r="Z117" s="48"/>
      <c r="AB117" t="str">
        <f>('Gestión de abastecimiento'!A118)</f>
        <v>0</v>
      </c>
      <c r="AC117" s="39" t="str">
        <f>'Por Valoracion (3) Dimension'!D117</f>
        <v>0</v>
      </c>
      <c r="AD117" s="39" t="str">
        <f>'Por Valoracion (3) Dimension 2'!D117</f>
        <v>0</v>
      </c>
      <c r="AY117" s="48"/>
      <c r="BA117" t="str">
        <f>('Gestión de abastecimiento'!A118)</f>
        <v>0</v>
      </c>
      <c r="BB117" s="39" t="str">
        <f>'Por Valoracion (3) Dimension'!F117</f>
        <v>0</v>
      </c>
      <c r="BC117" s="39" t="str">
        <f>'Por Valoracion (3) Dimension 2'!D117</f>
        <v>0</v>
      </c>
      <c r="BX117" s="48"/>
      <c r="BZ117" s="49"/>
      <c r="CB117" t="str">
        <f>('Gestión de abastecimiento'!A118)</f>
        <v>0</v>
      </c>
      <c r="CC117" s="39" t="str">
        <f>'Por Valoracion (3) Dimension 2'!B117</f>
        <v>0</v>
      </c>
      <c r="CD117" s="39" t="str">
        <f>'Por Valoracion (3) Dimension'!H117</f>
        <v>0</v>
      </c>
      <c r="CY117" s="49"/>
    </row>
    <row r="118" spans="1:103">
      <c r="A118" s="48"/>
      <c r="C118" t="str">
        <f>('Gestión de abastecimiento'!A119)</f>
        <v>0</v>
      </c>
      <c r="D118" s="39" t="str">
        <f>'Por Valoracion (3) Dimension'!B118</f>
        <v>0</v>
      </c>
      <c r="E118" s="39" t="str">
        <f>'Por Valoracion (3) Dimension 2'!D118</f>
        <v>0</v>
      </c>
      <c r="Z118" s="48"/>
      <c r="AB118" t="str">
        <f>('Gestión de abastecimiento'!A119)</f>
        <v>0</v>
      </c>
      <c r="AC118" s="39" t="str">
        <f>'Por Valoracion (3) Dimension'!D118</f>
        <v>0</v>
      </c>
      <c r="AD118" s="39" t="str">
        <f>'Por Valoracion (3) Dimension 2'!D118</f>
        <v>0</v>
      </c>
      <c r="AY118" s="48"/>
      <c r="BA118" t="str">
        <f>('Gestión de abastecimiento'!A119)</f>
        <v>0</v>
      </c>
      <c r="BB118" s="39" t="str">
        <f>'Por Valoracion (3) Dimension'!F118</f>
        <v>0</v>
      </c>
      <c r="BC118" s="39" t="str">
        <f>'Por Valoracion (3) Dimension 2'!D118</f>
        <v>0</v>
      </c>
      <c r="BX118" s="48"/>
      <c r="BZ118" s="49"/>
      <c r="CB118" t="str">
        <f>('Gestión de abastecimiento'!A119)</f>
        <v>0</v>
      </c>
      <c r="CC118" s="39" t="str">
        <f>'Por Valoracion (3) Dimension 2'!B118</f>
        <v>0</v>
      </c>
      <c r="CD118" s="39" t="str">
        <f>'Por Valoracion (3) Dimension'!H118</f>
        <v>0</v>
      </c>
      <c r="CY118" s="49"/>
    </row>
    <row r="119" spans="1:103">
      <c r="A119" s="48"/>
      <c r="C119" t="str">
        <f>('Gestión de abastecimiento'!A120)</f>
        <v>0</v>
      </c>
      <c r="D119" s="39" t="str">
        <f>'Por Valoracion (3) Dimension'!B119</f>
        <v>0</v>
      </c>
      <c r="E119" s="39" t="str">
        <f>'Por Valoracion (3) Dimension 2'!D119</f>
        <v>0</v>
      </c>
      <c r="Z119" s="48"/>
      <c r="AB119" t="str">
        <f>('Gestión de abastecimiento'!A120)</f>
        <v>0</v>
      </c>
      <c r="AC119" s="39" t="str">
        <f>'Por Valoracion (3) Dimension'!D119</f>
        <v>0</v>
      </c>
      <c r="AD119" s="39" t="str">
        <f>'Por Valoracion (3) Dimension 2'!D119</f>
        <v>0</v>
      </c>
      <c r="AY119" s="48"/>
      <c r="BA119" t="str">
        <f>('Gestión de abastecimiento'!A120)</f>
        <v>0</v>
      </c>
      <c r="BB119" s="39" t="str">
        <f>'Por Valoracion (3) Dimension'!F119</f>
        <v>0</v>
      </c>
      <c r="BC119" s="39" t="str">
        <f>'Por Valoracion (3) Dimension 2'!D119</f>
        <v>0</v>
      </c>
      <c r="BX119" s="48"/>
      <c r="BZ119" s="49"/>
      <c r="CB119" t="str">
        <f>('Gestión de abastecimiento'!A120)</f>
        <v>0</v>
      </c>
      <c r="CC119" s="39" t="str">
        <f>'Por Valoracion (3) Dimension 2'!B119</f>
        <v>0</v>
      </c>
      <c r="CD119" s="39" t="str">
        <f>'Por Valoracion (3) Dimension'!H119</f>
        <v>0</v>
      </c>
      <c r="CY119" s="49"/>
    </row>
    <row r="120" spans="1:103">
      <c r="A120" s="48"/>
      <c r="C120" t="str">
        <f>('Gestión de abastecimiento'!A121)</f>
        <v>0</v>
      </c>
      <c r="D120" s="39" t="str">
        <f>'Por Valoracion (3) Dimension'!B120</f>
        <v>0</v>
      </c>
      <c r="E120" s="39" t="str">
        <f>'Por Valoracion (3) Dimension 2'!D120</f>
        <v>0</v>
      </c>
      <c r="Z120" s="48"/>
      <c r="AB120" t="str">
        <f>('Gestión de abastecimiento'!A121)</f>
        <v>0</v>
      </c>
      <c r="AC120" s="39" t="str">
        <f>'Por Valoracion (3) Dimension'!D120</f>
        <v>0</v>
      </c>
      <c r="AD120" s="39" t="str">
        <f>'Por Valoracion (3) Dimension 2'!D120</f>
        <v>0</v>
      </c>
      <c r="AY120" s="48"/>
      <c r="BA120" t="str">
        <f>('Gestión de abastecimiento'!A121)</f>
        <v>0</v>
      </c>
      <c r="BB120" s="39" t="str">
        <f>'Por Valoracion (3) Dimension'!F120</f>
        <v>0</v>
      </c>
      <c r="BC120" s="39" t="str">
        <f>'Por Valoracion (3) Dimension 2'!D120</f>
        <v>0</v>
      </c>
      <c r="BX120" s="48"/>
      <c r="BZ120" s="49"/>
      <c r="CB120" t="str">
        <f>('Gestión de abastecimiento'!A121)</f>
        <v>0</v>
      </c>
      <c r="CC120" s="39" t="str">
        <f>'Por Valoracion (3) Dimension 2'!B120</f>
        <v>0</v>
      </c>
      <c r="CD120" s="39" t="str">
        <f>'Por Valoracion (3) Dimension'!H120</f>
        <v>0</v>
      </c>
      <c r="CY120" s="49"/>
    </row>
    <row r="121" spans="1:103">
      <c r="A121" s="48"/>
      <c r="C121" t="str">
        <f>('Gestión de abastecimiento'!A122)</f>
        <v>0</v>
      </c>
      <c r="D121" s="39" t="str">
        <f>'Por Valoracion (3) Dimension'!B121</f>
        <v>0</v>
      </c>
      <c r="E121" s="39" t="str">
        <f>'Por Valoracion (3) Dimension 2'!D121</f>
        <v>0</v>
      </c>
      <c r="Z121" s="48"/>
      <c r="AB121" t="str">
        <f>('Gestión de abastecimiento'!A122)</f>
        <v>0</v>
      </c>
      <c r="AC121" s="39" t="str">
        <f>'Por Valoracion (3) Dimension'!D121</f>
        <v>0</v>
      </c>
      <c r="AD121" s="39" t="str">
        <f>'Por Valoracion (3) Dimension 2'!D121</f>
        <v>0</v>
      </c>
      <c r="AY121" s="48"/>
      <c r="BA121" t="str">
        <f>('Gestión de abastecimiento'!A122)</f>
        <v>0</v>
      </c>
      <c r="BB121" s="39" t="str">
        <f>'Por Valoracion (3) Dimension'!F121</f>
        <v>0</v>
      </c>
      <c r="BC121" s="39" t="str">
        <f>'Por Valoracion (3) Dimension 2'!D121</f>
        <v>0</v>
      </c>
      <c r="BX121" s="48"/>
      <c r="BZ121" s="49"/>
      <c r="CB121" t="str">
        <f>('Gestión de abastecimiento'!A122)</f>
        <v>0</v>
      </c>
      <c r="CC121" s="39" t="str">
        <f>'Por Valoracion (3) Dimension 2'!B121</f>
        <v>0</v>
      </c>
      <c r="CD121" s="39" t="str">
        <f>'Por Valoracion (3) Dimension'!H121</f>
        <v>0</v>
      </c>
      <c r="CY121" s="49"/>
    </row>
    <row r="122" spans="1:103">
      <c r="A122" s="48"/>
      <c r="C122" t="str">
        <f>('Gestión de abastecimiento'!A123)</f>
        <v>0</v>
      </c>
      <c r="D122" s="39" t="str">
        <f>'Por Valoracion (3) Dimension'!B122</f>
        <v>0</v>
      </c>
      <c r="E122" s="39" t="str">
        <f>'Por Valoracion (3) Dimension 2'!D122</f>
        <v>0</v>
      </c>
      <c r="Z122" s="48"/>
      <c r="AB122" t="str">
        <f>('Gestión de abastecimiento'!A123)</f>
        <v>0</v>
      </c>
      <c r="AC122" s="39" t="str">
        <f>'Por Valoracion (3) Dimension'!D122</f>
        <v>0</v>
      </c>
      <c r="AD122" s="39" t="str">
        <f>'Por Valoracion (3) Dimension 2'!D122</f>
        <v>0</v>
      </c>
      <c r="AY122" s="48"/>
      <c r="BA122" t="str">
        <f>('Gestión de abastecimiento'!A123)</f>
        <v>0</v>
      </c>
      <c r="BB122" s="39" t="str">
        <f>'Por Valoracion (3) Dimension'!F122</f>
        <v>0</v>
      </c>
      <c r="BC122" s="39" t="str">
        <f>'Por Valoracion (3) Dimension 2'!D122</f>
        <v>0</v>
      </c>
      <c r="BX122" s="48"/>
      <c r="BZ122" s="49"/>
      <c r="CB122" t="str">
        <f>('Gestión de abastecimiento'!A123)</f>
        <v>0</v>
      </c>
      <c r="CC122" s="39" t="str">
        <f>'Por Valoracion (3) Dimension 2'!B122</f>
        <v>0</v>
      </c>
      <c r="CD122" s="39" t="str">
        <f>'Por Valoracion (3) Dimension'!H122</f>
        <v>0</v>
      </c>
      <c r="CY122" s="49"/>
    </row>
    <row r="123" spans="1:103">
      <c r="A123" s="48"/>
      <c r="C123" t="str">
        <f>('Gestión de abastecimiento'!A124)</f>
        <v>0</v>
      </c>
      <c r="D123" s="39" t="str">
        <f>'Por Valoracion (3) Dimension'!B123</f>
        <v>0</v>
      </c>
      <c r="E123" s="39" t="str">
        <f>'Por Valoracion (3) Dimension 2'!D123</f>
        <v>0</v>
      </c>
      <c r="Z123" s="48"/>
      <c r="AB123" t="str">
        <f>('Gestión de abastecimiento'!A124)</f>
        <v>0</v>
      </c>
      <c r="AC123" s="39" t="str">
        <f>'Por Valoracion (3) Dimension'!D123</f>
        <v>0</v>
      </c>
      <c r="AD123" s="39" t="str">
        <f>'Por Valoracion (3) Dimension 2'!D123</f>
        <v>0</v>
      </c>
      <c r="AY123" s="48"/>
      <c r="BA123" t="str">
        <f>('Gestión de abastecimiento'!A124)</f>
        <v>0</v>
      </c>
      <c r="BB123" s="39" t="str">
        <f>'Por Valoracion (3) Dimension'!F123</f>
        <v>0</v>
      </c>
      <c r="BC123" s="39" t="str">
        <f>'Por Valoracion (3) Dimension 2'!D123</f>
        <v>0</v>
      </c>
      <c r="BX123" s="48"/>
      <c r="BZ123" s="49"/>
      <c r="CB123" t="str">
        <f>('Gestión de abastecimiento'!A124)</f>
        <v>0</v>
      </c>
      <c r="CC123" s="39" t="str">
        <f>'Por Valoracion (3) Dimension 2'!B123</f>
        <v>0</v>
      </c>
      <c r="CD123" s="39" t="str">
        <f>'Por Valoracion (3) Dimension'!H123</f>
        <v>0</v>
      </c>
      <c r="CY123" s="49"/>
    </row>
    <row r="124" spans="1:103">
      <c r="A124" s="48"/>
      <c r="C124" t="str">
        <f>('Gestión de abastecimiento'!A125)</f>
        <v>0</v>
      </c>
      <c r="D124" s="39" t="str">
        <f>'Por Valoracion (3) Dimension'!B124</f>
        <v>0</v>
      </c>
      <c r="E124" s="39" t="str">
        <f>'Por Valoracion (3) Dimension 2'!D124</f>
        <v>0</v>
      </c>
      <c r="Z124" s="48"/>
      <c r="AB124" t="str">
        <f>('Gestión de abastecimiento'!A125)</f>
        <v>0</v>
      </c>
      <c r="AC124" s="39" t="str">
        <f>'Por Valoracion (3) Dimension'!D124</f>
        <v>0</v>
      </c>
      <c r="AD124" s="39" t="str">
        <f>'Por Valoracion (3) Dimension 2'!D124</f>
        <v>0</v>
      </c>
      <c r="AY124" s="48"/>
      <c r="BA124" t="str">
        <f>('Gestión de abastecimiento'!A125)</f>
        <v>0</v>
      </c>
      <c r="BB124" s="39" t="str">
        <f>'Por Valoracion (3) Dimension'!F124</f>
        <v>0</v>
      </c>
      <c r="BC124" s="39" t="str">
        <f>'Por Valoracion (3) Dimension 2'!D124</f>
        <v>0</v>
      </c>
      <c r="BX124" s="48"/>
      <c r="BZ124" s="49"/>
      <c r="CB124" t="str">
        <f>('Gestión de abastecimiento'!A125)</f>
        <v>0</v>
      </c>
      <c r="CC124" s="39" t="str">
        <f>'Por Valoracion (3) Dimension 2'!B124</f>
        <v>0</v>
      </c>
      <c r="CD124" s="39" t="str">
        <f>'Por Valoracion (3) Dimension'!H124</f>
        <v>0</v>
      </c>
      <c r="CY124" s="49"/>
    </row>
    <row r="125" spans="1:103">
      <c r="A125" s="48"/>
      <c r="C125" t="str">
        <f>('Gestión de abastecimiento'!A126)</f>
        <v>0</v>
      </c>
      <c r="D125" s="39" t="str">
        <f>'Por Valoracion (3) Dimension'!B125</f>
        <v>0</v>
      </c>
      <c r="E125" s="39" t="str">
        <f>'Por Valoracion (3) Dimension 2'!D125</f>
        <v>0</v>
      </c>
      <c r="Z125" s="48"/>
      <c r="AB125" t="str">
        <f>('Gestión de abastecimiento'!A126)</f>
        <v>0</v>
      </c>
      <c r="AC125" s="39" t="str">
        <f>'Por Valoracion (3) Dimension'!D125</f>
        <v>0</v>
      </c>
      <c r="AD125" s="39" t="str">
        <f>'Por Valoracion (3) Dimension 2'!D125</f>
        <v>0</v>
      </c>
      <c r="AY125" s="48"/>
      <c r="BA125" t="str">
        <f>('Gestión de abastecimiento'!A126)</f>
        <v>0</v>
      </c>
      <c r="BB125" s="39" t="str">
        <f>'Por Valoracion (3) Dimension'!F125</f>
        <v>0</v>
      </c>
      <c r="BC125" s="39" t="str">
        <f>'Por Valoracion (3) Dimension 2'!D125</f>
        <v>0</v>
      </c>
      <c r="BX125" s="48"/>
      <c r="BZ125" s="49"/>
      <c r="CB125" t="str">
        <f>('Gestión de abastecimiento'!A126)</f>
        <v>0</v>
      </c>
      <c r="CC125" s="39" t="str">
        <f>'Por Valoracion (3) Dimension 2'!B125</f>
        <v>0</v>
      </c>
      <c r="CD125" s="39" t="str">
        <f>'Por Valoracion (3) Dimension'!H125</f>
        <v>0</v>
      </c>
      <c r="CY125" s="49"/>
    </row>
    <row r="126" spans="1:103">
      <c r="A126" s="48"/>
      <c r="C126" t="str">
        <f>('Gestión de abastecimiento'!A127)</f>
        <v>0</v>
      </c>
      <c r="D126" s="39" t="str">
        <f>'Por Valoracion (3) Dimension'!B126</f>
        <v>0</v>
      </c>
      <c r="E126" s="39" t="str">
        <f>'Por Valoracion (3) Dimension 2'!D126</f>
        <v>0</v>
      </c>
      <c r="Z126" s="48"/>
      <c r="AB126" t="str">
        <f>('Gestión de abastecimiento'!A127)</f>
        <v>0</v>
      </c>
      <c r="AC126" s="39" t="str">
        <f>'Por Valoracion (3) Dimension'!D126</f>
        <v>0</v>
      </c>
      <c r="AD126" s="39" t="str">
        <f>'Por Valoracion (3) Dimension 2'!D126</f>
        <v>0</v>
      </c>
      <c r="AY126" s="48"/>
      <c r="BA126" t="str">
        <f>('Gestión de abastecimiento'!A127)</f>
        <v>0</v>
      </c>
      <c r="BB126" s="39" t="str">
        <f>'Por Valoracion (3) Dimension'!F126</f>
        <v>0</v>
      </c>
      <c r="BC126" s="39" t="str">
        <f>'Por Valoracion (3) Dimension 2'!D126</f>
        <v>0</v>
      </c>
      <c r="BX126" s="48"/>
      <c r="BZ126" s="49"/>
      <c r="CB126" t="str">
        <f>('Gestión de abastecimiento'!A127)</f>
        <v>0</v>
      </c>
      <c r="CC126" s="39" t="str">
        <f>'Por Valoracion (3) Dimension 2'!B126</f>
        <v>0</v>
      </c>
      <c r="CD126" s="39" t="str">
        <f>'Por Valoracion (3) Dimension'!H126</f>
        <v>0</v>
      </c>
      <c r="CY126" s="49"/>
    </row>
    <row r="127" spans="1:103">
      <c r="A127" s="48"/>
      <c r="C127" t="str">
        <f>('Gestión de abastecimiento'!A128)</f>
        <v>0</v>
      </c>
      <c r="D127" s="39" t="str">
        <f>'Por Valoracion (3) Dimension'!B127</f>
        <v>0</v>
      </c>
      <c r="E127" s="39" t="str">
        <f>'Por Valoracion (3) Dimension 2'!D127</f>
        <v>0</v>
      </c>
      <c r="Z127" s="48"/>
      <c r="AB127" t="str">
        <f>('Gestión de abastecimiento'!A128)</f>
        <v>0</v>
      </c>
      <c r="AC127" s="39" t="str">
        <f>'Por Valoracion (3) Dimension'!D127</f>
        <v>0</v>
      </c>
      <c r="AD127" s="39" t="str">
        <f>'Por Valoracion (3) Dimension 2'!D127</f>
        <v>0</v>
      </c>
      <c r="AY127" s="48"/>
      <c r="BA127" t="str">
        <f>('Gestión de abastecimiento'!A128)</f>
        <v>0</v>
      </c>
      <c r="BB127" s="39" t="str">
        <f>'Por Valoracion (3) Dimension'!F127</f>
        <v>0</v>
      </c>
      <c r="BC127" s="39" t="str">
        <f>'Por Valoracion (3) Dimension 2'!D127</f>
        <v>0</v>
      </c>
      <c r="BX127" s="48"/>
      <c r="BZ127" s="49"/>
      <c r="CB127" t="str">
        <f>('Gestión de abastecimiento'!A128)</f>
        <v>0</v>
      </c>
      <c r="CC127" s="39" t="str">
        <f>'Por Valoracion (3) Dimension 2'!B127</f>
        <v>0</v>
      </c>
      <c r="CD127" s="39" t="str">
        <f>'Por Valoracion (3) Dimension'!H127</f>
        <v>0</v>
      </c>
      <c r="CY127" s="49"/>
    </row>
    <row r="128" spans="1:103">
      <c r="A128" s="48"/>
      <c r="C128" t="str">
        <f>('Gestión de abastecimiento'!A129)</f>
        <v>0</v>
      </c>
      <c r="D128" s="39" t="str">
        <f>'Por Valoracion (3) Dimension'!B128</f>
        <v>0</v>
      </c>
      <c r="E128" s="39" t="str">
        <f>'Por Valoracion (3) Dimension 2'!D128</f>
        <v>0</v>
      </c>
      <c r="Z128" s="48"/>
      <c r="AB128" t="str">
        <f>('Gestión de abastecimiento'!A129)</f>
        <v>0</v>
      </c>
      <c r="AC128" s="39" t="str">
        <f>'Por Valoracion (3) Dimension'!D128</f>
        <v>0</v>
      </c>
      <c r="AD128" s="39" t="str">
        <f>'Por Valoracion (3) Dimension 2'!D128</f>
        <v>0</v>
      </c>
      <c r="AY128" s="48"/>
      <c r="BA128" t="str">
        <f>('Gestión de abastecimiento'!A129)</f>
        <v>0</v>
      </c>
      <c r="BB128" s="39" t="str">
        <f>'Por Valoracion (3) Dimension'!F128</f>
        <v>0</v>
      </c>
      <c r="BC128" s="39" t="str">
        <f>'Por Valoracion (3) Dimension 2'!D128</f>
        <v>0</v>
      </c>
      <c r="BX128" s="48"/>
      <c r="BZ128" s="49"/>
      <c r="CB128" t="str">
        <f>('Gestión de abastecimiento'!A129)</f>
        <v>0</v>
      </c>
      <c r="CC128" s="39" t="str">
        <f>'Por Valoracion (3) Dimension 2'!B128</f>
        <v>0</v>
      </c>
      <c r="CD128" s="39" t="str">
        <f>'Por Valoracion (3) Dimension'!H128</f>
        <v>0</v>
      </c>
      <c r="CY128" s="49"/>
    </row>
    <row r="129" spans="1:103">
      <c r="A129" s="48"/>
      <c r="C129" t="str">
        <f>('Gestión de abastecimiento'!A130)</f>
        <v>0</v>
      </c>
      <c r="D129" s="39" t="str">
        <f>'Por Valoracion (3) Dimension'!B129</f>
        <v>0</v>
      </c>
      <c r="E129" s="39" t="str">
        <f>'Por Valoracion (3) Dimension 2'!D129</f>
        <v>0</v>
      </c>
      <c r="Z129" s="48"/>
      <c r="AB129" t="str">
        <f>('Gestión de abastecimiento'!A130)</f>
        <v>0</v>
      </c>
      <c r="AC129" s="39" t="str">
        <f>'Por Valoracion (3) Dimension'!D129</f>
        <v>0</v>
      </c>
      <c r="AD129" s="39" t="str">
        <f>'Por Valoracion (3) Dimension 2'!D129</f>
        <v>0</v>
      </c>
      <c r="AY129" s="48"/>
      <c r="BA129" t="str">
        <f>('Gestión de abastecimiento'!A130)</f>
        <v>0</v>
      </c>
      <c r="BB129" s="39" t="str">
        <f>'Por Valoracion (3) Dimension'!F129</f>
        <v>0</v>
      </c>
      <c r="BC129" s="39" t="str">
        <f>'Por Valoracion (3) Dimension 2'!D129</f>
        <v>0</v>
      </c>
      <c r="BX129" s="48"/>
      <c r="BZ129" s="49"/>
      <c r="CB129" t="str">
        <f>('Gestión de abastecimiento'!A130)</f>
        <v>0</v>
      </c>
      <c r="CC129" s="39" t="str">
        <f>'Por Valoracion (3) Dimension 2'!B129</f>
        <v>0</v>
      </c>
      <c r="CD129" s="39" t="str">
        <f>'Por Valoracion (3) Dimension'!H129</f>
        <v>0</v>
      </c>
      <c r="CY129" s="49"/>
    </row>
    <row r="130" spans="1:103">
      <c r="A130" s="48"/>
      <c r="C130" t="str">
        <f>('Gestión de abastecimiento'!A131)</f>
        <v>0</v>
      </c>
      <c r="D130" s="39" t="str">
        <f>'Por Valoracion (3) Dimension'!B130</f>
        <v>0</v>
      </c>
      <c r="E130" s="39" t="str">
        <f>'Por Valoracion (3) Dimension 2'!D130</f>
        <v>0</v>
      </c>
      <c r="Z130" s="48"/>
      <c r="AB130" t="str">
        <f>('Gestión de abastecimiento'!A131)</f>
        <v>0</v>
      </c>
      <c r="AC130" s="39" t="str">
        <f>'Por Valoracion (3) Dimension'!D130</f>
        <v>0</v>
      </c>
      <c r="AD130" s="39" t="str">
        <f>'Por Valoracion (3) Dimension 2'!D130</f>
        <v>0</v>
      </c>
      <c r="AY130" s="48"/>
      <c r="BA130" t="str">
        <f>('Gestión de abastecimiento'!A131)</f>
        <v>0</v>
      </c>
      <c r="BB130" s="39" t="str">
        <f>'Por Valoracion (3) Dimension'!F130</f>
        <v>0</v>
      </c>
      <c r="BC130" s="39" t="str">
        <f>'Por Valoracion (3) Dimension 2'!D130</f>
        <v>0</v>
      </c>
      <c r="BX130" s="48"/>
      <c r="BZ130" s="49"/>
      <c r="CB130" t="str">
        <f>('Gestión de abastecimiento'!A131)</f>
        <v>0</v>
      </c>
      <c r="CC130" s="39" t="str">
        <f>'Por Valoracion (3) Dimension 2'!B130</f>
        <v>0</v>
      </c>
      <c r="CD130" s="39" t="str">
        <f>'Por Valoracion (3) Dimension'!H130</f>
        <v>0</v>
      </c>
      <c r="CY130" s="49"/>
    </row>
    <row r="131" spans="1:103">
      <c r="A131" s="48"/>
      <c r="C131" t="str">
        <f>('Gestión de abastecimiento'!A132)</f>
        <v>0</v>
      </c>
      <c r="D131" s="39" t="str">
        <f>'Por Valoracion (3) Dimension'!B131</f>
        <v>0</v>
      </c>
      <c r="E131" s="39" t="str">
        <f>'Por Valoracion (3) Dimension 2'!D131</f>
        <v>0</v>
      </c>
      <c r="Z131" s="48"/>
      <c r="AB131" t="str">
        <f>('Gestión de abastecimiento'!A132)</f>
        <v>0</v>
      </c>
      <c r="AC131" s="39" t="str">
        <f>'Por Valoracion (3) Dimension'!D131</f>
        <v>0</v>
      </c>
      <c r="AD131" s="39" t="str">
        <f>'Por Valoracion (3) Dimension 2'!D131</f>
        <v>0</v>
      </c>
      <c r="AY131" s="48"/>
      <c r="BA131" t="str">
        <f>('Gestión de abastecimiento'!A132)</f>
        <v>0</v>
      </c>
      <c r="BB131" s="39" t="str">
        <f>'Por Valoracion (3) Dimension'!F131</f>
        <v>0</v>
      </c>
      <c r="BC131" s="39" t="str">
        <f>'Por Valoracion (3) Dimension 2'!D131</f>
        <v>0</v>
      </c>
      <c r="BX131" s="48"/>
      <c r="BZ131" s="49"/>
      <c r="CB131" t="str">
        <f>('Gestión de abastecimiento'!A132)</f>
        <v>0</v>
      </c>
      <c r="CC131" s="39" t="str">
        <f>'Por Valoracion (3) Dimension 2'!B131</f>
        <v>0</v>
      </c>
      <c r="CD131" s="39" t="str">
        <f>'Por Valoracion (3) Dimension'!H131</f>
        <v>0</v>
      </c>
      <c r="CY131" s="49"/>
    </row>
    <row r="132" spans="1:103">
      <c r="A132" s="48"/>
      <c r="C132" t="str">
        <f>('Gestión de abastecimiento'!A133)</f>
        <v>0</v>
      </c>
      <c r="D132" s="39" t="str">
        <f>'Por Valoracion (3) Dimension'!B132</f>
        <v>0</v>
      </c>
      <c r="E132" s="39" t="str">
        <f>'Por Valoracion (3) Dimension 2'!D132</f>
        <v>0</v>
      </c>
      <c r="Z132" s="48"/>
      <c r="AB132" t="str">
        <f>('Gestión de abastecimiento'!A133)</f>
        <v>0</v>
      </c>
      <c r="AC132" s="39" t="str">
        <f>'Por Valoracion (3) Dimension'!D132</f>
        <v>0</v>
      </c>
      <c r="AD132" s="39" t="str">
        <f>'Por Valoracion (3) Dimension 2'!D132</f>
        <v>0</v>
      </c>
      <c r="AY132" s="48"/>
      <c r="BA132" t="str">
        <f>('Gestión de abastecimiento'!A133)</f>
        <v>0</v>
      </c>
      <c r="BB132" s="39" t="str">
        <f>'Por Valoracion (3) Dimension'!F132</f>
        <v>0</v>
      </c>
      <c r="BC132" s="39" t="str">
        <f>'Por Valoracion (3) Dimension 2'!D132</f>
        <v>0</v>
      </c>
      <c r="BX132" s="48"/>
      <c r="BZ132" s="49"/>
      <c r="CB132" t="str">
        <f>('Gestión de abastecimiento'!A133)</f>
        <v>0</v>
      </c>
      <c r="CC132" s="39" t="str">
        <f>'Por Valoracion (3) Dimension 2'!B132</f>
        <v>0</v>
      </c>
      <c r="CD132" s="39" t="str">
        <f>'Por Valoracion (3) Dimension'!H132</f>
        <v>0</v>
      </c>
      <c r="CY132" s="49"/>
    </row>
    <row r="133" spans="1:103">
      <c r="A133" s="48"/>
      <c r="C133" t="str">
        <f>('Gestión de abastecimiento'!A134)</f>
        <v>0</v>
      </c>
      <c r="D133" s="39" t="str">
        <f>'Por Valoracion (3) Dimension'!B133</f>
        <v>0</v>
      </c>
      <c r="E133" s="39" t="str">
        <f>'Por Valoracion (3) Dimension 2'!D133</f>
        <v>0</v>
      </c>
      <c r="Z133" s="48"/>
      <c r="AB133" t="str">
        <f>('Gestión de abastecimiento'!A134)</f>
        <v>0</v>
      </c>
      <c r="AC133" s="39" t="str">
        <f>'Por Valoracion (3) Dimension'!D133</f>
        <v>0</v>
      </c>
      <c r="AD133" s="39" t="str">
        <f>'Por Valoracion (3) Dimension 2'!D133</f>
        <v>0</v>
      </c>
      <c r="AY133" s="48"/>
      <c r="BA133" t="str">
        <f>('Gestión de abastecimiento'!A134)</f>
        <v>0</v>
      </c>
      <c r="BB133" s="39" t="str">
        <f>'Por Valoracion (3) Dimension'!F133</f>
        <v>0</v>
      </c>
      <c r="BC133" s="39" t="str">
        <f>'Por Valoracion (3) Dimension 2'!D133</f>
        <v>0</v>
      </c>
      <c r="BX133" s="48"/>
      <c r="BZ133" s="49"/>
      <c r="CB133" t="str">
        <f>('Gestión de abastecimiento'!A134)</f>
        <v>0</v>
      </c>
      <c r="CC133" s="39" t="str">
        <f>'Por Valoracion (3) Dimension 2'!B133</f>
        <v>0</v>
      </c>
      <c r="CD133" s="39" t="str">
        <f>'Por Valoracion (3) Dimension'!H133</f>
        <v>0</v>
      </c>
      <c r="CY133" s="49"/>
    </row>
    <row r="134" spans="1:103">
      <c r="A134" s="48"/>
      <c r="C134" t="str">
        <f>('Gestión de abastecimiento'!A135)</f>
        <v>0</v>
      </c>
      <c r="D134" s="39" t="str">
        <f>'Por Valoracion (3) Dimension'!B134</f>
        <v>0</v>
      </c>
      <c r="E134" s="39" t="str">
        <f>'Por Valoracion (3) Dimension 2'!D134</f>
        <v>0</v>
      </c>
      <c r="Z134" s="48"/>
      <c r="AB134" t="str">
        <f>('Gestión de abastecimiento'!A135)</f>
        <v>0</v>
      </c>
      <c r="AC134" s="39" t="str">
        <f>'Por Valoracion (3) Dimension'!D134</f>
        <v>0</v>
      </c>
      <c r="AD134" s="39" t="str">
        <f>'Por Valoracion (3) Dimension 2'!D134</f>
        <v>0</v>
      </c>
      <c r="AY134" s="48"/>
      <c r="BA134" t="str">
        <f>('Gestión de abastecimiento'!A135)</f>
        <v>0</v>
      </c>
      <c r="BB134" s="39" t="str">
        <f>'Por Valoracion (3) Dimension'!F134</f>
        <v>0</v>
      </c>
      <c r="BC134" s="39" t="str">
        <f>'Por Valoracion (3) Dimension 2'!D134</f>
        <v>0</v>
      </c>
      <c r="BX134" s="48"/>
      <c r="BZ134" s="49"/>
      <c r="CB134" t="str">
        <f>('Gestión de abastecimiento'!A135)</f>
        <v>0</v>
      </c>
      <c r="CC134" s="39" t="str">
        <f>'Por Valoracion (3) Dimension 2'!B134</f>
        <v>0</v>
      </c>
      <c r="CD134" s="39" t="str">
        <f>'Por Valoracion (3) Dimension'!H134</f>
        <v>0</v>
      </c>
      <c r="CY134" s="49"/>
    </row>
    <row r="135" spans="1:103">
      <c r="A135" s="48"/>
      <c r="C135" t="str">
        <f>('Gestión de abastecimiento'!A136)</f>
        <v>0</v>
      </c>
      <c r="D135" s="39" t="str">
        <f>'Por Valoracion (3) Dimension'!B135</f>
        <v>0</v>
      </c>
      <c r="E135" s="39" t="str">
        <f>'Por Valoracion (3) Dimension 2'!D135</f>
        <v>0</v>
      </c>
      <c r="Z135" s="48"/>
      <c r="AB135" t="str">
        <f>('Gestión de abastecimiento'!A136)</f>
        <v>0</v>
      </c>
      <c r="AC135" s="39" t="str">
        <f>'Por Valoracion (3) Dimension'!D135</f>
        <v>0</v>
      </c>
      <c r="AD135" s="39" t="str">
        <f>'Por Valoracion (3) Dimension 2'!D135</f>
        <v>0</v>
      </c>
      <c r="AY135" s="48"/>
      <c r="BA135" t="str">
        <f>('Gestión de abastecimiento'!A136)</f>
        <v>0</v>
      </c>
      <c r="BB135" s="39" t="str">
        <f>'Por Valoracion (3) Dimension'!F135</f>
        <v>0</v>
      </c>
      <c r="BC135" s="39" t="str">
        <f>'Por Valoracion (3) Dimension 2'!D135</f>
        <v>0</v>
      </c>
      <c r="BX135" s="48"/>
      <c r="BZ135" s="49"/>
      <c r="CB135" t="str">
        <f>('Gestión de abastecimiento'!A136)</f>
        <v>0</v>
      </c>
      <c r="CC135" s="39" t="str">
        <f>'Por Valoracion (3) Dimension 2'!B135</f>
        <v>0</v>
      </c>
      <c r="CD135" s="39" t="str">
        <f>'Por Valoracion (3) Dimension'!H135</f>
        <v>0</v>
      </c>
      <c r="CY135" s="49"/>
    </row>
    <row r="136" spans="1:103">
      <c r="A136" s="48"/>
      <c r="C136" t="str">
        <f>('Gestión de abastecimiento'!A137)</f>
        <v>0</v>
      </c>
      <c r="D136" s="39" t="str">
        <f>'Por Valoracion (3) Dimension'!B136</f>
        <v>0</v>
      </c>
      <c r="E136" s="39" t="str">
        <f>'Por Valoracion (3) Dimension 2'!D136</f>
        <v>0</v>
      </c>
      <c r="Z136" s="48"/>
      <c r="AB136" t="str">
        <f>('Gestión de abastecimiento'!A137)</f>
        <v>0</v>
      </c>
      <c r="AC136" s="39" t="str">
        <f>'Por Valoracion (3) Dimension'!D136</f>
        <v>0</v>
      </c>
      <c r="AD136" s="39" t="str">
        <f>'Por Valoracion (3) Dimension 2'!D136</f>
        <v>0</v>
      </c>
      <c r="AY136" s="48"/>
      <c r="BA136" t="str">
        <f>('Gestión de abastecimiento'!A137)</f>
        <v>0</v>
      </c>
      <c r="BB136" s="39" t="str">
        <f>'Por Valoracion (3) Dimension'!F136</f>
        <v>0</v>
      </c>
      <c r="BC136" s="39" t="str">
        <f>'Por Valoracion (3) Dimension 2'!D136</f>
        <v>0</v>
      </c>
      <c r="BX136" s="48"/>
      <c r="BZ136" s="49"/>
      <c r="CB136" t="str">
        <f>('Gestión de abastecimiento'!A137)</f>
        <v>0</v>
      </c>
      <c r="CC136" s="39" t="str">
        <f>'Por Valoracion (3) Dimension 2'!B136</f>
        <v>0</v>
      </c>
      <c r="CD136" s="39" t="str">
        <f>'Por Valoracion (3) Dimension'!H136</f>
        <v>0</v>
      </c>
      <c r="CY136" s="49"/>
    </row>
    <row r="137" spans="1:103">
      <c r="A137" s="48"/>
      <c r="C137" t="str">
        <f>('Gestión de abastecimiento'!A138)</f>
        <v>0</v>
      </c>
      <c r="D137" s="39" t="str">
        <f>'Por Valoracion (3) Dimension'!B137</f>
        <v>0</v>
      </c>
      <c r="E137" s="39" t="str">
        <f>'Por Valoracion (3) Dimension 2'!D137</f>
        <v>0</v>
      </c>
      <c r="Z137" s="48"/>
      <c r="AB137" t="str">
        <f>('Gestión de abastecimiento'!A138)</f>
        <v>0</v>
      </c>
      <c r="AC137" s="39" t="str">
        <f>'Por Valoracion (3) Dimension'!D137</f>
        <v>0</v>
      </c>
      <c r="AD137" s="39" t="str">
        <f>'Por Valoracion (3) Dimension 2'!D137</f>
        <v>0</v>
      </c>
      <c r="AY137" s="48"/>
      <c r="BA137" t="str">
        <f>('Gestión de abastecimiento'!A138)</f>
        <v>0</v>
      </c>
      <c r="BB137" s="39" t="str">
        <f>'Por Valoracion (3) Dimension'!F137</f>
        <v>0</v>
      </c>
      <c r="BC137" s="39" t="str">
        <f>'Por Valoracion (3) Dimension 2'!D137</f>
        <v>0</v>
      </c>
      <c r="BX137" s="48"/>
      <c r="BZ137" s="49"/>
      <c r="CB137" t="str">
        <f>('Gestión de abastecimiento'!A138)</f>
        <v>0</v>
      </c>
      <c r="CC137" s="39" t="str">
        <f>'Por Valoracion (3) Dimension 2'!B137</f>
        <v>0</v>
      </c>
      <c r="CD137" s="39" t="str">
        <f>'Por Valoracion (3) Dimension'!H137</f>
        <v>0</v>
      </c>
      <c r="CY137" s="49"/>
    </row>
    <row r="138" spans="1:103">
      <c r="A138" s="48"/>
      <c r="C138" t="str">
        <f>('Gestión de abastecimiento'!A139)</f>
        <v>0</v>
      </c>
      <c r="D138" s="39" t="str">
        <f>'Por Valoracion (3) Dimension'!B138</f>
        <v>0</v>
      </c>
      <c r="E138" s="39" t="str">
        <f>'Por Valoracion (3) Dimension 2'!D138</f>
        <v>0</v>
      </c>
      <c r="Z138" s="48"/>
      <c r="AB138" t="str">
        <f>('Gestión de abastecimiento'!A139)</f>
        <v>0</v>
      </c>
      <c r="AC138" s="39" t="str">
        <f>'Por Valoracion (3) Dimension'!D138</f>
        <v>0</v>
      </c>
      <c r="AD138" s="39" t="str">
        <f>'Por Valoracion (3) Dimension 2'!D138</f>
        <v>0</v>
      </c>
      <c r="AY138" s="48"/>
      <c r="BA138" t="str">
        <f>('Gestión de abastecimiento'!A139)</f>
        <v>0</v>
      </c>
      <c r="BB138" s="39" t="str">
        <f>'Por Valoracion (3) Dimension'!F138</f>
        <v>0</v>
      </c>
      <c r="BC138" s="39" t="str">
        <f>'Por Valoracion (3) Dimension 2'!D138</f>
        <v>0</v>
      </c>
      <c r="BX138" s="48"/>
      <c r="BZ138" s="49"/>
      <c r="CB138" t="str">
        <f>('Gestión de abastecimiento'!A139)</f>
        <v>0</v>
      </c>
      <c r="CC138" s="39" t="str">
        <f>'Por Valoracion (3) Dimension 2'!B138</f>
        <v>0</v>
      </c>
      <c r="CD138" s="39" t="str">
        <f>'Por Valoracion (3) Dimension'!H138</f>
        <v>0</v>
      </c>
      <c r="CY138" s="49"/>
    </row>
    <row r="139" spans="1:103">
      <c r="A139" s="48"/>
      <c r="C139" t="str">
        <f>('Gestión de abastecimiento'!A140)</f>
        <v>0</v>
      </c>
      <c r="D139" s="39" t="str">
        <f>'Por Valoracion (3) Dimension'!B139</f>
        <v>0</v>
      </c>
      <c r="E139" s="39" t="str">
        <f>'Por Valoracion (3) Dimension 2'!D139</f>
        <v>0</v>
      </c>
      <c r="Z139" s="48"/>
      <c r="AB139" t="str">
        <f>('Gestión de abastecimiento'!A140)</f>
        <v>0</v>
      </c>
      <c r="AC139" s="39" t="str">
        <f>'Por Valoracion (3) Dimension'!D139</f>
        <v>0</v>
      </c>
      <c r="AD139" s="39" t="str">
        <f>'Por Valoracion (3) Dimension 2'!D139</f>
        <v>0</v>
      </c>
      <c r="AY139" s="48"/>
      <c r="BA139" t="str">
        <f>('Gestión de abastecimiento'!A140)</f>
        <v>0</v>
      </c>
      <c r="BB139" s="39" t="str">
        <f>'Por Valoracion (3) Dimension'!F139</f>
        <v>0</v>
      </c>
      <c r="BC139" s="39" t="str">
        <f>'Por Valoracion (3) Dimension 2'!D139</f>
        <v>0</v>
      </c>
      <c r="BX139" s="48"/>
      <c r="BZ139" s="49"/>
      <c r="CB139" t="str">
        <f>('Gestión de abastecimiento'!A140)</f>
        <v>0</v>
      </c>
      <c r="CC139" s="39" t="str">
        <f>'Por Valoracion (3) Dimension 2'!B139</f>
        <v>0</v>
      </c>
      <c r="CD139" s="39" t="str">
        <f>'Por Valoracion (3) Dimension'!H139</f>
        <v>0</v>
      </c>
      <c r="CY139" s="49"/>
    </row>
    <row r="140" spans="1:103">
      <c r="A140" s="48"/>
      <c r="C140" t="str">
        <f>('Gestión de abastecimiento'!A141)</f>
        <v>0</v>
      </c>
      <c r="D140" s="39" t="str">
        <f>'Por Valoracion (3) Dimension'!B140</f>
        <v>0</v>
      </c>
      <c r="E140" s="39" t="str">
        <f>'Por Valoracion (3) Dimension 2'!D140</f>
        <v>0</v>
      </c>
      <c r="Z140" s="48"/>
      <c r="AB140" t="str">
        <f>('Gestión de abastecimiento'!A141)</f>
        <v>0</v>
      </c>
      <c r="AC140" s="39" t="str">
        <f>'Por Valoracion (3) Dimension'!D140</f>
        <v>0</v>
      </c>
      <c r="AD140" s="39" t="str">
        <f>'Por Valoracion (3) Dimension 2'!D140</f>
        <v>0</v>
      </c>
      <c r="AY140" s="48"/>
      <c r="BA140" t="str">
        <f>('Gestión de abastecimiento'!A141)</f>
        <v>0</v>
      </c>
      <c r="BB140" s="39" t="str">
        <f>'Por Valoracion (3) Dimension'!F140</f>
        <v>0</v>
      </c>
      <c r="BC140" s="39" t="str">
        <f>'Por Valoracion (3) Dimension 2'!D140</f>
        <v>0</v>
      </c>
      <c r="BX140" s="48"/>
      <c r="BZ140" s="49"/>
      <c r="CB140" t="str">
        <f>('Gestión de abastecimiento'!A141)</f>
        <v>0</v>
      </c>
      <c r="CC140" s="39" t="str">
        <f>'Por Valoracion (3) Dimension 2'!B140</f>
        <v>0</v>
      </c>
      <c r="CD140" s="39" t="str">
        <f>'Por Valoracion (3) Dimension'!H140</f>
        <v>0</v>
      </c>
      <c r="CY140" s="49"/>
    </row>
    <row r="141" spans="1:103">
      <c r="A141" s="48"/>
      <c r="C141" t="str">
        <f>('Gestión de abastecimiento'!A142)</f>
        <v>0</v>
      </c>
      <c r="D141" s="39" t="str">
        <f>'Por Valoracion (3) Dimension'!B141</f>
        <v>0</v>
      </c>
      <c r="E141" s="39" t="str">
        <f>'Por Valoracion (3) Dimension 2'!D141</f>
        <v>0</v>
      </c>
      <c r="Z141" s="48"/>
      <c r="AB141" t="str">
        <f>('Gestión de abastecimiento'!A142)</f>
        <v>0</v>
      </c>
      <c r="AC141" s="39" t="str">
        <f>'Por Valoracion (3) Dimension'!D141</f>
        <v>0</v>
      </c>
      <c r="AD141" s="39" t="str">
        <f>'Por Valoracion (3) Dimension 2'!D141</f>
        <v>0</v>
      </c>
      <c r="AY141" s="48"/>
      <c r="BA141" t="str">
        <f>('Gestión de abastecimiento'!A142)</f>
        <v>0</v>
      </c>
      <c r="BB141" s="39" t="str">
        <f>'Por Valoracion (3) Dimension'!F141</f>
        <v>0</v>
      </c>
      <c r="BC141" s="39" t="str">
        <f>'Por Valoracion (3) Dimension 2'!D141</f>
        <v>0</v>
      </c>
      <c r="BX141" s="48"/>
      <c r="BZ141" s="49"/>
      <c r="CB141" t="str">
        <f>('Gestión de abastecimiento'!A142)</f>
        <v>0</v>
      </c>
      <c r="CC141" s="39" t="str">
        <f>'Por Valoracion (3) Dimension 2'!B141</f>
        <v>0</v>
      </c>
      <c r="CD141" s="39" t="str">
        <f>'Por Valoracion (3) Dimension'!H141</f>
        <v>0</v>
      </c>
      <c r="CY141" s="49"/>
    </row>
    <row r="142" spans="1:103">
      <c r="A142" s="48"/>
      <c r="C142" t="str">
        <f>('Gestión de abastecimiento'!A143)</f>
        <v>0</v>
      </c>
      <c r="D142" s="39" t="str">
        <f>'Por Valoracion (3) Dimension'!B142</f>
        <v>0</v>
      </c>
      <c r="E142" s="39" t="str">
        <f>'Por Valoracion (3) Dimension 2'!D142</f>
        <v>0</v>
      </c>
      <c r="Z142" s="48"/>
      <c r="AB142" t="str">
        <f>('Gestión de abastecimiento'!A143)</f>
        <v>0</v>
      </c>
      <c r="AC142" s="39" t="str">
        <f>'Por Valoracion (3) Dimension'!D142</f>
        <v>0</v>
      </c>
      <c r="AD142" s="39" t="str">
        <f>'Por Valoracion (3) Dimension 2'!D142</f>
        <v>0</v>
      </c>
      <c r="AY142" s="48"/>
      <c r="BA142" t="str">
        <f>('Gestión de abastecimiento'!A143)</f>
        <v>0</v>
      </c>
      <c r="BB142" s="39" t="str">
        <f>'Por Valoracion (3) Dimension'!F142</f>
        <v>0</v>
      </c>
      <c r="BC142" s="39" t="str">
        <f>'Por Valoracion (3) Dimension 2'!D142</f>
        <v>0</v>
      </c>
      <c r="BX142" s="48"/>
      <c r="BZ142" s="49"/>
      <c r="CB142" t="str">
        <f>('Gestión de abastecimiento'!A143)</f>
        <v>0</v>
      </c>
      <c r="CC142" s="39" t="str">
        <f>'Por Valoracion (3) Dimension 2'!B142</f>
        <v>0</v>
      </c>
      <c r="CD142" s="39" t="str">
        <f>'Por Valoracion (3) Dimension'!H142</f>
        <v>0</v>
      </c>
      <c r="CY142" s="49"/>
    </row>
    <row r="143" spans="1:103">
      <c r="A143" s="48"/>
      <c r="C143" t="str">
        <f>('Gestión de abastecimiento'!A144)</f>
        <v>0</v>
      </c>
      <c r="D143" s="39" t="str">
        <f>'Por Valoracion (3) Dimension'!B143</f>
        <v>0</v>
      </c>
      <c r="E143" s="39" t="str">
        <f>'Por Valoracion (3) Dimension 2'!D143</f>
        <v>0</v>
      </c>
      <c r="Z143" s="48"/>
      <c r="AB143" t="str">
        <f>('Gestión de abastecimiento'!A144)</f>
        <v>0</v>
      </c>
      <c r="AC143" s="39" t="str">
        <f>'Por Valoracion (3) Dimension'!D143</f>
        <v>0</v>
      </c>
      <c r="AD143" s="39" t="str">
        <f>'Por Valoracion (3) Dimension 2'!D143</f>
        <v>0</v>
      </c>
      <c r="AY143" s="48"/>
      <c r="BA143" t="str">
        <f>('Gestión de abastecimiento'!A144)</f>
        <v>0</v>
      </c>
      <c r="BB143" s="39" t="str">
        <f>'Por Valoracion (3) Dimension'!F143</f>
        <v>0</v>
      </c>
      <c r="BC143" s="39" t="str">
        <f>'Por Valoracion (3) Dimension 2'!D143</f>
        <v>0</v>
      </c>
      <c r="BX143" s="48"/>
      <c r="BZ143" s="49"/>
      <c r="CB143" t="str">
        <f>('Gestión de abastecimiento'!A144)</f>
        <v>0</v>
      </c>
      <c r="CC143" s="39" t="str">
        <f>'Por Valoracion (3) Dimension 2'!B143</f>
        <v>0</v>
      </c>
      <c r="CD143" s="39" t="str">
        <f>'Por Valoracion (3) Dimension'!H143</f>
        <v>0</v>
      </c>
      <c r="CY143" s="49"/>
    </row>
    <row r="144" spans="1:103">
      <c r="A144" s="48"/>
      <c r="C144" t="str">
        <f>('Gestión de abastecimiento'!A145)</f>
        <v>0</v>
      </c>
      <c r="D144" s="39" t="str">
        <f>'Por Valoracion (3) Dimension'!B144</f>
        <v>0</v>
      </c>
      <c r="E144" s="39" t="str">
        <f>'Por Valoracion (3) Dimension 2'!D144</f>
        <v>0</v>
      </c>
      <c r="Z144" s="48"/>
      <c r="AB144" t="str">
        <f>('Gestión de abastecimiento'!A145)</f>
        <v>0</v>
      </c>
      <c r="AC144" s="39" t="str">
        <f>'Por Valoracion (3) Dimension'!D144</f>
        <v>0</v>
      </c>
      <c r="AD144" s="39" t="str">
        <f>'Por Valoracion (3) Dimension 2'!D144</f>
        <v>0</v>
      </c>
      <c r="AY144" s="48"/>
      <c r="BA144" t="str">
        <f>('Gestión de abastecimiento'!A145)</f>
        <v>0</v>
      </c>
      <c r="BB144" s="39" t="str">
        <f>'Por Valoracion (3) Dimension'!F144</f>
        <v>0</v>
      </c>
      <c r="BC144" s="39" t="str">
        <f>'Por Valoracion (3) Dimension 2'!D144</f>
        <v>0</v>
      </c>
      <c r="BX144" s="48"/>
      <c r="BZ144" s="49"/>
      <c r="CB144" t="str">
        <f>('Gestión de abastecimiento'!A145)</f>
        <v>0</v>
      </c>
      <c r="CC144" s="39" t="str">
        <f>'Por Valoracion (3) Dimension 2'!B144</f>
        <v>0</v>
      </c>
      <c r="CD144" s="39" t="str">
        <f>'Por Valoracion (3) Dimension'!H144</f>
        <v>0</v>
      </c>
      <c r="CY144" s="49"/>
    </row>
    <row r="145" spans="1:103">
      <c r="A145" s="48"/>
      <c r="C145" t="str">
        <f>('Gestión de abastecimiento'!A146)</f>
        <v>0</v>
      </c>
      <c r="D145" s="39" t="str">
        <f>'Por Valoracion (3) Dimension'!B145</f>
        <v>0</v>
      </c>
      <c r="E145" s="39" t="str">
        <f>'Por Valoracion (3) Dimension 2'!D145</f>
        <v>0</v>
      </c>
      <c r="Z145" s="48"/>
      <c r="AB145" t="str">
        <f>('Gestión de abastecimiento'!A146)</f>
        <v>0</v>
      </c>
      <c r="AC145" s="39" t="str">
        <f>'Por Valoracion (3) Dimension'!D145</f>
        <v>0</v>
      </c>
      <c r="AD145" s="39" t="str">
        <f>'Por Valoracion (3) Dimension 2'!D145</f>
        <v>0</v>
      </c>
      <c r="AY145" s="48"/>
      <c r="BA145" t="str">
        <f>('Gestión de abastecimiento'!A146)</f>
        <v>0</v>
      </c>
      <c r="BB145" s="39" t="str">
        <f>'Por Valoracion (3) Dimension'!F145</f>
        <v>0</v>
      </c>
      <c r="BC145" s="39" t="str">
        <f>'Por Valoracion (3) Dimension 2'!D145</f>
        <v>0</v>
      </c>
      <c r="BX145" s="48"/>
      <c r="BZ145" s="49"/>
      <c r="CB145" t="str">
        <f>('Gestión de abastecimiento'!A146)</f>
        <v>0</v>
      </c>
      <c r="CC145" s="39" t="str">
        <f>'Por Valoracion (3) Dimension 2'!B145</f>
        <v>0</v>
      </c>
      <c r="CD145" s="39" t="str">
        <f>'Por Valoracion (3) Dimension'!H145</f>
        <v>0</v>
      </c>
      <c r="CY145" s="49"/>
    </row>
    <row r="146" spans="1:103">
      <c r="A146" s="48"/>
      <c r="C146" t="str">
        <f>('Gestión de abastecimiento'!A147)</f>
        <v>0</v>
      </c>
      <c r="D146" s="39" t="str">
        <f>'Por Valoracion (3) Dimension'!B146</f>
        <v>0</v>
      </c>
      <c r="E146" s="39" t="str">
        <f>'Por Valoracion (3) Dimension 2'!D146</f>
        <v>0</v>
      </c>
      <c r="Z146" s="48"/>
      <c r="AB146" t="str">
        <f>('Gestión de abastecimiento'!A147)</f>
        <v>0</v>
      </c>
      <c r="AC146" s="39" t="str">
        <f>'Por Valoracion (3) Dimension'!D146</f>
        <v>0</v>
      </c>
      <c r="AD146" s="39" t="str">
        <f>'Por Valoracion (3) Dimension 2'!D146</f>
        <v>0</v>
      </c>
      <c r="AY146" s="48"/>
      <c r="BA146" t="str">
        <f>('Gestión de abastecimiento'!A147)</f>
        <v>0</v>
      </c>
      <c r="BB146" s="39" t="str">
        <f>'Por Valoracion (3) Dimension'!F146</f>
        <v>0</v>
      </c>
      <c r="BC146" s="39" t="str">
        <f>'Por Valoracion (3) Dimension 2'!D146</f>
        <v>0</v>
      </c>
      <c r="BX146" s="48"/>
      <c r="BZ146" s="49"/>
      <c r="CB146" t="str">
        <f>('Gestión de abastecimiento'!A147)</f>
        <v>0</v>
      </c>
      <c r="CC146" s="39" t="str">
        <f>'Por Valoracion (3) Dimension 2'!B146</f>
        <v>0</v>
      </c>
      <c r="CD146" s="39" t="str">
        <f>'Por Valoracion (3) Dimension'!H146</f>
        <v>0</v>
      </c>
      <c r="CY146" s="49"/>
    </row>
    <row r="147" spans="1:103">
      <c r="A147" s="48"/>
      <c r="C147" t="str">
        <f>('Gestión de abastecimiento'!A148)</f>
        <v>0</v>
      </c>
      <c r="D147" s="39" t="str">
        <f>'Por Valoracion (3) Dimension'!B147</f>
        <v>0</v>
      </c>
      <c r="E147" s="39" t="str">
        <f>'Por Valoracion (3) Dimension 2'!D147</f>
        <v>0</v>
      </c>
      <c r="Z147" s="48"/>
      <c r="AB147" t="str">
        <f>('Gestión de abastecimiento'!A148)</f>
        <v>0</v>
      </c>
      <c r="AC147" s="39" t="str">
        <f>'Por Valoracion (3) Dimension'!D147</f>
        <v>0</v>
      </c>
      <c r="AD147" s="39" t="str">
        <f>'Por Valoracion (3) Dimension 2'!D147</f>
        <v>0</v>
      </c>
      <c r="AY147" s="48"/>
      <c r="BA147" t="str">
        <f>('Gestión de abastecimiento'!A148)</f>
        <v>0</v>
      </c>
      <c r="BB147" s="39" t="str">
        <f>'Por Valoracion (3) Dimension'!F147</f>
        <v>0</v>
      </c>
      <c r="BC147" s="39" t="str">
        <f>'Por Valoracion (3) Dimension 2'!D147</f>
        <v>0</v>
      </c>
      <c r="BX147" s="48"/>
      <c r="BZ147" s="49"/>
      <c r="CB147" t="str">
        <f>('Gestión de abastecimiento'!A148)</f>
        <v>0</v>
      </c>
      <c r="CC147" s="39" t="str">
        <f>'Por Valoracion (3) Dimension 2'!B147</f>
        <v>0</v>
      </c>
      <c r="CD147" s="39" t="str">
        <f>'Por Valoracion (3) Dimension'!H147</f>
        <v>0</v>
      </c>
      <c r="CY147" s="49"/>
    </row>
    <row r="148" spans="1:103">
      <c r="A148" s="48"/>
      <c r="C148" t="str">
        <f>('Gestión de abastecimiento'!A149)</f>
        <v>0</v>
      </c>
      <c r="D148" s="39" t="str">
        <f>'Por Valoracion (3) Dimension'!B148</f>
        <v>0</v>
      </c>
      <c r="E148" s="39" t="str">
        <f>'Por Valoracion (3) Dimension 2'!D148</f>
        <v>0</v>
      </c>
      <c r="Z148" s="48"/>
      <c r="AB148" t="str">
        <f>('Gestión de abastecimiento'!A149)</f>
        <v>0</v>
      </c>
      <c r="AC148" s="39" t="str">
        <f>'Por Valoracion (3) Dimension'!D148</f>
        <v>0</v>
      </c>
      <c r="AD148" s="39" t="str">
        <f>'Por Valoracion (3) Dimension 2'!D148</f>
        <v>0</v>
      </c>
      <c r="AY148" s="48"/>
      <c r="BA148" t="str">
        <f>('Gestión de abastecimiento'!A149)</f>
        <v>0</v>
      </c>
      <c r="BB148" s="39" t="str">
        <f>'Por Valoracion (3) Dimension'!F148</f>
        <v>0</v>
      </c>
      <c r="BC148" s="39" t="str">
        <f>'Por Valoracion (3) Dimension 2'!D148</f>
        <v>0</v>
      </c>
      <c r="BX148" s="48"/>
      <c r="BZ148" s="49"/>
      <c r="CB148" t="str">
        <f>('Gestión de abastecimiento'!A149)</f>
        <v>0</v>
      </c>
      <c r="CC148" s="39" t="str">
        <f>'Por Valoracion (3) Dimension 2'!B148</f>
        <v>0</v>
      </c>
      <c r="CD148" s="39" t="str">
        <f>'Por Valoracion (3) Dimension'!H148</f>
        <v>0</v>
      </c>
      <c r="CY148" s="49"/>
    </row>
    <row r="149" spans="1:103">
      <c r="A149" s="48"/>
      <c r="C149" t="str">
        <f>('Gestión de abastecimiento'!A150)</f>
        <v>0</v>
      </c>
      <c r="D149" s="39" t="str">
        <f>'Por Valoracion (3) Dimension'!B149</f>
        <v>0</v>
      </c>
      <c r="E149" s="39" t="str">
        <f>'Por Valoracion (3) Dimension 2'!D149</f>
        <v>0</v>
      </c>
      <c r="Z149" s="48"/>
      <c r="AB149" t="str">
        <f>('Gestión de abastecimiento'!A150)</f>
        <v>0</v>
      </c>
      <c r="AC149" s="39" t="str">
        <f>'Por Valoracion (3) Dimension'!D149</f>
        <v>0</v>
      </c>
      <c r="AD149" s="39" t="str">
        <f>'Por Valoracion (3) Dimension 2'!D149</f>
        <v>0</v>
      </c>
      <c r="AY149" s="48"/>
      <c r="BA149" t="str">
        <f>('Gestión de abastecimiento'!A150)</f>
        <v>0</v>
      </c>
      <c r="BB149" s="39" t="str">
        <f>'Por Valoracion (3) Dimension'!F149</f>
        <v>0</v>
      </c>
      <c r="BC149" s="39" t="str">
        <f>'Por Valoracion (3) Dimension 2'!D149</f>
        <v>0</v>
      </c>
      <c r="BX149" s="48"/>
      <c r="BZ149" s="49"/>
      <c r="CB149" t="str">
        <f>('Gestión de abastecimiento'!A150)</f>
        <v>0</v>
      </c>
      <c r="CC149" s="39" t="str">
        <f>'Por Valoracion (3) Dimension 2'!B149</f>
        <v>0</v>
      </c>
      <c r="CD149" s="39" t="str">
        <f>'Por Valoracion (3) Dimension'!H149</f>
        <v>0</v>
      </c>
      <c r="CY149" s="49"/>
    </row>
    <row r="150" spans="1:103">
      <c r="A150" s="48"/>
      <c r="C150" t="str">
        <f>('Gestión de abastecimiento'!A151)</f>
        <v>0</v>
      </c>
      <c r="D150" s="39" t="str">
        <f>'Por Valoracion (3) Dimension'!B150</f>
        <v>0</v>
      </c>
      <c r="E150" s="39" t="str">
        <f>'Por Valoracion (3) Dimension 2'!D150</f>
        <v>0</v>
      </c>
      <c r="Z150" s="48"/>
      <c r="AB150" t="str">
        <f>('Gestión de abastecimiento'!A151)</f>
        <v>0</v>
      </c>
      <c r="AC150" s="39" t="str">
        <f>'Por Valoracion (3) Dimension'!D150</f>
        <v>0</v>
      </c>
      <c r="AD150" s="39" t="str">
        <f>'Por Valoracion (3) Dimension 2'!D150</f>
        <v>0</v>
      </c>
      <c r="AY150" s="48"/>
      <c r="BA150" t="str">
        <f>('Gestión de abastecimiento'!A151)</f>
        <v>0</v>
      </c>
      <c r="BB150" s="39" t="str">
        <f>'Por Valoracion (3) Dimension'!F150</f>
        <v>0</v>
      </c>
      <c r="BC150" s="39" t="str">
        <f>'Por Valoracion (3) Dimension 2'!D150</f>
        <v>0</v>
      </c>
      <c r="BX150" s="48"/>
      <c r="BZ150" s="49"/>
      <c r="CB150" t="str">
        <f>('Gestión de abastecimiento'!A151)</f>
        <v>0</v>
      </c>
      <c r="CC150" s="39" t="str">
        <f>'Por Valoracion (3) Dimension 2'!B150</f>
        <v>0</v>
      </c>
      <c r="CD150" s="39" t="str">
        <f>'Por Valoracion (3) Dimension'!H150</f>
        <v>0</v>
      </c>
      <c r="CY150" s="49"/>
    </row>
    <row r="151" spans="1:103">
      <c r="A151" s="48"/>
      <c r="C151" t="str">
        <f>('Gestión de abastecimiento'!A152)</f>
        <v>0</v>
      </c>
      <c r="D151" s="39" t="str">
        <f>'Por Valoracion (3) Dimension'!B151</f>
        <v>0</v>
      </c>
      <c r="E151" s="39" t="str">
        <f>'Por Valoracion (3) Dimension 2'!D151</f>
        <v>0</v>
      </c>
      <c r="Z151" s="48"/>
      <c r="AB151" t="str">
        <f>('Gestión de abastecimiento'!A152)</f>
        <v>0</v>
      </c>
      <c r="AC151" s="39" t="str">
        <f>'Por Valoracion (3) Dimension'!D151</f>
        <v>0</v>
      </c>
      <c r="AD151" s="39" t="str">
        <f>'Por Valoracion (3) Dimension 2'!D151</f>
        <v>0</v>
      </c>
      <c r="AY151" s="48"/>
      <c r="BA151" t="str">
        <f>('Gestión de abastecimiento'!A152)</f>
        <v>0</v>
      </c>
      <c r="BB151" s="39" t="str">
        <f>'Por Valoracion (3) Dimension'!F151</f>
        <v>0</v>
      </c>
      <c r="BC151" s="39" t="str">
        <f>'Por Valoracion (3) Dimension 2'!D151</f>
        <v>0</v>
      </c>
      <c r="BX151" s="48"/>
      <c r="BZ151" s="49"/>
      <c r="CB151" t="str">
        <f>('Gestión de abastecimiento'!A152)</f>
        <v>0</v>
      </c>
      <c r="CC151" s="39" t="str">
        <f>'Por Valoracion (3) Dimension 2'!B151</f>
        <v>0</v>
      </c>
      <c r="CD151" s="39" t="str">
        <f>'Por Valoracion (3) Dimension'!H151</f>
        <v>0</v>
      </c>
      <c r="CY151" s="49"/>
    </row>
    <row r="152" spans="1:103">
      <c r="A152" s="48"/>
      <c r="C152" t="str">
        <f>('Gestión de abastecimiento'!A153)</f>
        <v>0</v>
      </c>
      <c r="D152" s="39" t="str">
        <f>'Por Valoracion (3) Dimension'!B152</f>
        <v>0</v>
      </c>
      <c r="E152" s="39" t="str">
        <f>'Por Valoracion (3) Dimension 2'!D152</f>
        <v>0</v>
      </c>
      <c r="Z152" s="48"/>
      <c r="AB152" t="str">
        <f>('Gestión de abastecimiento'!A153)</f>
        <v>0</v>
      </c>
      <c r="AC152" s="39" t="str">
        <f>'Por Valoracion (3) Dimension'!D152</f>
        <v>0</v>
      </c>
      <c r="AD152" s="39" t="str">
        <f>'Por Valoracion (3) Dimension 2'!D152</f>
        <v>0</v>
      </c>
      <c r="AY152" s="48"/>
      <c r="BA152" t="str">
        <f>('Gestión de abastecimiento'!A153)</f>
        <v>0</v>
      </c>
      <c r="BB152" s="39" t="str">
        <f>'Por Valoracion (3) Dimension'!F152</f>
        <v>0</v>
      </c>
      <c r="BC152" s="39" t="str">
        <f>'Por Valoracion (3) Dimension 2'!D152</f>
        <v>0</v>
      </c>
      <c r="BX152" s="48"/>
      <c r="BZ152" s="49"/>
      <c r="CB152" t="str">
        <f>('Gestión de abastecimiento'!A153)</f>
        <v>0</v>
      </c>
      <c r="CC152" s="39" t="str">
        <f>'Por Valoracion (3) Dimension 2'!B152</f>
        <v>0</v>
      </c>
      <c r="CD152" s="39" t="str">
        <f>'Por Valoracion (3) Dimension'!H152</f>
        <v>0</v>
      </c>
      <c r="CY152" s="49"/>
    </row>
    <row r="153" spans="1:103">
      <c r="A153" s="48"/>
      <c r="C153" t="str">
        <f>('Gestión de abastecimiento'!A154)</f>
        <v>0</v>
      </c>
      <c r="D153" s="39" t="str">
        <f>'Por Valoracion (3) Dimension'!B153</f>
        <v>0</v>
      </c>
      <c r="E153" s="39" t="str">
        <f>'Por Valoracion (3) Dimension 2'!D153</f>
        <v>0</v>
      </c>
      <c r="Z153" s="48"/>
      <c r="AB153" t="str">
        <f>('Gestión de abastecimiento'!A154)</f>
        <v>0</v>
      </c>
      <c r="AC153" s="39" t="str">
        <f>'Por Valoracion (3) Dimension'!D153</f>
        <v>0</v>
      </c>
      <c r="AD153" s="39" t="str">
        <f>'Por Valoracion (3) Dimension 2'!D153</f>
        <v>0</v>
      </c>
      <c r="AY153" s="48"/>
      <c r="BA153" t="str">
        <f>('Gestión de abastecimiento'!A154)</f>
        <v>0</v>
      </c>
      <c r="BB153" s="39" t="str">
        <f>'Por Valoracion (3) Dimension'!F153</f>
        <v>0</v>
      </c>
      <c r="BC153" s="39" t="str">
        <f>'Por Valoracion (3) Dimension 2'!D153</f>
        <v>0</v>
      </c>
      <c r="BX153" s="48"/>
      <c r="BZ153" s="49"/>
      <c r="CB153" t="str">
        <f>('Gestión de abastecimiento'!A154)</f>
        <v>0</v>
      </c>
      <c r="CC153" s="39" t="str">
        <f>'Por Valoracion (3) Dimension 2'!B153</f>
        <v>0</v>
      </c>
      <c r="CD153" s="39" t="str">
        <f>'Por Valoracion (3) Dimension'!H153</f>
        <v>0</v>
      </c>
      <c r="CY153" s="49"/>
    </row>
    <row r="154" spans="1:103">
      <c r="A154" s="48"/>
      <c r="C154" t="str">
        <f>('Gestión de abastecimiento'!A155)</f>
        <v>0</v>
      </c>
      <c r="D154" s="39" t="str">
        <f>'Por Valoracion (3) Dimension'!B154</f>
        <v>0</v>
      </c>
      <c r="E154" s="39" t="str">
        <f>'Por Valoracion (3) Dimension 2'!D154</f>
        <v>0</v>
      </c>
      <c r="Z154" s="48"/>
      <c r="AB154" t="str">
        <f>('Gestión de abastecimiento'!A155)</f>
        <v>0</v>
      </c>
      <c r="AC154" s="39" t="str">
        <f>'Por Valoracion (3) Dimension'!D154</f>
        <v>0</v>
      </c>
      <c r="AD154" s="39" t="str">
        <f>'Por Valoracion (3) Dimension 2'!D154</f>
        <v>0</v>
      </c>
      <c r="AY154" s="48"/>
      <c r="BA154" t="str">
        <f>('Gestión de abastecimiento'!A155)</f>
        <v>0</v>
      </c>
      <c r="BB154" s="39" t="str">
        <f>'Por Valoracion (3) Dimension'!F154</f>
        <v>0</v>
      </c>
      <c r="BC154" s="39" t="str">
        <f>'Por Valoracion (3) Dimension 2'!D154</f>
        <v>0</v>
      </c>
      <c r="BX154" s="48"/>
      <c r="BZ154" s="49"/>
      <c r="CB154" t="str">
        <f>('Gestión de abastecimiento'!A155)</f>
        <v>0</v>
      </c>
      <c r="CC154" s="39" t="str">
        <f>'Por Valoracion (3) Dimension 2'!B154</f>
        <v>0</v>
      </c>
      <c r="CD154" s="39" t="str">
        <f>'Por Valoracion (3) Dimension'!H154</f>
        <v>0</v>
      </c>
      <c r="CY154" s="49"/>
    </row>
    <row r="155" spans="1:103">
      <c r="A155" s="48"/>
      <c r="C155" t="str">
        <f>('Gestión de abastecimiento'!A156)</f>
        <v>0</v>
      </c>
      <c r="D155" s="39" t="str">
        <f>'Por Valoracion (3) Dimension'!B155</f>
        <v>0</v>
      </c>
      <c r="E155" s="39" t="str">
        <f>'Por Valoracion (3) Dimension 2'!D155</f>
        <v>0</v>
      </c>
      <c r="Z155" s="48"/>
      <c r="AB155" t="str">
        <f>('Gestión de abastecimiento'!A156)</f>
        <v>0</v>
      </c>
      <c r="AC155" s="39" t="str">
        <f>'Por Valoracion (3) Dimension'!D155</f>
        <v>0</v>
      </c>
      <c r="AD155" s="39" t="str">
        <f>'Por Valoracion (3) Dimension 2'!D155</f>
        <v>0</v>
      </c>
      <c r="AY155" s="48"/>
      <c r="BA155" t="str">
        <f>('Gestión de abastecimiento'!A156)</f>
        <v>0</v>
      </c>
      <c r="BB155" s="39" t="str">
        <f>'Por Valoracion (3) Dimension'!F155</f>
        <v>0</v>
      </c>
      <c r="BC155" s="39" t="str">
        <f>'Por Valoracion (3) Dimension 2'!D155</f>
        <v>0</v>
      </c>
      <c r="BX155" s="48"/>
      <c r="BZ155" s="49"/>
      <c r="CB155" t="str">
        <f>('Gestión de abastecimiento'!A156)</f>
        <v>0</v>
      </c>
      <c r="CC155" s="39" t="str">
        <f>'Por Valoracion (3) Dimension 2'!B155</f>
        <v>0</v>
      </c>
      <c r="CD155" s="39" t="str">
        <f>'Por Valoracion (3) Dimension'!H155</f>
        <v>0</v>
      </c>
      <c r="CY155" s="49"/>
    </row>
    <row r="156" spans="1:103">
      <c r="A156" s="48"/>
      <c r="C156" t="str">
        <f>('Gestión de abastecimiento'!A157)</f>
        <v>0</v>
      </c>
      <c r="D156" s="39" t="str">
        <f>'Por Valoracion (3) Dimension'!B156</f>
        <v>0</v>
      </c>
      <c r="E156" s="39" t="str">
        <f>'Por Valoracion (3) Dimension 2'!D156</f>
        <v>0</v>
      </c>
      <c r="Z156" s="48"/>
      <c r="AB156" t="str">
        <f>('Gestión de abastecimiento'!A157)</f>
        <v>0</v>
      </c>
      <c r="AC156" s="39" t="str">
        <f>'Por Valoracion (3) Dimension'!D156</f>
        <v>0</v>
      </c>
      <c r="AD156" s="39" t="str">
        <f>'Por Valoracion (3) Dimension 2'!D156</f>
        <v>0</v>
      </c>
      <c r="AY156" s="48"/>
      <c r="BA156" t="str">
        <f>('Gestión de abastecimiento'!A157)</f>
        <v>0</v>
      </c>
      <c r="BB156" s="39" t="str">
        <f>'Por Valoracion (3) Dimension'!F156</f>
        <v>0</v>
      </c>
      <c r="BC156" s="39" t="str">
        <f>'Por Valoracion (3) Dimension 2'!D156</f>
        <v>0</v>
      </c>
      <c r="BX156" s="48"/>
      <c r="BZ156" s="49"/>
      <c r="CB156" t="str">
        <f>('Gestión de abastecimiento'!A157)</f>
        <v>0</v>
      </c>
      <c r="CC156" s="39" t="str">
        <f>'Por Valoracion (3) Dimension 2'!B156</f>
        <v>0</v>
      </c>
      <c r="CD156" s="39" t="str">
        <f>'Por Valoracion (3) Dimension'!H156</f>
        <v>0</v>
      </c>
      <c r="CY156" s="49"/>
    </row>
    <row r="157" spans="1:103">
      <c r="A157" s="48"/>
      <c r="C157" t="str">
        <f>('Gestión de abastecimiento'!A158)</f>
        <v>0</v>
      </c>
      <c r="D157" s="39" t="str">
        <f>'Por Valoracion (3) Dimension'!B157</f>
        <v>0</v>
      </c>
      <c r="E157" s="39" t="str">
        <f>'Por Valoracion (3) Dimension 2'!D157</f>
        <v>0</v>
      </c>
      <c r="Z157" s="48"/>
      <c r="AB157" t="str">
        <f>('Gestión de abastecimiento'!A158)</f>
        <v>0</v>
      </c>
      <c r="AC157" s="39" t="str">
        <f>'Por Valoracion (3) Dimension'!D157</f>
        <v>0</v>
      </c>
      <c r="AD157" s="39" t="str">
        <f>'Por Valoracion (3) Dimension 2'!D157</f>
        <v>0</v>
      </c>
      <c r="AY157" s="48"/>
      <c r="BA157" t="str">
        <f>('Gestión de abastecimiento'!A158)</f>
        <v>0</v>
      </c>
      <c r="BB157" s="39" t="str">
        <f>'Por Valoracion (3) Dimension'!F157</f>
        <v>0</v>
      </c>
      <c r="BC157" s="39" t="str">
        <f>'Por Valoracion (3) Dimension 2'!D157</f>
        <v>0</v>
      </c>
      <c r="BX157" s="48"/>
      <c r="BZ157" s="49"/>
      <c r="CB157" t="str">
        <f>('Gestión de abastecimiento'!A158)</f>
        <v>0</v>
      </c>
      <c r="CC157" s="39" t="str">
        <f>'Por Valoracion (3) Dimension 2'!B157</f>
        <v>0</v>
      </c>
      <c r="CD157" s="39" t="str">
        <f>'Por Valoracion (3) Dimension'!H157</f>
        <v>0</v>
      </c>
      <c r="CY157" s="49"/>
    </row>
    <row r="158" spans="1:103">
      <c r="A158" s="48"/>
      <c r="C158" t="str">
        <f>('Gestión de abastecimiento'!A159)</f>
        <v>0</v>
      </c>
      <c r="D158" s="39" t="str">
        <f>'Por Valoracion (3) Dimension'!B158</f>
        <v>0</v>
      </c>
      <c r="E158" s="39" t="str">
        <f>'Por Valoracion (3) Dimension 2'!D158</f>
        <v>0</v>
      </c>
      <c r="Z158" s="48"/>
      <c r="AB158" t="str">
        <f>('Gestión de abastecimiento'!A159)</f>
        <v>0</v>
      </c>
      <c r="AC158" s="39" t="str">
        <f>'Por Valoracion (3) Dimension'!D158</f>
        <v>0</v>
      </c>
      <c r="AD158" s="39" t="str">
        <f>'Por Valoracion (3) Dimension 2'!D158</f>
        <v>0</v>
      </c>
      <c r="AY158" s="48"/>
      <c r="BA158" t="str">
        <f>('Gestión de abastecimiento'!A159)</f>
        <v>0</v>
      </c>
      <c r="BB158" s="39" t="str">
        <f>'Por Valoracion (3) Dimension'!F158</f>
        <v>0</v>
      </c>
      <c r="BC158" s="39" t="str">
        <f>'Por Valoracion (3) Dimension 2'!D158</f>
        <v>0</v>
      </c>
      <c r="BX158" s="48"/>
      <c r="BZ158" s="49"/>
      <c r="CB158" t="str">
        <f>('Gestión de abastecimiento'!A159)</f>
        <v>0</v>
      </c>
      <c r="CC158" s="39" t="str">
        <f>'Por Valoracion (3) Dimension 2'!B158</f>
        <v>0</v>
      </c>
      <c r="CD158" s="39" t="str">
        <f>'Por Valoracion (3) Dimension'!H158</f>
        <v>0</v>
      </c>
      <c r="CY158" s="49"/>
    </row>
    <row r="159" spans="1:103">
      <c r="A159" s="48"/>
      <c r="C159" t="str">
        <f>('Gestión de abastecimiento'!A160)</f>
        <v>0</v>
      </c>
      <c r="D159" s="39" t="str">
        <f>'Por Valoracion (3) Dimension'!B159</f>
        <v>0</v>
      </c>
      <c r="E159" s="39" t="str">
        <f>'Por Valoracion (3) Dimension 2'!D159</f>
        <v>0</v>
      </c>
      <c r="Z159" s="48"/>
      <c r="AB159" t="str">
        <f>('Gestión de abastecimiento'!A160)</f>
        <v>0</v>
      </c>
      <c r="AC159" s="39" t="str">
        <f>'Por Valoracion (3) Dimension'!D159</f>
        <v>0</v>
      </c>
      <c r="AD159" s="39" t="str">
        <f>'Por Valoracion (3) Dimension 2'!D159</f>
        <v>0</v>
      </c>
      <c r="AY159" s="48"/>
      <c r="BA159" t="str">
        <f>('Gestión de abastecimiento'!A160)</f>
        <v>0</v>
      </c>
      <c r="BB159" s="39" t="str">
        <f>'Por Valoracion (3) Dimension'!F159</f>
        <v>0</v>
      </c>
      <c r="BC159" s="39" t="str">
        <f>'Por Valoracion (3) Dimension 2'!D159</f>
        <v>0</v>
      </c>
      <c r="BX159" s="48"/>
      <c r="BZ159" s="49"/>
      <c r="CB159" t="str">
        <f>('Gestión de abastecimiento'!A160)</f>
        <v>0</v>
      </c>
      <c r="CC159" s="39" t="str">
        <f>'Por Valoracion (3) Dimension 2'!B159</f>
        <v>0</v>
      </c>
      <c r="CD159" s="39" t="str">
        <f>'Por Valoracion (3) Dimension'!H159</f>
        <v>0</v>
      </c>
      <c r="CY159" s="49"/>
    </row>
    <row r="160" spans="1:103">
      <c r="A160" s="48"/>
      <c r="C160" t="str">
        <f>('Gestión de abastecimiento'!A161)</f>
        <v>0</v>
      </c>
      <c r="D160" s="39" t="str">
        <f>'Por Valoracion (3) Dimension'!B160</f>
        <v>0</v>
      </c>
      <c r="E160" s="39" t="str">
        <f>'Por Valoracion (3) Dimension 2'!D160</f>
        <v>0</v>
      </c>
      <c r="Z160" s="48"/>
      <c r="AB160" t="str">
        <f>('Gestión de abastecimiento'!A161)</f>
        <v>0</v>
      </c>
      <c r="AC160" s="39" t="str">
        <f>'Por Valoracion (3) Dimension'!D160</f>
        <v>0</v>
      </c>
      <c r="AD160" s="39" t="str">
        <f>'Por Valoracion (3) Dimension 2'!D160</f>
        <v>0</v>
      </c>
      <c r="AY160" s="48"/>
      <c r="BA160" t="str">
        <f>('Gestión de abastecimiento'!A161)</f>
        <v>0</v>
      </c>
      <c r="BB160" s="39" t="str">
        <f>'Por Valoracion (3) Dimension'!F160</f>
        <v>0</v>
      </c>
      <c r="BC160" s="39" t="str">
        <f>'Por Valoracion (3) Dimension 2'!D160</f>
        <v>0</v>
      </c>
      <c r="BX160" s="48"/>
      <c r="BZ160" s="49"/>
      <c r="CB160" t="str">
        <f>('Gestión de abastecimiento'!A161)</f>
        <v>0</v>
      </c>
      <c r="CC160" s="39" t="str">
        <f>'Por Valoracion (3) Dimension 2'!B160</f>
        <v>0</v>
      </c>
      <c r="CD160" s="39" t="str">
        <f>'Por Valoracion (3) Dimension'!H160</f>
        <v>0</v>
      </c>
      <c r="CY160" s="49"/>
    </row>
    <row r="161" spans="1:103">
      <c r="A161" s="48"/>
      <c r="C161" t="str">
        <f>('Gestión de abastecimiento'!A162)</f>
        <v>0</v>
      </c>
      <c r="D161" s="39" t="str">
        <f>'Por Valoracion (3) Dimension'!B161</f>
        <v>0</v>
      </c>
      <c r="E161" s="39" t="str">
        <f>'Por Valoracion (3) Dimension 2'!D161</f>
        <v>0</v>
      </c>
      <c r="Z161" s="48"/>
      <c r="AB161" t="str">
        <f>('Gestión de abastecimiento'!A162)</f>
        <v>0</v>
      </c>
      <c r="AC161" s="39" t="str">
        <f>'Por Valoracion (3) Dimension'!D161</f>
        <v>0</v>
      </c>
      <c r="AD161" s="39" t="str">
        <f>'Por Valoracion (3) Dimension 2'!D161</f>
        <v>0</v>
      </c>
      <c r="AY161" s="48"/>
      <c r="BA161" t="str">
        <f>('Gestión de abastecimiento'!A162)</f>
        <v>0</v>
      </c>
      <c r="BB161" s="39" t="str">
        <f>'Por Valoracion (3) Dimension'!F161</f>
        <v>0</v>
      </c>
      <c r="BC161" s="39" t="str">
        <f>'Por Valoracion (3) Dimension 2'!D161</f>
        <v>0</v>
      </c>
      <c r="BX161" s="48"/>
      <c r="BZ161" s="49"/>
      <c r="CB161" t="str">
        <f>('Gestión de abastecimiento'!A162)</f>
        <v>0</v>
      </c>
      <c r="CC161" s="39" t="str">
        <f>'Por Valoracion (3) Dimension 2'!B161</f>
        <v>0</v>
      </c>
      <c r="CD161" s="39" t="str">
        <f>'Por Valoracion (3) Dimension'!H161</f>
        <v>0</v>
      </c>
      <c r="CY161" s="49"/>
    </row>
    <row r="162" spans="1:103">
      <c r="A162" s="48"/>
      <c r="C162" t="str">
        <f>('Gestión de abastecimiento'!A163)</f>
        <v>0</v>
      </c>
      <c r="D162" s="39" t="str">
        <f>'Por Valoracion (3) Dimension'!B162</f>
        <v>0</v>
      </c>
      <c r="E162" s="39" t="str">
        <f>'Por Valoracion (3) Dimension 2'!D162</f>
        <v>0</v>
      </c>
      <c r="Z162" s="48"/>
      <c r="AB162" t="str">
        <f>('Gestión de abastecimiento'!A163)</f>
        <v>0</v>
      </c>
      <c r="AC162" s="39" t="str">
        <f>'Por Valoracion (3) Dimension'!D162</f>
        <v>0</v>
      </c>
      <c r="AD162" s="39" t="str">
        <f>'Por Valoracion (3) Dimension 2'!D162</f>
        <v>0</v>
      </c>
      <c r="AY162" s="48"/>
      <c r="BA162" t="str">
        <f>('Gestión de abastecimiento'!A163)</f>
        <v>0</v>
      </c>
      <c r="BB162" s="39" t="str">
        <f>'Por Valoracion (3) Dimension'!F162</f>
        <v>0</v>
      </c>
      <c r="BC162" s="39" t="str">
        <f>'Por Valoracion (3) Dimension 2'!D162</f>
        <v>0</v>
      </c>
      <c r="BX162" s="48"/>
      <c r="BZ162" s="49"/>
      <c r="CB162" t="str">
        <f>('Gestión de abastecimiento'!A163)</f>
        <v>0</v>
      </c>
      <c r="CC162" s="39" t="str">
        <f>'Por Valoracion (3) Dimension 2'!B162</f>
        <v>0</v>
      </c>
      <c r="CD162" s="39" t="str">
        <f>'Por Valoracion (3) Dimension'!H162</f>
        <v>0</v>
      </c>
      <c r="CY162" s="49"/>
    </row>
    <row r="163" spans="1:103">
      <c r="A163" s="48"/>
      <c r="C163" t="str">
        <f>('Gestión de abastecimiento'!A164)</f>
        <v>0</v>
      </c>
      <c r="D163" s="39" t="str">
        <f>'Por Valoracion (3) Dimension'!B163</f>
        <v>0</v>
      </c>
      <c r="E163" s="39" t="str">
        <f>'Por Valoracion (3) Dimension 2'!D163</f>
        <v>0</v>
      </c>
      <c r="Z163" s="48"/>
      <c r="AB163" t="str">
        <f>('Gestión de abastecimiento'!A164)</f>
        <v>0</v>
      </c>
      <c r="AC163" s="39" t="str">
        <f>'Por Valoracion (3) Dimension'!D163</f>
        <v>0</v>
      </c>
      <c r="AD163" s="39" t="str">
        <f>'Por Valoracion (3) Dimension 2'!D163</f>
        <v>0</v>
      </c>
      <c r="AY163" s="48"/>
      <c r="BA163" t="str">
        <f>('Gestión de abastecimiento'!A164)</f>
        <v>0</v>
      </c>
      <c r="BB163" s="39" t="str">
        <f>'Por Valoracion (3) Dimension'!F163</f>
        <v>0</v>
      </c>
      <c r="BC163" s="39" t="str">
        <f>'Por Valoracion (3) Dimension 2'!D163</f>
        <v>0</v>
      </c>
      <c r="BX163" s="48"/>
      <c r="BZ163" s="49"/>
      <c r="CB163" t="str">
        <f>('Gestión de abastecimiento'!A164)</f>
        <v>0</v>
      </c>
      <c r="CC163" s="39" t="str">
        <f>'Por Valoracion (3) Dimension 2'!B163</f>
        <v>0</v>
      </c>
      <c r="CD163" s="39" t="str">
        <f>'Por Valoracion (3) Dimension'!H163</f>
        <v>0</v>
      </c>
      <c r="CY163" s="49"/>
    </row>
    <row r="164" spans="1:103">
      <c r="A164" s="48"/>
      <c r="C164" t="str">
        <f>('Gestión de abastecimiento'!A165)</f>
        <v>0</v>
      </c>
      <c r="D164" s="39" t="str">
        <f>'Por Valoracion (3) Dimension'!B164</f>
        <v>0</v>
      </c>
      <c r="E164" s="39" t="str">
        <f>'Por Valoracion (3) Dimension 2'!D164</f>
        <v>0</v>
      </c>
      <c r="Z164" s="48"/>
      <c r="AB164" t="str">
        <f>('Gestión de abastecimiento'!A165)</f>
        <v>0</v>
      </c>
      <c r="AC164" s="39" t="str">
        <f>'Por Valoracion (3) Dimension'!D164</f>
        <v>0</v>
      </c>
      <c r="AD164" s="39" t="str">
        <f>'Por Valoracion (3) Dimension 2'!D164</f>
        <v>0</v>
      </c>
      <c r="AY164" s="48"/>
      <c r="BA164" t="str">
        <f>('Gestión de abastecimiento'!A165)</f>
        <v>0</v>
      </c>
      <c r="BB164" s="39" t="str">
        <f>'Por Valoracion (3) Dimension'!F164</f>
        <v>0</v>
      </c>
      <c r="BC164" s="39" t="str">
        <f>'Por Valoracion (3) Dimension 2'!D164</f>
        <v>0</v>
      </c>
      <c r="BX164" s="48"/>
      <c r="BZ164" s="49"/>
      <c r="CB164" t="str">
        <f>('Gestión de abastecimiento'!A165)</f>
        <v>0</v>
      </c>
      <c r="CC164" s="39" t="str">
        <f>'Por Valoracion (3) Dimension 2'!B164</f>
        <v>0</v>
      </c>
      <c r="CD164" s="39" t="str">
        <f>'Por Valoracion (3) Dimension'!H164</f>
        <v>0</v>
      </c>
      <c r="CY164" s="49"/>
    </row>
    <row r="165" spans="1:103">
      <c r="A165" s="48"/>
      <c r="C165" t="str">
        <f>('Gestión de abastecimiento'!A166)</f>
        <v>0</v>
      </c>
      <c r="D165" s="39" t="str">
        <f>'Por Valoracion (3) Dimension'!B165</f>
        <v>0</v>
      </c>
      <c r="E165" s="39" t="str">
        <f>'Por Valoracion (3) Dimension 2'!D165</f>
        <v>0</v>
      </c>
      <c r="Z165" s="48"/>
      <c r="AB165" t="str">
        <f>('Gestión de abastecimiento'!A166)</f>
        <v>0</v>
      </c>
      <c r="AC165" s="39" t="str">
        <f>'Por Valoracion (3) Dimension'!D165</f>
        <v>0</v>
      </c>
      <c r="AD165" s="39" t="str">
        <f>'Por Valoracion (3) Dimension 2'!D165</f>
        <v>0</v>
      </c>
      <c r="AY165" s="48"/>
      <c r="BA165" t="str">
        <f>('Gestión de abastecimiento'!A166)</f>
        <v>0</v>
      </c>
      <c r="BB165" s="39" t="str">
        <f>'Por Valoracion (3) Dimension'!F165</f>
        <v>0</v>
      </c>
      <c r="BC165" s="39" t="str">
        <f>'Por Valoracion (3) Dimension 2'!D165</f>
        <v>0</v>
      </c>
      <c r="BX165" s="48"/>
      <c r="BZ165" s="49"/>
      <c r="CB165" t="str">
        <f>('Gestión de abastecimiento'!A166)</f>
        <v>0</v>
      </c>
      <c r="CC165" s="39" t="str">
        <f>'Por Valoracion (3) Dimension 2'!B165</f>
        <v>0</v>
      </c>
      <c r="CD165" s="39" t="str">
        <f>'Por Valoracion (3) Dimension'!H165</f>
        <v>0</v>
      </c>
      <c r="CY165" s="49"/>
    </row>
    <row r="166" spans="1:103">
      <c r="A166" s="48"/>
      <c r="C166" t="str">
        <f>('Gestión de abastecimiento'!A167)</f>
        <v>0</v>
      </c>
      <c r="D166" s="39" t="str">
        <f>'Por Valoracion (3) Dimension'!B166</f>
        <v>0</v>
      </c>
      <c r="E166" s="39" t="str">
        <f>'Por Valoracion (3) Dimension 2'!D166</f>
        <v>0</v>
      </c>
      <c r="Z166" s="48"/>
      <c r="AB166" t="str">
        <f>('Gestión de abastecimiento'!A167)</f>
        <v>0</v>
      </c>
      <c r="AC166" s="39" t="str">
        <f>'Por Valoracion (3) Dimension'!D166</f>
        <v>0</v>
      </c>
      <c r="AD166" s="39" t="str">
        <f>'Por Valoracion (3) Dimension 2'!D166</f>
        <v>0</v>
      </c>
      <c r="AY166" s="48"/>
      <c r="BA166" t="str">
        <f>('Gestión de abastecimiento'!A167)</f>
        <v>0</v>
      </c>
      <c r="BB166" s="39" t="str">
        <f>'Por Valoracion (3) Dimension'!F166</f>
        <v>0</v>
      </c>
      <c r="BC166" s="39" t="str">
        <f>'Por Valoracion (3) Dimension 2'!D166</f>
        <v>0</v>
      </c>
      <c r="BX166" s="48"/>
      <c r="BZ166" s="49"/>
      <c r="CB166" t="str">
        <f>('Gestión de abastecimiento'!A167)</f>
        <v>0</v>
      </c>
      <c r="CC166" s="39" t="str">
        <f>'Por Valoracion (3) Dimension 2'!B166</f>
        <v>0</v>
      </c>
      <c r="CD166" s="39" t="str">
        <f>'Por Valoracion (3) Dimension'!H166</f>
        <v>0</v>
      </c>
      <c r="CY166" s="49"/>
    </row>
    <row r="167" spans="1:103">
      <c r="A167" s="48"/>
      <c r="C167" t="str">
        <f>('Gestión de abastecimiento'!A168)</f>
        <v>0</v>
      </c>
      <c r="D167" s="39" t="str">
        <f>'Por Valoracion (3) Dimension'!B167</f>
        <v>0</v>
      </c>
      <c r="E167" s="39" t="str">
        <f>'Por Valoracion (3) Dimension 2'!D167</f>
        <v>0</v>
      </c>
      <c r="Z167" s="48"/>
      <c r="AB167" t="str">
        <f>('Gestión de abastecimiento'!A168)</f>
        <v>0</v>
      </c>
      <c r="AC167" s="39" t="str">
        <f>'Por Valoracion (3) Dimension'!D167</f>
        <v>0</v>
      </c>
      <c r="AD167" s="39" t="str">
        <f>'Por Valoracion (3) Dimension 2'!D167</f>
        <v>0</v>
      </c>
      <c r="AY167" s="48"/>
      <c r="BA167" t="str">
        <f>('Gestión de abastecimiento'!A168)</f>
        <v>0</v>
      </c>
      <c r="BB167" s="39" t="str">
        <f>'Por Valoracion (3) Dimension'!F167</f>
        <v>0</v>
      </c>
      <c r="BC167" s="39" t="str">
        <f>'Por Valoracion (3) Dimension 2'!D167</f>
        <v>0</v>
      </c>
      <c r="BX167" s="48"/>
      <c r="BZ167" s="49"/>
      <c r="CB167" t="str">
        <f>('Gestión de abastecimiento'!A168)</f>
        <v>0</v>
      </c>
      <c r="CC167" s="39" t="str">
        <f>'Por Valoracion (3) Dimension 2'!B167</f>
        <v>0</v>
      </c>
      <c r="CD167" s="39" t="str">
        <f>'Por Valoracion (3) Dimension'!H167</f>
        <v>0</v>
      </c>
      <c r="CY167" s="49"/>
    </row>
    <row r="168" spans="1:103">
      <c r="A168" s="48"/>
      <c r="C168" t="str">
        <f>('Gestión de abastecimiento'!A169)</f>
        <v>0</v>
      </c>
      <c r="D168" s="39" t="str">
        <f>'Por Valoracion (3) Dimension'!B168</f>
        <v>0</v>
      </c>
      <c r="E168" s="39" t="str">
        <f>'Por Valoracion (3) Dimension 2'!D168</f>
        <v>0</v>
      </c>
      <c r="Z168" s="48"/>
      <c r="AB168" t="str">
        <f>('Gestión de abastecimiento'!A169)</f>
        <v>0</v>
      </c>
      <c r="AC168" s="39" t="str">
        <f>'Por Valoracion (3) Dimension'!D168</f>
        <v>0</v>
      </c>
      <c r="AD168" s="39" t="str">
        <f>'Por Valoracion (3) Dimension 2'!D168</f>
        <v>0</v>
      </c>
      <c r="AY168" s="48"/>
      <c r="BA168" t="str">
        <f>('Gestión de abastecimiento'!A169)</f>
        <v>0</v>
      </c>
      <c r="BB168" s="39" t="str">
        <f>'Por Valoracion (3) Dimension'!F168</f>
        <v>0</v>
      </c>
      <c r="BC168" s="39" t="str">
        <f>'Por Valoracion (3) Dimension 2'!D168</f>
        <v>0</v>
      </c>
      <c r="BX168" s="48"/>
      <c r="BZ168" s="49"/>
      <c r="CB168" t="str">
        <f>('Gestión de abastecimiento'!A169)</f>
        <v>0</v>
      </c>
      <c r="CC168" s="39" t="str">
        <f>'Por Valoracion (3) Dimension 2'!B168</f>
        <v>0</v>
      </c>
      <c r="CD168" s="39" t="str">
        <f>'Por Valoracion (3) Dimension'!H168</f>
        <v>0</v>
      </c>
      <c r="CY168" s="49"/>
    </row>
    <row r="169" spans="1:103">
      <c r="A169" s="48"/>
      <c r="C169" t="str">
        <f>('Gestión de abastecimiento'!A170)</f>
        <v>0</v>
      </c>
      <c r="D169" s="39" t="str">
        <f>'Por Valoracion (3) Dimension'!B169</f>
        <v>0</v>
      </c>
      <c r="E169" s="39" t="str">
        <f>'Por Valoracion (3) Dimension 2'!D169</f>
        <v>0</v>
      </c>
      <c r="Z169" s="48"/>
      <c r="AB169" t="str">
        <f>('Gestión de abastecimiento'!A170)</f>
        <v>0</v>
      </c>
      <c r="AC169" s="39" t="str">
        <f>'Por Valoracion (3) Dimension'!D169</f>
        <v>0</v>
      </c>
      <c r="AD169" s="39" t="str">
        <f>'Por Valoracion (3) Dimension 2'!D169</f>
        <v>0</v>
      </c>
      <c r="AY169" s="48"/>
      <c r="BA169" t="str">
        <f>('Gestión de abastecimiento'!A170)</f>
        <v>0</v>
      </c>
      <c r="BB169" s="39" t="str">
        <f>'Por Valoracion (3) Dimension'!F169</f>
        <v>0</v>
      </c>
      <c r="BC169" s="39" t="str">
        <f>'Por Valoracion (3) Dimension 2'!D169</f>
        <v>0</v>
      </c>
      <c r="BX169" s="48"/>
      <c r="BZ169" s="49"/>
      <c r="CB169" t="str">
        <f>('Gestión de abastecimiento'!A170)</f>
        <v>0</v>
      </c>
      <c r="CC169" s="39" t="str">
        <f>'Por Valoracion (3) Dimension 2'!B169</f>
        <v>0</v>
      </c>
      <c r="CD169" s="39" t="str">
        <f>'Por Valoracion (3) Dimension'!H169</f>
        <v>0</v>
      </c>
      <c r="CY169" s="49"/>
    </row>
    <row r="170" spans="1:103">
      <c r="A170" s="48"/>
      <c r="C170" t="str">
        <f>('Gestión de abastecimiento'!A171)</f>
        <v>0</v>
      </c>
      <c r="D170" s="39" t="str">
        <f>'Por Valoracion (3) Dimension'!B170</f>
        <v>0</v>
      </c>
      <c r="E170" s="39" t="str">
        <f>'Por Valoracion (3) Dimension 2'!D170</f>
        <v>0</v>
      </c>
      <c r="Z170" s="48"/>
      <c r="AB170" t="str">
        <f>('Gestión de abastecimiento'!A171)</f>
        <v>0</v>
      </c>
      <c r="AC170" s="39" t="str">
        <f>'Por Valoracion (3) Dimension'!D170</f>
        <v>0</v>
      </c>
      <c r="AD170" s="39" t="str">
        <f>'Por Valoracion (3) Dimension 2'!D170</f>
        <v>0</v>
      </c>
      <c r="AY170" s="48"/>
      <c r="BA170" t="str">
        <f>('Gestión de abastecimiento'!A171)</f>
        <v>0</v>
      </c>
      <c r="BB170" s="39" t="str">
        <f>'Por Valoracion (3) Dimension'!F170</f>
        <v>0</v>
      </c>
      <c r="BC170" s="39" t="str">
        <f>'Por Valoracion (3) Dimension 2'!D170</f>
        <v>0</v>
      </c>
      <c r="BX170" s="48"/>
      <c r="BZ170" s="49"/>
      <c r="CB170" t="str">
        <f>('Gestión de abastecimiento'!A171)</f>
        <v>0</v>
      </c>
      <c r="CC170" s="39" t="str">
        <f>'Por Valoracion (3) Dimension 2'!B170</f>
        <v>0</v>
      </c>
      <c r="CD170" s="39" t="str">
        <f>'Por Valoracion (3) Dimension'!H170</f>
        <v>0</v>
      </c>
      <c r="CY170" s="49"/>
    </row>
    <row r="171" spans="1:103">
      <c r="A171" s="48"/>
      <c r="C171" t="str">
        <f>('Gestión de abastecimiento'!A172)</f>
        <v>0</v>
      </c>
      <c r="D171" s="39" t="str">
        <f>'Por Valoracion (3) Dimension'!B171</f>
        <v>0</v>
      </c>
      <c r="E171" s="39" t="str">
        <f>'Por Valoracion (3) Dimension 2'!D171</f>
        <v>0</v>
      </c>
      <c r="Z171" s="48"/>
      <c r="AB171" t="str">
        <f>('Gestión de abastecimiento'!A172)</f>
        <v>0</v>
      </c>
      <c r="AC171" s="39" t="str">
        <f>'Por Valoracion (3) Dimension'!D171</f>
        <v>0</v>
      </c>
      <c r="AD171" s="39" t="str">
        <f>'Por Valoracion (3) Dimension 2'!D171</f>
        <v>0</v>
      </c>
      <c r="AY171" s="48"/>
      <c r="BA171" t="str">
        <f>('Gestión de abastecimiento'!A172)</f>
        <v>0</v>
      </c>
      <c r="BB171" s="39" t="str">
        <f>'Por Valoracion (3) Dimension'!F171</f>
        <v>0</v>
      </c>
      <c r="BC171" s="39" t="str">
        <f>'Por Valoracion (3) Dimension 2'!D171</f>
        <v>0</v>
      </c>
      <c r="BX171" s="48"/>
      <c r="BZ171" s="49"/>
      <c r="CB171" t="str">
        <f>('Gestión de abastecimiento'!A172)</f>
        <v>0</v>
      </c>
      <c r="CC171" s="39" t="str">
        <f>'Por Valoracion (3) Dimension 2'!B171</f>
        <v>0</v>
      </c>
      <c r="CD171" s="39" t="str">
        <f>'Por Valoracion (3) Dimension'!H171</f>
        <v>0</v>
      </c>
      <c r="CY171" s="49"/>
    </row>
    <row r="172" spans="1:103">
      <c r="A172" s="48"/>
      <c r="C172" t="str">
        <f>('Gestión de abastecimiento'!A173)</f>
        <v>0</v>
      </c>
      <c r="D172" s="39" t="str">
        <f>'Por Valoracion (3) Dimension'!B172</f>
        <v>0</v>
      </c>
      <c r="E172" s="39" t="str">
        <f>'Por Valoracion (3) Dimension 2'!D172</f>
        <v>0</v>
      </c>
      <c r="Z172" s="48"/>
      <c r="AB172" t="str">
        <f>('Gestión de abastecimiento'!A173)</f>
        <v>0</v>
      </c>
      <c r="AC172" s="39" t="str">
        <f>'Por Valoracion (3) Dimension'!D172</f>
        <v>0</v>
      </c>
      <c r="AD172" s="39" t="str">
        <f>'Por Valoracion (3) Dimension 2'!D172</f>
        <v>0</v>
      </c>
      <c r="AY172" s="48"/>
      <c r="BA172" t="str">
        <f>('Gestión de abastecimiento'!A173)</f>
        <v>0</v>
      </c>
      <c r="BB172" s="39" t="str">
        <f>'Por Valoracion (3) Dimension'!F172</f>
        <v>0</v>
      </c>
      <c r="BC172" s="39" t="str">
        <f>'Por Valoracion (3) Dimension 2'!D172</f>
        <v>0</v>
      </c>
      <c r="BX172" s="48"/>
      <c r="BZ172" s="49"/>
      <c r="CB172" t="str">
        <f>('Gestión de abastecimiento'!A173)</f>
        <v>0</v>
      </c>
      <c r="CC172" s="39" t="str">
        <f>'Por Valoracion (3) Dimension 2'!B172</f>
        <v>0</v>
      </c>
      <c r="CD172" s="39" t="str">
        <f>'Por Valoracion (3) Dimension'!H172</f>
        <v>0</v>
      </c>
      <c r="CY172" s="49"/>
    </row>
    <row r="173" spans="1:103">
      <c r="A173" s="48"/>
      <c r="C173" t="str">
        <f>('Gestión de abastecimiento'!A174)</f>
        <v>0</v>
      </c>
      <c r="D173" s="39" t="str">
        <f>'Por Valoracion (3) Dimension'!B173</f>
        <v>0</v>
      </c>
      <c r="E173" s="39" t="str">
        <f>'Por Valoracion (3) Dimension 2'!D173</f>
        <v>0</v>
      </c>
      <c r="Z173" s="48"/>
      <c r="AB173" t="str">
        <f>('Gestión de abastecimiento'!A174)</f>
        <v>0</v>
      </c>
      <c r="AC173" s="39" t="str">
        <f>'Por Valoracion (3) Dimension'!D173</f>
        <v>0</v>
      </c>
      <c r="AD173" s="39" t="str">
        <f>'Por Valoracion (3) Dimension 2'!D173</f>
        <v>0</v>
      </c>
      <c r="AY173" s="48"/>
      <c r="BA173" t="str">
        <f>('Gestión de abastecimiento'!A174)</f>
        <v>0</v>
      </c>
      <c r="BB173" s="39" t="str">
        <f>'Por Valoracion (3) Dimension'!F173</f>
        <v>0</v>
      </c>
      <c r="BC173" s="39" t="str">
        <f>'Por Valoracion (3) Dimension 2'!D173</f>
        <v>0</v>
      </c>
      <c r="BX173" s="48"/>
      <c r="BZ173" s="49"/>
      <c r="CB173" t="str">
        <f>('Gestión de abastecimiento'!A174)</f>
        <v>0</v>
      </c>
      <c r="CC173" s="39" t="str">
        <f>'Por Valoracion (3) Dimension 2'!B173</f>
        <v>0</v>
      </c>
      <c r="CD173" s="39" t="str">
        <f>'Por Valoracion (3) Dimension'!H173</f>
        <v>0</v>
      </c>
      <c r="CY173" s="49"/>
    </row>
    <row r="174" spans="1:103">
      <c r="A174" s="48"/>
      <c r="C174" t="str">
        <f>('Gestión de abastecimiento'!A175)</f>
        <v>0</v>
      </c>
      <c r="D174" s="39" t="str">
        <f>'Por Valoracion (3) Dimension'!B174</f>
        <v>0</v>
      </c>
      <c r="E174" s="39" t="str">
        <f>'Por Valoracion (3) Dimension 2'!D174</f>
        <v>0</v>
      </c>
      <c r="Z174" s="48"/>
      <c r="AB174" t="str">
        <f>('Gestión de abastecimiento'!A175)</f>
        <v>0</v>
      </c>
      <c r="AC174" s="39" t="str">
        <f>'Por Valoracion (3) Dimension'!D174</f>
        <v>0</v>
      </c>
      <c r="AD174" s="39" t="str">
        <f>'Por Valoracion (3) Dimension 2'!D174</f>
        <v>0</v>
      </c>
      <c r="AY174" s="48"/>
      <c r="BA174" t="str">
        <f>('Gestión de abastecimiento'!A175)</f>
        <v>0</v>
      </c>
      <c r="BB174" s="39" t="str">
        <f>'Por Valoracion (3) Dimension'!F174</f>
        <v>0</v>
      </c>
      <c r="BC174" s="39" t="str">
        <f>'Por Valoracion (3) Dimension 2'!D174</f>
        <v>0</v>
      </c>
      <c r="BX174" s="48"/>
      <c r="BZ174" s="49"/>
      <c r="CB174" t="str">
        <f>('Gestión de abastecimiento'!A175)</f>
        <v>0</v>
      </c>
      <c r="CC174" s="39" t="str">
        <f>'Por Valoracion (3) Dimension 2'!B174</f>
        <v>0</v>
      </c>
      <c r="CD174" s="39" t="str">
        <f>'Por Valoracion (3) Dimension'!H174</f>
        <v>0</v>
      </c>
      <c r="CY174" s="49"/>
    </row>
    <row r="175" spans="1:103">
      <c r="A175" s="48"/>
      <c r="C175" t="str">
        <f>('Gestión de abastecimiento'!A176)</f>
        <v>0</v>
      </c>
      <c r="D175" s="39" t="str">
        <f>'Por Valoracion (3) Dimension'!B175</f>
        <v>0</v>
      </c>
      <c r="E175" s="39" t="str">
        <f>'Por Valoracion (3) Dimension 2'!D175</f>
        <v>0</v>
      </c>
      <c r="Z175" s="48"/>
      <c r="AB175" t="str">
        <f>('Gestión de abastecimiento'!A176)</f>
        <v>0</v>
      </c>
      <c r="AC175" s="39" t="str">
        <f>'Por Valoracion (3) Dimension'!D175</f>
        <v>0</v>
      </c>
      <c r="AD175" s="39" t="str">
        <f>'Por Valoracion (3) Dimension 2'!D175</f>
        <v>0</v>
      </c>
      <c r="AY175" s="48"/>
      <c r="BA175" t="str">
        <f>('Gestión de abastecimiento'!A176)</f>
        <v>0</v>
      </c>
      <c r="BB175" s="39" t="str">
        <f>'Por Valoracion (3) Dimension'!F175</f>
        <v>0</v>
      </c>
      <c r="BC175" s="39" t="str">
        <f>'Por Valoracion (3) Dimension 2'!D175</f>
        <v>0</v>
      </c>
      <c r="BX175" s="48"/>
      <c r="BZ175" s="49"/>
      <c r="CB175" t="str">
        <f>('Gestión de abastecimiento'!A176)</f>
        <v>0</v>
      </c>
      <c r="CC175" s="39" t="str">
        <f>'Por Valoracion (3) Dimension 2'!B175</f>
        <v>0</v>
      </c>
      <c r="CD175" s="39" t="str">
        <f>'Por Valoracion (3) Dimension'!H175</f>
        <v>0</v>
      </c>
      <c r="CY175" s="49"/>
    </row>
    <row r="176" spans="1:103">
      <c r="A176" s="48"/>
      <c r="C176" t="str">
        <f>('Gestión de abastecimiento'!A177)</f>
        <v>0</v>
      </c>
      <c r="D176" s="39" t="str">
        <f>'Por Valoracion (3) Dimension'!B176</f>
        <v>0</v>
      </c>
      <c r="E176" s="39" t="str">
        <f>'Por Valoracion (3) Dimension 2'!D176</f>
        <v>0</v>
      </c>
      <c r="Z176" s="48"/>
      <c r="AB176" t="str">
        <f>('Gestión de abastecimiento'!A177)</f>
        <v>0</v>
      </c>
      <c r="AC176" s="39" t="str">
        <f>'Por Valoracion (3) Dimension'!D176</f>
        <v>0</v>
      </c>
      <c r="AD176" s="39" t="str">
        <f>'Por Valoracion (3) Dimension 2'!D176</f>
        <v>0</v>
      </c>
      <c r="AY176" s="48"/>
      <c r="BA176" t="str">
        <f>('Gestión de abastecimiento'!A177)</f>
        <v>0</v>
      </c>
      <c r="BB176" s="39" t="str">
        <f>'Por Valoracion (3) Dimension'!F176</f>
        <v>0</v>
      </c>
      <c r="BC176" s="39" t="str">
        <f>'Por Valoracion (3) Dimension 2'!D176</f>
        <v>0</v>
      </c>
      <c r="BX176" s="48"/>
      <c r="BZ176" s="49"/>
      <c r="CB176" t="str">
        <f>('Gestión de abastecimiento'!A177)</f>
        <v>0</v>
      </c>
      <c r="CC176" s="39" t="str">
        <f>'Por Valoracion (3) Dimension 2'!B176</f>
        <v>0</v>
      </c>
      <c r="CD176" s="39" t="str">
        <f>'Por Valoracion (3) Dimension'!H176</f>
        <v>0</v>
      </c>
      <c r="CY176" s="49"/>
    </row>
    <row r="177" spans="1:103">
      <c r="A177" s="48"/>
      <c r="C177" t="str">
        <f>('Gestión de abastecimiento'!A178)</f>
        <v>0</v>
      </c>
      <c r="D177" s="39" t="str">
        <f>'Por Valoracion (3) Dimension'!B177</f>
        <v>0</v>
      </c>
      <c r="E177" s="39" t="str">
        <f>'Por Valoracion (3) Dimension 2'!D177</f>
        <v>0</v>
      </c>
      <c r="Z177" s="48"/>
      <c r="AB177" t="str">
        <f>('Gestión de abastecimiento'!A178)</f>
        <v>0</v>
      </c>
      <c r="AC177" s="39" t="str">
        <f>'Por Valoracion (3) Dimension'!D177</f>
        <v>0</v>
      </c>
      <c r="AD177" s="39" t="str">
        <f>'Por Valoracion (3) Dimension 2'!D177</f>
        <v>0</v>
      </c>
      <c r="AY177" s="48"/>
      <c r="BA177" t="str">
        <f>('Gestión de abastecimiento'!A178)</f>
        <v>0</v>
      </c>
      <c r="BB177" s="39" t="str">
        <f>'Por Valoracion (3) Dimension'!F177</f>
        <v>0</v>
      </c>
      <c r="BC177" s="39" t="str">
        <f>'Por Valoracion (3) Dimension 2'!D177</f>
        <v>0</v>
      </c>
      <c r="BX177" s="48"/>
      <c r="BZ177" s="49"/>
      <c r="CB177" t="str">
        <f>('Gestión de abastecimiento'!A178)</f>
        <v>0</v>
      </c>
      <c r="CC177" s="39" t="str">
        <f>'Por Valoracion (3) Dimension 2'!B177</f>
        <v>0</v>
      </c>
      <c r="CD177" s="39" t="str">
        <f>'Por Valoracion (3) Dimension'!H177</f>
        <v>0</v>
      </c>
      <c r="CY177" s="49"/>
    </row>
    <row r="178" spans="1:103">
      <c r="A178" s="48"/>
      <c r="C178" t="str">
        <f>('Gestión de abastecimiento'!A179)</f>
        <v>0</v>
      </c>
      <c r="D178" s="39" t="str">
        <f>'Por Valoracion (3) Dimension'!B178</f>
        <v>0</v>
      </c>
      <c r="E178" s="39" t="str">
        <f>'Por Valoracion (3) Dimension 2'!D178</f>
        <v>0</v>
      </c>
      <c r="Z178" s="48"/>
      <c r="AB178" t="str">
        <f>('Gestión de abastecimiento'!A179)</f>
        <v>0</v>
      </c>
      <c r="AC178" s="39" t="str">
        <f>'Por Valoracion (3) Dimension'!D178</f>
        <v>0</v>
      </c>
      <c r="AD178" s="39" t="str">
        <f>'Por Valoracion (3) Dimension 2'!D178</f>
        <v>0</v>
      </c>
      <c r="AY178" s="48"/>
      <c r="BA178" t="str">
        <f>('Gestión de abastecimiento'!A179)</f>
        <v>0</v>
      </c>
      <c r="BB178" s="39" t="str">
        <f>'Por Valoracion (3) Dimension'!F178</f>
        <v>0</v>
      </c>
      <c r="BC178" s="39" t="str">
        <f>'Por Valoracion (3) Dimension 2'!D178</f>
        <v>0</v>
      </c>
      <c r="BX178" s="48"/>
      <c r="BZ178" s="49"/>
      <c r="CB178" t="str">
        <f>('Gestión de abastecimiento'!A179)</f>
        <v>0</v>
      </c>
      <c r="CC178" s="39" t="str">
        <f>'Por Valoracion (3) Dimension 2'!B178</f>
        <v>0</v>
      </c>
      <c r="CD178" s="39" t="str">
        <f>'Por Valoracion (3) Dimension'!H178</f>
        <v>0</v>
      </c>
      <c r="CY178" s="49"/>
    </row>
    <row r="179" spans="1:103">
      <c r="A179" s="48"/>
      <c r="C179" t="str">
        <f>('Gestión de abastecimiento'!A180)</f>
        <v>0</v>
      </c>
      <c r="D179" s="39" t="str">
        <f>'Por Valoracion (3) Dimension'!B179</f>
        <v>0</v>
      </c>
      <c r="E179" s="39" t="str">
        <f>'Por Valoracion (3) Dimension 2'!D179</f>
        <v>0</v>
      </c>
      <c r="Z179" s="48"/>
      <c r="AB179" t="str">
        <f>('Gestión de abastecimiento'!A180)</f>
        <v>0</v>
      </c>
      <c r="AC179" s="39" t="str">
        <f>'Por Valoracion (3) Dimension'!D179</f>
        <v>0</v>
      </c>
      <c r="AD179" s="39" t="str">
        <f>'Por Valoracion (3) Dimension 2'!D179</f>
        <v>0</v>
      </c>
      <c r="AY179" s="48"/>
      <c r="BA179" t="str">
        <f>('Gestión de abastecimiento'!A180)</f>
        <v>0</v>
      </c>
      <c r="BB179" s="39" t="str">
        <f>'Por Valoracion (3) Dimension'!F179</f>
        <v>0</v>
      </c>
      <c r="BC179" s="39" t="str">
        <f>'Por Valoracion (3) Dimension 2'!D179</f>
        <v>0</v>
      </c>
      <c r="BX179" s="48"/>
      <c r="BZ179" s="49"/>
      <c r="CB179" t="str">
        <f>('Gestión de abastecimiento'!A180)</f>
        <v>0</v>
      </c>
      <c r="CC179" s="39" t="str">
        <f>'Por Valoracion (3) Dimension 2'!B179</f>
        <v>0</v>
      </c>
      <c r="CD179" s="39" t="str">
        <f>'Por Valoracion (3) Dimension'!H179</f>
        <v>0</v>
      </c>
      <c r="CY179" s="49"/>
    </row>
    <row r="180" spans="1:103">
      <c r="A180" s="48"/>
      <c r="C180" t="str">
        <f>('Gestión de abastecimiento'!A181)</f>
        <v>0</v>
      </c>
      <c r="D180" s="39" t="str">
        <f>'Por Valoracion (3) Dimension'!B180</f>
        <v>0</v>
      </c>
      <c r="E180" s="39" t="str">
        <f>'Por Valoracion (3) Dimension 2'!D180</f>
        <v>0</v>
      </c>
      <c r="Z180" s="48"/>
      <c r="AB180" t="str">
        <f>('Gestión de abastecimiento'!A181)</f>
        <v>0</v>
      </c>
      <c r="AC180" s="39" t="str">
        <f>'Por Valoracion (3) Dimension'!D180</f>
        <v>0</v>
      </c>
      <c r="AD180" s="39" t="str">
        <f>'Por Valoracion (3) Dimension 2'!D180</f>
        <v>0</v>
      </c>
      <c r="AY180" s="48"/>
      <c r="BA180" t="str">
        <f>('Gestión de abastecimiento'!A181)</f>
        <v>0</v>
      </c>
      <c r="BB180" s="39" t="str">
        <f>'Por Valoracion (3) Dimension'!F180</f>
        <v>0</v>
      </c>
      <c r="BC180" s="39" t="str">
        <f>'Por Valoracion (3) Dimension 2'!D180</f>
        <v>0</v>
      </c>
      <c r="BX180" s="48"/>
      <c r="BZ180" s="49"/>
      <c r="CB180" t="str">
        <f>('Gestión de abastecimiento'!A181)</f>
        <v>0</v>
      </c>
      <c r="CC180" s="39" t="str">
        <f>'Por Valoracion (3) Dimension 2'!B180</f>
        <v>0</v>
      </c>
      <c r="CD180" s="39" t="str">
        <f>'Por Valoracion (3) Dimension'!H180</f>
        <v>0</v>
      </c>
      <c r="CY180" s="49"/>
    </row>
    <row r="181" spans="1:103">
      <c r="A181" s="48"/>
      <c r="C181" t="str">
        <f>('Gestión de abastecimiento'!A182)</f>
        <v>0</v>
      </c>
      <c r="D181" s="39" t="str">
        <f>'Por Valoracion (3) Dimension'!B181</f>
        <v>0</v>
      </c>
      <c r="E181" s="39" t="str">
        <f>'Por Valoracion (3) Dimension 2'!D181</f>
        <v>0</v>
      </c>
      <c r="Z181" s="48"/>
      <c r="AB181" t="str">
        <f>('Gestión de abastecimiento'!A182)</f>
        <v>0</v>
      </c>
      <c r="AC181" s="39" t="str">
        <f>'Por Valoracion (3) Dimension'!D181</f>
        <v>0</v>
      </c>
      <c r="AD181" s="39" t="str">
        <f>'Por Valoracion (3) Dimension 2'!D181</f>
        <v>0</v>
      </c>
      <c r="AY181" s="48"/>
      <c r="BA181" t="str">
        <f>('Gestión de abastecimiento'!A182)</f>
        <v>0</v>
      </c>
      <c r="BB181" s="39" t="str">
        <f>'Por Valoracion (3) Dimension'!F181</f>
        <v>0</v>
      </c>
      <c r="BC181" s="39" t="str">
        <f>'Por Valoracion (3) Dimension 2'!D181</f>
        <v>0</v>
      </c>
      <c r="BX181" s="48"/>
      <c r="BZ181" s="49"/>
      <c r="CB181" t="str">
        <f>('Gestión de abastecimiento'!A182)</f>
        <v>0</v>
      </c>
      <c r="CC181" s="39" t="str">
        <f>'Por Valoracion (3) Dimension 2'!B181</f>
        <v>0</v>
      </c>
      <c r="CD181" s="39" t="str">
        <f>'Por Valoracion (3) Dimension'!H181</f>
        <v>0</v>
      </c>
      <c r="CY181" s="49"/>
    </row>
    <row r="182" spans="1:103">
      <c r="A182" s="48"/>
      <c r="C182" t="str">
        <f>('Gestión de abastecimiento'!A183)</f>
        <v>0</v>
      </c>
      <c r="D182" s="39" t="str">
        <f>'Por Valoracion (3) Dimension'!B182</f>
        <v>0</v>
      </c>
      <c r="E182" s="39" t="str">
        <f>'Por Valoracion (3) Dimension 2'!D182</f>
        <v>0</v>
      </c>
      <c r="Z182" s="48"/>
      <c r="AB182" t="str">
        <f>('Gestión de abastecimiento'!A183)</f>
        <v>0</v>
      </c>
      <c r="AC182" s="39" t="str">
        <f>'Por Valoracion (3) Dimension'!D182</f>
        <v>0</v>
      </c>
      <c r="AD182" s="39" t="str">
        <f>'Por Valoracion (3) Dimension 2'!D182</f>
        <v>0</v>
      </c>
      <c r="AY182" s="48"/>
      <c r="BA182" t="str">
        <f>('Gestión de abastecimiento'!A183)</f>
        <v>0</v>
      </c>
      <c r="BB182" s="39" t="str">
        <f>'Por Valoracion (3) Dimension'!F182</f>
        <v>0</v>
      </c>
      <c r="BC182" s="39" t="str">
        <f>'Por Valoracion (3) Dimension 2'!D182</f>
        <v>0</v>
      </c>
      <c r="BX182" s="48"/>
      <c r="BZ182" s="49"/>
      <c r="CB182" t="str">
        <f>('Gestión de abastecimiento'!A183)</f>
        <v>0</v>
      </c>
      <c r="CC182" s="39" t="str">
        <f>'Por Valoracion (3) Dimension 2'!B182</f>
        <v>0</v>
      </c>
      <c r="CD182" s="39" t="str">
        <f>'Por Valoracion (3) Dimension'!H182</f>
        <v>0</v>
      </c>
      <c r="CY182" s="49"/>
    </row>
    <row r="183" spans="1:103">
      <c r="A183" s="48"/>
      <c r="C183" t="str">
        <f>('Gestión de abastecimiento'!A184)</f>
        <v>0</v>
      </c>
      <c r="D183" s="39" t="str">
        <f>'Por Valoracion (3) Dimension'!B183</f>
        <v>0</v>
      </c>
      <c r="E183" s="39" t="str">
        <f>'Por Valoracion (3) Dimension 2'!D183</f>
        <v>0</v>
      </c>
      <c r="Z183" s="48"/>
      <c r="AB183" t="str">
        <f>('Gestión de abastecimiento'!A184)</f>
        <v>0</v>
      </c>
      <c r="AC183" s="39" t="str">
        <f>'Por Valoracion (3) Dimension'!D183</f>
        <v>0</v>
      </c>
      <c r="AD183" s="39" t="str">
        <f>'Por Valoracion (3) Dimension 2'!D183</f>
        <v>0</v>
      </c>
      <c r="AY183" s="48"/>
      <c r="BA183" t="str">
        <f>('Gestión de abastecimiento'!A184)</f>
        <v>0</v>
      </c>
      <c r="BB183" s="39" t="str">
        <f>'Por Valoracion (3) Dimension'!F183</f>
        <v>0</v>
      </c>
      <c r="BC183" s="39" t="str">
        <f>'Por Valoracion (3) Dimension 2'!D183</f>
        <v>0</v>
      </c>
      <c r="BX183" s="48"/>
      <c r="BZ183" s="49"/>
      <c r="CB183" t="str">
        <f>('Gestión de abastecimiento'!A184)</f>
        <v>0</v>
      </c>
      <c r="CC183" s="39" t="str">
        <f>'Por Valoracion (3) Dimension 2'!B183</f>
        <v>0</v>
      </c>
      <c r="CD183" s="39" t="str">
        <f>'Por Valoracion (3) Dimension'!H183</f>
        <v>0</v>
      </c>
      <c r="CY183" s="49"/>
    </row>
    <row r="184" spans="1:103">
      <c r="A184" s="48"/>
      <c r="C184" t="str">
        <f>('Gestión de abastecimiento'!A185)</f>
        <v>0</v>
      </c>
      <c r="D184" s="39" t="str">
        <f>'Por Valoracion (3) Dimension'!B184</f>
        <v>0</v>
      </c>
      <c r="E184" s="39" t="str">
        <f>'Por Valoracion (3) Dimension 2'!D184</f>
        <v>0</v>
      </c>
      <c r="Z184" s="48"/>
      <c r="AB184" t="str">
        <f>('Gestión de abastecimiento'!A185)</f>
        <v>0</v>
      </c>
      <c r="AC184" s="39" t="str">
        <f>'Por Valoracion (3) Dimension'!D184</f>
        <v>0</v>
      </c>
      <c r="AD184" s="39" t="str">
        <f>'Por Valoracion (3) Dimension 2'!D184</f>
        <v>0</v>
      </c>
      <c r="AY184" s="48"/>
      <c r="BA184" t="str">
        <f>('Gestión de abastecimiento'!A185)</f>
        <v>0</v>
      </c>
      <c r="BB184" s="39" t="str">
        <f>'Por Valoracion (3) Dimension'!F184</f>
        <v>0</v>
      </c>
      <c r="BC184" s="39" t="str">
        <f>'Por Valoracion (3) Dimension 2'!D184</f>
        <v>0</v>
      </c>
      <c r="BX184" s="48"/>
      <c r="BZ184" s="49"/>
      <c r="CB184" t="str">
        <f>('Gestión de abastecimiento'!A185)</f>
        <v>0</v>
      </c>
      <c r="CC184" s="39" t="str">
        <f>'Por Valoracion (3) Dimension 2'!B184</f>
        <v>0</v>
      </c>
      <c r="CD184" s="39" t="str">
        <f>'Por Valoracion (3) Dimension'!H184</f>
        <v>0</v>
      </c>
      <c r="CY184" s="49"/>
    </row>
    <row r="185" spans="1:103">
      <c r="A185" s="48"/>
      <c r="C185" t="str">
        <f>('Gestión de abastecimiento'!A186)</f>
        <v>0</v>
      </c>
      <c r="D185" s="39" t="str">
        <f>'Por Valoracion (3) Dimension'!B185</f>
        <v>0</v>
      </c>
      <c r="E185" s="39" t="str">
        <f>'Por Valoracion (3) Dimension 2'!D185</f>
        <v>0</v>
      </c>
      <c r="Z185" s="48"/>
      <c r="AB185" t="str">
        <f>('Gestión de abastecimiento'!A186)</f>
        <v>0</v>
      </c>
      <c r="AC185" s="39" t="str">
        <f>'Por Valoracion (3) Dimension'!D185</f>
        <v>0</v>
      </c>
      <c r="AD185" s="39" t="str">
        <f>'Por Valoracion (3) Dimension 2'!D185</f>
        <v>0</v>
      </c>
      <c r="AY185" s="48"/>
      <c r="BA185" t="str">
        <f>('Gestión de abastecimiento'!A186)</f>
        <v>0</v>
      </c>
      <c r="BB185" s="39" t="str">
        <f>'Por Valoracion (3) Dimension'!F185</f>
        <v>0</v>
      </c>
      <c r="BC185" s="39" t="str">
        <f>'Por Valoracion (3) Dimension 2'!D185</f>
        <v>0</v>
      </c>
      <c r="BX185" s="48"/>
      <c r="BZ185" s="49"/>
      <c r="CB185" t="str">
        <f>('Gestión de abastecimiento'!A186)</f>
        <v>0</v>
      </c>
      <c r="CC185" s="39" t="str">
        <f>'Por Valoracion (3) Dimension 2'!B185</f>
        <v>0</v>
      </c>
      <c r="CD185" s="39" t="str">
        <f>'Por Valoracion (3) Dimension'!H185</f>
        <v>0</v>
      </c>
      <c r="CY185" s="49"/>
    </row>
    <row r="186" spans="1:103">
      <c r="A186" s="48"/>
      <c r="C186" t="str">
        <f>('Gestión de abastecimiento'!A187)</f>
        <v>0</v>
      </c>
      <c r="D186" s="39" t="str">
        <f>'Por Valoracion (3) Dimension'!B186</f>
        <v>0</v>
      </c>
      <c r="E186" s="39" t="str">
        <f>'Por Valoracion (3) Dimension 2'!D186</f>
        <v>0</v>
      </c>
      <c r="Z186" s="48"/>
      <c r="AB186" t="str">
        <f>('Gestión de abastecimiento'!A187)</f>
        <v>0</v>
      </c>
      <c r="AC186" s="39" t="str">
        <f>'Por Valoracion (3) Dimension'!D186</f>
        <v>0</v>
      </c>
      <c r="AD186" s="39" t="str">
        <f>'Por Valoracion (3) Dimension 2'!D186</f>
        <v>0</v>
      </c>
      <c r="AY186" s="48"/>
      <c r="BA186" t="str">
        <f>('Gestión de abastecimiento'!A187)</f>
        <v>0</v>
      </c>
      <c r="BB186" s="39" t="str">
        <f>'Por Valoracion (3) Dimension'!F186</f>
        <v>0</v>
      </c>
      <c r="BC186" s="39" t="str">
        <f>'Por Valoracion (3) Dimension 2'!D186</f>
        <v>0</v>
      </c>
      <c r="BX186" s="48"/>
      <c r="BZ186" s="49"/>
      <c r="CB186" t="str">
        <f>('Gestión de abastecimiento'!A187)</f>
        <v>0</v>
      </c>
      <c r="CC186" s="39" t="str">
        <f>'Por Valoracion (3) Dimension 2'!B186</f>
        <v>0</v>
      </c>
      <c r="CD186" s="39" t="str">
        <f>'Por Valoracion (3) Dimension'!H186</f>
        <v>0</v>
      </c>
      <c r="CY186" s="49"/>
    </row>
    <row r="187" spans="1:103">
      <c r="A187" s="48"/>
      <c r="C187" t="str">
        <f>('Gestión de abastecimiento'!A188)</f>
        <v>0</v>
      </c>
      <c r="D187" s="39" t="str">
        <f>'Por Valoracion (3) Dimension'!B187</f>
        <v>0</v>
      </c>
      <c r="E187" s="39" t="str">
        <f>'Por Valoracion (3) Dimension 2'!D187</f>
        <v>0</v>
      </c>
      <c r="Z187" s="48"/>
      <c r="AB187" t="str">
        <f>('Gestión de abastecimiento'!A188)</f>
        <v>0</v>
      </c>
      <c r="AC187" s="39" t="str">
        <f>'Por Valoracion (3) Dimension'!D187</f>
        <v>0</v>
      </c>
      <c r="AD187" s="39" t="str">
        <f>'Por Valoracion (3) Dimension 2'!D187</f>
        <v>0</v>
      </c>
      <c r="AY187" s="48"/>
      <c r="BA187" t="str">
        <f>('Gestión de abastecimiento'!A188)</f>
        <v>0</v>
      </c>
      <c r="BB187" s="39" t="str">
        <f>'Por Valoracion (3) Dimension'!F187</f>
        <v>0</v>
      </c>
      <c r="BC187" s="39" t="str">
        <f>'Por Valoracion (3) Dimension 2'!D187</f>
        <v>0</v>
      </c>
      <c r="BX187" s="48"/>
      <c r="BZ187" s="49"/>
      <c r="CB187" t="str">
        <f>('Gestión de abastecimiento'!A188)</f>
        <v>0</v>
      </c>
      <c r="CC187" s="39" t="str">
        <f>'Por Valoracion (3) Dimension 2'!B187</f>
        <v>0</v>
      </c>
      <c r="CD187" s="39" t="str">
        <f>'Por Valoracion (3) Dimension'!H187</f>
        <v>0</v>
      </c>
      <c r="CY187" s="49"/>
    </row>
    <row r="188" spans="1:103">
      <c r="A188" s="48"/>
      <c r="C188" t="str">
        <f>('Gestión de abastecimiento'!A189)</f>
        <v>0</v>
      </c>
      <c r="D188" s="39" t="str">
        <f>'Por Valoracion (3) Dimension'!B188</f>
        <v>0</v>
      </c>
      <c r="E188" s="39" t="str">
        <f>'Por Valoracion (3) Dimension 2'!D188</f>
        <v>0</v>
      </c>
      <c r="Z188" s="48"/>
      <c r="AB188" t="str">
        <f>('Gestión de abastecimiento'!A189)</f>
        <v>0</v>
      </c>
      <c r="AC188" s="39" t="str">
        <f>'Por Valoracion (3) Dimension'!D188</f>
        <v>0</v>
      </c>
      <c r="AD188" s="39" t="str">
        <f>'Por Valoracion (3) Dimension 2'!D188</f>
        <v>0</v>
      </c>
      <c r="AY188" s="48"/>
      <c r="BA188" t="str">
        <f>('Gestión de abastecimiento'!A189)</f>
        <v>0</v>
      </c>
      <c r="BB188" s="39" t="str">
        <f>'Por Valoracion (3) Dimension'!F188</f>
        <v>0</v>
      </c>
      <c r="BC188" s="39" t="str">
        <f>'Por Valoracion (3) Dimension 2'!D188</f>
        <v>0</v>
      </c>
      <c r="BX188" s="48"/>
      <c r="BZ188" s="49"/>
      <c r="CB188" t="str">
        <f>('Gestión de abastecimiento'!A189)</f>
        <v>0</v>
      </c>
      <c r="CC188" s="39" t="str">
        <f>'Por Valoracion (3) Dimension 2'!B188</f>
        <v>0</v>
      </c>
      <c r="CD188" s="39" t="str">
        <f>'Por Valoracion (3) Dimension'!H188</f>
        <v>0</v>
      </c>
      <c r="CY188" s="49"/>
    </row>
    <row r="189" spans="1:103">
      <c r="A189" s="48"/>
      <c r="C189" t="str">
        <f>('Gestión de abastecimiento'!A190)</f>
        <v>0</v>
      </c>
      <c r="D189" s="39" t="str">
        <f>'Por Valoracion (3) Dimension'!B189</f>
        <v>0</v>
      </c>
      <c r="E189" s="39" t="str">
        <f>'Por Valoracion (3) Dimension 2'!D189</f>
        <v>0</v>
      </c>
      <c r="Z189" s="48"/>
      <c r="AB189" t="str">
        <f>('Gestión de abastecimiento'!A190)</f>
        <v>0</v>
      </c>
      <c r="AC189" s="39" t="str">
        <f>'Por Valoracion (3) Dimension'!D189</f>
        <v>0</v>
      </c>
      <c r="AD189" s="39" t="str">
        <f>'Por Valoracion (3) Dimension 2'!D189</f>
        <v>0</v>
      </c>
      <c r="AY189" s="48"/>
      <c r="BA189" t="str">
        <f>('Gestión de abastecimiento'!A190)</f>
        <v>0</v>
      </c>
      <c r="BB189" s="39" t="str">
        <f>'Por Valoracion (3) Dimension'!F189</f>
        <v>0</v>
      </c>
      <c r="BC189" s="39" t="str">
        <f>'Por Valoracion (3) Dimension 2'!D189</f>
        <v>0</v>
      </c>
      <c r="BX189" s="48"/>
      <c r="BZ189" s="49"/>
      <c r="CB189" t="str">
        <f>('Gestión de abastecimiento'!A190)</f>
        <v>0</v>
      </c>
      <c r="CC189" s="39" t="str">
        <f>'Por Valoracion (3) Dimension 2'!B189</f>
        <v>0</v>
      </c>
      <c r="CD189" s="39" t="str">
        <f>'Por Valoracion (3) Dimension'!H189</f>
        <v>0</v>
      </c>
      <c r="CY189" s="49"/>
    </row>
    <row r="190" spans="1:103">
      <c r="A190" s="48"/>
      <c r="C190" t="str">
        <f>('Gestión de abastecimiento'!A191)</f>
        <v>0</v>
      </c>
      <c r="D190" s="39" t="str">
        <f>'Por Valoracion (3) Dimension'!B190</f>
        <v>0</v>
      </c>
      <c r="E190" s="39" t="str">
        <f>'Por Valoracion (3) Dimension 2'!D190</f>
        <v>0</v>
      </c>
      <c r="Z190" s="48"/>
      <c r="AB190" t="str">
        <f>('Gestión de abastecimiento'!A191)</f>
        <v>0</v>
      </c>
      <c r="AC190" s="39" t="str">
        <f>'Por Valoracion (3) Dimension'!D190</f>
        <v>0</v>
      </c>
      <c r="AD190" s="39" t="str">
        <f>'Por Valoracion (3) Dimension 2'!D190</f>
        <v>0</v>
      </c>
      <c r="AY190" s="48"/>
      <c r="BA190" t="str">
        <f>('Gestión de abastecimiento'!A191)</f>
        <v>0</v>
      </c>
      <c r="BB190" s="39" t="str">
        <f>'Por Valoracion (3) Dimension'!F190</f>
        <v>0</v>
      </c>
      <c r="BC190" s="39" t="str">
        <f>'Por Valoracion (3) Dimension 2'!D190</f>
        <v>0</v>
      </c>
      <c r="BX190" s="48"/>
      <c r="BZ190" s="49"/>
      <c r="CB190" t="str">
        <f>('Gestión de abastecimiento'!A191)</f>
        <v>0</v>
      </c>
      <c r="CC190" s="39" t="str">
        <f>'Por Valoracion (3) Dimension 2'!B190</f>
        <v>0</v>
      </c>
      <c r="CD190" s="39" t="str">
        <f>'Por Valoracion (3) Dimension'!H190</f>
        <v>0</v>
      </c>
      <c r="CY190" s="49"/>
    </row>
    <row r="191" spans="1:103">
      <c r="A191" s="48"/>
      <c r="C191" t="str">
        <f>('Gestión de abastecimiento'!A192)</f>
        <v>0</v>
      </c>
      <c r="D191" s="39" t="str">
        <f>'Por Valoracion (3) Dimension'!B191</f>
        <v>0</v>
      </c>
      <c r="E191" s="39" t="str">
        <f>'Por Valoracion (3) Dimension 2'!D191</f>
        <v>0</v>
      </c>
      <c r="Z191" s="48"/>
      <c r="AB191" t="str">
        <f>('Gestión de abastecimiento'!A192)</f>
        <v>0</v>
      </c>
      <c r="AC191" s="39" t="str">
        <f>'Por Valoracion (3) Dimension'!D191</f>
        <v>0</v>
      </c>
      <c r="AD191" s="39" t="str">
        <f>'Por Valoracion (3) Dimension 2'!D191</f>
        <v>0</v>
      </c>
      <c r="AY191" s="48"/>
      <c r="BA191" t="str">
        <f>('Gestión de abastecimiento'!A192)</f>
        <v>0</v>
      </c>
      <c r="BB191" s="39" t="str">
        <f>'Por Valoracion (3) Dimension'!F191</f>
        <v>0</v>
      </c>
      <c r="BC191" s="39" t="str">
        <f>'Por Valoracion (3) Dimension 2'!D191</f>
        <v>0</v>
      </c>
      <c r="BX191" s="48"/>
      <c r="BZ191" s="49"/>
      <c r="CB191" t="str">
        <f>('Gestión de abastecimiento'!A192)</f>
        <v>0</v>
      </c>
      <c r="CC191" s="39" t="str">
        <f>'Por Valoracion (3) Dimension 2'!B191</f>
        <v>0</v>
      </c>
      <c r="CD191" s="39" t="str">
        <f>'Por Valoracion (3) Dimension'!H191</f>
        <v>0</v>
      </c>
      <c r="CY191" s="49"/>
    </row>
    <row r="192" spans="1:103">
      <c r="A192" s="48"/>
      <c r="C192" t="str">
        <f>('Gestión de abastecimiento'!A193)</f>
        <v>0</v>
      </c>
      <c r="D192" s="39" t="str">
        <f>'Por Valoracion (3) Dimension'!B192</f>
        <v>0</v>
      </c>
      <c r="E192" s="39" t="str">
        <f>'Por Valoracion (3) Dimension 2'!D192</f>
        <v>0</v>
      </c>
      <c r="Z192" s="48"/>
      <c r="AB192" t="str">
        <f>('Gestión de abastecimiento'!A193)</f>
        <v>0</v>
      </c>
      <c r="AC192" s="39" t="str">
        <f>'Por Valoracion (3) Dimension'!D192</f>
        <v>0</v>
      </c>
      <c r="AD192" s="39" t="str">
        <f>'Por Valoracion (3) Dimension 2'!D192</f>
        <v>0</v>
      </c>
      <c r="AY192" s="48"/>
      <c r="BA192" t="str">
        <f>('Gestión de abastecimiento'!A193)</f>
        <v>0</v>
      </c>
      <c r="BB192" s="39" t="str">
        <f>'Por Valoracion (3) Dimension'!F192</f>
        <v>0</v>
      </c>
      <c r="BC192" s="39" t="str">
        <f>'Por Valoracion (3) Dimension 2'!D192</f>
        <v>0</v>
      </c>
      <c r="BX192" s="48"/>
      <c r="BZ192" s="49"/>
      <c r="CB192" t="str">
        <f>('Gestión de abastecimiento'!A193)</f>
        <v>0</v>
      </c>
      <c r="CC192" s="39" t="str">
        <f>'Por Valoracion (3) Dimension 2'!B192</f>
        <v>0</v>
      </c>
      <c r="CD192" s="39" t="str">
        <f>'Por Valoracion (3) Dimension'!H192</f>
        <v>0</v>
      </c>
      <c r="CY192" s="49"/>
    </row>
    <row r="193" spans="1:103">
      <c r="A193" s="48"/>
      <c r="C193" t="str">
        <f>('Gestión de abastecimiento'!A194)</f>
        <v>0</v>
      </c>
      <c r="D193" s="39" t="str">
        <f>'Por Valoracion (3) Dimension'!B193</f>
        <v>0</v>
      </c>
      <c r="E193" s="39" t="str">
        <f>'Por Valoracion (3) Dimension 2'!D193</f>
        <v>0</v>
      </c>
      <c r="Z193" s="48"/>
      <c r="AB193" t="str">
        <f>('Gestión de abastecimiento'!A194)</f>
        <v>0</v>
      </c>
      <c r="AC193" s="39" t="str">
        <f>'Por Valoracion (3) Dimension'!D193</f>
        <v>0</v>
      </c>
      <c r="AD193" s="39" t="str">
        <f>'Por Valoracion (3) Dimension 2'!D193</f>
        <v>0</v>
      </c>
      <c r="AY193" s="48"/>
      <c r="BA193" t="str">
        <f>('Gestión de abastecimiento'!A194)</f>
        <v>0</v>
      </c>
      <c r="BB193" s="39" t="str">
        <f>'Por Valoracion (3) Dimension'!F193</f>
        <v>0</v>
      </c>
      <c r="BC193" s="39" t="str">
        <f>'Por Valoracion (3) Dimension 2'!D193</f>
        <v>0</v>
      </c>
      <c r="BX193" s="48"/>
      <c r="BZ193" s="49"/>
      <c r="CB193" t="str">
        <f>('Gestión de abastecimiento'!A194)</f>
        <v>0</v>
      </c>
      <c r="CC193" s="39" t="str">
        <f>'Por Valoracion (3) Dimension 2'!B193</f>
        <v>0</v>
      </c>
      <c r="CD193" s="39" t="str">
        <f>'Por Valoracion (3) Dimension'!H193</f>
        <v>0</v>
      </c>
      <c r="CY193" s="49"/>
    </row>
    <row r="194" spans="1:103">
      <c r="A194" s="48"/>
      <c r="C194" t="str">
        <f>('Gestión de abastecimiento'!A195)</f>
        <v>0</v>
      </c>
      <c r="D194" s="39" t="str">
        <f>'Por Valoracion (3) Dimension'!B194</f>
        <v>0</v>
      </c>
      <c r="E194" s="39" t="str">
        <f>'Por Valoracion (3) Dimension 2'!D194</f>
        <v>0</v>
      </c>
      <c r="Z194" s="48"/>
      <c r="AB194" t="str">
        <f>('Gestión de abastecimiento'!A195)</f>
        <v>0</v>
      </c>
      <c r="AC194" s="39" t="str">
        <f>'Por Valoracion (3) Dimension'!D194</f>
        <v>0</v>
      </c>
      <c r="AD194" s="39" t="str">
        <f>'Por Valoracion (3) Dimension 2'!D194</f>
        <v>0</v>
      </c>
      <c r="AY194" s="48"/>
      <c r="BA194" t="str">
        <f>('Gestión de abastecimiento'!A195)</f>
        <v>0</v>
      </c>
      <c r="BB194" s="39" t="str">
        <f>'Por Valoracion (3) Dimension'!F194</f>
        <v>0</v>
      </c>
      <c r="BC194" s="39" t="str">
        <f>'Por Valoracion (3) Dimension 2'!D194</f>
        <v>0</v>
      </c>
      <c r="BX194" s="48"/>
      <c r="BZ194" s="49"/>
      <c r="CB194" t="str">
        <f>('Gestión de abastecimiento'!A195)</f>
        <v>0</v>
      </c>
      <c r="CC194" s="39" t="str">
        <f>'Por Valoracion (3) Dimension 2'!B194</f>
        <v>0</v>
      </c>
      <c r="CD194" s="39" t="str">
        <f>'Por Valoracion (3) Dimension'!H194</f>
        <v>0</v>
      </c>
      <c r="CY194" s="49"/>
    </row>
    <row r="195" spans="1:103">
      <c r="A195" s="48"/>
      <c r="C195" t="str">
        <f>('Gestión de abastecimiento'!A196)</f>
        <v>0</v>
      </c>
      <c r="D195" s="39" t="str">
        <f>'Por Valoracion (3) Dimension'!B195</f>
        <v>0</v>
      </c>
      <c r="E195" s="39" t="str">
        <f>'Por Valoracion (3) Dimension 2'!D195</f>
        <v>0</v>
      </c>
      <c r="Z195" s="48"/>
      <c r="AB195" t="str">
        <f>('Gestión de abastecimiento'!A196)</f>
        <v>0</v>
      </c>
      <c r="AC195" s="39" t="str">
        <f>'Por Valoracion (3) Dimension'!D195</f>
        <v>0</v>
      </c>
      <c r="AD195" s="39" t="str">
        <f>'Por Valoracion (3) Dimension 2'!D195</f>
        <v>0</v>
      </c>
      <c r="AY195" s="48"/>
      <c r="BA195" t="str">
        <f>('Gestión de abastecimiento'!A196)</f>
        <v>0</v>
      </c>
      <c r="BB195" s="39" t="str">
        <f>'Por Valoracion (3) Dimension'!F195</f>
        <v>0</v>
      </c>
      <c r="BC195" s="39" t="str">
        <f>'Por Valoracion (3) Dimension 2'!D195</f>
        <v>0</v>
      </c>
      <c r="BX195" s="48"/>
      <c r="BZ195" s="49"/>
      <c r="CB195" t="str">
        <f>('Gestión de abastecimiento'!A196)</f>
        <v>0</v>
      </c>
      <c r="CC195" s="39" t="str">
        <f>'Por Valoracion (3) Dimension 2'!B195</f>
        <v>0</v>
      </c>
      <c r="CD195" s="39" t="str">
        <f>'Por Valoracion (3) Dimension'!H195</f>
        <v>0</v>
      </c>
      <c r="CY195" s="49"/>
    </row>
    <row r="196" spans="1:103">
      <c r="A196" s="48"/>
      <c r="C196" t="str">
        <f>('Gestión de abastecimiento'!A197)</f>
        <v>0</v>
      </c>
      <c r="D196" s="39" t="str">
        <f>'Por Valoracion (3) Dimension'!B196</f>
        <v>0</v>
      </c>
      <c r="E196" s="39" t="str">
        <f>'Por Valoracion (3) Dimension 2'!D196</f>
        <v>0</v>
      </c>
      <c r="Z196" s="48"/>
      <c r="AB196" t="str">
        <f>('Gestión de abastecimiento'!A197)</f>
        <v>0</v>
      </c>
      <c r="AC196" s="39" t="str">
        <f>'Por Valoracion (3) Dimension'!D196</f>
        <v>0</v>
      </c>
      <c r="AD196" s="39" t="str">
        <f>'Por Valoracion (3) Dimension 2'!D196</f>
        <v>0</v>
      </c>
      <c r="AY196" s="48"/>
      <c r="BA196" t="str">
        <f>('Gestión de abastecimiento'!A197)</f>
        <v>0</v>
      </c>
      <c r="BB196" s="39" t="str">
        <f>'Por Valoracion (3) Dimension'!F196</f>
        <v>0</v>
      </c>
      <c r="BC196" s="39" t="str">
        <f>'Por Valoracion (3) Dimension 2'!D196</f>
        <v>0</v>
      </c>
      <c r="BX196" s="48"/>
      <c r="BZ196" s="49"/>
      <c r="CB196" t="str">
        <f>('Gestión de abastecimiento'!A197)</f>
        <v>0</v>
      </c>
      <c r="CC196" s="39" t="str">
        <f>'Por Valoracion (3) Dimension 2'!B196</f>
        <v>0</v>
      </c>
      <c r="CD196" s="39" t="str">
        <f>'Por Valoracion (3) Dimension'!H196</f>
        <v>0</v>
      </c>
      <c r="CY196" s="49"/>
    </row>
    <row r="197" spans="1:103">
      <c r="A197" s="48"/>
      <c r="C197" t="str">
        <f>('Gestión de abastecimiento'!A198)</f>
        <v>0</v>
      </c>
      <c r="D197" s="39" t="str">
        <f>'Por Valoracion (3) Dimension'!B197</f>
        <v>0</v>
      </c>
      <c r="E197" s="39" t="str">
        <f>'Por Valoracion (3) Dimension 2'!D197</f>
        <v>0</v>
      </c>
      <c r="Z197" s="48"/>
      <c r="AB197" t="str">
        <f>('Gestión de abastecimiento'!A198)</f>
        <v>0</v>
      </c>
      <c r="AC197" s="39" t="str">
        <f>'Por Valoracion (3) Dimension'!D197</f>
        <v>0</v>
      </c>
      <c r="AD197" s="39" t="str">
        <f>'Por Valoracion (3) Dimension 2'!D197</f>
        <v>0</v>
      </c>
      <c r="AY197" s="48"/>
      <c r="BA197" t="str">
        <f>('Gestión de abastecimiento'!A198)</f>
        <v>0</v>
      </c>
      <c r="BB197" s="39" t="str">
        <f>'Por Valoracion (3) Dimension'!F197</f>
        <v>0</v>
      </c>
      <c r="BC197" s="39" t="str">
        <f>'Por Valoracion (3) Dimension 2'!D197</f>
        <v>0</v>
      </c>
      <c r="BX197" s="48"/>
      <c r="BZ197" s="49"/>
      <c r="CB197" t="str">
        <f>('Gestión de abastecimiento'!A198)</f>
        <v>0</v>
      </c>
      <c r="CC197" s="39" t="str">
        <f>'Por Valoracion (3) Dimension 2'!B197</f>
        <v>0</v>
      </c>
      <c r="CD197" s="39" t="str">
        <f>'Por Valoracion (3) Dimension'!H197</f>
        <v>0</v>
      </c>
      <c r="CY197" s="49"/>
    </row>
    <row r="198" spans="1:103">
      <c r="A198" s="48"/>
      <c r="C198" t="str">
        <f>('Gestión de abastecimiento'!A199)</f>
        <v>0</v>
      </c>
      <c r="D198" s="39" t="str">
        <f>'Por Valoracion (3) Dimension'!B198</f>
        <v>0</v>
      </c>
      <c r="E198" s="39" t="str">
        <f>'Por Valoracion (3) Dimension 2'!D198</f>
        <v>0</v>
      </c>
      <c r="Z198" s="48"/>
      <c r="AB198" t="str">
        <f>('Gestión de abastecimiento'!A199)</f>
        <v>0</v>
      </c>
      <c r="AC198" s="39" t="str">
        <f>'Por Valoracion (3) Dimension'!D198</f>
        <v>0</v>
      </c>
      <c r="AD198" s="39" t="str">
        <f>'Por Valoracion (3) Dimension 2'!D198</f>
        <v>0</v>
      </c>
      <c r="AY198" s="48"/>
      <c r="BA198" t="str">
        <f>('Gestión de abastecimiento'!A199)</f>
        <v>0</v>
      </c>
      <c r="BB198" s="39" t="str">
        <f>'Por Valoracion (3) Dimension'!F198</f>
        <v>0</v>
      </c>
      <c r="BC198" s="39" t="str">
        <f>'Por Valoracion (3) Dimension 2'!D198</f>
        <v>0</v>
      </c>
      <c r="BX198" s="48"/>
      <c r="BZ198" s="49"/>
      <c r="CB198" t="str">
        <f>('Gestión de abastecimiento'!A199)</f>
        <v>0</v>
      </c>
      <c r="CC198" s="39" t="str">
        <f>'Por Valoracion (3) Dimension 2'!B198</f>
        <v>0</v>
      </c>
      <c r="CD198" s="39" t="str">
        <f>'Por Valoracion (3) Dimension'!H198</f>
        <v>0</v>
      </c>
      <c r="CY198" s="49"/>
    </row>
    <row r="199" spans="1:103">
      <c r="A199" s="48"/>
      <c r="C199" t="str">
        <f>('Gestión de abastecimiento'!A200)</f>
        <v>0</v>
      </c>
      <c r="D199" s="39" t="str">
        <f>'Por Valoracion (3) Dimension'!B199</f>
        <v>0</v>
      </c>
      <c r="E199" s="39" t="str">
        <f>'Por Valoracion (3) Dimension 2'!D199</f>
        <v>0</v>
      </c>
      <c r="Z199" s="48"/>
      <c r="AB199" t="str">
        <f>('Gestión de abastecimiento'!A200)</f>
        <v>0</v>
      </c>
      <c r="AC199" s="39" t="str">
        <f>'Por Valoracion (3) Dimension'!D199</f>
        <v>0</v>
      </c>
      <c r="AD199" s="39" t="str">
        <f>'Por Valoracion (3) Dimension 2'!D199</f>
        <v>0</v>
      </c>
      <c r="AY199" s="48"/>
      <c r="BA199" t="str">
        <f>('Gestión de abastecimiento'!A200)</f>
        <v>0</v>
      </c>
      <c r="BB199" s="39" t="str">
        <f>'Por Valoracion (3) Dimension'!F199</f>
        <v>0</v>
      </c>
      <c r="BC199" s="39" t="str">
        <f>'Por Valoracion (3) Dimension 2'!D199</f>
        <v>0</v>
      </c>
      <c r="BX199" s="48"/>
      <c r="BZ199" s="49"/>
      <c r="CB199" t="str">
        <f>('Gestión de abastecimiento'!A200)</f>
        <v>0</v>
      </c>
      <c r="CC199" s="39" t="str">
        <f>'Por Valoracion (3) Dimension 2'!B199</f>
        <v>0</v>
      </c>
      <c r="CD199" s="39" t="str">
        <f>'Por Valoracion (3) Dimension'!H199</f>
        <v>0</v>
      </c>
      <c r="CY199" s="49"/>
    </row>
    <row r="200" spans="1:103">
      <c r="A200" s="48"/>
      <c r="C200" t="str">
        <f>('Gestión de abastecimiento'!A201)</f>
        <v>0</v>
      </c>
      <c r="D200" s="39" t="str">
        <f>'Por Valoracion (3) Dimension'!B200</f>
        <v>0</v>
      </c>
      <c r="E200" s="39" t="str">
        <f>'Por Valoracion (3) Dimension 2'!D200</f>
        <v>0</v>
      </c>
      <c r="Z200" s="48"/>
      <c r="AB200" t="str">
        <f>('Gestión de abastecimiento'!A201)</f>
        <v>0</v>
      </c>
      <c r="AC200" s="39" t="str">
        <f>'Por Valoracion (3) Dimension'!D200</f>
        <v>0</v>
      </c>
      <c r="AD200" s="39" t="str">
        <f>'Por Valoracion (3) Dimension 2'!D200</f>
        <v>0</v>
      </c>
      <c r="AY200" s="48"/>
      <c r="BA200" t="str">
        <f>('Gestión de abastecimiento'!A201)</f>
        <v>0</v>
      </c>
      <c r="BB200" s="39" t="str">
        <f>'Por Valoracion (3) Dimension'!F200</f>
        <v>0</v>
      </c>
      <c r="BC200" s="39" t="str">
        <f>'Por Valoracion (3) Dimension 2'!D200</f>
        <v>0</v>
      </c>
      <c r="BX200" s="48"/>
      <c r="BZ200" s="49"/>
      <c r="CB200" t="str">
        <f>('Gestión de abastecimiento'!A201)</f>
        <v>0</v>
      </c>
      <c r="CC200" s="39" t="str">
        <f>'Por Valoracion (3) Dimension 2'!B200</f>
        <v>0</v>
      </c>
      <c r="CD200" s="39" t="str">
        <f>'Por Valoracion (3) Dimension'!H200</f>
        <v>0</v>
      </c>
      <c r="CY200" s="49"/>
    </row>
    <row r="201" spans="1:103">
      <c r="A201" s="48"/>
      <c r="C201" t="str">
        <f>('Gestión de abastecimiento'!A202)</f>
        <v>0</v>
      </c>
      <c r="D201" s="39" t="str">
        <f>'Por Valoracion (3) Dimension'!B201</f>
        <v>0</v>
      </c>
      <c r="E201" s="39" t="str">
        <f>'Por Valoracion (3) Dimension 2'!D201</f>
        <v>0</v>
      </c>
      <c r="Z201" s="48"/>
      <c r="AB201" t="str">
        <f>('Gestión de abastecimiento'!A202)</f>
        <v>0</v>
      </c>
      <c r="AC201" s="39" t="str">
        <f>'Por Valoracion (3) Dimension'!D201</f>
        <v>0</v>
      </c>
      <c r="AD201" s="39" t="str">
        <f>'Por Valoracion (3) Dimension 2'!D201</f>
        <v>0</v>
      </c>
      <c r="AY201" s="48"/>
      <c r="BA201" t="str">
        <f>('Gestión de abastecimiento'!A202)</f>
        <v>0</v>
      </c>
      <c r="BB201" s="39" t="str">
        <f>'Por Valoracion (3) Dimension'!F201</f>
        <v>0</v>
      </c>
      <c r="BC201" s="39" t="str">
        <f>'Por Valoracion (3) Dimension 2'!D201</f>
        <v>0</v>
      </c>
      <c r="BX201" s="48"/>
      <c r="BZ201" s="49"/>
      <c r="CB201" t="str">
        <f>('Gestión de abastecimiento'!A202)</f>
        <v>0</v>
      </c>
      <c r="CC201" s="39" t="str">
        <f>'Por Valoracion (3) Dimension 2'!B201</f>
        <v>0</v>
      </c>
      <c r="CD201" s="39" t="str">
        <f>'Por Valoracion (3) Dimension'!H201</f>
        <v>0</v>
      </c>
      <c r="CY201" s="49"/>
    </row>
    <row r="202" spans="1:103">
      <c r="A202" s="48"/>
      <c r="C202" t="str">
        <f>('Gestión de abastecimiento'!A203)</f>
        <v>0</v>
      </c>
      <c r="D202" s="39" t="str">
        <f>'Por Valoracion (3) Dimension'!B202</f>
        <v>0</v>
      </c>
      <c r="E202" s="39" t="str">
        <f>'Por Valoracion (3) Dimension 2'!D202</f>
        <v>0</v>
      </c>
      <c r="Z202" s="48"/>
      <c r="AB202" t="str">
        <f>('Gestión de abastecimiento'!A203)</f>
        <v>0</v>
      </c>
      <c r="AC202" s="39" t="str">
        <f>'Por Valoracion (3) Dimension'!D202</f>
        <v>0</v>
      </c>
      <c r="AD202" s="39" t="str">
        <f>'Por Valoracion (3) Dimension 2'!D202</f>
        <v>0</v>
      </c>
      <c r="AY202" s="48"/>
      <c r="BA202" t="str">
        <f>('Gestión de abastecimiento'!A203)</f>
        <v>0</v>
      </c>
      <c r="BB202" s="39" t="str">
        <f>'Por Valoracion (3) Dimension'!F202</f>
        <v>0</v>
      </c>
      <c r="BC202" s="39" t="str">
        <f>'Por Valoracion (3) Dimension 2'!D202</f>
        <v>0</v>
      </c>
      <c r="BX202" s="48"/>
      <c r="BZ202" s="49"/>
      <c r="CB202" t="str">
        <f>('Gestión de abastecimiento'!A203)</f>
        <v>0</v>
      </c>
      <c r="CC202" s="39" t="str">
        <f>'Por Valoracion (3) Dimension 2'!B202</f>
        <v>0</v>
      </c>
      <c r="CD202" s="39" t="str">
        <f>'Por Valoracion (3) Dimension'!H202</f>
        <v>0</v>
      </c>
      <c r="CY202" s="49"/>
    </row>
    <row r="203" spans="1:103">
      <c r="A203" s="48"/>
      <c r="C203" t="str">
        <f>('Gestión de abastecimiento'!A204)</f>
        <v>0</v>
      </c>
      <c r="D203" s="39" t="str">
        <f>'Por Valoracion (3) Dimension'!B203</f>
        <v>0</v>
      </c>
      <c r="E203" s="39" t="str">
        <f>'Por Valoracion (3) Dimension 2'!D203</f>
        <v>0</v>
      </c>
      <c r="Z203" s="48"/>
      <c r="AB203" t="str">
        <f>('Gestión de abastecimiento'!A204)</f>
        <v>0</v>
      </c>
      <c r="AC203" s="39" t="str">
        <f>'Por Valoracion (3) Dimension'!D203</f>
        <v>0</v>
      </c>
      <c r="AD203" s="39" t="str">
        <f>'Por Valoracion (3) Dimension 2'!D203</f>
        <v>0</v>
      </c>
      <c r="AY203" s="48"/>
      <c r="BA203" t="str">
        <f>('Gestión de abastecimiento'!A204)</f>
        <v>0</v>
      </c>
      <c r="BB203" s="39" t="str">
        <f>'Por Valoracion (3) Dimension'!F203</f>
        <v>0</v>
      </c>
      <c r="BC203" s="39" t="str">
        <f>'Por Valoracion (3) Dimension 2'!D203</f>
        <v>0</v>
      </c>
      <c r="BX203" s="48"/>
      <c r="BZ203" s="49"/>
      <c r="CB203" t="str">
        <f>('Gestión de abastecimiento'!A204)</f>
        <v>0</v>
      </c>
      <c r="CC203" s="39" t="str">
        <f>'Por Valoracion (3) Dimension 2'!B203</f>
        <v>0</v>
      </c>
      <c r="CD203" s="39" t="str">
        <f>'Por Valoracion (3) Dimension'!H203</f>
        <v>0</v>
      </c>
      <c r="CY203" s="49"/>
    </row>
    <row r="204" spans="1:103">
      <c r="A204" s="48"/>
      <c r="C204" t="str">
        <f>('Gestión de abastecimiento'!A205)</f>
        <v>0</v>
      </c>
      <c r="D204" s="39" t="str">
        <f>'Por Valoracion (3) Dimension'!B204</f>
        <v>0</v>
      </c>
      <c r="E204" s="39" t="str">
        <f>'Por Valoracion (3) Dimension 2'!D204</f>
        <v>0</v>
      </c>
      <c r="Z204" s="48"/>
      <c r="AB204" t="str">
        <f>('Gestión de abastecimiento'!A205)</f>
        <v>0</v>
      </c>
      <c r="AC204" s="39" t="str">
        <f>'Por Valoracion (3) Dimension'!D204</f>
        <v>0</v>
      </c>
      <c r="AD204" s="39" t="str">
        <f>'Por Valoracion (3) Dimension 2'!D204</f>
        <v>0</v>
      </c>
      <c r="AY204" s="48"/>
      <c r="BA204" t="str">
        <f>('Gestión de abastecimiento'!A205)</f>
        <v>0</v>
      </c>
      <c r="BB204" s="39" t="str">
        <f>'Por Valoracion (3) Dimension'!F204</f>
        <v>0</v>
      </c>
      <c r="BC204" s="39" t="str">
        <f>'Por Valoracion (3) Dimension 2'!D204</f>
        <v>0</v>
      </c>
      <c r="BX204" s="48"/>
      <c r="BZ204" s="49"/>
      <c r="CB204" t="str">
        <f>('Gestión de abastecimiento'!A205)</f>
        <v>0</v>
      </c>
      <c r="CC204" s="39" t="str">
        <f>'Por Valoracion (3) Dimension 2'!B204</f>
        <v>0</v>
      </c>
      <c r="CD204" s="39" t="str">
        <f>'Por Valoracion (3) Dimension'!H204</f>
        <v>0</v>
      </c>
      <c r="CY204" s="49"/>
    </row>
    <row r="205" spans="1:103">
      <c r="A205" s="48"/>
      <c r="C205" t="str">
        <f>('Gestión de abastecimiento'!A206)</f>
        <v>0</v>
      </c>
      <c r="D205" s="39" t="str">
        <f>'Por Valoracion (3) Dimension'!B205</f>
        <v>0</v>
      </c>
      <c r="E205" s="39" t="str">
        <f>'Por Valoracion (3) Dimension 2'!D205</f>
        <v>0</v>
      </c>
      <c r="Z205" s="48"/>
      <c r="AB205" t="str">
        <f>('Gestión de abastecimiento'!A206)</f>
        <v>0</v>
      </c>
      <c r="AC205" s="39" t="str">
        <f>'Por Valoracion (3) Dimension'!D205</f>
        <v>0</v>
      </c>
      <c r="AD205" s="39" t="str">
        <f>'Por Valoracion (3) Dimension 2'!D205</f>
        <v>0</v>
      </c>
      <c r="AY205" s="48"/>
      <c r="BA205" t="str">
        <f>('Gestión de abastecimiento'!A206)</f>
        <v>0</v>
      </c>
      <c r="BB205" s="39" t="str">
        <f>'Por Valoracion (3) Dimension'!F205</f>
        <v>0</v>
      </c>
      <c r="BC205" s="39" t="str">
        <f>'Por Valoracion (3) Dimension 2'!D205</f>
        <v>0</v>
      </c>
      <c r="BX205" s="48"/>
      <c r="BZ205" s="49"/>
      <c r="CB205" t="str">
        <f>('Gestión de abastecimiento'!A206)</f>
        <v>0</v>
      </c>
      <c r="CC205" s="39" t="str">
        <f>'Por Valoracion (3) Dimension 2'!B205</f>
        <v>0</v>
      </c>
      <c r="CD205" s="39" t="str">
        <f>'Por Valoracion (3) Dimension'!H205</f>
        <v>0</v>
      </c>
      <c r="CY205" s="49"/>
    </row>
    <row r="206" spans="1:103">
      <c r="A206" s="48"/>
      <c r="C206" t="str">
        <f>('Gestión de abastecimiento'!A207)</f>
        <v>0</v>
      </c>
      <c r="D206" s="39" t="str">
        <f>'Por Valoracion (3) Dimension'!B206</f>
        <v>0</v>
      </c>
      <c r="E206" s="39" t="str">
        <f>'Por Valoracion (3) Dimension 2'!D206</f>
        <v>0</v>
      </c>
      <c r="Z206" s="48"/>
      <c r="AB206" t="str">
        <f>('Gestión de abastecimiento'!A207)</f>
        <v>0</v>
      </c>
      <c r="AC206" s="39" t="str">
        <f>'Por Valoracion (3) Dimension'!D206</f>
        <v>0</v>
      </c>
      <c r="AD206" s="39" t="str">
        <f>'Por Valoracion (3) Dimension 2'!D206</f>
        <v>0</v>
      </c>
      <c r="AY206" s="48"/>
      <c r="BA206" t="str">
        <f>('Gestión de abastecimiento'!A207)</f>
        <v>0</v>
      </c>
      <c r="BB206" s="39" t="str">
        <f>'Por Valoracion (3) Dimension'!F206</f>
        <v>0</v>
      </c>
      <c r="BC206" s="39" t="str">
        <f>'Por Valoracion (3) Dimension 2'!D206</f>
        <v>0</v>
      </c>
      <c r="BX206" s="48"/>
      <c r="BZ206" s="49"/>
      <c r="CB206" t="str">
        <f>('Gestión de abastecimiento'!A207)</f>
        <v>0</v>
      </c>
      <c r="CC206" s="39" t="str">
        <f>'Por Valoracion (3) Dimension 2'!B206</f>
        <v>0</v>
      </c>
      <c r="CD206" s="39" t="str">
        <f>'Por Valoracion (3) Dimension'!H206</f>
        <v>0</v>
      </c>
      <c r="CY206" s="49"/>
    </row>
    <row r="207" spans="1:103">
      <c r="A207" s="48"/>
      <c r="C207" t="str">
        <f>('Gestión de abastecimiento'!A208)</f>
        <v>0</v>
      </c>
      <c r="D207" s="39" t="str">
        <f>'Por Valoracion (3) Dimension'!B207</f>
        <v>0</v>
      </c>
      <c r="E207" s="39" t="str">
        <f>'Por Valoracion (3) Dimension 2'!D207</f>
        <v>0</v>
      </c>
      <c r="Z207" s="48"/>
      <c r="AB207" t="str">
        <f>('Gestión de abastecimiento'!A208)</f>
        <v>0</v>
      </c>
      <c r="AC207" s="39" t="str">
        <f>'Por Valoracion (3) Dimension'!D207</f>
        <v>0</v>
      </c>
      <c r="AD207" s="39" t="str">
        <f>'Por Valoracion (3) Dimension 2'!D207</f>
        <v>0</v>
      </c>
      <c r="AY207" s="48"/>
      <c r="BA207" t="str">
        <f>('Gestión de abastecimiento'!A208)</f>
        <v>0</v>
      </c>
      <c r="BB207" s="39" t="str">
        <f>'Por Valoracion (3) Dimension'!F207</f>
        <v>0</v>
      </c>
      <c r="BC207" s="39" t="str">
        <f>'Por Valoracion (3) Dimension 2'!D207</f>
        <v>0</v>
      </c>
      <c r="BX207" s="48"/>
      <c r="BZ207" s="49"/>
      <c r="CB207" t="str">
        <f>('Gestión de abastecimiento'!A208)</f>
        <v>0</v>
      </c>
      <c r="CC207" s="39" t="str">
        <f>'Por Valoracion (3) Dimension 2'!B207</f>
        <v>0</v>
      </c>
      <c r="CD207" s="39" t="str">
        <f>'Por Valoracion (3) Dimension'!H207</f>
        <v>0</v>
      </c>
      <c r="CY207" s="49"/>
    </row>
    <row r="208" spans="1:103">
      <c r="A208" s="48"/>
      <c r="C208" t="str">
        <f>('Gestión de abastecimiento'!A209)</f>
        <v>0</v>
      </c>
      <c r="D208" s="39" t="str">
        <f>'Por Valoracion (3) Dimension'!B208</f>
        <v>0</v>
      </c>
      <c r="E208" s="39" t="str">
        <f>'Por Valoracion (3) Dimension 2'!D208</f>
        <v>0</v>
      </c>
      <c r="Z208" s="48"/>
      <c r="AB208" t="str">
        <f>('Gestión de abastecimiento'!A209)</f>
        <v>0</v>
      </c>
      <c r="AC208" s="39" t="str">
        <f>'Por Valoracion (3) Dimension'!D208</f>
        <v>0</v>
      </c>
      <c r="AD208" s="39" t="str">
        <f>'Por Valoracion (3) Dimension 2'!D208</f>
        <v>0</v>
      </c>
      <c r="AY208" s="48"/>
      <c r="BA208" t="str">
        <f>('Gestión de abastecimiento'!A209)</f>
        <v>0</v>
      </c>
      <c r="BB208" s="39" t="str">
        <f>'Por Valoracion (3) Dimension'!F208</f>
        <v>0</v>
      </c>
      <c r="BC208" s="39" t="str">
        <f>'Por Valoracion (3) Dimension 2'!D208</f>
        <v>0</v>
      </c>
      <c r="BX208" s="48"/>
      <c r="BZ208" s="49"/>
      <c r="CB208" t="str">
        <f>('Gestión de abastecimiento'!A209)</f>
        <v>0</v>
      </c>
      <c r="CC208" s="39" t="str">
        <f>'Por Valoracion (3) Dimension 2'!B208</f>
        <v>0</v>
      </c>
      <c r="CD208" s="39" t="str">
        <f>'Por Valoracion (3) Dimension'!H208</f>
        <v>0</v>
      </c>
      <c r="CY208" s="49"/>
    </row>
    <row r="209" spans="1:103">
      <c r="A209" s="48"/>
      <c r="C209" t="str">
        <f>('Gestión de abastecimiento'!A210)</f>
        <v>0</v>
      </c>
      <c r="D209" s="39" t="str">
        <f>'Por Valoracion (3) Dimension'!B209</f>
        <v>0</v>
      </c>
      <c r="E209" s="39" t="str">
        <f>'Por Valoracion (3) Dimension 2'!D209</f>
        <v>0</v>
      </c>
      <c r="Z209" s="48"/>
      <c r="AB209" t="str">
        <f>('Gestión de abastecimiento'!A210)</f>
        <v>0</v>
      </c>
      <c r="AC209" s="39" t="str">
        <f>'Por Valoracion (3) Dimension'!D209</f>
        <v>0</v>
      </c>
      <c r="AD209" s="39" t="str">
        <f>'Por Valoracion (3) Dimension 2'!D209</f>
        <v>0</v>
      </c>
      <c r="AY209" s="48"/>
      <c r="BA209" t="str">
        <f>('Gestión de abastecimiento'!A210)</f>
        <v>0</v>
      </c>
      <c r="BB209" s="39" t="str">
        <f>'Por Valoracion (3) Dimension'!F209</f>
        <v>0</v>
      </c>
      <c r="BC209" s="39" t="str">
        <f>'Por Valoracion (3) Dimension 2'!D209</f>
        <v>0</v>
      </c>
      <c r="BX209" s="48"/>
      <c r="BZ209" s="49"/>
      <c r="CB209" t="str">
        <f>('Gestión de abastecimiento'!A210)</f>
        <v>0</v>
      </c>
      <c r="CC209" s="39" t="str">
        <f>'Por Valoracion (3) Dimension 2'!B209</f>
        <v>0</v>
      </c>
      <c r="CD209" s="39" t="str">
        <f>'Por Valoracion (3) Dimension'!H209</f>
        <v>0</v>
      </c>
      <c r="CY209" s="49"/>
    </row>
    <row r="210" spans="1:103">
      <c r="A210" s="48"/>
      <c r="C210" t="str">
        <f>('Gestión de abastecimiento'!A211)</f>
        <v>0</v>
      </c>
      <c r="D210" s="39" t="str">
        <f>'Por Valoracion (3) Dimension'!B210</f>
        <v>0</v>
      </c>
      <c r="E210" s="39" t="str">
        <f>'Por Valoracion (3) Dimension 2'!D210</f>
        <v>0</v>
      </c>
      <c r="Z210" s="48"/>
      <c r="AB210" t="str">
        <f>('Gestión de abastecimiento'!A211)</f>
        <v>0</v>
      </c>
      <c r="AC210" s="39" t="str">
        <f>'Por Valoracion (3) Dimension'!D210</f>
        <v>0</v>
      </c>
      <c r="AD210" s="39" t="str">
        <f>'Por Valoracion (3) Dimension 2'!D210</f>
        <v>0</v>
      </c>
      <c r="AY210" s="48"/>
      <c r="BA210" t="str">
        <f>('Gestión de abastecimiento'!A211)</f>
        <v>0</v>
      </c>
      <c r="BB210" s="39" t="str">
        <f>'Por Valoracion (3) Dimension'!F210</f>
        <v>0</v>
      </c>
      <c r="BC210" s="39" t="str">
        <f>'Por Valoracion (3) Dimension 2'!D210</f>
        <v>0</v>
      </c>
      <c r="BX210" s="48"/>
      <c r="BZ210" s="49"/>
      <c r="CB210" t="str">
        <f>('Gestión de abastecimiento'!A211)</f>
        <v>0</v>
      </c>
      <c r="CC210" s="39" t="str">
        <f>'Por Valoracion (3) Dimension 2'!B210</f>
        <v>0</v>
      </c>
      <c r="CD210" s="39" t="str">
        <f>'Por Valoracion (3) Dimension'!H210</f>
        <v>0</v>
      </c>
      <c r="CY210" s="49"/>
    </row>
    <row r="211" spans="1:103">
      <c r="A211" s="48"/>
      <c r="C211" t="str">
        <f>('Gestión de abastecimiento'!A212)</f>
        <v>0</v>
      </c>
      <c r="D211" s="39" t="str">
        <f>'Por Valoracion (3) Dimension'!B211</f>
        <v>0</v>
      </c>
      <c r="E211" s="39" t="str">
        <f>'Por Valoracion (3) Dimension 2'!D211</f>
        <v>0</v>
      </c>
      <c r="Z211" s="48"/>
      <c r="AB211" t="str">
        <f>('Gestión de abastecimiento'!A212)</f>
        <v>0</v>
      </c>
      <c r="AC211" s="39" t="str">
        <f>'Por Valoracion (3) Dimension'!D211</f>
        <v>0</v>
      </c>
      <c r="AD211" s="39" t="str">
        <f>'Por Valoracion (3) Dimension 2'!D211</f>
        <v>0</v>
      </c>
      <c r="AY211" s="48"/>
      <c r="BA211" t="str">
        <f>('Gestión de abastecimiento'!A212)</f>
        <v>0</v>
      </c>
      <c r="BB211" s="39" t="str">
        <f>'Por Valoracion (3) Dimension'!F211</f>
        <v>0</v>
      </c>
      <c r="BC211" s="39" t="str">
        <f>'Por Valoracion (3) Dimension 2'!D211</f>
        <v>0</v>
      </c>
      <c r="BX211" s="48"/>
      <c r="BZ211" s="49"/>
      <c r="CB211" t="str">
        <f>('Gestión de abastecimiento'!A212)</f>
        <v>0</v>
      </c>
      <c r="CC211" s="39" t="str">
        <f>'Por Valoracion (3) Dimension 2'!B211</f>
        <v>0</v>
      </c>
      <c r="CD211" s="39" t="str">
        <f>'Por Valoracion (3) Dimension'!H211</f>
        <v>0</v>
      </c>
      <c r="CY211" s="49"/>
    </row>
    <row r="212" spans="1:103">
      <c r="A212" s="48"/>
      <c r="C212" t="str">
        <f>('Gestión de abastecimiento'!A213)</f>
        <v>0</v>
      </c>
      <c r="D212" s="39" t="str">
        <f>'Por Valoracion (3) Dimension'!B212</f>
        <v>0</v>
      </c>
      <c r="E212" s="39" t="str">
        <f>'Por Valoracion (3) Dimension 2'!D212</f>
        <v>0</v>
      </c>
      <c r="Z212" s="48"/>
      <c r="AB212" t="str">
        <f>('Gestión de abastecimiento'!A213)</f>
        <v>0</v>
      </c>
      <c r="AC212" s="39" t="str">
        <f>'Por Valoracion (3) Dimension'!D212</f>
        <v>0</v>
      </c>
      <c r="AD212" s="39" t="str">
        <f>'Por Valoracion (3) Dimension 2'!D212</f>
        <v>0</v>
      </c>
      <c r="AY212" s="48"/>
      <c r="BA212" t="str">
        <f>('Gestión de abastecimiento'!A213)</f>
        <v>0</v>
      </c>
      <c r="BB212" s="39" t="str">
        <f>'Por Valoracion (3) Dimension'!F212</f>
        <v>0</v>
      </c>
      <c r="BC212" s="39" t="str">
        <f>'Por Valoracion (3) Dimension 2'!D212</f>
        <v>0</v>
      </c>
      <c r="BX212" s="48"/>
      <c r="BZ212" s="49"/>
      <c r="CB212" t="str">
        <f>('Gestión de abastecimiento'!A213)</f>
        <v>0</v>
      </c>
      <c r="CC212" s="39" t="str">
        <f>'Por Valoracion (3) Dimension 2'!B212</f>
        <v>0</v>
      </c>
      <c r="CD212" s="39" t="str">
        <f>'Por Valoracion (3) Dimension'!H212</f>
        <v>0</v>
      </c>
      <c r="CY212" s="49"/>
    </row>
    <row r="213" spans="1:103">
      <c r="A213" s="48"/>
      <c r="C213" t="str">
        <f>('Gestión de abastecimiento'!A214)</f>
        <v>0</v>
      </c>
      <c r="D213" s="39" t="str">
        <f>'Por Valoracion (3) Dimension'!B213</f>
        <v>0</v>
      </c>
      <c r="E213" s="39" t="str">
        <f>'Por Valoracion (3) Dimension 2'!D213</f>
        <v>0</v>
      </c>
      <c r="Z213" s="48"/>
      <c r="AB213" t="str">
        <f>('Gestión de abastecimiento'!A214)</f>
        <v>0</v>
      </c>
      <c r="AC213" s="39" t="str">
        <f>'Por Valoracion (3) Dimension'!D213</f>
        <v>0</v>
      </c>
      <c r="AD213" s="39" t="str">
        <f>'Por Valoracion (3) Dimension 2'!D213</f>
        <v>0</v>
      </c>
      <c r="AY213" s="48"/>
      <c r="BA213" t="str">
        <f>('Gestión de abastecimiento'!A214)</f>
        <v>0</v>
      </c>
      <c r="BB213" s="39" t="str">
        <f>'Por Valoracion (3) Dimension'!F213</f>
        <v>0</v>
      </c>
      <c r="BC213" s="39" t="str">
        <f>'Por Valoracion (3) Dimension 2'!D213</f>
        <v>0</v>
      </c>
      <c r="BX213" s="48"/>
      <c r="BZ213" s="49"/>
      <c r="CB213" t="str">
        <f>('Gestión de abastecimiento'!A214)</f>
        <v>0</v>
      </c>
      <c r="CC213" s="39" t="str">
        <f>'Por Valoracion (3) Dimension 2'!B213</f>
        <v>0</v>
      </c>
      <c r="CD213" s="39" t="str">
        <f>'Por Valoracion (3) Dimension'!H213</f>
        <v>0</v>
      </c>
      <c r="CY213" s="49"/>
    </row>
    <row r="214" spans="1:103">
      <c r="A214" s="48"/>
      <c r="C214" t="str">
        <f>('Gestión de abastecimiento'!A215)</f>
        <v>0</v>
      </c>
      <c r="D214" s="39" t="str">
        <f>'Por Valoracion (3) Dimension'!B214</f>
        <v>0</v>
      </c>
      <c r="E214" s="39" t="str">
        <f>'Por Valoracion (3) Dimension 2'!D214</f>
        <v>0</v>
      </c>
      <c r="Z214" s="48"/>
      <c r="AB214" t="str">
        <f>('Gestión de abastecimiento'!A215)</f>
        <v>0</v>
      </c>
      <c r="AC214" s="39" t="str">
        <f>'Por Valoracion (3) Dimension'!D214</f>
        <v>0</v>
      </c>
      <c r="AD214" s="39" t="str">
        <f>'Por Valoracion (3) Dimension 2'!D214</f>
        <v>0</v>
      </c>
      <c r="AY214" s="48"/>
      <c r="BA214" t="str">
        <f>('Gestión de abastecimiento'!A215)</f>
        <v>0</v>
      </c>
      <c r="BB214" s="39" t="str">
        <f>'Por Valoracion (3) Dimension'!F214</f>
        <v>0</v>
      </c>
      <c r="BC214" s="39" t="str">
        <f>'Por Valoracion (3) Dimension 2'!D214</f>
        <v>0</v>
      </c>
      <c r="BX214" s="48"/>
      <c r="BZ214" s="49"/>
      <c r="CB214" t="str">
        <f>('Gestión de abastecimiento'!A215)</f>
        <v>0</v>
      </c>
      <c r="CC214" s="39" t="str">
        <f>'Por Valoracion (3) Dimension 2'!B214</f>
        <v>0</v>
      </c>
      <c r="CD214" s="39" t="str">
        <f>'Por Valoracion (3) Dimension'!H214</f>
        <v>0</v>
      </c>
      <c r="CY214" s="49"/>
    </row>
    <row r="215" spans="1:103">
      <c r="A215" s="48"/>
      <c r="C215" t="str">
        <f>('Gestión de abastecimiento'!A216)</f>
        <v>0</v>
      </c>
      <c r="D215" s="39" t="str">
        <f>'Por Valoracion (3) Dimension'!B215</f>
        <v>0</v>
      </c>
      <c r="E215" s="39" t="str">
        <f>'Por Valoracion (3) Dimension 2'!D215</f>
        <v>0</v>
      </c>
      <c r="Z215" s="48"/>
      <c r="AB215" t="str">
        <f>('Gestión de abastecimiento'!A216)</f>
        <v>0</v>
      </c>
      <c r="AC215" s="39" t="str">
        <f>'Por Valoracion (3) Dimension'!D215</f>
        <v>0</v>
      </c>
      <c r="AD215" s="39" t="str">
        <f>'Por Valoracion (3) Dimension 2'!D215</f>
        <v>0</v>
      </c>
      <c r="AY215" s="48"/>
      <c r="BA215" t="str">
        <f>('Gestión de abastecimiento'!A216)</f>
        <v>0</v>
      </c>
      <c r="BB215" s="39" t="str">
        <f>'Por Valoracion (3) Dimension'!F215</f>
        <v>0</v>
      </c>
      <c r="BC215" s="39" t="str">
        <f>'Por Valoracion (3) Dimension 2'!D215</f>
        <v>0</v>
      </c>
      <c r="BX215" s="48"/>
      <c r="BZ215" s="49"/>
      <c r="CB215" t="str">
        <f>('Gestión de abastecimiento'!A216)</f>
        <v>0</v>
      </c>
      <c r="CC215" s="39" t="str">
        <f>'Por Valoracion (3) Dimension 2'!B215</f>
        <v>0</v>
      </c>
      <c r="CD215" s="39" t="str">
        <f>'Por Valoracion (3) Dimension'!H215</f>
        <v>0</v>
      </c>
      <c r="CY215" s="49"/>
    </row>
    <row r="216" spans="1:103">
      <c r="A216" s="48"/>
      <c r="C216" t="str">
        <f>('Gestión de abastecimiento'!A217)</f>
        <v>0</v>
      </c>
      <c r="D216" s="39" t="str">
        <f>'Por Valoracion (3) Dimension'!B216</f>
        <v>0</v>
      </c>
      <c r="E216" s="39" t="str">
        <f>'Por Valoracion (3) Dimension 2'!D216</f>
        <v>0</v>
      </c>
      <c r="Z216" s="48"/>
      <c r="AB216" t="str">
        <f>('Gestión de abastecimiento'!A217)</f>
        <v>0</v>
      </c>
      <c r="AC216" s="39" t="str">
        <f>'Por Valoracion (3) Dimension'!D216</f>
        <v>0</v>
      </c>
      <c r="AD216" s="39" t="str">
        <f>'Por Valoracion (3) Dimension 2'!D216</f>
        <v>0</v>
      </c>
      <c r="AY216" s="48"/>
      <c r="BA216" t="str">
        <f>('Gestión de abastecimiento'!A217)</f>
        <v>0</v>
      </c>
      <c r="BB216" s="39" t="str">
        <f>'Por Valoracion (3) Dimension'!F216</f>
        <v>0</v>
      </c>
      <c r="BC216" s="39" t="str">
        <f>'Por Valoracion (3) Dimension 2'!D216</f>
        <v>0</v>
      </c>
      <c r="BX216" s="48"/>
      <c r="BZ216" s="49"/>
      <c r="CB216" t="str">
        <f>('Gestión de abastecimiento'!A217)</f>
        <v>0</v>
      </c>
      <c r="CC216" s="39" t="str">
        <f>'Por Valoracion (3) Dimension 2'!B216</f>
        <v>0</v>
      </c>
      <c r="CD216" s="39" t="str">
        <f>'Por Valoracion (3) Dimension'!H216</f>
        <v>0</v>
      </c>
      <c r="CY216" s="49"/>
    </row>
    <row r="217" spans="1:103">
      <c r="A217" s="48"/>
      <c r="C217" t="str">
        <f>('Gestión de abastecimiento'!A218)</f>
        <v>0</v>
      </c>
      <c r="D217" s="39" t="str">
        <f>'Por Valoracion (3) Dimension'!B217</f>
        <v>0</v>
      </c>
      <c r="E217" s="39" t="str">
        <f>'Por Valoracion (3) Dimension 2'!D217</f>
        <v>0</v>
      </c>
      <c r="Z217" s="48"/>
      <c r="AB217" t="str">
        <f>('Gestión de abastecimiento'!A218)</f>
        <v>0</v>
      </c>
      <c r="AC217" s="39" t="str">
        <f>'Por Valoracion (3) Dimension'!D217</f>
        <v>0</v>
      </c>
      <c r="AD217" s="39" t="str">
        <f>'Por Valoracion (3) Dimension 2'!D217</f>
        <v>0</v>
      </c>
      <c r="AY217" s="48"/>
      <c r="BA217" t="str">
        <f>('Gestión de abastecimiento'!A218)</f>
        <v>0</v>
      </c>
      <c r="BB217" s="39" t="str">
        <f>'Por Valoracion (3) Dimension'!F217</f>
        <v>0</v>
      </c>
      <c r="BC217" s="39" t="str">
        <f>'Por Valoracion (3) Dimension 2'!D217</f>
        <v>0</v>
      </c>
      <c r="BX217" s="48"/>
      <c r="BZ217" s="49"/>
      <c r="CB217" t="str">
        <f>('Gestión de abastecimiento'!A218)</f>
        <v>0</v>
      </c>
      <c r="CC217" s="39" t="str">
        <f>'Por Valoracion (3) Dimension 2'!B217</f>
        <v>0</v>
      </c>
      <c r="CD217" s="39" t="str">
        <f>'Por Valoracion (3) Dimension'!H217</f>
        <v>0</v>
      </c>
      <c r="CY217" s="49"/>
    </row>
    <row r="218" spans="1:103">
      <c r="A218" s="48"/>
      <c r="C218" t="str">
        <f>('Gestión de abastecimiento'!A219)</f>
        <v>0</v>
      </c>
      <c r="D218" s="39" t="str">
        <f>'Por Valoracion (3) Dimension'!B218</f>
        <v>0</v>
      </c>
      <c r="E218" s="39" t="str">
        <f>'Por Valoracion (3) Dimension 2'!D218</f>
        <v>0</v>
      </c>
      <c r="Z218" s="48"/>
      <c r="AB218" t="str">
        <f>('Gestión de abastecimiento'!A219)</f>
        <v>0</v>
      </c>
      <c r="AC218" s="39" t="str">
        <f>'Por Valoracion (3) Dimension'!D218</f>
        <v>0</v>
      </c>
      <c r="AD218" s="39" t="str">
        <f>'Por Valoracion (3) Dimension 2'!D218</f>
        <v>0</v>
      </c>
      <c r="AY218" s="48"/>
      <c r="BA218" t="str">
        <f>('Gestión de abastecimiento'!A219)</f>
        <v>0</v>
      </c>
      <c r="BB218" s="39" t="str">
        <f>'Por Valoracion (3) Dimension'!F218</f>
        <v>0</v>
      </c>
      <c r="BC218" s="39" t="str">
        <f>'Por Valoracion (3) Dimension 2'!D218</f>
        <v>0</v>
      </c>
      <c r="BX218" s="48"/>
      <c r="BZ218" s="49"/>
      <c r="CB218" t="str">
        <f>('Gestión de abastecimiento'!A219)</f>
        <v>0</v>
      </c>
      <c r="CC218" s="39" t="str">
        <f>'Por Valoracion (3) Dimension 2'!B218</f>
        <v>0</v>
      </c>
      <c r="CD218" s="39" t="str">
        <f>'Por Valoracion (3) Dimension'!H218</f>
        <v>0</v>
      </c>
      <c r="CY218" s="49"/>
    </row>
    <row r="219" spans="1:103">
      <c r="A219" s="48"/>
      <c r="C219" t="str">
        <f>('Gestión de abastecimiento'!A220)</f>
        <v>0</v>
      </c>
      <c r="D219" s="39" t="str">
        <f>'Por Valoracion (3) Dimension'!B219</f>
        <v>0</v>
      </c>
      <c r="E219" s="39" t="str">
        <f>'Por Valoracion (3) Dimension 2'!D219</f>
        <v>0</v>
      </c>
      <c r="Z219" s="48"/>
      <c r="AB219" t="str">
        <f>('Gestión de abastecimiento'!A220)</f>
        <v>0</v>
      </c>
      <c r="AC219" s="39" t="str">
        <f>'Por Valoracion (3) Dimension'!D219</f>
        <v>0</v>
      </c>
      <c r="AD219" s="39" t="str">
        <f>'Por Valoracion (3) Dimension 2'!D219</f>
        <v>0</v>
      </c>
      <c r="AY219" s="48"/>
      <c r="BA219" t="str">
        <f>('Gestión de abastecimiento'!A220)</f>
        <v>0</v>
      </c>
      <c r="BB219" s="39" t="str">
        <f>'Por Valoracion (3) Dimension'!F219</f>
        <v>0</v>
      </c>
      <c r="BC219" s="39" t="str">
        <f>'Por Valoracion (3) Dimension 2'!D219</f>
        <v>0</v>
      </c>
      <c r="BX219" s="48"/>
      <c r="BZ219" s="49"/>
      <c r="CB219" t="str">
        <f>('Gestión de abastecimiento'!A220)</f>
        <v>0</v>
      </c>
      <c r="CC219" s="39" t="str">
        <f>'Por Valoracion (3) Dimension 2'!B219</f>
        <v>0</v>
      </c>
      <c r="CD219" s="39" t="str">
        <f>'Por Valoracion (3) Dimension'!H219</f>
        <v>0</v>
      </c>
      <c r="CY219" s="49"/>
    </row>
    <row r="220" spans="1:103">
      <c r="A220" s="48"/>
      <c r="C220" t="str">
        <f>('Gestión de abastecimiento'!A221)</f>
        <v>0</v>
      </c>
      <c r="D220" s="39" t="str">
        <f>'Por Valoracion (3) Dimension'!B220</f>
        <v>0</v>
      </c>
      <c r="E220" s="39" t="str">
        <f>'Por Valoracion (3) Dimension 2'!D220</f>
        <v>0</v>
      </c>
      <c r="Z220" s="48"/>
      <c r="AB220" t="str">
        <f>('Gestión de abastecimiento'!A221)</f>
        <v>0</v>
      </c>
      <c r="AC220" s="39" t="str">
        <f>'Por Valoracion (3) Dimension'!D220</f>
        <v>0</v>
      </c>
      <c r="AD220" s="39" t="str">
        <f>'Por Valoracion (3) Dimension 2'!D220</f>
        <v>0</v>
      </c>
      <c r="AY220" s="48"/>
      <c r="BA220" t="str">
        <f>('Gestión de abastecimiento'!A221)</f>
        <v>0</v>
      </c>
      <c r="BB220" s="39" t="str">
        <f>'Por Valoracion (3) Dimension'!F220</f>
        <v>0</v>
      </c>
      <c r="BC220" s="39" t="str">
        <f>'Por Valoracion (3) Dimension 2'!D220</f>
        <v>0</v>
      </c>
      <c r="BX220" s="48"/>
      <c r="BZ220" s="49"/>
      <c r="CB220" t="str">
        <f>('Gestión de abastecimiento'!A221)</f>
        <v>0</v>
      </c>
      <c r="CC220" s="39" t="str">
        <f>'Por Valoracion (3) Dimension 2'!B220</f>
        <v>0</v>
      </c>
      <c r="CD220" s="39" t="str">
        <f>'Por Valoracion (3) Dimension'!H220</f>
        <v>0</v>
      </c>
      <c r="CY220" s="49"/>
    </row>
    <row r="221" spans="1:103">
      <c r="A221" s="48"/>
      <c r="C221" t="str">
        <f>('Gestión de abastecimiento'!A222)</f>
        <v>0</v>
      </c>
      <c r="D221" s="39" t="str">
        <f>'Por Valoracion (3) Dimension'!B221</f>
        <v>0</v>
      </c>
      <c r="E221" s="39" t="str">
        <f>'Por Valoracion (3) Dimension 2'!D221</f>
        <v>0</v>
      </c>
      <c r="Z221" s="48"/>
      <c r="AB221" t="str">
        <f>('Gestión de abastecimiento'!A222)</f>
        <v>0</v>
      </c>
      <c r="AC221" s="39" t="str">
        <f>'Por Valoracion (3) Dimension'!D221</f>
        <v>0</v>
      </c>
      <c r="AD221" s="39" t="str">
        <f>'Por Valoracion (3) Dimension 2'!D221</f>
        <v>0</v>
      </c>
      <c r="AY221" s="48"/>
      <c r="BA221" t="str">
        <f>('Gestión de abastecimiento'!A222)</f>
        <v>0</v>
      </c>
      <c r="BB221" s="39" t="str">
        <f>'Por Valoracion (3) Dimension'!F221</f>
        <v>0</v>
      </c>
      <c r="BC221" s="39" t="str">
        <f>'Por Valoracion (3) Dimension 2'!D221</f>
        <v>0</v>
      </c>
      <c r="BX221" s="48"/>
      <c r="BZ221" s="49"/>
      <c r="CB221" t="str">
        <f>('Gestión de abastecimiento'!A222)</f>
        <v>0</v>
      </c>
      <c r="CC221" s="39" t="str">
        <f>'Por Valoracion (3) Dimension 2'!B221</f>
        <v>0</v>
      </c>
      <c r="CD221" s="39" t="str">
        <f>'Por Valoracion (3) Dimension'!H221</f>
        <v>0</v>
      </c>
      <c r="CY221" s="49"/>
    </row>
    <row r="222" spans="1:103">
      <c r="A222" s="48"/>
      <c r="C222" t="str">
        <f>('Gestión de abastecimiento'!A223)</f>
        <v>0</v>
      </c>
      <c r="D222" s="39" t="str">
        <f>'Por Valoracion (3) Dimension'!B222</f>
        <v>0</v>
      </c>
      <c r="E222" s="39" t="str">
        <f>'Por Valoracion (3) Dimension 2'!D222</f>
        <v>0</v>
      </c>
      <c r="Z222" s="48"/>
      <c r="AB222" t="str">
        <f>('Gestión de abastecimiento'!A223)</f>
        <v>0</v>
      </c>
      <c r="AC222" s="39" t="str">
        <f>'Por Valoracion (3) Dimension'!D222</f>
        <v>0</v>
      </c>
      <c r="AD222" s="39" t="str">
        <f>'Por Valoracion (3) Dimension 2'!D222</f>
        <v>0</v>
      </c>
      <c r="AY222" s="48"/>
      <c r="BA222" t="str">
        <f>('Gestión de abastecimiento'!A223)</f>
        <v>0</v>
      </c>
      <c r="BB222" s="39" t="str">
        <f>'Por Valoracion (3) Dimension'!F222</f>
        <v>0</v>
      </c>
      <c r="BC222" s="39" t="str">
        <f>'Por Valoracion (3) Dimension 2'!D222</f>
        <v>0</v>
      </c>
      <c r="BX222" s="48"/>
      <c r="BZ222" s="49"/>
      <c r="CB222" t="str">
        <f>('Gestión de abastecimiento'!A223)</f>
        <v>0</v>
      </c>
      <c r="CC222" s="39" t="str">
        <f>'Por Valoracion (3) Dimension 2'!B222</f>
        <v>0</v>
      </c>
      <c r="CD222" s="39" t="str">
        <f>'Por Valoracion (3) Dimension'!H222</f>
        <v>0</v>
      </c>
      <c r="CY222" s="49"/>
    </row>
    <row r="223" spans="1:103">
      <c r="A223" s="48"/>
      <c r="C223" t="str">
        <f>('Gestión de abastecimiento'!A224)</f>
        <v>0</v>
      </c>
      <c r="D223" s="39" t="str">
        <f>'Por Valoracion (3) Dimension'!B223</f>
        <v>0</v>
      </c>
      <c r="E223" s="39" t="str">
        <f>'Por Valoracion (3) Dimension 2'!D223</f>
        <v>0</v>
      </c>
      <c r="Z223" s="48"/>
      <c r="AB223" t="str">
        <f>('Gestión de abastecimiento'!A224)</f>
        <v>0</v>
      </c>
      <c r="AC223" s="39" t="str">
        <f>'Por Valoracion (3) Dimension'!D223</f>
        <v>0</v>
      </c>
      <c r="AD223" s="39" t="str">
        <f>'Por Valoracion (3) Dimension 2'!D223</f>
        <v>0</v>
      </c>
      <c r="AY223" s="48"/>
      <c r="BA223" t="str">
        <f>('Gestión de abastecimiento'!A224)</f>
        <v>0</v>
      </c>
      <c r="BB223" s="39" t="str">
        <f>'Por Valoracion (3) Dimension'!F223</f>
        <v>0</v>
      </c>
      <c r="BC223" s="39" t="str">
        <f>'Por Valoracion (3) Dimension 2'!D223</f>
        <v>0</v>
      </c>
      <c r="BX223" s="48"/>
      <c r="BZ223" s="49"/>
      <c r="CB223" t="str">
        <f>('Gestión de abastecimiento'!A224)</f>
        <v>0</v>
      </c>
      <c r="CC223" s="39" t="str">
        <f>'Por Valoracion (3) Dimension 2'!B223</f>
        <v>0</v>
      </c>
      <c r="CD223" s="39" t="str">
        <f>'Por Valoracion (3) Dimension'!H223</f>
        <v>0</v>
      </c>
      <c r="CY223" s="49"/>
    </row>
    <row r="224" spans="1:103">
      <c r="A224" s="48"/>
      <c r="C224" t="str">
        <f>('Gestión de abastecimiento'!A225)</f>
        <v>0</v>
      </c>
      <c r="D224" s="39" t="str">
        <f>'Por Valoracion (3) Dimension'!B224</f>
        <v>0</v>
      </c>
      <c r="E224" s="39" t="str">
        <f>'Por Valoracion (3) Dimension 2'!D224</f>
        <v>0</v>
      </c>
      <c r="Z224" s="48"/>
      <c r="AB224" t="str">
        <f>('Gestión de abastecimiento'!A225)</f>
        <v>0</v>
      </c>
      <c r="AC224" s="39" t="str">
        <f>'Por Valoracion (3) Dimension'!D224</f>
        <v>0</v>
      </c>
      <c r="AD224" s="39" t="str">
        <f>'Por Valoracion (3) Dimension 2'!D224</f>
        <v>0</v>
      </c>
      <c r="AY224" s="48"/>
      <c r="BA224" t="str">
        <f>('Gestión de abastecimiento'!A225)</f>
        <v>0</v>
      </c>
      <c r="BB224" s="39" t="str">
        <f>'Por Valoracion (3) Dimension'!F224</f>
        <v>0</v>
      </c>
      <c r="BC224" s="39" t="str">
        <f>'Por Valoracion (3) Dimension 2'!D224</f>
        <v>0</v>
      </c>
      <c r="BX224" s="48"/>
      <c r="BZ224" s="49"/>
      <c r="CB224" t="str">
        <f>('Gestión de abastecimiento'!A225)</f>
        <v>0</v>
      </c>
      <c r="CC224" s="39" t="str">
        <f>'Por Valoracion (3) Dimension 2'!B224</f>
        <v>0</v>
      </c>
      <c r="CD224" s="39" t="str">
        <f>'Por Valoracion (3) Dimension'!H224</f>
        <v>0</v>
      </c>
      <c r="CY224" s="49"/>
    </row>
    <row r="225" spans="1:103">
      <c r="A225" s="48"/>
      <c r="C225" t="str">
        <f>('Gestión de abastecimiento'!A226)</f>
        <v>0</v>
      </c>
      <c r="D225" s="39" t="str">
        <f>'Por Valoracion (3) Dimension'!B225</f>
        <v>0</v>
      </c>
      <c r="E225" s="39" t="str">
        <f>'Por Valoracion (3) Dimension 2'!D225</f>
        <v>0</v>
      </c>
      <c r="Z225" s="48"/>
      <c r="AB225" t="str">
        <f>('Gestión de abastecimiento'!A226)</f>
        <v>0</v>
      </c>
      <c r="AC225" s="39" t="str">
        <f>'Por Valoracion (3) Dimension'!D225</f>
        <v>0</v>
      </c>
      <c r="AD225" s="39" t="str">
        <f>'Por Valoracion (3) Dimension 2'!D225</f>
        <v>0</v>
      </c>
      <c r="AY225" s="48"/>
      <c r="BA225" t="str">
        <f>('Gestión de abastecimiento'!A226)</f>
        <v>0</v>
      </c>
      <c r="BB225" s="39" t="str">
        <f>'Por Valoracion (3) Dimension'!F225</f>
        <v>0</v>
      </c>
      <c r="BC225" s="39" t="str">
        <f>'Por Valoracion (3) Dimension 2'!D225</f>
        <v>0</v>
      </c>
      <c r="BX225" s="48"/>
      <c r="BZ225" s="49"/>
      <c r="CB225" t="str">
        <f>('Gestión de abastecimiento'!A226)</f>
        <v>0</v>
      </c>
      <c r="CC225" s="39" t="str">
        <f>'Por Valoracion (3) Dimension 2'!B225</f>
        <v>0</v>
      </c>
      <c r="CD225" s="39" t="str">
        <f>'Por Valoracion (3) Dimension'!H225</f>
        <v>0</v>
      </c>
      <c r="CY225" s="49"/>
    </row>
    <row r="226" spans="1:103">
      <c r="A226" s="48"/>
      <c r="C226" t="str">
        <f>('Gestión de abastecimiento'!A227)</f>
        <v>0</v>
      </c>
      <c r="D226" s="39" t="str">
        <f>'Por Valoracion (3) Dimension'!B226</f>
        <v>0</v>
      </c>
      <c r="E226" s="39" t="str">
        <f>'Por Valoracion (3) Dimension 2'!D226</f>
        <v>0</v>
      </c>
      <c r="Z226" s="48"/>
      <c r="AB226" t="str">
        <f>('Gestión de abastecimiento'!A227)</f>
        <v>0</v>
      </c>
      <c r="AC226" s="39" t="str">
        <f>'Por Valoracion (3) Dimension'!D226</f>
        <v>0</v>
      </c>
      <c r="AD226" s="39" t="str">
        <f>'Por Valoracion (3) Dimension 2'!D226</f>
        <v>0</v>
      </c>
      <c r="AY226" s="48"/>
      <c r="BA226" t="str">
        <f>('Gestión de abastecimiento'!A227)</f>
        <v>0</v>
      </c>
      <c r="BB226" s="39" t="str">
        <f>'Por Valoracion (3) Dimension'!F226</f>
        <v>0</v>
      </c>
      <c r="BC226" s="39" t="str">
        <f>'Por Valoracion (3) Dimension 2'!D226</f>
        <v>0</v>
      </c>
      <c r="BX226" s="48"/>
      <c r="BZ226" s="49"/>
      <c r="CB226" t="str">
        <f>('Gestión de abastecimiento'!A227)</f>
        <v>0</v>
      </c>
      <c r="CC226" s="39" t="str">
        <f>'Por Valoracion (3) Dimension 2'!B226</f>
        <v>0</v>
      </c>
      <c r="CD226" s="39" t="str">
        <f>'Por Valoracion (3) Dimension'!H226</f>
        <v>0</v>
      </c>
      <c r="CY226" s="49"/>
    </row>
    <row r="227" spans="1:103">
      <c r="A227" s="48"/>
      <c r="C227" t="str">
        <f>('Gestión de abastecimiento'!A228)</f>
        <v>0</v>
      </c>
      <c r="D227" s="39" t="str">
        <f>'Por Valoracion (3) Dimension'!B227</f>
        <v>0</v>
      </c>
      <c r="E227" s="39" t="str">
        <f>'Por Valoracion (3) Dimension 2'!D227</f>
        <v>0</v>
      </c>
      <c r="Z227" s="48"/>
      <c r="AB227" t="str">
        <f>('Gestión de abastecimiento'!A228)</f>
        <v>0</v>
      </c>
      <c r="AC227" s="39" t="str">
        <f>'Por Valoracion (3) Dimension'!D227</f>
        <v>0</v>
      </c>
      <c r="AD227" s="39" t="str">
        <f>'Por Valoracion (3) Dimension 2'!D227</f>
        <v>0</v>
      </c>
      <c r="AY227" s="48"/>
      <c r="BA227" t="str">
        <f>('Gestión de abastecimiento'!A228)</f>
        <v>0</v>
      </c>
      <c r="BB227" s="39" t="str">
        <f>'Por Valoracion (3) Dimension'!F227</f>
        <v>0</v>
      </c>
      <c r="BC227" s="39" t="str">
        <f>'Por Valoracion (3) Dimension 2'!D227</f>
        <v>0</v>
      </c>
      <c r="BX227" s="48"/>
      <c r="BZ227" s="49"/>
      <c r="CB227" t="str">
        <f>('Gestión de abastecimiento'!A228)</f>
        <v>0</v>
      </c>
      <c r="CC227" s="39" t="str">
        <f>'Por Valoracion (3) Dimension 2'!B227</f>
        <v>0</v>
      </c>
      <c r="CD227" s="39" t="str">
        <f>'Por Valoracion (3) Dimension'!H227</f>
        <v>0</v>
      </c>
      <c r="CY227" s="49"/>
    </row>
    <row r="228" spans="1:103">
      <c r="A228" s="48"/>
      <c r="C228" t="str">
        <f>('Gestión de abastecimiento'!A229)</f>
        <v>0</v>
      </c>
      <c r="D228" s="39" t="str">
        <f>'Por Valoracion (3) Dimension'!B228</f>
        <v>0</v>
      </c>
      <c r="E228" s="39" t="str">
        <f>'Por Valoracion (3) Dimension 2'!D228</f>
        <v>0</v>
      </c>
      <c r="Z228" s="48"/>
      <c r="AB228" t="str">
        <f>('Gestión de abastecimiento'!A229)</f>
        <v>0</v>
      </c>
      <c r="AC228" s="39" t="str">
        <f>'Por Valoracion (3) Dimension'!D228</f>
        <v>0</v>
      </c>
      <c r="AD228" s="39" t="str">
        <f>'Por Valoracion (3) Dimension 2'!D228</f>
        <v>0</v>
      </c>
      <c r="AY228" s="48"/>
      <c r="BA228" t="str">
        <f>('Gestión de abastecimiento'!A229)</f>
        <v>0</v>
      </c>
      <c r="BB228" s="39" t="str">
        <f>'Por Valoracion (3) Dimension'!F228</f>
        <v>0</v>
      </c>
      <c r="BC228" s="39" t="str">
        <f>'Por Valoracion (3) Dimension 2'!D228</f>
        <v>0</v>
      </c>
      <c r="BX228" s="48"/>
      <c r="BZ228" s="49"/>
      <c r="CB228" t="str">
        <f>('Gestión de abastecimiento'!A229)</f>
        <v>0</v>
      </c>
      <c r="CC228" s="39" t="str">
        <f>'Por Valoracion (3) Dimension 2'!B228</f>
        <v>0</v>
      </c>
      <c r="CD228" s="39" t="str">
        <f>'Por Valoracion (3) Dimension'!H228</f>
        <v>0</v>
      </c>
      <c r="CY228" s="49"/>
    </row>
    <row r="229" spans="1:103">
      <c r="A229" s="48"/>
      <c r="C229" t="str">
        <f>('Gestión de abastecimiento'!A230)</f>
        <v>0</v>
      </c>
      <c r="D229" s="39" t="str">
        <f>'Por Valoracion (3) Dimension'!B229</f>
        <v>0</v>
      </c>
      <c r="E229" s="39" t="str">
        <f>'Por Valoracion (3) Dimension 2'!D229</f>
        <v>0</v>
      </c>
      <c r="Z229" s="48"/>
      <c r="AB229" t="str">
        <f>('Gestión de abastecimiento'!A230)</f>
        <v>0</v>
      </c>
      <c r="AC229" s="39" t="str">
        <f>'Por Valoracion (3) Dimension'!D229</f>
        <v>0</v>
      </c>
      <c r="AD229" s="39" t="str">
        <f>'Por Valoracion (3) Dimension 2'!D229</f>
        <v>0</v>
      </c>
      <c r="AY229" s="48"/>
      <c r="BA229" t="str">
        <f>('Gestión de abastecimiento'!A230)</f>
        <v>0</v>
      </c>
      <c r="BB229" s="39" t="str">
        <f>'Por Valoracion (3) Dimension'!F229</f>
        <v>0</v>
      </c>
      <c r="BC229" s="39" t="str">
        <f>'Por Valoracion (3) Dimension 2'!D229</f>
        <v>0</v>
      </c>
      <c r="BX229" s="48"/>
      <c r="BZ229" s="49"/>
      <c r="CB229" t="str">
        <f>('Gestión de abastecimiento'!A230)</f>
        <v>0</v>
      </c>
      <c r="CC229" s="39" t="str">
        <f>'Por Valoracion (3) Dimension 2'!B229</f>
        <v>0</v>
      </c>
      <c r="CD229" s="39" t="str">
        <f>'Por Valoracion (3) Dimension'!H229</f>
        <v>0</v>
      </c>
      <c r="CY229" s="49"/>
    </row>
    <row r="230" spans="1:103">
      <c r="A230" s="48"/>
      <c r="C230" t="str">
        <f>('Gestión de abastecimiento'!A231)</f>
        <v>0</v>
      </c>
      <c r="D230" s="39" t="str">
        <f>'Por Valoracion (3) Dimension'!B230</f>
        <v>0</v>
      </c>
      <c r="E230" s="39" t="str">
        <f>'Por Valoracion (3) Dimension 2'!D230</f>
        <v>0</v>
      </c>
      <c r="Z230" s="48"/>
      <c r="AB230" t="str">
        <f>('Gestión de abastecimiento'!A231)</f>
        <v>0</v>
      </c>
      <c r="AC230" s="39" t="str">
        <f>'Por Valoracion (3) Dimension'!D230</f>
        <v>0</v>
      </c>
      <c r="AD230" s="39" t="str">
        <f>'Por Valoracion (3) Dimension 2'!D230</f>
        <v>0</v>
      </c>
      <c r="AY230" s="48"/>
      <c r="BA230" t="str">
        <f>('Gestión de abastecimiento'!A231)</f>
        <v>0</v>
      </c>
      <c r="BB230" s="39" t="str">
        <f>'Por Valoracion (3) Dimension'!F230</f>
        <v>0</v>
      </c>
      <c r="BC230" s="39" t="str">
        <f>'Por Valoracion (3) Dimension 2'!D230</f>
        <v>0</v>
      </c>
      <c r="BX230" s="48"/>
      <c r="BZ230" s="49"/>
      <c r="CB230" t="str">
        <f>('Gestión de abastecimiento'!A231)</f>
        <v>0</v>
      </c>
      <c r="CC230" s="39" t="str">
        <f>'Por Valoracion (3) Dimension 2'!B230</f>
        <v>0</v>
      </c>
      <c r="CD230" s="39" t="str">
        <f>'Por Valoracion (3) Dimension'!H230</f>
        <v>0</v>
      </c>
      <c r="CY230" s="49"/>
    </row>
    <row r="231" spans="1:103">
      <c r="A231" s="48"/>
      <c r="C231" t="str">
        <f>('Gestión de abastecimiento'!A232)</f>
        <v>0</v>
      </c>
      <c r="D231" s="39" t="str">
        <f>'Por Valoracion (3) Dimension'!B231</f>
        <v>0</v>
      </c>
      <c r="E231" s="39" t="str">
        <f>'Por Valoracion (3) Dimension 2'!D231</f>
        <v>0</v>
      </c>
      <c r="Z231" s="48"/>
      <c r="AB231" t="str">
        <f>('Gestión de abastecimiento'!A232)</f>
        <v>0</v>
      </c>
      <c r="AC231" s="39" t="str">
        <f>'Por Valoracion (3) Dimension'!D231</f>
        <v>0</v>
      </c>
      <c r="AD231" s="39" t="str">
        <f>'Por Valoracion (3) Dimension 2'!D231</f>
        <v>0</v>
      </c>
      <c r="AY231" s="48"/>
      <c r="BA231" t="str">
        <f>('Gestión de abastecimiento'!A232)</f>
        <v>0</v>
      </c>
      <c r="BB231" s="39" t="str">
        <f>'Por Valoracion (3) Dimension'!F231</f>
        <v>0</v>
      </c>
      <c r="BC231" s="39" t="str">
        <f>'Por Valoracion (3) Dimension 2'!D231</f>
        <v>0</v>
      </c>
      <c r="BX231" s="48"/>
      <c r="BZ231" s="49"/>
      <c r="CB231" t="str">
        <f>('Gestión de abastecimiento'!A232)</f>
        <v>0</v>
      </c>
      <c r="CC231" s="39" t="str">
        <f>'Por Valoracion (3) Dimension 2'!B231</f>
        <v>0</v>
      </c>
      <c r="CD231" s="39" t="str">
        <f>'Por Valoracion (3) Dimension'!H231</f>
        <v>0</v>
      </c>
      <c r="CY231" s="49"/>
    </row>
    <row r="232" spans="1:103">
      <c r="A232" s="48"/>
      <c r="C232" t="str">
        <f>('Gestión de abastecimiento'!A233)</f>
        <v>0</v>
      </c>
      <c r="D232" s="39" t="str">
        <f>'Por Valoracion (3) Dimension'!B232</f>
        <v>0</v>
      </c>
      <c r="E232" s="39" t="str">
        <f>'Por Valoracion (3) Dimension 2'!D232</f>
        <v>0</v>
      </c>
      <c r="Z232" s="48"/>
      <c r="AB232" t="str">
        <f>('Gestión de abastecimiento'!A233)</f>
        <v>0</v>
      </c>
      <c r="AC232" s="39" t="str">
        <f>'Por Valoracion (3) Dimension'!D232</f>
        <v>0</v>
      </c>
      <c r="AD232" s="39" t="str">
        <f>'Por Valoracion (3) Dimension 2'!D232</f>
        <v>0</v>
      </c>
      <c r="AY232" s="48"/>
      <c r="BA232" t="str">
        <f>('Gestión de abastecimiento'!A233)</f>
        <v>0</v>
      </c>
      <c r="BB232" s="39" t="str">
        <f>'Por Valoracion (3) Dimension'!F232</f>
        <v>0</v>
      </c>
      <c r="BC232" s="39" t="str">
        <f>'Por Valoracion (3) Dimension 2'!D232</f>
        <v>0</v>
      </c>
      <c r="BX232" s="48"/>
      <c r="BZ232" s="49"/>
      <c r="CB232" t="str">
        <f>('Gestión de abastecimiento'!A233)</f>
        <v>0</v>
      </c>
      <c r="CC232" s="39" t="str">
        <f>'Por Valoracion (3) Dimension 2'!B232</f>
        <v>0</v>
      </c>
      <c r="CD232" s="39" t="str">
        <f>'Por Valoracion (3) Dimension'!H232</f>
        <v>0</v>
      </c>
      <c r="CY232" s="49"/>
    </row>
    <row r="233" spans="1:103">
      <c r="A233" s="48"/>
      <c r="C233" t="str">
        <f>('Gestión de abastecimiento'!A234)</f>
        <v>0</v>
      </c>
      <c r="D233" s="39" t="str">
        <f>'Por Valoracion (3) Dimension'!B233</f>
        <v>0</v>
      </c>
      <c r="E233" s="39" t="str">
        <f>'Por Valoracion (3) Dimension 2'!D233</f>
        <v>0</v>
      </c>
      <c r="Z233" s="48"/>
      <c r="AB233" t="str">
        <f>('Gestión de abastecimiento'!A234)</f>
        <v>0</v>
      </c>
      <c r="AC233" s="39" t="str">
        <f>'Por Valoracion (3) Dimension'!D233</f>
        <v>0</v>
      </c>
      <c r="AD233" s="39" t="str">
        <f>'Por Valoracion (3) Dimension 2'!D233</f>
        <v>0</v>
      </c>
      <c r="AY233" s="48"/>
      <c r="BA233" t="str">
        <f>('Gestión de abastecimiento'!A234)</f>
        <v>0</v>
      </c>
      <c r="BB233" s="39" t="str">
        <f>'Por Valoracion (3) Dimension'!F233</f>
        <v>0</v>
      </c>
      <c r="BC233" s="39" t="str">
        <f>'Por Valoracion (3) Dimension 2'!D233</f>
        <v>0</v>
      </c>
      <c r="BX233" s="48"/>
      <c r="BZ233" s="49"/>
      <c r="CB233" t="str">
        <f>('Gestión de abastecimiento'!A234)</f>
        <v>0</v>
      </c>
      <c r="CC233" s="39" t="str">
        <f>'Por Valoracion (3) Dimension 2'!B233</f>
        <v>0</v>
      </c>
      <c r="CD233" s="39" t="str">
        <f>'Por Valoracion (3) Dimension'!H233</f>
        <v>0</v>
      </c>
      <c r="CY233" s="49"/>
    </row>
    <row r="234" spans="1:103">
      <c r="A234" s="48"/>
      <c r="C234" t="str">
        <f>('Gestión de abastecimiento'!A235)</f>
        <v>0</v>
      </c>
      <c r="D234" s="39" t="str">
        <f>'Por Valoracion (3) Dimension'!B234</f>
        <v>0</v>
      </c>
      <c r="E234" s="39" t="str">
        <f>'Por Valoracion (3) Dimension 2'!D234</f>
        <v>0</v>
      </c>
      <c r="Z234" s="48"/>
      <c r="AB234" t="str">
        <f>('Gestión de abastecimiento'!A235)</f>
        <v>0</v>
      </c>
      <c r="AC234" s="39" t="str">
        <f>'Por Valoracion (3) Dimension'!D234</f>
        <v>0</v>
      </c>
      <c r="AD234" s="39" t="str">
        <f>'Por Valoracion (3) Dimension 2'!D234</f>
        <v>0</v>
      </c>
      <c r="AY234" s="48"/>
      <c r="BA234" t="str">
        <f>('Gestión de abastecimiento'!A235)</f>
        <v>0</v>
      </c>
      <c r="BB234" s="39" t="str">
        <f>'Por Valoracion (3) Dimension'!F234</f>
        <v>0</v>
      </c>
      <c r="BC234" s="39" t="str">
        <f>'Por Valoracion (3) Dimension 2'!D234</f>
        <v>0</v>
      </c>
      <c r="BX234" s="48"/>
      <c r="BZ234" s="49"/>
      <c r="CB234" t="str">
        <f>('Gestión de abastecimiento'!A235)</f>
        <v>0</v>
      </c>
      <c r="CC234" s="39" t="str">
        <f>'Por Valoracion (3) Dimension 2'!B234</f>
        <v>0</v>
      </c>
      <c r="CD234" s="39" t="str">
        <f>'Por Valoracion (3) Dimension'!H234</f>
        <v>0</v>
      </c>
      <c r="CY234" s="49"/>
    </row>
    <row r="235" spans="1:103">
      <c r="A235" s="48"/>
      <c r="C235" t="str">
        <f>('Gestión de abastecimiento'!A236)</f>
        <v>0</v>
      </c>
      <c r="D235" s="39" t="str">
        <f>'Por Valoracion (3) Dimension'!B235</f>
        <v>0</v>
      </c>
      <c r="E235" s="39" t="str">
        <f>'Por Valoracion (3) Dimension 2'!D235</f>
        <v>0</v>
      </c>
      <c r="Z235" s="48"/>
      <c r="AB235" t="str">
        <f>('Gestión de abastecimiento'!A236)</f>
        <v>0</v>
      </c>
      <c r="AC235" s="39" t="str">
        <f>'Por Valoracion (3) Dimension'!D235</f>
        <v>0</v>
      </c>
      <c r="AD235" s="39" t="str">
        <f>'Por Valoracion (3) Dimension 2'!D235</f>
        <v>0</v>
      </c>
      <c r="AY235" s="48"/>
      <c r="BA235" t="str">
        <f>('Gestión de abastecimiento'!A236)</f>
        <v>0</v>
      </c>
      <c r="BB235" s="39" t="str">
        <f>'Por Valoracion (3) Dimension'!F235</f>
        <v>0</v>
      </c>
      <c r="BC235" s="39" t="str">
        <f>'Por Valoracion (3) Dimension 2'!D235</f>
        <v>0</v>
      </c>
      <c r="BX235" s="48"/>
      <c r="BZ235" s="49"/>
      <c r="CB235" t="str">
        <f>('Gestión de abastecimiento'!A236)</f>
        <v>0</v>
      </c>
      <c r="CC235" s="39" t="str">
        <f>'Por Valoracion (3) Dimension 2'!B235</f>
        <v>0</v>
      </c>
      <c r="CD235" s="39" t="str">
        <f>'Por Valoracion (3) Dimension'!H235</f>
        <v>0</v>
      </c>
      <c r="CY235" s="49"/>
    </row>
    <row r="236" spans="1:103">
      <c r="A236" s="48"/>
      <c r="C236" t="str">
        <f>('Gestión de abastecimiento'!A237)</f>
        <v>0</v>
      </c>
      <c r="D236" s="39" t="str">
        <f>'Por Valoracion (3) Dimension'!B236</f>
        <v>0</v>
      </c>
      <c r="E236" s="39" t="str">
        <f>'Por Valoracion (3) Dimension 2'!D236</f>
        <v>0</v>
      </c>
      <c r="Z236" s="48"/>
      <c r="AB236" t="str">
        <f>('Gestión de abastecimiento'!A237)</f>
        <v>0</v>
      </c>
      <c r="AC236" s="39" t="str">
        <f>'Por Valoracion (3) Dimension'!D236</f>
        <v>0</v>
      </c>
      <c r="AD236" s="39" t="str">
        <f>'Por Valoracion (3) Dimension 2'!D236</f>
        <v>0</v>
      </c>
      <c r="AY236" s="48"/>
      <c r="BA236" t="str">
        <f>('Gestión de abastecimiento'!A237)</f>
        <v>0</v>
      </c>
      <c r="BB236" s="39" t="str">
        <f>'Por Valoracion (3) Dimension'!F236</f>
        <v>0</v>
      </c>
      <c r="BC236" s="39" t="str">
        <f>'Por Valoracion (3) Dimension 2'!D236</f>
        <v>0</v>
      </c>
      <c r="BX236" s="48"/>
      <c r="BZ236" s="49"/>
      <c r="CB236" t="str">
        <f>('Gestión de abastecimiento'!A237)</f>
        <v>0</v>
      </c>
      <c r="CC236" s="39" t="str">
        <f>'Por Valoracion (3) Dimension 2'!B236</f>
        <v>0</v>
      </c>
      <c r="CD236" s="39" t="str">
        <f>'Por Valoracion (3) Dimension'!H236</f>
        <v>0</v>
      </c>
      <c r="CY236" s="49"/>
    </row>
    <row r="237" spans="1:103">
      <c r="A237" s="48"/>
      <c r="C237" t="str">
        <f>('Gestión de abastecimiento'!A238)</f>
        <v>0</v>
      </c>
      <c r="D237" s="39" t="str">
        <f>'Por Valoracion (3) Dimension'!B237</f>
        <v>0</v>
      </c>
      <c r="E237" s="39" t="str">
        <f>'Por Valoracion (3) Dimension 2'!D237</f>
        <v>0</v>
      </c>
      <c r="Z237" s="48"/>
      <c r="AB237" t="str">
        <f>('Gestión de abastecimiento'!A238)</f>
        <v>0</v>
      </c>
      <c r="AC237" s="39" t="str">
        <f>'Por Valoracion (3) Dimension'!D237</f>
        <v>0</v>
      </c>
      <c r="AD237" s="39" t="str">
        <f>'Por Valoracion (3) Dimension 2'!D237</f>
        <v>0</v>
      </c>
      <c r="AY237" s="48"/>
      <c r="BA237" t="str">
        <f>('Gestión de abastecimiento'!A238)</f>
        <v>0</v>
      </c>
      <c r="BB237" s="39" t="str">
        <f>'Por Valoracion (3) Dimension'!F237</f>
        <v>0</v>
      </c>
      <c r="BC237" s="39" t="str">
        <f>'Por Valoracion (3) Dimension 2'!D237</f>
        <v>0</v>
      </c>
      <c r="BX237" s="48"/>
      <c r="BZ237" s="49"/>
      <c r="CB237" t="str">
        <f>('Gestión de abastecimiento'!A238)</f>
        <v>0</v>
      </c>
      <c r="CC237" s="39" t="str">
        <f>'Por Valoracion (3) Dimension 2'!B237</f>
        <v>0</v>
      </c>
      <c r="CD237" s="39" t="str">
        <f>'Por Valoracion (3) Dimension'!H237</f>
        <v>0</v>
      </c>
      <c r="CY237" s="49"/>
    </row>
    <row r="238" spans="1:103">
      <c r="A238" s="48"/>
      <c r="C238" t="str">
        <f>('Gestión de abastecimiento'!A239)</f>
        <v>0</v>
      </c>
      <c r="D238" s="39" t="str">
        <f>'Por Valoracion (3) Dimension'!B238</f>
        <v>0</v>
      </c>
      <c r="E238" s="39" t="str">
        <f>'Por Valoracion (3) Dimension 2'!D238</f>
        <v>0</v>
      </c>
      <c r="Z238" s="48"/>
      <c r="AB238" t="str">
        <f>('Gestión de abastecimiento'!A239)</f>
        <v>0</v>
      </c>
      <c r="AC238" s="39" t="str">
        <f>'Por Valoracion (3) Dimension'!D238</f>
        <v>0</v>
      </c>
      <c r="AD238" s="39" t="str">
        <f>'Por Valoracion (3) Dimension 2'!D238</f>
        <v>0</v>
      </c>
      <c r="AY238" s="48"/>
      <c r="BA238" t="str">
        <f>('Gestión de abastecimiento'!A239)</f>
        <v>0</v>
      </c>
      <c r="BB238" s="39" t="str">
        <f>'Por Valoracion (3) Dimension'!F238</f>
        <v>0</v>
      </c>
      <c r="BC238" s="39" t="str">
        <f>'Por Valoracion (3) Dimension 2'!D238</f>
        <v>0</v>
      </c>
      <c r="BX238" s="48"/>
      <c r="BZ238" s="49"/>
      <c r="CB238" t="str">
        <f>('Gestión de abastecimiento'!A239)</f>
        <v>0</v>
      </c>
      <c r="CC238" s="39" t="str">
        <f>'Por Valoracion (3) Dimension 2'!B238</f>
        <v>0</v>
      </c>
      <c r="CD238" s="39" t="str">
        <f>'Por Valoracion (3) Dimension'!H238</f>
        <v>0</v>
      </c>
      <c r="CY238" s="49"/>
    </row>
    <row r="239" spans="1:103">
      <c r="A239" s="48"/>
      <c r="C239" t="str">
        <f>('Gestión de abastecimiento'!A240)</f>
        <v>0</v>
      </c>
      <c r="D239" s="39" t="str">
        <f>'Por Valoracion (3) Dimension'!B239</f>
        <v>0</v>
      </c>
      <c r="E239" s="39" t="str">
        <f>'Por Valoracion (3) Dimension 2'!D239</f>
        <v>0</v>
      </c>
      <c r="Z239" s="48"/>
      <c r="AB239" t="str">
        <f>('Gestión de abastecimiento'!A240)</f>
        <v>0</v>
      </c>
      <c r="AC239" s="39" t="str">
        <f>'Por Valoracion (3) Dimension'!D239</f>
        <v>0</v>
      </c>
      <c r="AD239" s="39" t="str">
        <f>'Por Valoracion (3) Dimension 2'!D239</f>
        <v>0</v>
      </c>
      <c r="AY239" s="48"/>
      <c r="BA239" t="str">
        <f>('Gestión de abastecimiento'!A240)</f>
        <v>0</v>
      </c>
      <c r="BB239" s="39" t="str">
        <f>'Por Valoracion (3) Dimension'!F239</f>
        <v>0</v>
      </c>
      <c r="BC239" s="39" t="str">
        <f>'Por Valoracion (3) Dimension 2'!D239</f>
        <v>0</v>
      </c>
      <c r="BX239" s="48"/>
      <c r="BZ239" s="49"/>
      <c r="CB239" t="str">
        <f>('Gestión de abastecimiento'!A240)</f>
        <v>0</v>
      </c>
      <c r="CC239" s="39" t="str">
        <f>'Por Valoracion (3) Dimension 2'!B239</f>
        <v>0</v>
      </c>
      <c r="CD239" s="39" t="str">
        <f>'Por Valoracion (3) Dimension'!H239</f>
        <v>0</v>
      </c>
      <c r="CY239" s="49"/>
    </row>
    <row r="240" spans="1:103">
      <c r="A240" s="48"/>
      <c r="C240" t="str">
        <f>('Gestión de abastecimiento'!A241)</f>
        <v>0</v>
      </c>
      <c r="D240" s="39" t="str">
        <f>'Por Valoracion (3) Dimension'!B240</f>
        <v>0</v>
      </c>
      <c r="E240" s="39" t="str">
        <f>'Por Valoracion (3) Dimension 2'!D240</f>
        <v>0</v>
      </c>
      <c r="Z240" s="48"/>
      <c r="AB240" t="str">
        <f>('Gestión de abastecimiento'!A241)</f>
        <v>0</v>
      </c>
      <c r="AC240" s="39" t="str">
        <f>'Por Valoracion (3) Dimension'!D240</f>
        <v>0</v>
      </c>
      <c r="AD240" s="39" t="str">
        <f>'Por Valoracion (3) Dimension 2'!D240</f>
        <v>0</v>
      </c>
      <c r="AY240" s="48"/>
      <c r="BA240" t="str">
        <f>('Gestión de abastecimiento'!A241)</f>
        <v>0</v>
      </c>
      <c r="BB240" s="39" t="str">
        <f>'Por Valoracion (3) Dimension'!F240</f>
        <v>0</v>
      </c>
      <c r="BC240" s="39" t="str">
        <f>'Por Valoracion (3) Dimension 2'!D240</f>
        <v>0</v>
      </c>
      <c r="BX240" s="48"/>
      <c r="BZ240" s="49"/>
      <c r="CB240" t="str">
        <f>('Gestión de abastecimiento'!A241)</f>
        <v>0</v>
      </c>
      <c r="CC240" s="39" t="str">
        <f>'Por Valoracion (3) Dimension 2'!B240</f>
        <v>0</v>
      </c>
      <c r="CD240" s="39" t="str">
        <f>'Por Valoracion (3) Dimension'!H240</f>
        <v>0</v>
      </c>
      <c r="CY240" s="49"/>
    </row>
    <row r="241" spans="1:103">
      <c r="A241" s="48"/>
      <c r="C241" t="str">
        <f>('Gestión de abastecimiento'!A242)</f>
        <v>0</v>
      </c>
      <c r="D241" s="39" t="str">
        <f>'Por Valoracion (3) Dimension'!B241</f>
        <v>0</v>
      </c>
      <c r="E241" s="39" t="str">
        <f>'Por Valoracion (3) Dimension 2'!D241</f>
        <v>0</v>
      </c>
      <c r="Z241" s="48"/>
      <c r="AB241" t="str">
        <f>('Gestión de abastecimiento'!A242)</f>
        <v>0</v>
      </c>
      <c r="AC241" s="39" t="str">
        <f>'Por Valoracion (3) Dimension'!D241</f>
        <v>0</v>
      </c>
      <c r="AD241" s="39" t="str">
        <f>'Por Valoracion (3) Dimension 2'!D241</f>
        <v>0</v>
      </c>
      <c r="AY241" s="48"/>
      <c r="BA241" t="str">
        <f>('Gestión de abastecimiento'!A242)</f>
        <v>0</v>
      </c>
      <c r="BB241" s="39" t="str">
        <f>'Por Valoracion (3) Dimension'!F241</f>
        <v>0</v>
      </c>
      <c r="BC241" s="39" t="str">
        <f>'Por Valoracion (3) Dimension 2'!D241</f>
        <v>0</v>
      </c>
      <c r="BX241" s="48"/>
      <c r="BZ241" s="49"/>
      <c r="CB241" t="str">
        <f>('Gestión de abastecimiento'!A242)</f>
        <v>0</v>
      </c>
      <c r="CC241" s="39" t="str">
        <f>'Por Valoracion (3) Dimension 2'!B241</f>
        <v>0</v>
      </c>
      <c r="CD241" s="39" t="str">
        <f>'Por Valoracion (3) Dimension'!H241</f>
        <v>0</v>
      </c>
      <c r="CY241" s="49"/>
    </row>
    <row r="242" spans="1:103">
      <c r="A242" s="48"/>
      <c r="C242" t="str">
        <f>('Gestión de abastecimiento'!A243)</f>
        <v>0</v>
      </c>
      <c r="D242" s="39" t="str">
        <f>'Por Valoracion (3) Dimension'!B242</f>
        <v>0</v>
      </c>
      <c r="E242" s="39" t="str">
        <f>'Por Valoracion (3) Dimension 2'!D242</f>
        <v>0</v>
      </c>
      <c r="Z242" s="48"/>
      <c r="AB242" t="str">
        <f>('Gestión de abastecimiento'!A243)</f>
        <v>0</v>
      </c>
      <c r="AC242" s="39" t="str">
        <f>'Por Valoracion (3) Dimension'!D242</f>
        <v>0</v>
      </c>
      <c r="AD242" s="39" t="str">
        <f>'Por Valoracion (3) Dimension 2'!D242</f>
        <v>0</v>
      </c>
      <c r="AY242" s="48"/>
      <c r="BA242" t="str">
        <f>('Gestión de abastecimiento'!A243)</f>
        <v>0</v>
      </c>
      <c r="BB242" s="39" t="str">
        <f>'Por Valoracion (3) Dimension'!F242</f>
        <v>0</v>
      </c>
      <c r="BC242" s="39" t="str">
        <f>'Por Valoracion (3) Dimension 2'!D242</f>
        <v>0</v>
      </c>
      <c r="BX242" s="48"/>
      <c r="BZ242" s="49"/>
      <c r="CB242" t="str">
        <f>('Gestión de abastecimiento'!A243)</f>
        <v>0</v>
      </c>
      <c r="CC242" s="39" t="str">
        <f>'Por Valoracion (3) Dimension 2'!B242</f>
        <v>0</v>
      </c>
      <c r="CD242" s="39" t="str">
        <f>'Por Valoracion (3) Dimension'!H242</f>
        <v>0</v>
      </c>
      <c r="CY242" s="49"/>
    </row>
    <row r="243" spans="1:103">
      <c r="A243" s="48"/>
      <c r="C243" t="str">
        <f>('Gestión de abastecimiento'!A244)</f>
        <v>0</v>
      </c>
      <c r="D243" s="39" t="str">
        <f>'Por Valoracion (3) Dimension'!B243</f>
        <v>0</v>
      </c>
      <c r="E243" s="39" t="str">
        <f>'Por Valoracion (3) Dimension 2'!D243</f>
        <v>0</v>
      </c>
      <c r="Z243" s="48"/>
      <c r="AB243" t="str">
        <f>('Gestión de abastecimiento'!A244)</f>
        <v>0</v>
      </c>
      <c r="AC243" s="39" t="str">
        <f>'Por Valoracion (3) Dimension'!D243</f>
        <v>0</v>
      </c>
      <c r="AD243" s="39" t="str">
        <f>'Por Valoracion (3) Dimension 2'!D243</f>
        <v>0</v>
      </c>
      <c r="AY243" s="48"/>
      <c r="BA243" t="str">
        <f>('Gestión de abastecimiento'!A244)</f>
        <v>0</v>
      </c>
      <c r="BB243" s="39" t="str">
        <f>'Por Valoracion (3) Dimension'!F243</f>
        <v>0</v>
      </c>
      <c r="BC243" s="39" t="str">
        <f>'Por Valoracion (3) Dimension 2'!D243</f>
        <v>0</v>
      </c>
      <c r="BX243" s="48"/>
      <c r="BZ243" s="49"/>
      <c r="CB243" t="str">
        <f>('Gestión de abastecimiento'!A244)</f>
        <v>0</v>
      </c>
      <c r="CC243" s="39" t="str">
        <f>'Por Valoracion (3) Dimension 2'!B243</f>
        <v>0</v>
      </c>
      <c r="CD243" s="39" t="str">
        <f>'Por Valoracion (3) Dimension'!H243</f>
        <v>0</v>
      </c>
      <c r="CY243" s="49"/>
    </row>
    <row r="244" spans="1:103">
      <c r="A244" s="48"/>
      <c r="C244" t="str">
        <f>('Gestión de abastecimiento'!A245)</f>
        <v>0</v>
      </c>
      <c r="D244" s="39" t="str">
        <f>'Por Valoracion (3) Dimension'!B244</f>
        <v>0</v>
      </c>
      <c r="E244" s="39" t="str">
        <f>'Por Valoracion (3) Dimension 2'!D244</f>
        <v>0</v>
      </c>
      <c r="Z244" s="48"/>
      <c r="AB244" t="str">
        <f>('Gestión de abastecimiento'!A245)</f>
        <v>0</v>
      </c>
      <c r="AC244" s="39" t="str">
        <f>'Por Valoracion (3) Dimension'!D244</f>
        <v>0</v>
      </c>
      <c r="AD244" s="39" t="str">
        <f>'Por Valoracion (3) Dimension 2'!D244</f>
        <v>0</v>
      </c>
      <c r="AY244" s="48"/>
      <c r="BA244" t="str">
        <f>('Gestión de abastecimiento'!A245)</f>
        <v>0</v>
      </c>
      <c r="BB244" s="39" t="str">
        <f>'Por Valoracion (3) Dimension'!F244</f>
        <v>0</v>
      </c>
      <c r="BC244" s="39" t="str">
        <f>'Por Valoracion (3) Dimension 2'!D244</f>
        <v>0</v>
      </c>
      <c r="BX244" s="48"/>
      <c r="BZ244" s="49"/>
      <c r="CB244" t="str">
        <f>('Gestión de abastecimiento'!A245)</f>
        <v>0</v>
      </c>
      <c r="CC244" s="39" t="str">
        <f>'Por Valoracion (3) Dimension 2'!B244</f>
        <v>0</v>
      </c>
      <c r="CD244" s="39" t="str">
        <f>'Por Valoracion (3) Dimension'!H244</f>
        <v>0</v>
      </c>
      <c r="CY244" s="49"/>
    </row>
    <row r="245" spans="1:103">
      <c r="A245" s="48"/>
      <c r="C245" t="str">
        <f>('Gestión de abastecimiento'!A246)</f>
        <v>0</v>
      </c>
      <c r="D245" s="39" t="str">
        <f>'Por Valoracion (3) Dimension'!B245</f>
        <v>0</v>
      </c>
      <c r="E245" s="39" t="str">
        <f>'Por Valoracion (3) Dimension 2'!D245</f>
        <v>0</v>
      </c>
      <c r="Z245" s="48"/>
      <c r="AB245" t="str">
        <f>('Gestión de abastecimiento'!A246)</f>
        <v>0</v>
      </c>
      <c r="AC245" s="39" t="str">
        <f>'Por Valoracion (3) Dimension'!D245</f>
        <v>0</v>
      </c>
      <c r="AD245" s="39" t="str">
        <f>'Por Valoracion (3) Dimension 2'!D245</f>
        <v>0</v>
      </c>
      <c r="AY245" s="48"/>
      <c r="BA245" t="str">
        <f>('Gestión de abastecimiento'!A246)</f>
        <v>0</v>
      </c>
      <c r="BB245" s="39" t="str">
        <f>'Por Valoracion (3) Dimension'!F245</f>
        <v>0</v>
      </c>
      <c r="BC245" s="39" t="str">
        <f>'Por Valoracion (3) Dimension 2'!D245</f>
        <v>0</v>
      </c>
      <c r="BX245" s="48"/>
      <c r="BZ245" s="49"/>
      <c r="CB245" t="str">
        <f>('Gestión de abastecimiento'!A246)</f>
        <v>0</v>
      </c>
      <c r="CC245" s="39" t="str">
        <f>'Por Valoracion (3) Dimension 2'!B245</f>
        <v>0</v>
      </c>
      <c r="CD245" s="39" t="str">
        <f>'Por Valoracion (3) Dimension'!H245</f>
        <v>0</v>
      </c>
      <c r="CY245" s="49"/>
    </row>
    <row r="246" spans="1:103">
      <c r="A246" s="48"/>
      <c r="C246" t="str">
        <f>('Gestión de abastecimiento'!A247)</f>
        <v>0</v>
      </c>
      <c r="D246" s="39" t="str">
        <f>'Por Valoracion (3) Dimension'!B246</f>
        <v>0</v>
      </c>
      <c r="E246" s="39" t="str">
        <f>'Por Valoracion (3) Dimension 2'!D246</f>
        <v>0</v>
      </c>
      <c r="Z246" s="48"/>
      <c r="AB246" t="str">
        <f>('Gestión de abastecimiento'!A247)</f>
        <v>0</v>
      </c>
      <c r="AC246" s="39" t="str">
        <f>'Por Valoracion (3) Dimension'!D246</f>
        <v>0</v>
      </c>
      <c r="AD246" s="39" t="str">
        <f>'Por Valoracion (3) Dimension 2'!D246</f>
        <v>0</v>
      </c>
      <c r="AY246" s="48"/>
      <c r="BA246" t="str">
        <f>('Gestión de abastecimiento'!A247)</f>
        <v>0</v>
      </c>
      <c r="BB246" s="39" t="str">
        <f>'Por Valoracion (3) Dimension'!F246</f>
        <v>0</v>
      </c>
      <c r="BC246" s="39" t="str">
        <f>'Por Valoracion (3) Dimension 2'!D246</f>
        <v>0</v>
      </c>
      <c r="BX246" s="48"/>
      <c r="BZ246" s="49"/>
      <c r="CB246" t="str">
        <f>('Gestión de abastecimiento'!A247)</f>
        <v>0</v>
      </c>
      <c r="CC246" s="39" t="str">
        <f>'Por Valoracion (3) Dimension 2'!B246</f>
        <v>0</v>
      </c>
      <c r="CD246" s="39" t="str">
        <f>'Por Valoracion (3) Dimension'!H246</f>
        <v>0</v>
      </c>
      <c r="CY246" s="49"/>
    </row>
    <row r="247" spans="1:103">
      <c r="A247" s="48"/>
      <c r="C247" t="str">
        <f>('Gestión de abastecimiento'!A248)</f>
        <v>0</v>
      </c>
      <c r="D247" s="39" t="str">
        <f>'Por Valoracion (3) Dimension'!B247</f>
        <v>0</v>
      </c>
      <c r="E247" s="39" t="str">
        <f>'Por Valoracion (3) Dimension 2'!D247</f>
        <v>0</v>
      </c>
      <c r="Z247" s="48"/>
      <c r="AB247" t="str">
        <f>('Gestión de abastecimiento'!A248)</f>
        <v>0</v>
      </c>
      <c r="AC247" s="39" t="str">
        <f>'Por Valoracion (3) Dimension'!D247</f>
        <v>0</v>
      </c>
      <c r="AD247" s="39" t="str">
        <f>'Por Valoracion (3) Dimension 2'!D247</f>
        <v>0</v>
      </c>
      <c r="AY247" s="48"/>
      <c r="BA247" t="str">
        <f>('Gestión de abastecimiento'!A248)</f>
        <v>0</v>
      </c>
      <c r="BB247" s="39" t="str">
        <f>'Por Valoracion (3) Dimension'!F247</f>
        <v>0</v>
      </c>
      <c r="BC247" s="39" t="str">
        <f>'Por Valoracion (3) Dimension 2'!D247</f>
        <v>0</v>
      </c>
      <c r="BX247" s="48"/>
      <c r="BZ247" s="49"/>
      <c r="CB247" t="str">
        <f>('Gestión de abastecimiento'!A248)</f>
        <v>0</v>
      </c>
      <c r="CC247" s="39" t="str">
        <f>'Por Valoracion (3) Dimension 2'!B247</f>
        <v>0</v>
      </c>
      <c r="CD247" s="39" t="str">
        <f>'Por Valoracion (3) Dimension'!H247</f>
        <v>0</v>
      </c>
      <c r="CY247" s="49"/>
    </row>
    <row r="248" spans="1:103">
      <c r="A248" s="48"/>
      <c r="C248" t="str">
        <f>('Gestión de abastecimiento'!A249)</f>
        <v>0</v>
      </c>
      <c r="D248" s="39" t="str">
        <f>'Por Valoracion (3) Dimension'!B248</f>
        <v>0</v>
      </c>
      <c r="E248" s="39" t="str">
        <f>'Por Valoracion (3) Dimension 2'!D248</f>
        <v>0</v>
      </c>
      <c r="Z248" s="48"/>
      <c r="AB248" t="str">
        <f>('Gestión de abastecimiento'!A249)</f>
        <v>0</v>
      </c>
      <c r="AC248" s="39" t="str">
        <f>'Por Valoracion (3) Dimension'!D248</f>
        <v>0</v>
      </c>
      <c r="AD248" s="39" t="str">
        <f>'Por Valoracion (3) Dimension 2'!D248</f>
        <v>0</v>
      </c>
      <c r="AY248" s="48"/>
      <c r="BA248" t="str">
        <f>('Gestión de abastecimiento'!A249)</f>
        <v>0</v>
      </c>
      <c r="BB248" s="39" t="str">
        <f>'Por Valoracion (3) Dimension'!F248</f>
        <v>0</v>
      </c>
      <c r="BC248" s="39" t="str">
        <f>'Por Valoracion (3) Dimension 2'!D248</f>
        <v>0</v>
      </c>
      <c r="BX248" s="48"/>
      <c r="BZ248" s="49"/>
      <c r="CB248" t="str">
        <f>('Gestión de abastecimiento'!A249)</f>
        <v>0</v>
      </c>
      <c r="CC248" s="39" t="str">
        <f>'Por Valoracion (3) Dimension 2'!B248</f>
        <v>0</v>
      </c>
      <c r="CD248" s="39" t="str">
        <f>'Por Valoracion (3) Dimension'!H248</f>
        <v>0</v>
      </c>
      <c r="CY248" s="49"/>
    </row>
    <row r="249" spans="1:103">
      <c r="A249" s="48"/>
      <c r="C249" t="str">
        <f>('Gestión de abastecimiento'!A250)</f>
        <v>0</v>
      </c>
      <c r="D249" s="39" t="str">
        <f>'Por Valoracion (3) Dimension'!B249</f>
        <v>0</v>
      </c>
      <c r="E249" s="39" t="str">
        <f>'Por Valoracion (3) Dimension 2'!D249</f>
        <v>0</v>
      </c>
      <c r="Z249" s="48"/>
      <c r="AB249" t="str">
        <f>('Gestión de abastecimiento'!A250)</f>
        <v>0</v>
      </c>
      <c r="AC249" s="39" t="str">
        <f>'Por Valoracion (3) Dimension'!D249</f>
        <v>0</v>
      </c>
      <c r="AD249" s="39" t="str">
        <f>'Por Valoracion (3) Dimension 2'!D249</f>
        <v>0</v>
      </c>
      <c r="AY249" s="48"/>
      <c r="BA249" t="str">
        <f>('Gestión de abastecimiento'!A250)</f>
        <v>0</v>
      </c>
      <c r="BB249" s="39" t="str">
        <f>'Por Valoracion (3) Dimension'!F249</f>
        <v>0</v>
      </c>
      <c r="BC249" s="39" t="str">
        <f>'Por Valoracion (3) Dimension 2'!D249</f>
        <v>0</v>
      </c>
      <c r="BX249" s="48"/>
      <c r="BZ249" s="49"/>
      <c r="CB249" t="str">
        <f>('Gestión de abastecimiento'!A250)</f>
        <v>0</v>
      </c>
      <c r="CC249" s="39" t="str">
        <f>'Por Valoracion (3) Dimension 2'!B249</f>
        <v>0</v>
      </c>
      <c r="CD249" s="39" t="str">
        <f>'Por Valoracion (3) Dimension'!H249</f>
        <v>0</v>
      </c>
      <c r="CY249" s="49"/>
    </row>
    <row r="250" spans="1:103">
      <c r="A250" s="48"/>
      <c r="C250" t="str">
        <f>('Gestión de abastecimiento'!A251)</f>
        <v>0</v>
      </c>
      <c r="D250" s="39" t="str">
        <f>'Por Valoracion (3) Dimension'!B250</f>
        <v>0</v>
      </c>
      <c r="E250" s="39" t="str">
        <f>'Por Valoracion (3) Dimension 2'!D250</f>
        <v>0</v>
      </c>
      <c r="Z250" s="48"/>
      <c r="AB250" t="str">
        <f>('Gestión de abastecimiento'!A251)</f>
        <v>0</v>
      </c>
      <c r="AC250" s="39" t="str">
        <f>'Por Valoracion (3) Dimension'!D250</f>
        <v>0</v>
      </c>
      <c r="AD250" s="39" t="str">
        <f>'Por Valoracion (3) Dimension 2'!D250</f>
        <v>0</v>
      </c>
      <c r="AY250" s="48"/>
      <c r="BA250" t="str">
        <f>('Gestión de abastecimiento'!A251)</f>
        <v>0</v>
      </c>
      <c r="BB250" s="39" t="str">
        <f>'Por Valoracion (3) Dimension'!F250</f>
        <v>0</v>
      </c>
      <c r="BC250" s="39" t="str">
        <f>'Por Valoracion (3) Dimension 2'!D250</f>
        <v>0</v>
      </c>
      <c r="BX250" s="48"/>
      <c r="BZ250" s="49"/>
      <c r="CB250" t="str">
        <f>('Gestión de abastecimiento'!A251)</f>
        <v>0</v>
      </c>
      <c r="CC250" s="39" t="str">
        <f>'Por Valoracion (3) Dimension 2'!B250</f>
        <v>0</v>
      </c>
      <c r="CD250" s="39" t="str">
        <f>'Por Valoracion (3) Dimension'!H250</f>
        <v>0</v>
      </c>
      <c r="CY250" s="49"/>
    </row>
    <row r="251" spans="1:103">
      <c r="A251" s="48"/>
      <c r="C251" t="str">
        <f>('Gestión de abastecimiento'!A252)</f>
        <v>0</v>
      </c>
      <c r="D251" s="39" t="str">
        <f>'Por Valoracion (3) Dimension'!B251</f>
        <v>0</v>
      </c>
      <c r="E251" s="39" t="str">
        <f>'Por Valoracion (3) Dimension 2'!D251</f>
        <v>0</v>
      </c>
      <c r="Z251" s="48"/>
      <c r="AB251" t="str">
        <f>('Gestión de abastecimiento'!A252)</f>
        <v>0</v>
      </c>
      <c r="AC251" s="39" t="str">
        <f>'Por Valoracion (3) Dimension'!D251</f>
        <v>0</v>
      </c>
      <c r="AD251" s="39" t="str">
        <f>'Por Valoracion (3) Dimension 2'!D251</f>
        <v>0</v>
      </c>
      <c r="AY251" s="48"/>
      <c r="BA251" t="str">
        <f>('Gestión de abastecimiento'!A252)</f>
        <v>0</v>
      </c>
      <c r="BB251" s="39" t="str">
        <f>'Por Valoracion (3) Dimension'!F251</f>
        <v>0</v>
      </c>
      <c r="BC251" s="39" t="str">
        <f>'Por Valoracion (3) Dimension 2'!D251</f>
        <v>0</v>
      </c>
      <c r="BX251" s="48"/>
      <c r="BZ251" s="49"/>
      <c r="CB251" t="str">
        <f>('Gestión de abastecimiento'!A252)</f>
        <v>0</v>
      </c>
      <c r="CC251" s="39" t="str">
        <f>'Por Valoracion (3) Dimension 2'!B251</f>
        <v>0</v>
      </c>
      <c r="CD251" s="39" t="str">
        <f>'Por Valoracion (3) Dimension'!H251</f>
        <v>0</v>
      </c>
      <c r="CY251" s="49"/>
    </row>
    <row r="252" spans="1:103">
      <c r="A252" s="48"/>
      <c r="C252" t="str">
        <f>('Gestión de abastecimiento'!A253)</f>
        <v>0</v>
      </c>
      <c r="D252" s="39" t="str">
        <f>'Por Valoracion (3) Dimension'!B252</f>
        <v>0</v>
      </c>
      <c r="E252" s="39" t="str">
        <f>'Por Valoracion (3) Dimension 2'!D252</f>
        <v>0</v>
      </c>
      <c r="Z252" s="48"/>
      <c r="AB252" t="str">
        <f>('Gestión de abastecimiento'!A253)</f>
        <v>0</v>
      </c>
      <c r="AC252" s="39" t="str">
        <f>'Por Valoracion (3) Dimension'!D252</f>
        <v>0</v>
      </c>
      <c r="AD252" s="39" t="str">
        <f>'Por Valoracion (3) Dimension 2'!D252</f>
        <v>0</v>
      </c>
      <c r="AY252" s="48"/>
      <c r="BA252" t="str">
        <f>('Gestión de abastecimiento'!A253)</f>
        <v>0</v>
      </c>
      <c r="BB252" s="39" t="str">
        <f>'Por Valoracion (3) Dimension'!F252</f>
        <v>0</v>
      </c>
      <c r="BC252" s="39" t="str">
        <f>'Por Valoracion (3) Dimension 2'!D252</f>
        <v>0</v>
      </c>
      <c r="BX252" s="48"/>
      <c r="BZ252" s="49"/>
      <c r="CB252" t="str">
        <f>('Gestión de abastecimiento'!A253)</f>
        <v>0</v>
      </c>
      <c r="CC252" s="39" t="str">
        <f>'Por Valoracion (3) Dimension 2'!B252</f>
        <v>0</v>
      </c>
      <c r="CD252" s="39" t="str">
        <f>'Por Valoracion (3) Dimension'!H252</f>
        <v>0</v>
      </c>
      <c r="CY252" s="49"/>
    </row>
    <row r="253" spans="1:103">
      <c r="A253" s="48"/>
      <c r="C253" t="str">
        <f>('Gestión de abastecimiento'!A254)</f>
        <v>0</v>
      </c>
      <c r="D253" s="39" t="str">
        <f>'Por Valoracion (3) Dimension'!B253</f>
        <v>0</v>
      </c>
      <c r="E253" s="39" t="str">
        <f>'Por Valoracion (3) Dimension 2'!D253</f>
        <v>0</v>
      </c>
      <c r="Z253" s="48"/>
      <c r="AB253" t="str">
        <f>('Gestión de abastecimiento'!A254)</f>
        <v>0</v>
      </c>
      <c r="AC253" s="39" t="str">
        <f>'Por Valoracion (3) Dimension'!D253</f>
        <v>0</v>
      </c>
      <c r="AD253" s="39" t="str">
        <f>'Por Valoracion (3) Dimension 2'!D253</f>
        <v>0</v>
      </c>
      <c r="AY253" s="48"/>
      <c r="BA253" t="str">
        <f>('Gestión de abastecimiento'!A254)</f>
        <v>0</v>
      </c>
      <c r="BB253" s="39" t="str">
        <f>'Por Valoracion (3) Dimension'!F253</f>
        <v>0</v>
      </c>
      <c r="BC253" s="39" t="str">
        <f>'Por Valoracion (3) Dimension 2'!D253</f>
        <v>0</v>
      </c>
      <c r="BX253" s="48"/>
      <c r="BZ253" s="49"/>
      <c r="CB253" t="str">
        <f>('Gestión de abastecimiento'!A254)</f>
        <v>0</v>
      </c>
      <c r="CC253" s="39" t="str">
        <f>'Por Valoracion (3) Dimension 2'!B253</f>
        <v>0</v>
      </c>
      <c r="CD253" s="39" t="str">
        <f>'Por Valoracion (3) Dimension'!H253</f>
        <v>0</v>
      </c>
      <c r="CY253" s="49"/>
    </row>
    <row r="254" spans="1:103">
      <c r="A254" s="48"/>
      <c r="C254" t="str">
        <f>('Gestión de abastecimiento'!A255)</f>
        <v>0</v>
      </c>
      <c r="D254" s="39" t="str">
        <f>'Por Valoracion (3) Dimension'!B254</f>
        <v>0</v>
      </c>
      <c r="E254" s="39" t="str">
        <f>'Por Valoracion (3) Dimension 2'!D254</f>
        <v>0</v>
      </c>
      <c r="Z254" s="48"/>
      <c r="AB254" t="str">
        <f>('Gestión de abastecimiento'!A255)</f>
        <v>0</v>
      </c>
      <c r="AC254" s="39" t="str">
        <f>'Por Valoracion (3) Dimension'!D254</f>
        <v>0</v>
      </c>
      <c r="AD254" s="39" t="str">
        <f>'Por Valoracion (3) Dimension 2'!D254</f>
        <v>0</v>
      </c>
      <c r="AY254" s="48"/>
      <c r="BA254" t="str">
        <f>('Gestión de abastecimiento'!A255)</f>
        <v>0</v>
      </c>
      <c r="BB254" s="39" t="str">
        <f>'Por Valoracion (3) Dimension'!F254</f>
        <v>0</v>
      </c>
      <c r="BC254" s="39" t="str">
        <f>'Por Valoracion (3) Dimension 2'!D254</f>
        <v>0</v>
      </c>
      <c r="BX254" s="48"/>
      <c r="BZ254" s="49"/>
      <c r="CB254" t="str">
        <f>('Gestión de abastecimiento'!A255)</f>
        <v>0</v>
      </c>
      <c r="CC254" s="39" t="str">
        <f>'Por Valoracion (3) Dimension 2'!B254</f>
        <v>0</v>
      </c>
      <c r="CD254" s="39" t="str">
        <f>'Por Valoracion (3) Dimension'!H254</f>
        <v>0</v>
      </c>
      <c r="CY254" s="49"/>
    </row>
    <row r="255" spans="1:103">
      <c r="A255" s="48"/>
      <c r="C255" t="str">
        <f>('Gestión de abastecimiento'!A256)</f>
        <v>0</v>
      </c>
      <c r="D255" s="39" t="str">
        <f>'Por Valoracion (3) Dimension'!B255</f>
        <v>0</v>
      </c>
      <c r="E255" s="39" t="str">
        <f>'Por Valoracion (3) Dimension 2'!D255</f>
        <v>0</v>
      </c>
      <c r="Z255" s="48"/>
      <c r="AB255" t="str">
        <f>('Gestión de abastecimiento'!A256)</f>
        <v>0</v>
      </c>
      <c r="AC255" s="39" t="str">
        <f>'Por Valoracion (3) Dimension'!D255</f>
        <v>0</v>
      </c>
      <c r="AD255" s="39" t="str">
        <f>'Por Valoracion (3) Dimension 2'!D255</f>
        <v>0</v>
      </c>
      <c r="AY255" s="48"/>
      <c r="BA255" t="str">
        <f>('Gestión de abastecimiento'!A256)</f>
        <v>0</v>
      </c>
      <c r="BB255" s="39" t="str">
        <f>'Por Valoracion (3) Dimension'!F255</f>
        <v>0</v>
      </c>
      <c r="BC255" s="39" t="str">
        <f>'Por Valoracion (3) Dimension 2'!D255</f>
        <v>0</v>
      </c>
      <c r="BX255" s="48"/>
      <c r="BZ255" s="49"/>
      <c r="CB255" t="str">
        <f>('Gestión de abastecimiento'!A256)</f>
        <v>0</v>
      </c>
      <c r="CC255" s="39" t="str">
        <f>'Por Valoracion (3) Dimension 2'!B255</f>
        <v>0</v>
      </c>
      <c r="CD255" s="39" t="str">
        <f>'Por Valoracion (3) Dimension'!H255</f>
        <v>0</v>
      </c>
      <c r="CY255" s="49"/>
    </row>
    <row r="256" spans="1:103">
      <c r="A256" s="48"/>
      <c r="C256" t="str">
        <f>('Gestión de abastecimiento'!A257)</f>
        <v>0</v>
      </c>
      <c r="D256" s="39" t="str">
        <f>'Por Valoracion (3) Dimension'!B256</f>
        <v>0</v>
      </c>
      <c r="E256" s="39" t="str">
        <f>'Por Valoracion (3) Dimension 2'!D256</f>
        <v>0</v>
      </c>
      <c r="Z256" s="48"/>
      <c r="AB256" t="str">
        <f>('Gestión de abastecimiento'!A257)</f>
        <v>0</v>
      </c>
      <c r="AC256" s="39" t="str">
        <f>'Por Valoracion (3) Dimension'!D256</f>
        <v>0</v>
      </c>
      <c r="AD256" s="39" t="str">
        <f>'Por Valoracion (3) Dimension 2'!D256</f>
        <v>0</v>
      </c>
      <c r="AY256" s="48"/>
      <c r="BA256" t="str">
        <f>('Gestión de abastecimiento'!A257)</f>
        <v>0</v>
      </c>
      <c r="BB256" s="39" t="str">
        <f>'Por Valoracion (3) Dimension'!F256</f>
        <v>0</v>
      </c>
      <c r="BC256" s="39" t="str">
        <f>'Por Valoracion (3) Dimension 2'!D256</f>
        <v>0</v>
      </c>
      <c r="BX256" s="48"/>
      <c r="BZ256" s="49"/>
      <c r="CB256" t="str">
        <f>('Gestión de abastecimiento'!A257)</f>
        <v>0</v>
      </c>
      <c r="CC256" s="39" t="str">
        <f>'Por Valoracion (3) Dimension 2'!B256</f>
        <v>0</v>
      </c>
      <c r="CD256" s="39" t="str">
        <f>'Por Valoracion (3) Dimension'!H256</f>
        <v>0</v>
      </c>
      <c r="CY256" s="49"/>
    </row>
    <row r="257" spans="1:103">
      <c r="A257" s="48"/>
      <c r="C257" t="str">
        <f>('Gestión de abastecimiento'!A258)</f>
        <v>0</v>
      </c>
      <c r="D257" s="39" t="str">
        <f>'Por Valoracion (3) Dimension'!B257</f>
        <v>0</v>
      </c>
      <c r="E257" s="39" t="str">
        <f>'Por Valoracion (3) Dimension 2'!D257</f>
        <v>0</v>
      </c>
      <c r="Z257" s="48"/>
      <c r="AB257" t="str">
        <f>('Gestión de abastecimiento'!A258)</f>
        <v>0</v>
      </c>
      <c r="AC257" s="39" t="str">
        <f>'Por Valoracion (3) Dimension'!D257</f>
        <v>0</v>
      </c>
      <c r="AD257" s="39" t="str">
        <f>'Por Valoracion (3) Dimension 2'!D257</f>
        <v>0</v>
      </c>
      <c r="AY257" s="48"/>
      <c r="BA257" t="str">
        <f>('Gestión de abastecimiento'!A258)</f>
        <v>0</v>
      </c>
      <c r="BB257" s="39" t="str">
        <f>'Por Valoracion (3) Dimension'!F257</f>
        <v>0</v>
      </c>
      <c r="BC257" s="39" t="str">
        <f>'Por Valoracion (3) Dimension 2'!D257</f>
        <v>0</v>
      </c>
      <c r="BX257" s="48"/>
      <c r="BZ257" s="49"/>
      <c r="CB257" t="str">
        <f>('Gestión de abastecimiento'!A258)</f>
        <v>0</v>
      </c>
      <c r="CC257" s="39" t="str">
        <f>'Por Valoracion (3) Dimension 2'!B257</f>
        <v>0</v>
      </c>
      <c r="CD257" s="39" t="str">
        <f>'Por Valoracion (3) Dimension'!H257</f>
        <v>0</v>
      </c>
      <c r="CY257" s="49"/>
    </row>
    <row r="258" spans="1:103">
      <c r="A258" s="48"/>
      <c r="C258" t="str">
        <f>('Gestión de abastecimiento'!A259)</f>
        <v>0</v>
      </c>
      <c r="D258" s="39" t="str">
        <f>'Por Valoracion (3) Dimension'!B258</f>
        <v>0</v>
      </c>
      <c r="E258" s="39" t="str">
        <f>'Por Valoracion (3) Dimension 2'!D258</f>
        <v>0</v>
      </c>
      <c r="Z258" s="48"/>
      <c r="AB258" t="str">
        <f>('Gestión de abastecimiento'!A259)</f>
        <v>0</v>
      </c>
      <c r="AC258" s="39" t="str">
        <f>'Por Valoracion (3) Dimension'!D258</f>
        <v>0</v>
      </c>
      <c r="AD258" s="39" t="str">
        <f>'Por Valoracion (3) Dimension 2'!D258</f>
        <v>0</v>
      </c>
      <c r="AY258" s="48"/>
      <c r="BA258" t="str">
        <f>('Gestión de abastecimiento'!A259)</f>
        <v>0</v>
      </c>
      <c r="BB258" s="39" t="str">
        <f>'Por Valoracion (3) Dimension'!F258</f>
        <v>0</v>
      </c>
      <c r="BC258" s="39" t="str">
        <f>'Por Valoracion (3) Dimension 2'!D258</f>
        <v>0</v>
      </c>
      <c r="BX258" s="48"/>
      <c r="BZ258" s="49"/>
      <c r="CB258" t="str">
        <f>('Gestión de abastecimiento'!A259)</f>
        <v>0</v>
      </c>
      <c r="CC258" s="39" t="str">
        <f>'Por Valoracion (3) Dimension 2'!B258</f>
        <v>0</v>
      </c>
      <c r="CD258" s="39" t="str">
        <f>'Por Valoracion (3) Dimension'!H258</f>
        <v>0</v>
      </c>
      <c r="CY258" s="49"/>
    </row>
    <row r="259" spans="1:103">
      <c r="A259" s="48"/>
      <c r="C259" t="str">
        <f>('Gestión de abastecimiento'!A260)</f>
        <v>0</v>
      </c>
      <c r="D259" s="39" t="str">
        <f>'Por Valoracion (3) Dimension'!B259</f>
        <v>0</v>
      </c>
      <c r="E259" s="39" t="str">
        <f>'Por Valoracion (3) Dimension 2'!D259</f>
        <v>0</v>
      </c>
      <c r="Z259" s="48"/>
      <c r="AB259" t="str">
        <f>('Gestión de abastecimiento'!A260)</f>
        <v>0</v>
      </c>
      <c r="AC259" s="39" t="str">
        <f>'Por Valoracion (3) Dimension'!D259</f>
        <v>0</v>
      </c>
      <c r="AD259" s="39" t="str">
        <f>'Por Valoracion (3) Dimension 2'!D259</f>
        <v>0</v>
      </c>
      <c r="AY259" s="48"/>
      <c r="BA259" t="str">
        <f>('Gestión de abastecimiento'!A260)</f>
        <v>0</v>
      </c>
      <c r="BB259" s="39" t="str">
        <f>'Por Valoracion (3) Dimension'!F259</f>
        <v>0</v>
      </c>
      <c r="BC259" s="39" t="str">
        <f>'Por Valoracion (3) Dimension 2'!D259</f>
        <v>0</v>
      </c>
      <c r="BX259" s="48"/>
      <c r="BZ259" s="49"/>
      <c r="CB259" t="str">
        <f>('Gestión de abastecimiento'!A260)</f>
        <v>0</v>
      </c>
      <c r="CC259" s="39" t="str">
        <f>'Por Valoracion (3) Dimension 2'!B259</f>
        <v>0</v>
      </c>
      <c r="CD259" s="39" t="str">
        <f>'Por Valoracion (3) Dimension'!H259</f>
        <v>0</v>
      </c>
      <c r="CY259" s="49"/>
    </row>
    <row r="260" spans="1:103">
      <c r="A260" s="48"/>
      <c r="C260" t="str">
        <f>('Gestión de abastecimiento'!A261)</f>
        <v>0</v>
      </c>
      <c r="D260" s="39" t="str">
        <f>'Por Valoracion (3) Dimension'!B260</f>
        <v>0</v>
      </c>
      <c r="E260" s="39" t="str">
        <f>'Por Valoracion (3) Dimension 2'!D260</f>
        <v>0</v>
      </c>
      <c r="Z260" s="48"/>
      <c r="AB260" t="str">
        <f>('Gestión de abastecimiento'!A261)</f>
        <v>0</v>
      </c>
      <c r="AC260" s="39" t="str">
        <f>'Por Valoracion (3) Dimension'!D260</f>
        <v>0</v>
      </c>
      <c r="AD260" s="39" t="str">
        <f>'Por Valoracion (3) Dimension 2'!D260</f>
        <v>0</v>
      </c>
      <c r="AY260" s="48"/>
      <c r="BA260" t="str">
        <f>('Gestión de abastecimiento'!A261)</f>
        <v>0</v>
      </c>
      <c r="BB260" s="39" t="str">
        <f>'Por Valoracion (3) Dimension'!F260</f>
        <v>0</v>
      </c>
      <c r="BC260" s="39" t="str">
        <f>'Por Valoracion (3) Dimension 2'!D260</f>
        <v>0</v>
      </c>
      <c r="BX260" s="48"/>
      <c r="BZ260" s="49"/>
      <c r="CB260" t="str">
        <f>('Gestión de abastecimiento'!A261)</f>
        <v>0</v>
      </c>
      <c r="CC260" s="39" t="str">
        <f>'Por Valoracion (3) Dimension 2'!B260</f>
        <v>0</v>
      </c>
      <c r="CD260" s="39" t="str">
        <f>'Por Valoracion (3) Dimension'!H260</f>
        <v>0</v>
      </c>
      <c r="CY260" s="49"/>
    </row>
    <row r="261" spans="1:103">
      <c r="A261" s="48"/>
      <c r="C261" t="str">
        <f>('Gestión de abastecimiento'!A262)</f>
        <v>0</v>
      </c>
      <c r="D261" s="39" t="str">
        <f>'Por Valoracion (3) Dimension'!B261</f>
        <v>0</v>
      </c>
      <c r="E261" s="39" t="str">
        <f>'Por Valoracion (3) Dimension 2'!D261</f>
        <v>0</v>
      </c>
      <c r="Z261" s="48"/>
      <c r="AB261" t="str">
        <f>('Gestión de abastecimiento'!A262)</f>
        <v>0</v>
      </c>
      <c r="AC261" s="39" t="str">
        <f>'Por Valoracion (3) Dimension'!D261</f>
        <v>0</v>
      </c>
      <c r="AD261" s="39" t="str">
        <f>'Por Valoracion (3) Dimension 2'!D261</f>
        <v>0</v>
      </c>
      <c r="AY261" s="48"/>
      <c r="BA261" t="str">
        <f>('Gestión de abastecimiento'!A262)</f>
        <v>0</v>
      </c>
      <c r="BB261" s="39" t="str">
        <f>'Por Valoracion (3) Dimension'!F261</f>
        <v>0</v>
      </c>
      <c r="BC261" s="39" t="str">
        <f>'Por Valoracion (3) Dimension 2'!D261</f>
        <v>0</v>
      </c>
      <c r="BX261" s="48"/>
      <c r="BZ261" s="49"/>
      <c r="CB261" t="str">
        <f>('Gestión de abastecimiento'!A262)</f>
        <v>0</v>
      </c>
      <c r="CC261" s="39" t="str">
        <f>'Por Valoracion (3) Dimension 2'!B261</f>
        <v>0</v>
      </c>
      <c r="CD261" s="39" t="str">
        <f>'Por Valoracion (3) Dimension'!H261</f>
        <v>0</v>
      </c>
      <c r="CY261" s="49"/>
    </row>
    <row r="262" spans="1:103">
      <c r="A262" s="48"/>
      <c r="C262" t="str">
        <f>('Gestión de abastecimiento'!A263)</f>
        <v>0</v>
      </c>
      <c r="D262" s="39" t="str">
        <f>'Por Valoracion (3) Dimension'!B262</f>
        <v>0</v>
      </c>
      <c r="E262" s="39" t="str">
        <f>'Por Valoracion (3) Dimension 2'!D262</f>
        <v>0</v>
      </c>
      <c r="Z262" s="48"/>
      <c r="AB262" t="str">
        <f>('Gestión de abastecimiento'!A263)</f>
        <v>0</v>
      </c>
      <c r="AC262" s="39" t="str">
        <f>'Por Valoracion (3) Dimension'!D262</f>
        <v>0</v>
      </c>
      <c r="AD262" s="39" t="str">
        <f>'Por Valoracion (3) Dimension 2'!D262</f>
        <v>0</v>
      </c>
      <c r="AY262" s="48"/>
      <c r="BA262" t="str">
        <f>('Gestión de abastecimiento'!A263)</f>
        <v>0</v>
      </c>
      <c r="BB262" s="39" t="str">
        <f>'Por Valoracion (3) Dimension'!F262</f>
        <v>0</v>
      </c>
      <c r="BC262" s="39" t="str">
        <f>'Por Valoracion (3) Dimension 2'!D262</f>
        <v>0</v>
      </c>
      <c r="BX262" s="48"/>
      <c r="BZ262" s="49"/>
      <c r="CB262" t="str">
        <f>('Gestión de abastecimiento'!A263)</f>
        <v>0</v>
      </c>
      <c r="CC262" s="39" t="str">
        <f>'Por Valoracion (3) Dimension 2'!B262</f>
        <v>0</v>
      </c>
      <c r="CD262" s="39" t="str">
        <f>'Por Valoracion (3) Dimension'!H262</f>
        <v>0</v>
      </c>
      <c r="CY262" s="49"/>
    </row>
    <row r="263" spans="1:103">
      <c r="A263" s="48"/>
      <c r="C263" t="str">
        <f>('Gestión de abastecimiento'!A264)</f>
        <v>0</v>
      </c>
      <c r="D263" s="39" t="str">
        <f>'Por Valoracion (3) Dimension'!B263</f>
        <v>0</v>
      </c>
      <c r="E263" s="39" t="str">
        <f>'Por Valoracion (3) Dimension 2'!D263</f>
        <v>0</v>
      </c>
      <c r="Z263" s="48"/>
      <c r="AB263" t="str">
        <f>('Gestión de abastecimiento'!A264)</f>
        <v>0</v>
      </c>
      <c r="AC263" s="39" t="str">
        <f>'Por Valoracion (3) Dimension'!D263</f>
        <v>0</v>
      </c>
      <c r="AD263" s="39" t="str">
        <f>'Por Valoracion (3) Dimension 2'!D263</f>
        <v>0</v>
      </c>
      <c r="AY263" s="48"/>
      <c r="BA263" t="str">
        <f>('Gestión de abastecimiento'!A264)</f>
        <v>0</v>
      </c>
      <c r="BB263" s="39" t="str">
        <f>'Por Valoracion (3) Dimension'!F263</f>
        <v>0</v>
      </c>
      <c r="BC263" s="39" t="str">
        <f>'Por Valoracion (3) Dimension 2'!D263</f>
        <v>0</v>
      </c>
      <c r="BX263" s="48"/>
      <c r="BZ263" s="49"/>
      <c r="CB263" t="str">
        <f>('Gestión de abastecimiento'!A264)</f>
        <v>0</v>
      </c>
      <c r="CC263" s="39" t="str">
        <f>'Por Valoracion (3) Dimension 2'!B263</f>
        <v>0</v>
      </c>
      <c r="CD263" s="39" t="str">
        <f>'Por Valoracion (3) Dimension'!H263</f>
        <v>0</v>
      </c>
      <c r="CY263" s="49"/>
    </row>
    <row r="264" spans="1:103">
      <c r="A264" s="48"/>
      <c r="C264" t="str">
        <f>('Gestión de abastecimiento'!A265)</f>
        <v>0</v>
      </c>
      <c r="D264" s="39" t="str">
        <f>'Por Valoracion (3) Dimension'!B264</f>
        <v>0</v>
      </c>
      <c r="E264" s="39" t="str">
        <f>'Por Valoracion (3) Dimension 2'!D264</f>
        <v>0</v>
      </c>
      <c r="Z264" s="48"/>
      <c r="AB264" t="str">
        <f>('Gestión de abastecimiento'!A265)</f>
        <v>0</v>
      </c>
      <c r="AC264" s="39" t="str">
        <f>'Por Valoracion (3) Dimension'!D264</f>
        <v>0</v>
      </c>
      <c r="AD264" s="39" t="str">
        <f>'Por Valoracion (3) Dimension 2'!D264</f>
        <v>0</v>
      </c>
      <c r="AY264" s="48"/>
      <c r="BA264" t="str">
        <f>('Gestión de abastecimiento'!A265)</f>
        <v>0</v>
      </c>
      <c r="BB264" s="39" t="str">
        <f>'Por Valoracion (3) Dimension'!F264</f>
        <v>0</v>
      </c>
      <c r="BC264" s="39" t="str">
        <f>'Por Valoracion (3) Dimension 2'!D264</f>
        <v>0</v>
      </c>
      <c r="BX264" s="48"/>
      <c r="BZ264" s="49"/>
      <c r="CB264" t="str">
        <f>('Gestión de abastecimiento'!A265)</f>
        <v>0</v>
      </c>
      <c r="CC264" s="39" t="str">
        <f>'Por Valoracion (3) Dimension 2'!B264</f>
        <v>0</v>
      </c>
      <c r="CD264" s="39" t="str">
        <f>'Por Valoracion (3) Dimension'!H264</f>
        <v>0</v>
      </c>
      <c r="CY264" s="49"/>
    </row>
    <row r="265" spans="1:103">
      <c r="A265" s="48"/>
      <c r="C265" t="str">
        <f>('Gestión de abastecimiento'!A266)</f>
        <v>0</v>
      </c>
      <c r="D265" s="39" t="str">
        <f>'Por Valoracion (3) Dimension'!B265</f>
        <v>0</v>
      </c>
      <c r="E265" s="39" t="str">
        <f>'Por Valoracion (3) Dimension 2'!D265</f>
        <v>0</v>
      </c>
      <c r="Z265" s="48"/>
      <c r="AB265" t="str">
        <f>('Gestión de abastecimiento'!A266)</f>
        <v>0</v>
      </c>
      <c r="AC265" s="39" t="str">
        <f>'Por Valoracion (3) Dimension'!D265</f>
        <v>0</v>
      </c>
      <c r="AD265" s="39" t="str">
        <f>'Por Valoracion (3) Dimension 2'!D265</f>
        <v>0</v>
      </c>
      <c r="AY265" s="48"/>
      <c r="BA265" t="str">
        <f>('Gestión de abastecimiento'!A266)</f>
        <v>0</v>
      </c>
      <c r="BB265" s="39" t="str">
        <f>'Por Valoracion (3) Dimension'!F265</f>
        <v>0</v>
      </c>
      <c r="BC265" s="39" t="str">
        <f>'Por Valoracion (3) Dimension 2'!D265</f>
        <v>0</v>
      </c>
      <c r="BX265" s="48"/>
      <c r="BZ265" s="49"/>
      <c r="CB265" t="str">
        <f>('Gestión de abastecimiento'!A266)</f>
        <v>0</v>
      </c>
      <c r="CC265" s="39" t="str">
        <f>'Por Valoracion (3) Dimension 2'!B265</f>
        <v>0</v>
      </c>
      <c r="CD265" s="39" t="str">
        <f>'Por Valoracion (3) Dimension'!H265</f>
        <v>0</v>
      </c>
      <c r="CY265" s="49"/>
    </row>
    <row r="266" spans="1:103">
      <c r="A266" s="48"/>
      <c r="C266" t="str">
        <f>('Gestión de abastecimiento'!A267)</f>
        <v>0</v>
      </c>
      <c r="D266" s="39" t="str">
        <f>'Por Valoracion (3) Dimension'!B266</f>
        <v>0</v>
      </c>
      <c r="E266" s="39" t="str">
        <f>'Por Valoracion (3) Dimension 2'!D266</f>
        <v>0</v>
      </c>
      <c r="Z266" s="48"/>
      <c r="AB266" t="str">
        <f>('Gestión de abastecimiento'!A267)</f>
        <v>0</v>
      </c>
      <c r="AC266" s="39" t="str">
        <f>'Por Valoracion (3) Dimension'!D266</f>
        <v>0</v>
      </c>
      <c r="AD266" s="39" t="str">
        <f>'Por Valoracion (3) Dimension 2'!D266</f>
        <v>0</v>
      </c>
      <c r="AY266" s="48"/>
      <c r="BA266" t="str">
        <f>('Gestión de abastecimiento'!A267)</f>
        <v>0</v>
      </c>
      <c r="BB266" s="39" t="str">
        <f>'Por Valoracion (3) Dimension'!F266</f>
        <v>0</v>
      </c>
      <c r="BC266" s="39" t="str">
        <f>'Por Valoracion (3) Dimension 2'!D266</f>
        <v>0</v>
      </c>
      <c r="BX266" s="48"/>
      <c r="BZ266" s="49"/>
      <c r="CB266" t="str">
        <f>('Gestión de abastecimiento'!A267)</f>
        <v>0</v>
      </c>
      <c r="CC266" s="39" t="str">
        <f>'Por Valoracion (3) Dimension 2'!B266</f>
        <v>0</v>
      </c>
      <c r="CD266" s="39" t="str">
        <f>'Por Valoracion (3) Dimension'!H266</f>
        <v>0</v>
      </c>
      <c r="CY266" s="49"/>
    </row>
    <row r="267" spans="1:103">
      <c r="A267" s="48"/>
      <c r="C267" t="str">
        <f>('Gestión de abastecimiento'!A268)</f>
        <v>0</v>
      </c>
      <c r="D267" s="39" t="str">
        <f>'Por Valoracion (3) Dimension'!B267</f>
        <v>0</v>
      </c>
      <c r="E267" s="39" t="str">
        <f>'Por Valoracion (3) Dimension 2'!D267</f>
        <v>0</v>
      </c>
      <c r="Z267" s="48"/>
      <c r="AB267" t="str">
        <f>('Gestión de abastecimiento'!A268)</f>
        <v>0</v>
      </c>
      <c r="AC267" s="39" t="str">
        <f>'Por Valoracion (3) Dimension'!D267</f>
        <v>0</v>
      </c>
      <c r="AD267" s="39" t="str">
        <f>'Por Valoracion (3) Dimension 2'!D267</f>
        <v>0</v>
      </c>
      <c r="AY267" s="48"/>
      <c r="BA267" t="str">
        <f>('Gestión de abastecimiento'!A268)</f>
        <v>0</v>
      </c>
      <c r="BB267" s="39" t="str">
        <f>'Por Valoracion (3) Dimension'!F267</f>
        <v>0</v>
      </c>
      <c r="BC267" s="39" t="str">
        <f>'Por Valoracion (3) Dimension 2'!D267</f>
        <v>0</v>
      </c>
      <c r="BX267" s="48"/>
      <c r="BZ267" s="49"/>
      <c r="CB267" t="str">
        <f>('Gestión de abastecimiento'!A268)</f>
        <v>0</v>
      </c>
      <c r="CC267" s="39" t="str">
        <f>'Por Valoracion (3) Dimension 2'!B267</f>
        <v>0</v>
      </c>
      <c r="CD267" s="39" t="str">
        <f>'Por Valoracion (3) Dimension'!H267</f>
        <v>0</v>
      </c>
      <c r="CY267" s="49"/>
    </row>
    <row r="268" spans="1:103">
      <c r="A268" s="48"/>
      <c r="C268" t="str">
        <f>('Gestión de abastecimiento'!A269)</f>
        <v>0</v>
      </c>
      <c r="D268" s="39" t="str">
        <f>'Por Valoracion (3) Dimension'!B268</f>
        <v>0</v>
      </c>
      <c r="E268" s="39" t="str">
        <f>'Por Valoracion (3) Dimension 2'!D268</f>
        <v>0</v>
      </c>
      <c r="Z268" s="48"/>
      <c r="AB268" t="str">
        <f>('Gestión de abastecimiento'!A269)</f>
        <v>0</v>
      </c>
      <c r="AC268" s="39" t="str">
        <f>'Por Valoracion (3) Dimension'!D268</f>
        <v>0</v>
      </c>
      <c r="AD268" s="39" t="str">
        <f>'Por Valoracion (3) Dimension 2'!D268</f>
        <v>0</v>
      </c>
      <c r="AY268" s="48"/>
      <c r="BA268" t="str">
        <f>('Gestión de abastecimiento'!A269)</f>
        <v>0</v>
      </c>
      <c r="BB268" s="39" t="str">
        <f>'Por Valoracion (3) Dimension'!F268</f>
        <v>0</v>
      </c>
      <c r="BC268" s="39" t="str">
        <f>'Por Valoracion (3) Dimension 2'!D268</f>
        <v>0</v>
      </c>
      <c r="BX268" s="48"/>
      <c r="BZ268" s="49"/>
      <c r="CB268" t="str">
        <f>('Gestión de abastecimiento'!A269)</f>
        <v>0</v>
      </c>
      <c r="CC268" s="39" t="str">
        <f>'Por Valoracion (3) Dimension 2'!B268</f>
        <v>0</v>
      </c>
      <c r="CD268" s="39" t="str">
        <f>'Por Valoracion (3) Dimension'!H268</f>
        <v>0</v>
      </c>
      <c r="CY268" s="49"/>
    </row>
    <row r="269" spans="1:103">
      <c r="A269" s="48"/>
      <c r="C269" t="str">
        <f>('Gestión de abastecimiento'!A270)</f>
        <v>0</v>
      </c>
      <c r="D269" s="39" t="str">
        <f>'Por Valoracion (3) Dimension'!B269</f>
        <v>0</v>
      </c>
      <c r="E269" s="39" t="str">
        <f>'Por Valoracion (3) Dimension 2'!D269</f>
        <v>0</v>
      </c>
      <c r="Z269" s="48"/>
      <c r="AB269" t="str">
        <f>('Gestión de abastecimiento'!A270)</f>
        <v>0</v>
      </c>
      <c r="AC269" s="39" t="str">
        <f>'Por Valoracion (3) Dimension'!D269</f>
        <v>0</v>
      </c>
      <c r="AD269" s="39" t="str">
        <f>'Por Valoracion (3) Dimension 2'!D269</f>
        <v>0</v>
      </c>
      <c r="AY269" s="48"/>
      <c r="BA269" t="str">
        <f>('Gestión de abastecimiento'!A270)</f>
        <v>0</v>
      </c>
      <c r="BB269" s="39" t="str">
        <f>'Por Valoracion (3) Dimension'!F269</f>
        <v>0</v>
      </c>
      <c r="BC269" s="39" t="str">
        <f>'Por Valoracion (3) Dimension 2'!D269</f>
        <v>0</v>
      </c>
      <c r="BX269" s="48"/>
      <c r="BZ269" s="49"/>
      <c r="CB269" t="str">
        <f>('Gestión de abastecimiento'!A270)</f>
        <v>0</v>
      </c>
      <c r="CC269" s="39" t="str">
        <f>'Por Valoracion (3) Dimension 2'!B269</f>
        <v>0</v>
      </c>
      <c r="CD269" s="39" t="str">
        <f>'Por Valoracion (3) Dimension'!H269</f>
        <v>0</v>
      </c>
      <c r="CY269" s="49"/>
    </row>
    <row r="270" spans="1:103">
      <c r="A270" s="48"/>
      <c r="C270" t="str">
        <f>('Gestión de abastecimiento'!A271)</f>
        <v>0</v>
      </c>
      <c r="D270" s="39" t="str">
        <f>'Por Valoracion (3) Dimension'!B270</f>
        <v>0</v>
      </c>
      <c r="E270" s="39" t="str">
        <f>'Por Valoracion (3) Dimension 2'!D270</f>
        <v>0</v>
      </c>
      <c r="Z270" s="48"/>
      <c r="AB270" t="str">
        <f>('Gestión de abastecimiento'!A271)</f>
        <v>0</v>
      </c>
      <c r="AC270" s="39" t="str">
        <f>'Por Valoracion (3) Dimension'!D270</f>
        <v>0</v>
      </c>
      <c r="AD270" s="39" t="str">
        <f>'Por Valoracion (3) Dimension 2'!D270</f>
        <v>0</v>
      </c>
      <c r="AY270" s="48"/>
      <c r="BA270" t="str">
        <f>('Gestión de abastecimiento'!A271)</f>
        <v>0</v>
      </c>
      <c r="BB270" s="39" t="str">
        <f>'Por Valoracion (3) Dimension'!F270</f>
        <v>0</v>
      </c>
      <c r="BC270" s="39" t="str">
        <f>'Por Valoracion (3) Dimension 2'!D270</f>
        <v>0</v>
      </c>
      <c r="BX270" s="48"/>
      <c r="BZ270" s="49"/>
      <c r="CB270" t="str">
        <f>('Gestión de abastecimiento'!A271)</f>
        <v>0</v>
      </c>
      <c r="CC270" s="39" t="str">
        <f>'Por Valoracion (3) Dimension 2'!B270</f>
        <v>0</v>
      </c>
      <c r="CD270" s="39" t="str">
        <f>'Por Valoracion (3) Dimension'!H270</f>
        <v>0</v>
      </c>
      <c r="CY270" s="49"/>
    </row>
    <row r="271" spans="1:103">
      <c r="A271" s="48"/>
      <c r="C271" t="str">
        <f>('Gestión de abastecimiento'!A272)</f>
        <v>0</v>
      </c>
      <c r="D271" s="39" t="str">
        <f>'Por Valoracion (3) Dimension'!B271</f>
        <v>0</v>
      </c>
      <c r="E271" s="39" t="str">
        <f>'Por Valoracion (3) Dimension 2'!D271</f>
        <v>0</v>
      </c>
      <c r="Z271" s="48"/>
      <c r="AB271" t="str">
        <f>('Gestión de abastecimiento'!A272)</f>
        <v>0</v>
      </c>
      <c r="AC271" s="39" t="str">
        <f>'Por Valoracion (3) Dimension'!D271</f>
        <v>0</v>
      </c>
      <c r="AD271" s="39" t="str">
        <f>'Por Valoracion (3) Dimension 2'!D271</f>
        <v>0</v>
      </c>
      <c r="AY271" s="48"/>
      <c r="BA271" t="str">
        <f>('Gestión de abastecimiento'!A272)</f>
        <v>0</v>
      </c>
      <c r="BB271" s="39" t="str">
        <f>'Por Valoracion (3) Dimension'!F271</f>
        <v>0</v>
      </c>
      <c r="BC271" s="39" t="str">
        <f>'Por Valoracion (3) Dimension 2'!D271</f>
        <v>0</v>
      </c>
      <c r="BX271" s="48"/>
      <c r="BZ271" s="49"/>
      <c r="CB271" t="str">
        <f>('Gestión de abastecimiento'!A272)</f>
        <v>0</v>
      </c>
      <c r="CC271" s="39" t="str">
        <f>'Por Valoracion (3) Dimension 2'!B271</f>
        <v>0</v>
      </c>
      <c r="CD271" s="39" t="str">
        <f>'Por Valoracion (3) Dimension'!H271</f>
        <v>0</v>
      </c>
      <c r="CY271" s="49"/>
    </row>
    <row r="272" spans="1:103">
      <c r="A272" s="48"/>
      <c r="C272" t="str">
        <f>('Gestión de abastecimiento'!A273)</f>
        <v>0</v>
      </c>
      <c r="D272" s="39" t="str">
        <f>'Por Valoracion (3) Dimension'!B272</f>
        <v>0</v>
      </c>
      <c r="E272" s="39" t="str">
        <f>'Por Valoracion (3) Dimension 2'!D272</f>
        <v>0</v>
      </c>
      <c r="Z272" s="48"/>
      <c r="AB272" t="str">
        <f>('Gestión de abastecimiento'!A273)</f>
        <v>0</v>
      </c>
      <c r="AC272" s="39" t="str">
        <f>'Por Valoracion (3) Dimension'!D272</f>
        <v>0</v>
      </c>
      <c r="AD272" s="39" t="str">
        <f>'Por Valoracion (3) Dimension 2'!D272</f>
        <v>0</v>
      </c>
      <c r="AY272" s="48"/>
      <c r="BA272" t="str">
        <f>('Gestión de abastecimiento'!A273)</f>
        <v>0</v>
      </c>
      <c r="BB272" s="39" t="str">
        <f>'Por Valoracion (3) Dimension'!F272</f>
        <v>0</v>
      </c>
      <c r="BC272" s="39" t="str">
        <f>'Por Valoracion (3) Dimension 2'!D272</f>
        <v>0</v>
      </c>
      <c r="BX272" s="48"/>
      <c r="BZ272" s="49"/>
      <c r="CB272" t="str">
        <f>('Gestión de abastecimiento'!A273)</f>
        <v>0</v>
      </c>
      <c r="CC272" s="39" t="str">
        <f>'Por Valoracion (3) Dimension 2'!B272</f>
        <v>0</v>
      </c>
      <c r="CD272" s="39" t="str">
        <f>'Por Valoracion (3) Dimension'!H272</f>
        <v>0</v>
      </c>
      <c r="CY272" s="49"/>
    </row>
    <row r="273" spans="1:103">
      <c r="A273" s="48"/>
      <c r="C273" t="str">
        <f>('Gestión de abastecimiento'!A274)</f>
        <v>0</v>
      </c>
      <c r="D273" s="39" t="str">
        <f>'Por Valoracion (3) Dimension'!B273</f>
        <v>0</v>
      </c>
      <c r="E273" s="39" t="str">
        <f>'Por Valoracion (3) Dimension 2'!D273</f>
        <v>0</v>
      </c>
      <c r="Z273" s="48"/>
      <c r="AB273" t="str">
        <f>('Gestión de abastecimiento'!A274)</f>
        <v>0</v>
      </c>
      <c r="AC273" s="39" t="str">
        <f>'Por Valoracion (3) Dimension'!D273</f>
        <v>0</v>
      </c>
      <c r="AD273" s="39" t="str">
        <f>'Por Valoracion (3) Dimension 2'!D273</f>
        <v>0</v>
      </c>
      <c r="AY273" s="48"/>
      <c r="BA273" t="str">
        <f>('Gestión de abastecimiento'!A274)</f>
        <v>0</v>
      </c>
      <c r="BB273" s="39" t="str">
        <f>'Por Valoracion (3) Dimension'!F273</f>
        <v>0</v>
      </c>
      <c r="BC273" s="39" t="str">
        <f>'Por Valoracion (3) Dimension 2'!D273</f>
        <v>0</v>
      </c>
      <c r="BX273" s="48"/>
      <c r="BZ273" s="49"/>
      <c r="CB273" t="str">
        <f>('Gestión de abastecimiento'!A274)</f>
        <v>0</v>
      </c>
      <c r="CC273" s="39" t="str">
        <f>'Por Valoracion (3) Dimension 2'!B273</f>
        <v>0</v>
      </c>
      <c r="CD273" s="39" t="str">
        <f>'Por Valoracion (3) Dimension'!H273</f>
        <v>0</v>
      </c>
      <c r="CY273" s="49"/>
    </row>
    <row r="274" spans="1:103">
      <c r="A274" s="48"/>
      <c r="C274" t="str">
        <f>('Gestión de abastecimiento'!A275)</f>
        <v>0</v>
      </c>
      <c r="D274" s="39" t="str">
        <f>'Por Valoracion (3) Dimension'!B274</f>
        <v>0</v>
      </c>
      <c r="E274" s="39" t="str">
        <f>'Por Valoracion (3) Dimension 2'!D274</f>
        <v>0</v>
      </c>
      <c r="Z274" s="48"/>
      <c r="AB274" t="str">
        <f>('Gestión de abastecimiento'!A275)</f>
        <v>0</v>
      </c>
      <c r="AC274" s="39" t="str">
        <f>'Por Valoracion (3) Dimension'!D274</f>
        <v>0</v>
      </c>
      <c r="AD274" s="39" t="str">
        <f>'Por Valoracion (3) Dimension 2'!D274</f>
        <v>0</v>
      </c>
      <c r="AY274" s="48"/>
      <c r="BA274" t="str">
        <f>('Gestión de abastecimiento'!A275)</f>
        <v>0</v>
      </c>
      <c r="BB274" s="39" t="str">
        <f>'Por Valoracion (3) Dimension'!F274</f>
        <v>0</v>
      </c>
      <c r="BC274" s="39" t="str">
        <f>'Por Valoracion (3) Dimension 2'!D274</f>
        <v>0</v>
      </c>
      <c r="BX274" s="48"/>
      <c r="BZ274" s="49"/>
      <c r="CB274" t="str">
        <f>('Gestión de abastecimiento'!A275)</f>
        <v>0</v>
      </c>
      <c r="CC274" s="39" t="str">
        <f>'Por Valoracion (3) Dimension 2'!B274</f>
        <v>0</v>
      </c>
      <c r="CD274" s="39" t="str">
        <f>'Por Valoracion (3) Dimension'!H274</f>
        <v>0</v>
      </c>
      <c r="CY274" s="49"/>
    </row>
    <row r="275" spans="1:103">
      <c r="A275" s="48"/>
      <c r="C275" t="str">
        <f>('Gestión de abastecimiento'!A276)</f>
        <v>0</v>
      </c>
      <c r="D275" s="39" t="str">
        <f>'Por Valoracion (3) Dimension'!B275</f>
        <v>0</v>
      </c>
      <c r="E275" s="39" t="str">
        <f>'Por Valoracion (3) Dimension 2'!D275</f>
        <v>0</v>
      </c>
      <c r="Z275" s="48"/>
      <c r="AB275" t="str">
        <f>('Gestión de abastecimiento'!A276)</f>
        <v>0</v>
      </c>
      <c r="AC275" s="39" t="str">
        <f>'Por Valoracion (3) Dimension'!D275</f>
        <v>0</v>
      </c>
      <c r="AD275" s="39" t="str">
        <f>'Por Valoracion (3) Dimension 2'!D275</f>
        <v>0</v>
      </c>
      <c r="AY275" s="48"/>
      <c r="BA275" t="str">
        <f>('Gestión de abastecimiento'!A276)</f>
        <v>0</v>
      </c>
      <c r="BB275" s="39" t="str">
        <f>'Por Valoracion (3) Dimension'!F275</f>
        <v>0</v>
      </c>
      <c r="BC275" s="39" t="str">
        <f>'Por Valoracion (3) Dimension 2'!D275</f>
        <v>0</v>
      </c>
      <c r="BX275" s="48"/>
      <c r="BZ275" s="49"/>
      <c r="CB275" t="str">
        <f>('Gestión de abastecimiento'!A276)</f>
        <v>0</v>
      </c>
      <c r="CC275" s="39" t="str">
        <f>'Por Valoracion (3) Dimension 2'!B275</f>
        <v>0</v>
      </c>
      <c r="CD275" s="39" t="str">
        <f>'Por Valoracion (3) Dimension'!H275</f>
        <v>0</v>
      </c>
      <c r="CY275" s="49"/>
    </row>
    <row r="276" spans="1:103">
      <c r="A276" s="48"/>
      <c r="C276" t="str">
        <f>('Gestión de abastecimiento'!A277)</f>
        <v>0</v>
      </c>
      <c r="D276" s="39" t="str">
        <f>'Por Valoracion (3) Dimension'!B276</f>
        <v>0</v>
      </c>
      <c r="E276" s="39" t="str">
        <f>'Por Valoracion (3) Dimension 2'!D276</f>
        <v>0</v>
      </c>
      <c r="Z276" s="48"/>
      <c r="AB276" t="str">
        <f>('Gestión de abastecimiento'!A277)</f>
        <v>0</v>
      </c>
      <c r="AC276" s="39" t="str">
        <f>'Por Valoracion (3) Dimension'!D276</f>
        <v>0</v>
      </c>
      <c r="AD276" s="39" t="str">
        <f>'Por Valoracion (3) Dimension 2'!D276</f>
        <v>0</v>
      </c>
      <c r="AY276" s="48"/>
      <c r="BA276" t="str">
        <f>('Gestión de abastecimiento'!A277)</f>
        <v>0</v>
      </c>
      <c r="BB276" s="39" t="str">
        <f>'Por Valoracion (3) Dimension'!F276</f>
        <v>0</v>
      </c>
      <c r="BC276" s="39" t="str">
        <f>'Por Valoracion (3) Dimension 2'!D276</f>
        <v>0</v>
      </c>
      <c r="BX276" s="48"/>
      <c r="BZ276" s="49"/>
      <c r="CB276" t="str">
        <f>('Gestión de abastecimiento'!A277)</f>
        <v>0</v>
      </c>
      <c r="CC276" s="39" t="str">
        <f>'Por Valoracion (3) Dimension 2'!B276</f>
        <v>0</v>
      </c>
      <c r="CD276" s="39" t="str">
        <f>'Por Valoracion (3) Dimension'!H276</f>
        <v>0</v>
      </c>
      <c r="CY276" s="49"/>
    </row>
    <row r="277" spans="1:103">
      <c r="A277" s="48"/>
      <c r="C277" t="str">
        <f>('Gestión de abastecimiento'!A278)</f>
        <v>0</v>
      </c>
      <c r="D277" s="39" t="str">
        <f>'Por Valoracion (3) Dimension'!B277</f>
        <v>0</v>
      </c>
      <c r="E277" s="39" t="str">
        <f>'Por Valoracion (3) Dimension 2'!D277</f>
        <v>0</v>
      </c>
      <c r="Z277" s="48"/>
      <c r="AB277" t="str">
        <f>('Gestión de abastecimiento'!A278)</f>
        <v>0</v>
      </c>
      <c r="AC277" s="39" t="str">
        <f>'Por Valoracion (3) Dimension'!D277</f>
        <v>0</v>
      </c>
      <c r="AD277" s="39" t="str">
        <f>'Por Valoracion (3) Dimension 2'!D277</f>
        <v>0</v>
      </c>
      <c r="AY277" s="48"/>
      <c r="BA277" t="str">
        <f>('Gestión de abastecimiento'!A278)</f>
        <v>0</v>
      </c>
      <c r="BB277" s="39" t="str">
        <f>'Por Valoracion (3) Dimension'!F277</f>
        <v>0</v>
      </c>
      <c r="BC277" s="39" t="str">
        <f>'Por Valoracion (3) Dimension 2'!D277</f>
        <v>0</v>
      </c>
      <c r="BX277" s="48"/>
      <c r="BZ277" s="49"/>
      <c r="CB277" t="str">
        <f>('Gestión de abastecimiento'!A278)</f>
        <v>0</v>
      </c>
      <c r="CC277" s="39" t="str">
        <f>'Por Valoracion (3) Dimension 2'!B277</f>
        <v>0</v>
      </c>
      <c r="CD277" s="39" t="str">
        <f>'Por Valoracion (3) Dimension'!H277</f>
        <v>0</v>
      </c>
      <c r="CY277" s="49"/>
    </row>
    <row r="278" spans="1:103">
      <c r="A278" s="48"/>
      <c r="C278" t="str">
        <f>('Gestión de abastecimiento'!A279)</f>
        <v>0</v>
      </c>
      <c r="D278" s="39" t="str">
        <f>'Por Valoracion (3) Dimension'!B278</f>
        <v>0</v>
      </c>
      <c r="E278" s="39" t="str">
        <f>'Por Valoracion (3) Dimension 2'!D278</f>
        <v>0</v>
      </c>
      <c r="Z278" s="48"/>
      <c r="AB278" t="str">
        <f>('Gestión de abastecimiento'!A279)</f>
        <v>0</v>
      </c>
      <c r="AC278" s="39" t="str">
        <f>'Por Valoracion (3) Dimension'!D278</f>
        <v>0</v>
      </c>
      <c r="AD278" s="39" t="str">
        <f>'Por Valoracion (3) Dimension 2'!D278</f>
        <v>0</v>
      </c>
      <c r="AY278" s="48"/>
      <c r="BA278" t="str">
        <f>('Gestión de abastecimiento'!A279)</f>
        <v>0</v>
      </c>
      <c r="BB278" s="39" t="str">
        <f>'Por Valoracion (3) Dimension'!F278</f>
        <v>0</v>
      </c>
      <c r="BC278" s="39" t="str">
        <f>'Por Valoracion (3) Dimension 2'!D278</f>
        <v>0</v>
      </c>
      <c r="BX278" s="48"/>
      <c r="BZ278" s="49"/>
      <c r="CB278" t="str">
        <f>('Gestión de abastecimiento'!A279)</f>
        <v>0</v>
      </c>
      <c r="CC278" s="39" t="str">
        <f>'Por Valoracion (3) Dimension 2'!B278</f>
        <v>0</v>
      </c>
      <c r="CD278" s="39" t="str">
        <f>'Por Valoracion (3) Dimension'!H278</f>
        <v>0</v>
      </c>
      <c r="CY278" s="49"/>
    </row>
    <row r="279" spans="1:103">
      <c r="A279" s="48"/>
      <c r="C279" t="str">
        <f>('Gestión de abastecimiento'!A280)</f>
        <v>0</v>
      </c>
      <c r="D279" s="39" t="str">
        <f>'Por Valoracion (3) Dimension'!B279</f>
        <v>0</v>
      </c>
      <c r="E279" s="39" t="str">
        <f>'Por Valoracion (3) Dimension 2'!D279</f>
        <v>0</v>
      </c>
      <c r="Z279" s="48"/>
      <c r="AB279" t="str">
        <f>('Gestión de abastecimiento'!A280)</f>
        <v>0</v>
      </c>
      <c r="AC279" s="39" t="str">
        <f>'Por Valoracion (3) Dimension'!D279</f>
        <v>0</v>
      </c>
      <c r="AD279" s="39" t="str">
        <f>'Por Valoracion (3) Dimension 2'!D279</f>
        <v>0</v>
      </c>
      <c r="AY279" s="48"/>
      <c r="BA279" t="str">
        <f>('Gestión de abastecimiento'!A280)</f>
        <v>0</v>
      </c>
      <c r="BB279" s="39" t="str">
        <f>'Por Valoracion (3) Dimension'!F279</f>
        <v>0</v>
      </c>
      <c r="BC279" s="39" t="str">
        <f>'Por Valoracion (3) Dimension 2'!D279</f>
        <v>0</v>
      </c>
      <c r="BX279" s="48"/>
      <c r="BZ279" s="49"/>
      <c r="CB279" t="str">
        <f>('Gestión de abastecimiento'!A280)</f>
        <v>0</v>
      </c>
      <c r="CC279" s="39" t="str">
        <f>'Por Valoracion (3) Dimension 2'!B279</f>
        <v>0</v>
      </c>
      <c r="CD279" s="39" t="str">
        <f>'Por Valoracion (3) Dimension'!H279</f>
        <v>0</v>
      </c>
      <c r="CY279" s="49"/>
    </row>
    <row r="280" spans="1:103">
      <c r="A280" s="48"/>
      <c r="C280" t="str">
        <f>('Gestión de abastecimiento'!A281)</f>
        <v>0</v>
      </c>
      <c r="D280" s="39" t="str">
        <f>'Por Valoracion (3) Dimension'!B280</f>
        <v>0</v>
      </c>
      <c r="E280" s="39" t="str">
        <f>'Por Valoracion (3) Dimension 2'!D280</f>
        <v>0</v>
      </c>
      <c r="Z280" s="48"/>
      <c r="AB280" t="str">
        <f>('Gestión de abastecimiento'!A281)</f>
        <v>0</v>
      </c>
      <c r="AC280" s="39" t="str">
        <f>'Por Valoracion (3) Dimension'!D280</f>
        <v>0</v>
      </c>
      <c r="AD280" s="39" t="str">
        <f>'Por Valoracion (3) Dimension 2'!D280</f>
        <v>0</v>
      </c>
      <c r="AY280" s="48"/>
      <c r="BA280" t="str">
        <f>('Gestión de abastecimiento'!A281)</f>
        <v>0</v>
      </c>
      <c r="BB280" s="39" t="str">
        <f>'Por Valoracion (3) Dimension'!F280</f>
        <v>0</v>
      </c>
      <c r="BC280" s="39" t="str">
        <f>'Por Valoracion (3) Dimension 2'!D280</f>
        <v>0</v>
      </c>
      <c r="BX280" s="48"/>
      <c r="BZ280" s="49"/>
      <c r="CB280" t="str">
        <f>('Gestión de abastecimiento'!A281)</f>
        <v>0</v>
      </c>
      <c r="CC280" s="39" t="str">
        <f>'Por Valoracion (3) Dimension 2'!B280</f>
        <v>0</v>
      </c>
      <c r="CD280" s="39" t="str">
        <f>'Por Valoracion (3) Dimension'!H280</f>
        <v>0</v>
      </c>
      <c r="CY280" s="49"/>
    </row>
    <row r="281" spans="1:103">
      <c r="A281" s="48"/>
      <c r="C281" t="str">
        <f>('Gestión de abastecimiento'!A282)</f>
        <v>0</v>
      </c>
      <c r="D281" s="39" t="str">
        <f>'Por Valoracion (3) Dimension'!B281</f>
        <v>0</v>
      </c>
      <c r="E281" s="39" t="str">
        <f>'Por Valoracion (3) Dimension 2'!D281</f>
        <v>0</v>
      </c>
      <c r="Z281" s="48"/>
      <c r="AB281" t="str">
        <f>('Gestión de abastecimiento'!A282)</f>
        <v>0</v>
      </c>
      <c r="AC281" s="39" t="str">
        <f>'Por Valoracion (3) Dimension'!D281</f>
        <v>0</v>
      </c>
      <c r="AD281" s="39" t="str">
        <f>'Por Valoracion (3) Dimension 2'!D281</f>
        <v>0</v>
      </c>
      <c r="AY281" s="48"/>
      <c r="BA281" t="str">
        <f>('Gestión de abastecimiento'!A282)</f>
        <v>0</v>
      </c>
      <c r="BB281" s="39" t="str">
        <f>'Por Valoracion (3) Dimension'!F281</f>
        <v>0</v>
      </c>
      <c r="BC281" s="39" t="str">
        <f>'Por Valoracion (3) Dimension 2'!D281</f>
        <v>0</v>
      </c>
      <c r="BX281" s="48"/>
      <c r="BZ281" s="49"/>
      <c r="CB281" t="str">
        <f>('Gestión de abastecimiento'!A282)</f>
        <v>0</v>
      </c>
      <c r="CC281" s="39" t="str">
        <f>'Por Valoracion (3) Dimension 2'!B281</f>
        <v>0</v>
      </c>
      <c r="CD281" s="39" t="str">
        <f>'Por Valoracion (3) Dimension'!H281</f>
        <v>0</v>
      </c>
      <c r="CY281" s="49"/>
    </row>
    <row r="282" spans="1:103">
      <c r="A282" s="48"/>
      <c r="C282" t="str">
        <f>('Gestión de abastecimiento'!A283)</f>
        <v>0</v>
      </c>
      <c r="D282" s="39" t="str">
        <f>'Por Valoracion (3) Dimension'!B282</f>
        <v>0</v>
      </c>
      <c r="E282" s="39" t="str">
        <f>'Por Valoracion (3) Dimension 2'!D282</f>
        <v>0</v>
      </c>
      <c r="Z282" s="48"/>
      <c r="AB282" t="str">
        <f>('Gestión de abastecimiento'!A283)</f>
        <v>0</v>
      </c>
      <c r="AC282" s="39" t="str">
        <f>'Por Valoracion (3) Dimension'!D282</f>
        <v>0</v>
      </c>
      <c r="AD282" s="39" t="str">
        <f>'Por Valoracion (3) Dimension 2'!D282</f>
        <v>0</v>
      </c>
      <c r="AY282" s="48"/>
      <c r="BA282" t="str">
        <f>('Gestión de abastecimiento'!A283)</f>
        <v>0</v>
      </c>
      <c r="BB282" s="39" t="str">
        <f>'Por Valoracion (3) Dimension'!F282</f>
        <v>0</v>
      </c>
      <c r="BC282" s="39" t="str">
        <f>'Por Valoracion (3) Dimension 2'!D282</f>
        <v>0</v>
      </c>
      <c r="BX282" s="48"/>
      <c r="BZ282" s="49"/>
      <c r="CB282" t="str">
        <f>('Gestión de abastecimiento'!A283)</f>
        <v>0</v>
      </c>
      <c r="CC282" s="39" t="str">
        <f>'Por Valoracion (3) Dimension 2'!B282</f>
        <v>0</v>
      </c>
      <c r="CD282" s="39" t="str">
        <f>'Por Valoracion (3) Dimension'!H282</f>
        <v>0</v>
      </c>
      <c r="CY282" s="49"/>
    </row>
    <row r="283" spans="1:103">
      <c r="A283" s="48"/>
      <c r="C283" t="str">
        <f>('Gestión de abastecimiento'!A284)</f>
        <v>0</v>
      </c>
      <c r="D283" s="39" t="str">
        <f>'Por Valoracion (3) Dimension'!B283</f>
        <v>0</v>
      </c>
      <c r="E283" s="39" t="str">
        <f>'Por Valoracion (3) Dimension 2'!D283</f>
        <v>0</v>
      </c>
      <c r="Z283" s="48"/>
      <c r="AB283" t="str">
        <f>('Gestión de abastecimiento'!A284)</f>
        <v>0</v>
      </c>
      <c r="AC283" s="39" t="str">
        <f>'Por Valoracion (3) Dimension'!D283</f>
        <v>0</v>
      </c>
      <c r="AD283" s="39" t="str">
        <f>'Por Valoracion (3) Dimension 2'!D283</f>
        <v>0</v>
      </c>
      <c r="AY283" s="48"/>
      <c r="BA283" t="str">
        <f>('Gestión de abastecimiento'!A284)</f>
        <v>0</v>
      </c>
      <c r="BB283" s="39" t="str">
        <f>'Por Valoracion (3) Dimension'!F283</f>
        <v>0</v>
      </c>
      <c r="BC283" s="39" t="str">
        <f>'Por Valoracion (3) Dimension 2'!D283</f>
        <v>0</v>
      </c>
      <c r="BX283" s="48"/>
      <c r="BZ283" s="49"/>
      <c r="CB283" t="str">
        <f>('Gestión de abastecimiento'!A284)</f>
        <v>0</v>
      </c>
      <c r="CC283" s="39" t="str">
        <f>'Por Valoracion (3) Dimension 2'!B283</f>
        <v>0</v>
      </c>
      <c r="CD283" s="39" t="str">
        <f>'Por Valoracion (3) Dimension'!H283</f>
        <v>0</v>
      </c>
      <c r="CY283" s="49"/>
    </row>
    <row r="284" spans="1:103">
      <c r="A284" s="48"/>
      <c r="C284" t="str">
        <f>('Gestión de abastecimiento'!A285)</f>
        <v>0</v>
      </c>
      <c r="D284" s="39" t="str">
        <f>'Por Valoracion (3) Dimension'!B284</f>
        <v>0</v>
      </c>
      <c r="E284" s="39" t="str">
        <f>'Por Valoracion (3) Dimension 2'!D284</f>
        <v>0</v>
      </c>
      <c r="Z284" s="48"/>
      <c r="AB284" t="str">
        <f>('Gestión de abastecimiento'!A285)</f>
        <v>0</v>
      </c>
      <c r="AC284" s="39" t="str">
        <f>'Por Valoracion (3) Dimension'!D284</f>
        <v>0</v>
      </c>
      <c r="AD284" s="39" t="str">
        <f>'Por Valoracion (3) Dimension 2'!D284</f>
        <v>0</v>
      </c>
      <c r="AY284" s="48"/>
      <c r="BA284" t="str">
        <f>('Gestión de abastecimiento'!A285)</f>
        <v>0</v>
      </c>
      <c r="BB284" s="39" t="str">
        <f>'Por Valoracion (3) Dimension'!F284</f>
        <v>0</v>
      </c>
      <c r="BC284" s="39" t="str">
        <f>'Por Valoracion (3) Dimension 2'!D284</f>
        <v>0</v>
      </c>
      <c r="BX284" s="48"/>
      <c r="BZ284" s="49"/>
      <c r="CB284" t="str">
        <f>('Gestión de abastecimiento'!A285)</f>
        <v>0</v>
      </c>
      <c r="CC284" s="39" t="str">
        <f>'Por Valoracion (3) Dimension 2'!B284</f>
        <v>0</v>
      </c>
      <c r="CD284" s="39" t="str">
        <f>'Por Valoracion (3) Dimension'!H284</f>
        <v>0</v>
      </c>
      <c r="CY284" s="49"/>
    </row>
    <row r="285" spans="1:103">
      <c r="A285" s="48"/>
      <c r="C285" t="str">
        <f>('Gestión de abastecimiento'!A286)</f>
        <v>0</v>
      </c>
      <c r="D285" s="39" t="str">
        <f>'Por Valoracion (3) Dimension'!B285</f>
        <v>0</v>
      </c>
      <c r="E285" s="39" t="str">
        <f>'Por Valoracion (3) Dimension 2'!D285</f>
        <v>0</v>
      </c>
      <c r="Z285" s="48"/>
      <c r="AB285" t="str">
        <f>('Gestión de abastecimiento'!A286)</f>
        <v>0</v>
      </c>
      <c r="AC285" s="39" t="str">
        <f>'Por Valoracion (3) Dimension'!D285</f>
        <v>0</v>
      </c>
      <c r="AD285" s="39" t="str">
        <f>'Por Valoracion (3) Dimension 2'!D285</f>
        <v>0</v>
      </c>
      <c r="AY285" s="48"/>
      <c r="BA285" t="str">
        <f>('Gestión de abastecimiento'!A286)</f>
        <v>0</v>
      </c>
      <c r="BB285" s="39" t="str">
        <f>'Por Valoracion (3) Dimension'!F285</f>
        <v>0</v>
      </c>
      <c r="BC285" s="39" t="str">
        <f>'Por Valoracion (3) Dimension 2'!D285</f>
        <v>0</v>
      </c>
      <c r="BX285" s="48"/>
      <c r="BZ285" s="49"/>
      <c r="CB285" t="str">
        <f>('Gestión de abastecimiento'!A286)</f>
        <v>0</v>
      </c>
      <c r="CC285" s="39" t="str">
        <f>'Por Valoracion (3) Dimension 2'!B285</f>
        <v>0</v>
      </c>
      <c r="CD285" s="39" t="str">
        <f>'Por Valoracion (3) Dimension'!H285</f>
        <v>0</v>
      </c>
      <c r="CY285" s="49"/>
    </row>
    <row r="286" spans="1:103">
      <c r="A286" s="48"/>
      <c r="C286" t="str">
        <f>('Gestión de abastecimiento'!A287)</f>
        <v>0</v>
      </c>
      <c r="D286" s="39" t="str">
        <f>'Por Valoracion (3) Dimension'!B286</f>
        <v>0</v>
      </c>
      <c r="E286" s="39" t="str">
        <f>'Por Valoracion (3) Dimension 2'!D286</f>
        <v>0</v>
      </c>
      <c r="Z286" s="48"/>
      <c r="AB286" t="str">
        <f>('Gestión de abastecimiento'!A287)</f>
        <v>0</v>
      </c>
      <c r="AC286" s="39" t="str">
        <f>'Por Valoracion (3) Dimension'!D286</f>
        <v>0</v>
      </c>
      <c r="AD286" s="39" t="str">
        <f>'Por Valoracion (3) Dimension 2'!D286</f>
        <v>0</v>
      </c>
      <c r="AY286" s="48"/>
      <c r="BA286" t="str">
        <f>('Gestión de abastecimiento'!A287)</f>
        <v>0</v>
      </c>
      <c r="BB286" s="39" t="str">
        <f>'Por Valoracion (3) Dimension'!F286</f>
        <v>0</v>
      </c>
      <c r="BC286" s="39" t="str">
        <f>'Por Valoracion (3) Dimension 2'!D286</f>
        <v>0</v>
      </c>
      <c r="BX286" s="48"/>
      <c r="BZ286" s="49"/>
      <c r="CB286" t="str">
        <f>('Gestión de abastecimiento'!A287)</f>
        <v>0</v>
      </c>
      <c r="CC286" s="39" t="str">
        <f>'Por Valoracion (3) Dimension 2'!B286</f>
        <v>0</v>
      </c>
      <c r="CD286" s="39" t="str">
        <f>'Por Valoracion (3) Dimension'!H286</f>
        <v>0</v>
      </c>
      <c r="CY286" s="49"/>
    </row>
    <row r="287" spans="1:103">
      <c r="A287" s="48"/>
      <c r="C287" t="str">
        <f>('Gestión de abastecimiento'!A288)</f>
        <v>0</v>
      </c>
      <c r="D287" s="39" t="str">
        <f>'Por Valoracion (3) Dimension'!B287</f>
        <v>0</v>
      </c>
      <c r="E287" s="39" t="str">
        <f>'Por Valoracion (3) Dimension 2'!D287</f>
        <v>0</v>
      </c>
      <c r="Z287" s="48"/>
      <c r="AB287" t="str">
        <f>('Gestión de abastecimiento'!A288)</f>
        <v>0</v>
      </c>
      <c r="AC287" s="39" t="str">
        <f>'Por Valoracion (3) Dimension'!D287</f>
        <v>0</v>
      </c>
      <c r="AD287" s="39" t="str">
        <f>'Por Valoracion (3) Dimension 2'!D287</f>
        <v>0</v>
      </c>
      <c r="AY287" s="48"/>
      <c r="BA287" t="str">
        <f>('Gestión de abastecimiento'!A288)</f>
        <v>0</v>
      </c>
      <c r="BB287" s="39" t="str">
        <f>'Por Valoracion (3) Dimension'!F287</f>
        <v>0</v>
      </c>
      <c r="BC287" s="39" t="str">
        <f>'Por Valoracion (3) Dimension 2'!D287</f>
        <v>0</v>
      </c>
      <c r="BX287" s="48"/>
      <c r="BZ287" s="49"/>
      <c r="CB287" t="str">
        <f>('Gestión de abastecimiento'!A288)</f>
        <v>0</v>
      </c>
      <c r="CC287" s="39" t="str">
        <f>'Por Valoracion (3) Dimension 2'!B287</f>
        <v>0</v>
      </c>
      <c r="CD287" s="39" t="str">
        <f>'Por Valoracion (3) Dimension'!H287</f>
        <v>0</v>
      </c>
      <c r="CY287" s="49"/>
    </row>
    <row r="288" spans="1:103">
      <c r="A288" s="48"/>
      <c r="C288" t="str">
        <f>('Gestión de abastecimiento'!A289)</f>
        <v>0</v>
      </c>
      <c r="D288" s="39" t="str">
        <f>'Por Valoracion (3) Dimension'!B288</f>
        <v>0</v>
      </c>
      <c r="E288" s="39" t="str">
        <f>'Por Valoracion (3) Dimension 2'!D288</f>
        <v>0</v>
      </c>
      <c r="Z288" s="48"/>
      <c r="AB288" t="str">
        <f>('Gestión de abastecimiento'!A289)</f>
        <v>0</v>
      </c>
      <c r="AC288" s="39" t="str">
        <f>'Por Valoracion (3) Dimension'!D288</f>
        <v>0</v>
      </c>
      <c r="AD288" s="39" t="str">
        <f>'Por Valoracion (3) Dimension 2'!D288</f>
        <v>0</v>
      </c>
      <c r="AY288" s="48"/>
      <c r="BA288" t="str">
        <f>('Gestión de abastecimiento'!A289)</f>
        <v>0</v>
      </c>
      <c r="BB288" s="39" t="str">
        <f>'Por Valoracion (3) Dimension'!F288</f>
        <v>0</v>
      </c>
      <c r="BC288" s="39" t="str">
        <f>'Por Valoracion (3) Dimension 2'!D288</f>
        <v>0</v>
      </c>
      <c r="BX288" s="48"/>
      <c r="BZ288" s="49"/>
      <c r="CB288" t="str">
        <f>('Gestión de abastecimiento'!A289)</f>
        <v>0</v>
      </c>
      <c r="CC288" s="39" t="str">
        <f>'Por Valoracion (3) Dimension 2'!B288</f>
        <v>0</v>
      </c>
      <c r="CD288" s="39" t="str">
        <f>'Por Valoracion (3) Dimension'!H288</f>
        <v>0</v>
      </c>
      <c r="CY288" s="49"/>
    </row>
    <row r="289" spans="1:103">
      <c r="A289" s="48"/>
      <c r="C289" t="str">
        <f>('Gestión de abastecimiento'!A290)</f>
        <v>0</v>
      </c>
      <c r="D289" s="39" t="str">
        <f>'Por Valoracion (3) Dimension'!B289</f>
        <v>0</v>
      </c>
      <c r="E289" s="39" t="str">
        <f>'Por Valoracion (3) Dimension 2'!D289</f>
        <v>0</v>
      </c>
      <c r="Z289" s="48"/>
      <c r="AB289" t="str">
        <f>('Gestión de abastecimiento'!A290)</f>
        <v>0</v>
      </c>
      <c r="AC289" s="39" t="str">
        <f>'Por Valoracion (3) Dimension'!D289</f>
        <v>0</v>
      </c>
      <c r="AD289" s="39" t="str">
        <f>'Por Valoracion (3) Dimension 2'!D289</f>
        <v>0</v>
      </c>
      <c r="AY289" s="48"/>
      <c r="BA289" t="str">
        <f>('Gestión de abastecimiento'!A290)</f>
        <v>0</v>
      </c>
      <c r="BB289" s="39" t="str">
        <f>'Por Valoracion (3) Dimension'!F289</f>
        <v>0</v>
      </c>
      <c r="BC289" s="39" t="str">
        <f>'Por Valoracion (3) Dimension 2'!D289</f>
        <v>0</v>
      </c>
      <c r="BX289" s="48"/>
      <c r="BZ289" s="49"/>
      <c r="CB289" t="str">
        <f>('Gestión de abastecimiento'!A290)</f>
        <v>0</v>
      </c>
      <c r="CC289" s="39" t="str">
        <f>'Por Valoracion (3) Dimension 2'!B289</f>
        <v>0</v>
      </c>
      <c r="CD289" s="39" t="str">
        <f>'Por Valoracion (3) Dimension'!H289</f>
        <v>0</v>
      </c>
      <c r="CY289" s="49"/>
    </row>
    <row r="290" spans="1:103">
      <c r="A290" s="48"/>
      <c r="C290" t="str">
        <f>('Gestión de abastecimiento'!A291)</f>
        <v>0</v>
      </c>
      <c r="D290" s="39" t="str">
        <f>'Por Valoracion (3) Dimension'!B290</f>
        <v>0</v>
      </c>
      <c r="E290" s="39" t="str">
        <f>'Por Valoracion (3) Dimension 2'!D290</f>
        <v>0</v>
      </c>
      <c r="Z290" s="48"/>
      <c r="AB290" t="str">
        <f>('Gestión de abastecimiento'!A291)</f>
        <v>0</v>
      </c>
      <c r="AC290" s="39" t="str">
        <f>'Por Valoracion (3) Dimension'!D290</f>
        <v>0</v>
      </c>
      <c r="AD290" s="39" t="str">
        <f>'Por Valoracion (3) Dimension 2'!D290</f>
        <v>0</v>
      </c>
      <c r="AY290" s="48"/>
      <c r="BA290" t="str">
        <f>('Gestión de abastecimiento'!A291)</f>
        <v>0</v>
      </c>
      <c r="BB290" s="39" t="str">
        <f>'Por Valoracion (3) Dimension'!F290</f>
        <v>0</v>
      </c>
      <c r="BC290" s="39" t="str">
        <f>'Por Valoracion (3) Dimension 2'!D290</f>
        <v>0</v>
      </c>
      <c r="BX290" s="48"/>
      <c r="BZ290" s="49"/>
      <c r="CB290" t="str">
        <f>('Gestión de abastecimiento'!A291)</f>
        <v>0</v>
      </c>
      <c r="CC290" s="39" t="str">
        <f>'Por Valoracion (3) Dimension 2'!B290</f>
        <v>0</v>
      </c>
      <c r="CD290" s="39" t="str">
        <f>'Por Valoracion (3) Dimension'!H290</f>
        <v>0</v>
      </c>
      <c r="CY290" s="49"/>
    </row>
    <row r="291" spans="1:103">
      <c r="A291" s="48"/>
      <c r="C291" t="str">
        <f>('Gestión de abastecimiento'!A292)</f>
        <v>0</v>
      </c>
      <c r="D291" s="39" t="str">
        <f>'Por Valoracion (3) Dimension'!B291</f>
        <v>0</v>
      </c>
      <c r="E291" s="39" t="str">
        <f>'Por Valoracion (3) Dimension 2'!D291</f>
        <v>0</v>
      </c>
      <c r="Z291" s="48"/>
      <c r="AB291" t="str">
        <f>('Gestión de abastecimiento'!A292)</f>
        <v>0</v>
      </c>
      <c r="AC291" s="39" t="str">
        <f>'Por Valoracion (3) Dimension'!D291</f>
        <v>0</v>
      </c>
      <c r="AD291" s="39" t="str">
        <f>'Por Valoracion (3) Dimension 2'!D291</f>
        <v>0</v>
      </c>
      <c r="AY291" s="48"/>
      <c r="BA291" t="str">
        <f>('Gestión de abastecimiento'!A292)</f>
        <v>0</v>
      </c>
      <c r="BB291" s="39" t="str">
        <f>'Por Valoracion (3) Dimension'!F291</f>
        <v>0</v>
      </c>
      <c r="BC291" s="39" t="str">
        <f>'Por Valoracion (3) Dimension 2'!D291</f>
        <v>0</v>
      </c>
      <c r="BX291" s="48"/>
      <c r="BZ291" s="49"/>
      <c r="CB291" t="str">
        <f>('Gestión de abastecimiento'!A292)</f>
        <v>0</v>
      </c>
      <c r="CC291" s="39" t="str">
        <f>'Por Valoracion (3) Dimension 2'!B291</f>
        <v>0</v>
      </c>
      <c r="CD291" s="39" t="str">
        <f>'Por Valoracion (3) Dimension'!H291</f>
        <v>0</v>
      </c>
      <c r="CY291" s="49"/>
    </row>
    <row r="292" spans="1:103">
      <c r="A292" s="48"/>
      <c r="C292" t="str">
        <f>('Gestión de abastecimiento'!A293)</f>
        <v>0</v>
      </c>
      <c r="D292" s="39" t="str">
        <f>'Por Valoracion (3) Dimension'!B292</f>
        <v>0</v>
      </c>
      <c r="E292" s="39" t="str">
        <f>'Por Valoracion (3) Dimension 2'!D292</f>
        <v>0</v>
      </c>
      <c r="Z292" s="48"/>
      <c r="AB292" t="str">
        <f>('Gestión de abastecimiento'!A293)</f>
        <v>0</v>
      </c>
      <c r="AC292" s="39" t="str">
        <f>'Por Valoracion (3) Dimension'!D292</f>
        <v>0</v>
      </c>
      <c r="AD292" s="39" t="str">
        <f>'Por Valoracion (3) Dimension 2'!D292</f>
        <v>0</v>
      </c>
      <c r="AY292" s="48"/>
      <c r="BA292" t="str">
        <f>('Gestión de abastecimiento'!A293)</f>
        <v>0</v>
      </c>
      <c r="BB292" s="39" t="str">
        <f>'Por Valoracion (3) Dimension'!F292</f>
        <v>0</v>
      </c>
      <c r="BC292" s="39" t="str">
        <f>'Por Valoracion (3) Dimension 2'!D292</f>
        <v>0</v>
      </c>
      <c r="BX292" s="48"/>
      <c r="BZ292" s="49"/>
      <c r="CB292" t="str">
        <f>('Gestión de abastecimiento'!A293)</f>
        <v>0</v>
      </c>
      <c r="CC292" s="39" t="str">
        <f>'Por Valoracion (3) Dimension 2'!B292</f>
        <v>0</v>
      </c>
      <c r="CD292" s="39" t="str">
        <f>'Por Valoracion (3) Dimension'!H292</f>
        <v>0</v>
      </c>
      <c r="CY292" s="49"/>
    </row>
    <row r="293" spans="1:103">
      <c r="A293" s="48"/>
      <c r="Z293" s="48"/>
      <c r="AY293" s="48"/>
      <c r="BX293" s="48"/>
      <c r="BZ293" s="49"/>
      <c r="CY293" s="49"/>
    </row>
    <row r="294" spans="1:103">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c r="BS294" s="48"/>
      <c r="BT294" s="48"/>
      <c r="BU294" s="48"/>
      <c r="BV294" s="48"/>
      <c r="BW294" s="48"/>
      <c r="BX294" s="48"/>
      <c r="BZ294" s="49"/>
      <c r="CA294" s="49"/>
      <c r="CB294" s="49"/>
      <c r="CC294" s="49"/>
      <c r="CD294" s="49"/>
      <c r="CE294" s="49"/>
      <c r="CF294" s="49"/>
      <c r="CG294" s="49"/>
      <c r="CH294" s="49"/>
      <c r="CI294" s="49"/>
      <c r="CJ294" s="49"/>
      <c r="CK294" s="49"/>
      <c r="CL294" s="49"/>
      <c r="CM294" s="49"/>
      <c r="CN294" s="49"/>
      <c r="CO294" s="49"/>
      <c r="CP294" s="49"/>
      <c r="CQ294" s="49"/>
      <c r="CR294" s="49"/>
      <c r="CS294" s="49"/>
      <c r="CT294" s="49"/>
      <c r="CU294" s="49"/>
      <c r="CV294" s="49"/>
      <c r="CW294" s="49"/>
      <c r="CX294" s="49"/>
      <c r="CY294" s="49"/>
    </row>
    <row r="297" spans="1:103">
      <c r="D297" t="s">
        <v>479</v>
      </c>
      <c r="E297" t="s">
        <v>492</v>
      </c>
      <c r="F297" t="s">
        <v>480</v>
      </c>
      <c r="G297" t="s">
        <v>481</v>
      </c>
      <c r="H297" t="s">
        <v>482</v>
      </c>
      <c r="I297" t="s">
        <v>483</v>
      </c>
      <c r="M297" t="s">
        <v>484</v>
      </c>
      <c r="N297" t="s">
        <v>485</v>
      </c>
      <c r="O297" t="s">
        <v>486</v>
      </c>
      <c r="R297" t="s">
        <v>484</v>
      </c>
      <c r="S297" t="s">
        <v>485</v>
      </c>
      <c r="T297" t="s">
        <v>487</v>
      </c>
      <c r="AC297" t="s">
        <v>479</v>
      </c>
      <c r="AD297" t="s">
        <v>492</v>
      </c>
      <c r="AE297" t="s">
        <v>480</v>
      </c>
      <c r="AF297" t="s">
        <v>481</v>
      </c>
      <c r="AG297" t="s">
        <v>482</v>
      </c>
      <c r="AH297" t="s">
        <v>483</v>
      </c>
      <c r="AL297" t="s">
        <v>484</v>
      </c>
      <c r="AM297" t="s">
        <v>485</v>
      </c>
      <c r="AN297" t="s">
        <v>486</v>
      </c>
      <c r="AQ297" t="s">
        <v>484</v>
      </c>
      <c r="AR297" t="s">
        <v>485</v>
      </c>
      <c r="AS297" t="s">
        <v>487</v>
      </c>
      <c r="BB297" t="s">
        <v>479</v>
      </c>
      <c r="BC297" t="s">
        <v>492</v>
      </c>
      <c r="BD297" t="s">
        <v>480</v>
      </c>
      <c r="BE297" t="s">
        <v>481</v>
      </c>
      <c r="BF297" t="s">
        <v>482</v>
      </c>
      <c r="BG297" t="s">
        <v>483</v>
      </c>
      <c r="BK297" t="s">
        <v>484</v>
      </c>
      <c r="BL297" t="s">
        <v>485</v>
      </c>
      <c r="BM297" t="s">
        <v>486</v>
      </c>
      <c r="BP297" t="s">
        <v>484</v>
      </c>
      <c r="BQ297" t="s">
        <v>485</v>
      </c>
      <c r="BR297" t="s">
        <v>487</v>
      </c>
      <c r="CC297" t="s">
        <v>479</v>
      </c>
      <c r="CD297" t="s">
        <v>492</v>
      </c>
      <c r="CE297" t="s">
        <v>480</v>
      </c>
      <c r="CF297" t="s">
        <v>481</v>
      </c>
      <c r="CG297" t="s">
        <v>482</v>
      </c>
      <c r="CH297" t="s">
        <v>483</v>
      </c>
      <c r="CL297" t="s">
        <v>484</v>
      </c>
      <c r="CM297" t="s">
        <v>485</v>
      </c>
      <c r="CN297" t="s">
        <v>486</v>
      </c>
      <c r="CQ297" t="s">
        <v>484</v>
      </c>
      <c r="CR297" t="s">
        <v>485</v>
      </c>
      <c r="CS297" t="s">
        <v>487</v>
      </c>
    </row>
    <row r="298" spans="1:103">
      <c r="D298" t="str">
        <f>D3</f>
        <v>0</v>
      </c>
      <c r="E298" t="str">
        <f>E3</f>
        <v>0</v>
      </c>
      <c r="F298" t="str">
        <f>IF(G8&lt;=50,H6,H6)</f>
        <v>0</v>
      </c>
      <c r="G298" t="str">
        <f>IF(E3&lt;5/100,"la distribución de sus valores son diferentes a la distribución normal","la distribución de sus valores no son diferentes a la distribución normal")</f>
        <v>0</v>
      </c>
      <c r="H298" t="str">
        <f>IF(G298="la distribución de sus valores son diferentes a la distribución normal"," es decir los datos no se encuentran normalmente distribuidos"," es decir los datos si se encuentran normalmente distribuidos")</f>
        <v>0</v>
      </c>
      <c r="I298" t="str">
        <f>IF(G298=" es decir los datos no se encuentran normalmente distribuidos"," la prueba no paramétrica de correlación de Rho de Spearman","la prueba paramétrica de correlación de Pearson")</f>
        <v>0</v>
      </c>
      <c r="M298" t="s">
        <v>488</v>
      </c>
      <c r="N298" t="str">
        <f>R14</f>
        <v>0</v>
      </c>
      <c r="O298" t="str">
        <f>R13</f>
        <v>0</v>
      </c>
      <c r="R298" t="s">
        <v>488</v>
      </c>
      <c r="S298" t="str">
        <f>X14</f>
        <v>0</v>
      </c>
      <c r="T298" t="str">
        <f>X13</f>
        <v>0</v>
      </c>
      <c r="AC298" t="str">
        <f>AC3</f>
        <v>0</v>
      </c>
      <c r="AD298" t="str">
        <f>AD3</f>
        <v>0</v>
      </c>
      <c r="AE298" t="str">
        <f>IF(AF8&lt;=50,AG6,AG6)</f>
        <v>0</v>
      </c>
      <c r="AF298" t="str">
        <f>IF(AD3&lt;5/100,"la distribución de sus valores son diferentes a la distribución normal","la distribución de sus valores no son diferentes a la distribución normal")</f>
        <v>0</v>
      </c>
      <c r="AG298" t="str">
        <f>IF(AF298="la distribución de sus valores son diferentes a la distribución normal"," es decir los datos no se encuentran normalmente distribuidos"," es decir los datos si se encuentran normalmente distribuidos")</f>
        <v>0</v>
      </c>
      <c r="AH298" t="str">
        <f>IF(AF298=" es decir los datos no se encuentran normalmente distribuidos"," la prueba no paramétrica de correlación de Rho de Spearman","la prueba paramétrica de correlación de Pearson")</f>
        <v>0</v>
      </c>
      <c r="AL298" t="s">
        <v>488</v>
      </c>
      <c r="AM298" t="str">
        <f>AQ14</f>
        <v>0</v>
      </c>
      <c r="AN298" t="str">
        <f>AQ13</f>
        <v>0</v>
      </c>
      <c r="AQ298" t="s">
        <v>488</v>
      </c>
      <c r="AR298" t="str">
        <f>AW14</f>
        <v>0</v>
      </c>
      <c r="AS298" t="str">
        <f>AW13</f>
        <v>0</v>
      </c>
      <c r="BB298" t="str">
        <f>BB3</f>
        <v>0</v>
      </c>
      <c r="BC298" t="str">
        <f>BC3</f>
        <v>0</v>
      </c>
      <c r="BD298" t="str">
        <f>IF(BE8&lt;=50,BF6,BF6)</f>
        <v>0</v>
      </c>
      <c r="BE298" t="str">
        <f>IF(BC3&lt;5/100,"la distribución de sus valores son diferentes a la distribución normal","la distribución de sus valores no son diferentes a la distribución normal")</f>
        <v>0</v>
      </c>
      <c r="BF298" t="str">
        <f>IF(BE298="la distribución de sus valores son diferentes a la distribución normal"," es decir los datos no se encuentran normalmente distribuidos"," es decir los datos si se encuentran normalmente distribuidos")</f>
        <v>0</v>
      </c>
      <c r="BG298" t="str">
        <f>IF(BE298=" es decir los datos no se encuentran normalmente distribuidos"," la prueba no paramétrica de correlación de Rho de Spearman","la prueba paramétrica de correlación de Pearson")</f>
        <v>0</v>
      </c>
      <c r="BK298" t="s">
        <v>488</v>
      </c>
      <c r="BL298" t="str">
        <f>BP14</f>
        <v>0</v>
      </c>
      <c r="BM298" t="str">
        <f>BP13</f>
        <v>0</v>
      </c>
      <c r="BP298" t="s">
        <v>488</v>
      </c>
      <c r="BQ298" t="str">
        <f>BV14</f>
        <v>0</v>
      </c>
      <c r="BR298" t="str">
        <f>BV13</f>
        <v>0</v>
      </c>
      <c r="CC298" t="str">
        <f>CC3</f>
        <v>0</v>
      </c>
      <c r="CD298" t="str">
        <f>CD3</f>
        <v>0</v>
      </c>
      <c r="CE298" t="str">
        <f>IF(CF8&lt;=50,CG6,CG6)</f>
        <v>0</v>
      </c>
      <c r="CF298" t="str">
        <f>IF(CD3&lt;5/100,"la distribución de sus valores son diferentes a la distribución normal","la distribución de sus valores no son diferentes a la distribución normal")</f>
        <v>0</v>
      </c>
      <c r="CG298" t="str">
        <f>IF(CF298="la distribución de sus valores son diferentes a la distribución normal"," es decir los datos no se encuentran normalmente distribuidos"," es decir los datos si se encuentran normalmente distribuidos")</f>
        <v>0</v>
      </c>
      <c r="CH298" t="str">
        <f>IF(CF298=" es decir los datos no se encuentran normalmente distribuidos"," la prueba no paramétrica de correlación de Rho de Spearman","la prueba paramétrica de correlación de Pearson")</f>
        <v>0</v>
      </c>
      <c r="CL298" t="s">
        <v>488</v>
      </c>
      <c r="CM298" t="str">
        <f>CQ14</f>
        <v>0</v>
      </c>
      <c r="CN298" t="str">
        <f>CQ13</f>
        <v>0</v>
      </c>
      <c r="CQ298" t="s">
        <v>488</v>
      </c>
      <c r="CR298" t="str">
        <f>CW14</f>
        <v>0</v>
      </c>
      <c r="CS298" t="str">
        <f>CW13</f>
        <v>0</v>
      </c>
    </row>
    <row r="299" spans="1:103">
      <c r="C299" t="s">
        <v>489</v>
      </c>
      <c r="D299" t="str">
        <f>M8</f>
        <v>0</v>
      </c>
      <c r="E299" t="str">
        <f>M9</f>
        <v>0</v>
      </c>
      <c r="N299" t="str">
        <f>N298/100</f>
        <v>0</v>
      </c>
      <c r="O299" t="str">
        <f>O298*100</f>
        <v>0</v>
      </c>
      <c r="Q299" t="s">
        <v>490</v>
      </c>
      <c r="S299" t="str">
        <f>S298/100</f>
        <v>0</v>
      </c>
      <c r="T299" t="str">
        <f>T298*100</f>
        <v>0</v>
      </c>
      <c r="V299" t="s">
        <v>490</v>
      </c>
      <c r="AB299" t="s">
        <v>489</v>
      </c>
      <c r="AC299" t="str">
        <f>AL8</f>
        <v>0</v>
      </c>
      <c r="AD299" t="str">
        <f>AL9</f>
        <v>0</v>
      </c>
      <c r="AM299" t="str">
        <f>AM298/100</f>
        <v>0</v>
      </c>
      <c r="AN299" t="str">
        <f>AN298*100</f>
        <v>0</v>
      </c>
      <c r="AP299" t="s">
        <v>490</v>
      </c>
      <c r="AR299" t="str">
        <f>AR298/100</f>
        <v>0</v>
      </c>
      <c r="AS299" t="str">
        <f>AS298*100</f>
        <v>0</v>
      </c>
      <c r="AU299" t="s">
        <v>490</v>
      </c>
      <c r="BA299" t="s">
        <v>489</v>
      </c>
      <c r="BB299" t="str">
        <f>BK8</f>
        <v>0</v>
      </c>
      <c r="BC299" t="str">
        <f>BK9</f>
        <v>0</v>
      </c>
      <c r="BL299" t="str">
        <f>BL298/100</f>
        <v>0</v>
      </c>
      <c r="BM299" t="str">
        <f>BM298*100</f>
        <v>0</v>
      </c>
      <c r="BO299" t="s">
        <v>490</v>
      </c>
      <c r="BQ299" t="str">
        <f>BQ298/100</f>
        <v>0</v>
      </c>
      <c r="BR299" t="str">
        <f>BR298*100</f>
        <v>0</v>
      </c>
      <c r="BT299" t="s">
        <v>490</v>
      </c>
      <c r="CB299" t="s">
        <v>489</v>
      </c>
      <c r="CC299" t="str">
        <f>CL8</f>
        <v>0</v>
      </c>
      <c r="CD299" t="str">
        <f>CL9</f>
        <v>0</v>
      </c>
      <c r="CM299" t="str">
        <f>CM298/100</f>
        <v>0</v>
      </c>
      <c r="CN299" t="str">
        <f>CN298*100</f>
        <v>0</v>
      </c>
      <c r="CP299" t="s">
        <v>490</v>
      </c>
      <c r="CR299" t="str">
        <f>CR298/100</f>
        <v>0</v>
      </c>
      <c r="CS299" t="str">
        <f>CS298*100</f>
        <v>0</v>
      </c>
      <c r="CU299" t="s">
        <v>490</v>
      </c>
    </row>
    <row r="300" spans="1:103">
      <c r="N300" t="str">
        <f>IF(N298&lt;5/100,"existe relación significativa entre las ","no existe relación entre las ")</f>
        <v>0</v>
      </c>
      <c r="O300" t="str">
        <f>IF(O298&lt;='Criterio para el valor r'!$A$2,'Criterio para el valor r'!$C$2,IF(O298&lt;='Criterio para el valor r'!$A$3,'Criterio para el valor r'!$C$3,IF(O298&lt;='Criterio para el valor r'!$A$4,'Criterio para el valor r'!$C$4,IF(O298&lt;='Criterio para el valor r'!$A$5,'Criterio para el valor r'!$C$5,IF(O298&lt;='Criterio para el valor r'!$A$6,'Criterio para el valor r'!$C$6,IF(O298&lt;='Criterio para el valor r'!$A$8,'Criterio para el valor r'!$C$7,IF(O298&lt;='Criterio para el valor r'!$A$7,'Criterio para el valor r'!$C$8,IF(O298&lt;='Criterio para el valor r'!$B$9,'Criterio para el valor r'!$C$9,IF(O298&lt;='Criterio para el valor r'!$B$10,'Criterio para el valor r'!$C$10,IF(O298&lt;='Criterio para el valor r'!$B$11,'Criterio para el valor r'!$C$11,IF(O298&lt;='Criterio para el valor r'!$B$12,'Criterio para el valor r'!$C$12,IF(O298&lt;='Criterio para el valor r'!$B$13,'Criterio para el valor r'!$C$13,IF(O298&lt;='Criterio para el valor r'!$B$14,'Criterio para el valor r'!$C$14,"algo esta mal")))))))))))))</f>
        <v>0</v>
      </c>
      <c r="P300" t="str">
        <f>IF(O298&lt;0,"menor","mayor")</f>
        <v>0</v>
      </c>
      <c r="Q300" t="str">
        <f>IF(N299&gt;=5/100,"se acepta la Ho y se rechaza la Hi","se rechaza la Ho y se acepta la Hi")</f>
        <v>0</v>
      </c>
      <c r="S300" t="str">
        <f>IF(S298&lt;5/100,"existe relación significativa entre las ","no existe relación entre las ")</f>
        <v>0</v>
      </c>
      <c r="T300" t="str">
        <f>IF(T298&lt;5/100,"existe relación significativa entre las ","no existe relación entre las ")</f>
        <v>0</v>
      </c>
      <c r="U300" t="str">
        <f>IF(T298&lt;0,"menor","mayor")</f>
        <v>0</v>
      </c>
      <c r="V300" t="str">
        <f>IF(S299&gt;=5/100,"se acepta la Ho y se rechaza la Hi","se rechaza la Ho y se acepta la Hi")</f>
        <v>0</v>
      </c>
      <c r="AM300" t="str">
        <f>IF(AM298&lt;5/100,"existe relación significativa entre las ","no existe relación entre las ")</f>
        <v>0</v>
      </c>
      <c r="AN300" t="str">
        <f>IF(AN298&lt;='Criterio para el valor r'!$A$2,'Criterio para el valor r'!$C$2,IF(AN298&lt;='Criterio para el valor r'!$A$3,'Criterio para el valor r'!$C$3,IF(AN298&lt;='Criterio para el valor r'!$A$4,'Criterio para el valor r'!$C$4,IF(AN298&lt;='Criterio para el valor r'!$A$5,'Criterio para el valor r'!$C$5,IF(AN298&lt;='Criterio para el valor r'!$A$6,'Criterio para el valor r'!$C$6,IF(AN298&lt;='Criterio para el valor r'!$A$8,'Criterio para el valor r'!$C$7,IF(AN298&lt;='Criterio para el valor r'!$A$7,'Criterio para el valor r'!$C$8,IF(AN298&lt;='Criterio para el valor r'!$B$9,'Criterio para el valor r'!$C$9,IF(AN298&lt;='Criterio para el valor r'!$B$10,'Criterio para el valor r'!$C$10,IF(AN298&lt;='Criterio para el valor r'!$B$11,'Criterio para el valor r'!$C$11,IF(AN298&lt;='Criterio para el valor r'!$B$12,'Criterio para el valor r'!$C$12,IF(AN298&lt;='Criterio para el valor r'!$B$13,'Criterio para el valor r'!$C$13,IF(AN298&lt;='Criterio para el valor r'!$B$14,'Criterio para el valor r'!$C$14,"algo esta mal")))))))))))))</f>
        <v>0</v>
      </c>
      <c r="AO300" t="str">
        <f>IF(AN298&lt;0,"menor","mayor")</f>
        <v>0</v>
      </c>
      <c r="AP300" t="str">
        <f>IF(AM299&gt;=5/100,"se acepta la Ho y se rechaza la Hi","se rechaza la Ho y se acepta la Hi")</f>
        <v>0</v>
      </c>
      <c r="AR300" t="str">
        <f>IF(AR298&lt;5/100,"existe relación significativa entre las ","no existe relación entre las ")</f>
        <v>0</v>
      </c>
      <c r="AS300" t="str">
        <f>IF(AS298&lt;5/100,"existe relación significativa entre las ","no existe relación entre las ")</f>
        <v>0</v>
      </c>
      <c r="AT300" t="str">
        <f>IF(AS298&lt;0,"menor","mayor")</f>
        <v>0</v>
      </c>
      <c r="AU300" t="str">
        <f>IF(AR299&gt;=5/100,"se acepta la Ho y se rechaza la Hi","se rechaza la Ho y se acepta la Hi")</f>
        <v>0</v>
      </c>
      <c r="BL300" t="str">
        <f>IF(BL298&lt;5/100,"existe relación significativa entre las ","no existe relación entre las ")</f>
        <v>0</v>
      </c>
      <c r="BM300" t="str">
        <f>IF(BM298&lt;='Criterio para el valor r'!$A$2,'Criterio para el valor r'!$C$2,IF(BM298&lt;='Criterio para el valor r'!$A$3,'Criterio para el valor r'!$C$3,IF(BM298&lt;='Criterio para el valor r'!$A$4,'Criterio para el valor r'!$C$4,IF(BM298&lt;='Criterio para el valor r'!$A$5,'Criterio para el valor r'!$C$5,IF(BM298&lt;='Criterio para el valor r'!$A$6,'Criterio para el valor r'!$C$6,IF(BM298&lt;='Criterio para el valor r'!$A$8,'Criterio para el valor r'!$C$7,IF(BM298&lt;='Criterio para el valor r'!$A$7,'Criterio para el valor r'!$C$8,IF(BM298&lt;='Criterio para el valor r'!$B$9,'Criterio para el valor r'!$C$9,IF(BM298&lt;='Criterio para el valor r'!$B$10,'Criterio para el valor r'!$C$10,IF(BM298&lt;='Criterio para el valor r'!$B$11,'Criterio para el valor r'!$C$11,IF(BM298&lt;='Criterio para el valor r'!$B$12,'Criterio para el valor r'!$C$12,IF(BM298&lt;='Criterio para el valor r'!$B$13,'Criterio para el valor r'!$C$13,IF(BM298&lt;='Criterio para el valor r'!$B$14,'Criterio para el valor r'!$C$14,"algo esta mal")))))))))))))</f>
        <v>0</v>
      </c>
      <c r="BN300" t="str">
        <f>IF(BM298&lt;0,"menor","mayor")</f>
        <v>0</v>
      </c>
      <c r="BO300" t="str">
        <f>IF(BL299&gt;=5/100,"se acepta la Ho y se rechaza la Hi","se rechaza la Ho y se acepta la Hi")</f>
        <v>0</v>
      </c>
      <c r="BQ300" t="str">
        <f>IF(BQ298&lt;5/100,"existe relación significativa entre las ","no existe relación entre las ")</f>
        <v>0</v>
      </c>
      <c r="BR300" t="str">
        <f>IF(BR298&lt;5/100,"existe relación significativa entre las ","no existe relación entre las ")</f>
        <v>0</v>
      </c>
      <c r="BS300" t="str">
        <f>IF(BR298&lt;0,"menor","mayor")</f>
        <v>0</v>
      </c>
      <c r="BT300" t="str">
        <f>IF(BQ299&gt;=5/100,"se acepta la Ho y se rechaza la Hi","se rechaza la Ho y se acepta la Hi")</f>
        <v>0</v>
      </c>
      <c r="CM300" t="str">
        <f>IF(CM298&lt;5/100,"existe relación significativa entre las ","no existe relación entre las ")</f>
        <v>0</v>
      </c>
      <c r="CN300" t="str">
        <f>IF(CN298&lt;='Criterio para el valor r'!$A$2,'Criterio para el valor r'!$C$2,IF(CN298&lt;='Criterio para el valor r'!$A$3,'Criterio para el valor r'!$C$3,IF(CN298&lt;='Criterio para el valor r'!$A$4,'Criterio para el valor r'!$C$4,IF(CN298&lt;='Criterio para el valor r'!$A$5,'Criterio para el valor r'!$C$5,IF(CN298&lt;='Criterio para el valor r'!$A$6,'Criterio para el valor r'!$C$6,IF(CN298&lt;='Criterio para el valor r'!$A$8,'Criterio para el valor r'!$C$7,IF(CN298&lt;='Criterio para el valor r'!$A$7,'Criterio para el valor r'!$C$8,IF(CN298&lt;='Criterio para el valor r'!$B$9,'Criterio para el valor r'!$C$9,IF(CN298&lt;='Criterio para el valor r'!$B$10,'Criterio para el valor r'!$C$10,IF(CN298&lt;='Criterio para el valor r'!$B$11,'Criterio para el valor r'!$C$11,IF(CN298&lt;='Criterio para el valor r'!$B$12,'Criterio para el valor r'!$C$12,IF(CN298&lt;='Criterio para el valor r'!$B$13,'Criterio para el valor r'!$C$13,IF(CN298&lt;='Criterio para el valor r'!$B$14,'Criterio para el valor r'!$C$14,"algo esta mal")))))))))))))</f>
        <v>0</v>
      </c>
      <c r="CO300" t="str">
        <f>IF(CN298&lt;0,"menor","mayor")</f>
        <v>0</v>
      </c>
      <c r="CP300" t="str">
        <f>IF(CM299&gt;=5/100,"se acepta la Ho y se rechaza la Hi","se rechaza la Ho y se acepta la Hi")</f>
        <v>0</v>
      </c>
      <c r="CR300" t="str">
        <f>IF(CR298&lt;5/100,"existe relación significativa entre las ","no existe relación entre las ")</f>
        <v>0</v>
      </c>
      <c r="CS300" t="str">
        <f>IF(CS298&lt;5/100,"existe relación significativa entre las ","no existe relación entre las ")</f>
        <v>0</v>
      </c>
      <c r="CT300" t="str">
        <f>IF(CS298&lt;0,"menor","mayor")</f>
        <v>0</v>
      </c>
      <c r="CU300" t="str">
        <f>IF(CR299&gt;=5/100,"se acepta la Ho y se rechaza la Hi","se rechaza la Ho y se acepta la Hi")</f>
        <v>0</v>
      </c>
    </row>
    <row r="303" spans="1:103">
      <c r="O303" s="27" t="str">
        <f>CONCATENATE("la ",O10," muestra los resultados de la prueba de ",P13,", en donde se evidencia que con una ",N297," del ",N299,"% ",N300," ",M298," ",O13," y ",O16,", adicional a ello se puede observar que la fuerza y/o grado de correlación ",O297," tiene un valor de ",O299,"% lo que afirma que es una ",O300," mismo que asu vez significa que a mayor ",Q12," ",P300," ",O16,", por todo ello en el presente objetivo ",Q300,".")</f>
        <v>0</v>
      </c>
      <c r="T303" s="27" t="str">
        <f>CONCATENATE("la ",T10," muestra los resultados de la prueba de ",V13,", en donde se evidencia que con una ",S297," del ",S299,"% ",S300," ",R298," ",U13," y ",U16,", adicional a ello se puede observar que la fuerza y/o grado de correlación ",T297," tiene un valor de ",T299,"% lo que afirma que es una ",T300," mismo que asu vez significa que a mayor ",W12," ",U300," ",X12,", por todo ello en el presente objetivo ",V300,".")</f>
        <v>0</v>
      </c>
      <c r="AN303" s="27" t="str">
        <f>CONCATENATE("la ",AN10," muestra los resultados de la prueba de ",AO13,", en donde se evidencia que con una ",AM297," del ",AM299,"% ",AM300," ",AL298," ",AN13," y ",AN16,", adicional a ello se puede observar que la fuerza y/o grado de correlación ",AN297," tiene un valor de ",AN299,"% lo que afirma que es una ",AN300," mismo que asu vez significa que a mayor ",AP12," ",AO300," ",AN16,", por todo ello en el presente objetivo ",AP300,".")</f>
        <v>0</v>
      </c>
      <c r="AS303" s="27" t="str">
        <f>CONCATENATE("la ",AS10," muestra los resultados de la prueba de ",AU13,", en donde se evidencia que con una ",AR297," del ",AR299,"% ",AR300," ",AQ298," ",AT13," y ",AT16,", adicional a ello se puede observar que la fuerza y/o grado de correlación ",AS297," tiene un valor de ",AS299,"% lo que afirma que es una ",AS300," mismo que asu vez significa que a mayor ",AV12," ",AT300," ",AW12,", por todo ello en el presente objetivo ",AU300,".")</f>
        <v>0</v>
      </c>
      <c r="BM303" s="27" t="str">
        <f>CONCATENATE("la ",BM10," muestra los resultados de la prueba de ",BN13,", en donde se evidencia que con una ",BL297," del ",BL299,"% ",BL300," ",BK298," ",BM13," y ",BM16,", adicional a ello se puede observar que la fuerza y/o grado de correlación ",BM297," tiene un valor de ",BM299,"% lo que afirma que es una ",BM300," mismo que asu vez significa que a mayor ",BO12," ",BN300," ",BM16,", por todo ello en el presente objetivo ",BO300,".")</f>
        <v>0</v>
      </c>
      <c r="BR303" s="27" t="str">
        <f>CONCATENATE("la ",BR10," muestra los resultados de la prueba de ",BT13,", en donde se evidencia que con una ",BQ297," del ",BQ299,"% ",BQ300," ",BP298," ",BS13," y ",BS16,", adicional a ello se puede observar que la fuerza y/o grado de correlación ",BR297," tiene un valor de ",BR299,"% lo que afirma que es una ",BR300," mismo que asu vez significa que a mayor ",BU12," ",BS300," ",BV12,", por todo ello en el presente objetivo ",BT300,".")</f>
        <v>0</v>
      </c>
      <c r="CN303" s="27" t="str">
        <f>CONCATENATE("la ",CN10," muestra los resultados de la prueba de ",CO13,", en donde se evidencia que con una ",CM297," del ",CM299,"% ",CM300," ",CL298," ",CN13," y ",CN16,", adicional a ello se puede observar que la fuerza y/o grado de correlación ",CN297," tiene un valor de ",CN299,"% lo que afirma que es una ",CN300," mismo que asu vez significa que a mayor ",CP12," ",CO300," ",CN16,", por todo ello en el presente objetivo ",CP300,".")</f>
        <v>0</v>
      </c>
      <c r="CS303" s="27" t="str">
        <f>CONCATENATE("la ",CS10," muestra los resultados de la prueba de ",CU13,", en donde se evidencia que con una ",CR297," del ",CR299,"% ",CR300," ",CQ298," ",CT13," y ",CT16,", adicional a ello se puede observar que la fuerza y/o grado de correlación ",CS297," tiene un valor de ",CS299,"% lo que afirma que es una ",CS300," mismo que asu vez significa que a mayor ",CV12," ",CT300," ",CW12,", por todo ello en el presente objetivo ",CU300,".")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C4"/>
    <mergeCell ref="C5:C5"/>
    <mergeCell ref="C6:C6"/>
    <mergeCell ref="C7:C7"/>
    <mergeCell ref="C8:C8"/>
    <mergeCell ref="C9:C9"/>
    <mergeCell ref="C10:C10"/>
    <mergeCell ref="C11:C11"/>
    <mergeCell ref="C12:C12"/>
    <mergeCell ref="C13:C13"/>
    <mergeCell ref="C14:C14"/>
    <mergeCell ref="C15:C15"/>
    <mergeCell ref="C16:C16"/>
    <mergeCell ref="C17:C17"/>
    <mergeCell ref="C18:C18"/>
    <mergeCell ref="C19:C19"/>
    <mergeCell ref="C20:C20"/>
    <mergeCell ref="C21:C21"/>
    <mergeCell ref="C22:C22"/>
    <mergeCell ref="C23:C23"/>
    <mergeCell ref="C24:C24"/>
    <mergeCell ref="C25:C25"/>
    <mergeCell ref="C26:C26"/>
    <mergeCell ref="C27:C27"/>
    <mergeCell ref="C28:C28"/>
    <mergeCell ref="C29:C29"/>
    <mergeCell ref="C30:C30"/>
    <mergeCell ref="C31:C31"/>
    <mergeCell ref="C32:C32"/>
    <mergeCell ref="C33:C33"/>
    <mergeCell ref="C34:C34"/>
    <mergeCell ref="C35:C35"/>
    <mergeCell ref="C36:C36"/>
    <mergeCell ref="C37:C37"/>
    <mergeCell ref="C38:C38"/>
    <mergeCell ref="C39:C39"/>
    <mergeCell ref="C40:C40"/>
    <mergeCell ref="C41:C41"/>
    <mergeCell ref="C42:C42"/>
    <mergeCell ref="C43:C43"/>
    <mergeCell ref="C44:C44"/>
    <mergeCell ref="C45:C45"/>
    <mergeCell ref="C46:C46"/>
    <mergeCell ref="C47:C47"/>
    <mergeCell ref="C48:C48"/>
    <mergeCell ref="C49:C49"/>
    <mergeCell ref="C50:C50"/>
    <mergeCell ref="C51:C51"/>
    <mergeCell ref="C52:C52"/>
    <mergeCell ref="C53:C53"/>
    <mergeCell ref="C54:C54"/>
    <mergeCell ref="C55:C55"/>
    <mergeCell ref="C56:C56"/>
    <mergeCell ref="C57:C57"/>
    <mergeCell ref="C58:C58"/>
    <mergeCell ref="C59:C59"/>
    <mergeCell ref="C60:C60"/>
    <mergeCell ref="C61:C61"/>
    <mergeCell ref="C62:C62"/>
    <mergeCell ref="C63:C63"/>
    <mergeCell ref="C64:C64"/>
    <mergeCell ref="C65:C65"/>
    <mergeCell ref="C66:C66"/>
    <mergeCell ref="C67:C67"/>
    <mergeCell ref="C68:C68"/>
    <mergeCell ref="C69:C69"/>
    <mergeCell ref="C70:C70"/>
    <mergeCell ref="C71:C71"/>
    <mergeCell ref="C72:C72"/>
    <mergeCell ref="C73:C73"/>
    <mergeCell ref="C74:C74"/>
    <mergeCell ref="C75:C75"/>
    <mergeCell ref="C76:C76"/>
    <mergeCell ref="C77:C77"/>
    <mergeCell ref="C78:C78"/>
    <mergeCell ref="C79:C79"/>
    <mergeCell ref="C80:C80"/>
    <mergeCell ref="C81:C81"/>
    <mergeCell ref="C82:C82"/>
    <mergeCell ref="C83:C83"/>
    <mergeCell ref="C84:C84"/>
    <mergeCell ref="C85:C85"/>
    <mergeCell ref="C86:C86"/>
    <mergeCell ref="C87:C87"/>
    <mergeCell ref="C88:C88"/>
    <mergeCell ref="C89:C89"/>
    <mergeCell ref="C90:C90"/>
    <mergeCell ref="C91:C91"/>
    <mergeCell ref="C92:C92"/>
    <mergeCell ref="C93:C93"/>
    <mergeCell ref="C94:C94"/>
    <mergeCell ref="C95:C95"/>
    <mergeCell ref="C96:C96"/>
    <mergeCell ref="C97:C97"/>
    <mergeCell ref="C98:C98"/>
    <mergeCell ref="C99:C99"/>
    <mergeCell ref="C100:C100"/>
    <mergeCell ref="C101:C101"/>
    <mergeCell ref="C102:C102"/>
    <mergeCell ref="C103:C103"/>
    <mergeCell ref="C104:C104"/>
    <mergeCell ref="C105:C105"/>
    <mergeCell ref="C106:C106"/>
    <mergeCell ref="C107:C107"/>
    <mergeCell ref="C108:C108"/>
    <mergeCell ref="C109:C109"/>
    <mergeCell ref="C110:C110"/>
    <mergeCell ref="C111:C111"/>
    <mergeCell ref="C112:C112"/>
    <mergeCell ref="C113:C113"/>
    <mergeCell ref="C114:C114"/>
    <mergeCell ref="C115:C115"/>
    <mergeCell ref="C116:C116"/>
    <mergeCell ref="C117:C117"/>
    <mergeCell ref="C118:C118"/>
    <mergeCell ref="C119:C119"/>
    <mergeCell ref="C120:C120"/>
    <mergeCell ref="C121:C121"/>
    <mergeCell ref="C122:C122"/>
    <mergeCell ref="C123:C123"/>
    <mergeCell ref="C124:C124"/>
    <mergeCell ref="C125:C125"/>
    <mergeCell ref="C126:C126"/>
    <mergeCell ref="C127:C127"/>
    <mergeCell ref="C128:C128"/>
    <mergeCell ref="C129:C129"/>
    <mergeCell ref="C130:C130"/>
    <mergeCell ref="C131:C131"/>
    <mergeCell ref="C132:C132"/>
    <mergeCell ref="C133:C133"/>
    <mergeCell ref="C134:C134"/>
    <mergeCell ref="C135:C135"/>
    <mergeCell ref="C136:C136"/>
    <mergeCell ref="C137:C137"/>
    <mergeCell ref="C138:C138"/>
    <mergeCell ref="C139:C139"/>
    <mergeCell ref="C140:C140"/>
    <mergeCell ref="C141:C141"/>
    <mergeCell ref="C142:C142"/>
    <mergeCell ref="C143:C143"/>
    <mergeCell ref="C144:C144"/>
    <mergeCell ref="C145:C145"/>
    <mergeCell ref="C146:C146"/>
    <mergeCell ref="C147:C147"/>
    <mergeCell ref="C148:C148"/>
    <mergeCell ref="C149:C149"/>
    <mergeCell ref="C150:C150"/>
    <mergeCell ref="C151:C151"/>
    <mergeCell ref="C152:C152"/>
    <mergeCell ref="C153:C153"/>
    <mergeCell ref="C154:C154"/>
    <mergeCell ref="C155:C155"/>
    <mergeCell ref="C156:C156"/>
    <mergeCell ref="C157:C157"/>
    <mergeCell ref="C158:C158"/>
    <mergeCell ref="C159:C159"/>
    <mergeCell ref="C160:C160"/>
    <mergeCell ref="C161:C161"/>
    <mergeCell ref="C162:C162"/>
    <mergeCell ref="C163:C163"/>
    <mergeCell ref="C164:C164"/>
    <mergeCell ref="C165:C165"/>
    <mergeCell ref="C166:C166"/>
    <mergeCell ref="C167:C167"/>
    <mergeCell ref="C168:C168"/>
    <mergeCell ref="C169:C169"/>
    <mergeCell ref="C170:C170"/>
    <mergeCell ref="C171:C171"/>
    <mergeCell ref="C172:C172"/>
    <mergeCell ref="C173:C173"/>
    <mergeCell ref="C174:C174"/>
    <mergeCell ref="C175:C175"/>
    <mergeCell ref="C176:C176"/>
    <mergeCell ref="C177:C177"/>
    <mergeCell ref="C178:C178"/>
    <mergeCell ref="C179:C179"/>
    <mergeCell ref="C180:C180"/>
    <mergeCell ref="C181:C181"/>
    <mergeCell ref="C182:C182"/>
    <mergeCell ref="C183:C183"/>
    <mergeCell ref="C184:C184"/>
    <mergeCell ref="C185:C185"/>
    <mergeCell ref="C186:C186"/>
    <mergeCell ref="C187:C187"/>
    <mergeCell ref="C188:C188"/>
    <mergeCell ref="C189:C189"/>
    <mergeCell ref="C190:C190"/>
    <mergeCell ref="C191:C191"/>
    <mergeCell ref="C192:C192"/>
    <mergeCell ref="C193:C193"/>
    <mergeCell ref="C194:C194"/>
    <mergeCell ref="C195:C195"/>
    <mergeCell ref="C196:C196"/>
    <mergeCell ref="C197:C197"/>
    <mergeCell ref="C198:C198"/>
    <mergeCell ref="C199:C199"/>
    <mergeCell ref="C200:C200"/>
    <mergeCell ref="C201:C201"/>
    <mergeCell ref="C202:C202"/>
    <mergeCell ref="C203:C203"/>
    <mergeCell ref="C204:C204"/>
    <mergeCell ref="C205:C205"/>
    <mergeCell ref="C206:C206"/>
    <mergeCell ref="C207:C207"/>
    <mergeCell ref="C208:C208"/>
    <mergeCell ref="C209:C209"/>
    <mergeCell ref="C210:C210"/>
    <mergeCell ref="C211:C211"/>
    <mergeCell ref="C212:C212"/>
    <mergeCell ref="C213:C213"/>
    <mergeCell ref="C214:C214"/>
    <mergeCell ref="C215:C215"/>
    <mergeCell ref="C216:C216"/>
    <mergeCell ref="C217:C217"/>
    <mergeCell ref="C218:C218"/>
    <mergeCell ref="C219:C219"/>
    <mergeCell ref="C220:C220"/>
    <mergeCell ref="C221:C221"/>
    <mergeCell ref="C222:C222"/>
    <mergeCell ref="C223:C223"/>
    <mergeCell ref="C224:C224"/>
    <mergeCell ref="C225:C225"/>
    <mergeCell ref="C226:C226"/>
    <mergeCell ref="C227:C227"/>
    <mergeCell ref="C228:C228"/>
    <mergeCell ref="C229:C229"/>
    <mergeCell ref="C230:C230"/>
    <mergeCell ref="C231:C231"/>
    <mergeCell ref="C232:C232"/>
    <mergeCell ref="C233:C233"/>
    <mergeCell ref="C234:C234"/>
    <mergeCell ref="C235:C235"/>
    <mergeCell ref="C236:C236"/>
    <mergeCell ref="C237:C237"/>
    <mergeCell ref="C238:C238"/>
    <mergeCell ref="C239:C239"/>
    <mergeCell ref="C240:C240"/>
    <mergeCell ref="C241:C241"/>
    <mergeCell ref="C242:C242"/>
    <mergeCell ref="C243:C243"/>
    <mergeCell ref="C244:C244"/>
    <mergeCell ref="C245:C245"/>
    <mergeCell ref="C246:C246"/>
    <mergeCell ref="C247:C247"/>
    <mergeCell ref="C248:C248"/>
    <mergeCell ref="C249:C249"/>
    <mergeCell ref="C250:C250"/>
    <mergeCell ref="C251:C251"/>
    <mergeCell ref="C252:C252"/>
    <mergeCell ref="C253:C253"/>
    <mergeCell ref="C254:C254"/>
    <mergeCell ref="C255:C255"/>
    <mergeCell ref="C256:C256"/>
    <mergeCell ref="C257:C257"/>
    <mergeCell ref="C258:C258"/>
    <mergeCell ref="C259:C259"/>
    <mergeCell ref="C260:C260"/>
    <mergeCell ref="C261:C261"/>
    <mergeCell ref="C262:C262"/>
    <mergeCell ref="C263:C263"/>
    <mergeCell ref="C264:C264"/>
    <mergeCell ref="C265:C265"/>
    <mergeCell ref="C266:C266"/>
    <mergeCell ref="C267:C267"/>
    <mergeCell ref="C268:C268"/>
    <mergeCell ref="C269:C269"/>
    <mergeCell ref="C270:C270"/>
    <mergeCell ref="C271:C271"/>
    <mergeCell ref="C272:C272"/>
    <mergeCell ref="C273:C273"/>
    <mergeCell ref="C274:C274"/>
    <mergeCell ref="C275:C275"/>
    <mergeCell ref="C276:C276"/>
    <mergeCell ref="C277:C277"/>
    <mergeCell ref="C278:C278"/>
    <mergeCell ref="C279:C279"/>
    <mergeCell ref="C280:C280"/>
    <mergeCell ref="C281:C281"/>
    <mergeCell ref="C282:C282"/>
    <mergeCell ref="C283:C283"/>
    <mergeCell ref="C284:C284"/>
    <mergeCell ref="C285:C285"/>
    <mergeCell ref="C286:C286"/>
    <mergeCell ref="C287:C287"/>
    <mergeCell ref="C288:C288"/>
    <mergeCell ref="C289:C289"/>
    <mergeCell ref="C290:C290"/>
    <mergeCell ref="C291:C291"/>
    <mergeCell ref="C292:C292"/>
    <mergeCell ref="G5:M5"/>
    <mergeCell ref="G12:M17"/>
    <mergeCell ref="G10:M10"/>
    <mergeCell ref="G6:G7"/>
    <mergeCell ref="H6:J6"/>
    <mergeCell ref="K6:M6"/>
    <mergeCell ref="O11:R11"/>
    <mergeCell ref="O12:P12"/>
    <mergeCell ref="O13:O15"/>
    <mergeCell ref="O16:O18"/>
    <mergeCell ref="O19:R19"/>
    <mergeCell ref="O303:R308"/>
    <mergeCell ref="T11:X11"/>
    <mergeCell ref="T12:V12"/>
    <mergeCell ref="T19:X19"/>
    <mergeCell ref="T13:T18"/>
    <mergeCell ref="T303:W308"/>
    <mergeCell ref="U13:U15"/>
    <mergeCell ref="U16:U18"/>
    <mergeCell ref="AB4:AB4"/>
    <mergeCell ref="AB5:AB5"/>
    <mergeCell ref="AB6:AB6"/>
    <mergeCell ref="AB7:AB7"/>
    <mergeCell ref="AB8:AB8"/>
    <mergeCell ref="AB9:AB9"/>
    <mergeCell ref="AB10:AB10"/>
    <mergeCell ref="AB11:AB11"/>
    <mergeCell ref="AB12:AB12"/>
    <mergeCell ref="AB13:AB13"/>
    <mergeCell ref="AB14:AB14"/>
    <mergeCell ref="AB15:AB15"/>
    <mergeCell ref="AB16:AB16"/>
    <mergeCell ref="AB17:AB17"/>
    <mergeCell ref="AB18:AB18"/>
    <mergeCell ref="AB19:AB19"/>
    <mergeCell ref="AB20:AB20"/>
    <mergeCell ref="AB21:AB21"/>
    <mergeCell ref="AB22:AB22"/>
    <mergeCell ref="AB23:AB23"/>
    <mergeCell ref="AB24:AB24"/>
    <mergeCell ref="AB25:AB25"/>
    <mergeCell ref="AB26:AB26"/>
    <mergeCell ref="AB27:AB27"/>
    <mergeCell ref="AB28:AB28"/>
    <mergeCell ref="AB29:AB29"/>
    <mergeCell ref="AB30:AB30"/>
    <mergeCell ref="AB31:AB31"/>
    <mergeCell ref="AB32:AB32"/>
    <mergeCell ref="AB33:AB33"/>
    <mergeCell ref="AB34:AB34"/>
    <mergeCell ref="AB35:AB35"/>
    <mergeCell ref="AB36:AB36"/>
    <mergeCell ref="AB37:AB37"/>
    <mergeCell ref="AB38:AB38"/>
    <mergeCell ref="AB39:AB39"/>
    <mergeCell ref="AB40:AB40"/>
    <mergeCell ref="AB41:AB41"/>
    <mergeCell ref="AB42:AB42"/>
    <mergeCell ref="AB43:AB43"/>
    <mergeCell ref="AB44:AB44"/>
    <mergeCell ref="AB45:AB45"/>
    <mergeCell ref="AB46:AB46"/>
    <mergeCell ref="AB47:AB47"/>
    <mergeCell ref="AB48:AB48"/>
    <mergeCell ref="AB49:AB49"/>
    <mergeCell ref="AB50:AB50"/>
    <mergeCell ref="AB51:AB51"/>
    <mergeCell ref="AB52:AB52"/>
    <mergeCell ref="AB53:AB53"/>
    <mergeCell ref="AB54:AB54"/>
    <mergeCell ref="AB55:AB55"/>
    <mergeCell ref="AB56:AB56"/>
    <mergeCell ref="AB57:AB57"/>
    <mergeCell ref="AB58:AB58"/>
    <mergeCell ref="AB59:AB59"/>
    <mergeCell ref="AB60:AB60"/>
    <mergeCell ref="AB61:AB61"/>
    <mergeCell ref="AB62:AB62"/>
    <mergeCell ref="AB63:AB63"/>
    <mergeCell ref="AB64:AB64"/>
    <mergeCell ref="AB65:AB65"/>
    <mergeCell ref="AB66:AB66"/>
    <mergeCell ref="AB67:AB67"/>
    <mergeCell ref="AB68:AB68"/>
    <mergeCell ref="AB69:AB69"/>
    <mergeCell ref="AB70:AB70"/>
    <mergeCell ref="AB71:AB71"/>
    <mergeCell ref="AB72:AB72"/>
    <mergeCell ref="AB73:AB73"/>
    <mergeCell ref="AB74:AB74"/>
    <mergeCell ref="AB75:AB75"/>
    <mergeCell ref="AB76:AB76"/>
    <mergeCell ref="AB77:AB77"/>
    <mergeCell ref="AB78:AB78"/>
    <mergeCell ref="AB79:AB79"/>
    <mergeCell ref="AB80:AB80"/>
    <mergeCell ref="AB81:AB81"/>
    <mergeCell ref="AB82:AB82"/>
    <mergeCell ref="AB83:AB83"/>
    <mergeCell ref="AB84:AB84"/>
    <mergeCell ref="AB85:AB85"/>
    <mergeCell ref="AB86:AB86"/>
    <mergeCell ref="AB87:AB87"/>
    <mergeCell ref="AB88:AB88"/>
    <mergeCell ref="AB89:AB89"/>
    <mergeCell ref="AB90:AB90"/>
    <mergeCell ref="AB91:AB91"/>
    <mergeCell ref="AB92:AB92"/>
    <mergeCell ref="AB93:AB93"/>
    <mergeCell ref="AB94:AB94"/>
    <mergeCell ref="AB95:AB95"/>
    <mergeCell ref="AB96:AB96"/>
    <mergeCell ref="AB97:AB97"/>
    <mergeCell ref="AB98:AB98"/>
    <mergeCell ref="AB99:AB99"/>
    <mergeCell ref="AB100:AB100"/>
    <mergeCell ref="AB101:AB101"/>
    <mergeCell ref="AB102:AB102"/>
    <mergeCell ref="AB103:AB103"/>
    <mergeCell ref="AB104:AB104"/>
    <mergeCell ref="AB105:AB105"/>
    <mergeCell ref="AB106:AB106"/>
    <mergeCell ref="AB107:AB107"/>
    <mergeCell ref="AB108:AB108"/>
    <mergeCell ref="AB109:AB109"/>
    <mergeCell ref="AB110:AB110"/>
    <mergeCell ref="AB111:AB111"/>
    <mergeCell ref="AB112:AB112"/>
    <mergeCell ref="AB113:AB113"/>
    <mergeCell ref="AB114:AB114"/>
    <mergeCell ref="AB115:AB115"/>
    <mergeCell ref="AB116:AB116"/>
    <mergeCell ref="AB117:AB117"/>
    <mergeCell ref="AB118:AB118"/>
    <mergeCell ref="AB119:AB119"/>
    <mergeCell ref="AB120:AB120"/>
    <mergeCell ref="AB121:AB121"/>
    <mergeCell ref="AB122:AB122"/>
    <mergeCell ref="AB123:AB123"/>
    <mergeCell ref="AB124:AB124"/>
    <mergeCell ref="AB125:AB125"/>
    <mergeCell ref="AB126:AB126"/>
    <mergeCell ref="AB127:AB127"/>
    <mergeCell ref="AB128:AB128"/>
    <mergeCell ref="AB129:AB129"/>
    <mergeCell ref="AB130:AB130"/>
    <mergeCell ref="AB131:AB131"/>
    <mergeCell ref="AB132:AB132"/>
    <mergeCell ref="AB133:AB133"/>
    <mergeCell ref="AB134:AB134"/>
    <mergeCell ref="AB135:AB135"/>
    <mergeCell ref="AB136:AB136"/>
    <mergeCell ref="AB137:AB137"/>
    <mergeCell ref="AB138:AB138"/>
    <mergeCell ref="AB139:AB139"/>
    <mergeCell ref="AB140:AB140"/>
    <mergeCell ref="AB141:AB141"/>
    <mergeCell ref="AB142:AB142"/>
    <mergeCell ref="AB143:AB143"/>
    <mergeCell ref="AB144:AB144"/>
    <mergeCell ref="AB145:AB145"/>
    <mergeCell ref="AB146:AB146"/>
    <mergeCell ref="AB147:AB147"/>
    <mergeCell ref="AB148:AB148"/>
    <mergeCell ref="AB149:AB149"/>
    <mergeCell ref="AB150:AB150"/>
    <mergeCell ref="AB151:AB151"/>
    <mergeCell ref="AB152:AB152"/>
    <mergeCell ref="AB153:AB153"/>
    <mergeCell ref="AB154:AB154"/>
    <mergeCell ref="AB155:AB155"/>
    <mergeCell ref="AB156:AB156"/>
    <mergeCell ref="AB157:AB157"/>
    <mergeCell ref="AB158:AB158"/>
    <mergeCell ref="AB159:AB159"/>
    <mergeCell ref="AB160:AB160"/>
    <mergeCell ref="AB161:AB161"/>
    <mergeCell ref="AB162:AB162"/>
    <mergeCell ref="AB163:AB163"/>
    <mergeCell ref="AB164:AB164"/>
    <mergeCell ref="AB165:AB165"/>
    <mergeCell ref="AB166:AB166"/>
    <mergeCell ref="AB167:AB167"/>
    <mergeCell ref="AB168:AB168"/>
    <mergeCell ref="AB169:AB169"/>
    <mergeCell ref="AB170:AB170"/>
    <mergeCell ref="AB171:AB171"/>
    <mergeCell ref="AB172:AB172"/>
    <mergeCell ref="AB173:AB173"/>
    <mergeCell ref="AB174:AB174"/>
    <mergeCell ref="AB175:AB175"/>
    <mergeCell ref="AB176:AB176"/>
    <mergeCell ref="AB177:AB177"/>
    <mergeCell ref="AB178:AB178"/>
    <mergeCell ref="AB179:AB179"/>
    <mergeCell ref="AB180:AB180"/>
    <mergeCell ref="AB181:AB181"/>
    <mergeCell ref="AB182:AB182"/>
    <mergeCell ref="AB183:AB183"/>
    <mergeCell ref="AB184:AB184"/>
    <mergeCell ref="AB185:AB185"/>
    <mergeCell ref="AB186:AB186"/>
    <mergeCell ref="AB187:AB187"/>
    <mergeCell ref="AB188:AB188"/>
    <mergeCell ref="AB189:AB189"/>
    <mergeCell ref="AB190:AB190"/>
    <mergeCell ref="AB191:AB191"/>
    <mergeCell ref="AB192:AB192"/>
    <mergeCell ref="AB193:AB193"/>
    <mergeCell ref="AB194:AB194"/>
    <mergeCell ref="AB195:AB195"/>
    <mergeCell ref="AB196:AB196"/>
    <mergeCell ref="AB197:AB197"/>
    <mergeCell ref="AB198:AB198"/>
    <mergeCell ref="AB199:AB199"/>
    <mergeCell ref="AB200:AB200"/>
    <mergeCell ref="AB201:AB201"/>
    <mergeCell ref="AB202:AB202"/>
    <mergeCell ref="AB203:AB203"/>
    <mergeCell ref="AB204:AB204"/>
    <mergeCell ref="AB205:AB205"/>
    <mergeCell ref="AB206:AB206"/>
    <mergeCell ref="AB207:AB207"/>
    <mergeCell ref="AB208:AB208"/>
    <mergeCell ref="AB209:AB209"/>
    <mergeCell ref="AB210:AB210"/>
    <mergeCell ref="AB211:AB211"/>
    <mergeCell ref="AB212:AB212"/>
    <mergeCell ref="AB213:AB213"/>
    <mergeCell ref="AB214:AB214"/>
    <mergeCell ref="AB215:AB215"/>
    <mergeCell ref="AB216:AB216"/>
    <mergeCell ref="AB217:AB217"/>
    <mergeCell ref="AB218:AB218"/>
    <mergeCell ref="AB219:AB219"/>
    <mergeCell ref="AB220:AB220"/>
    <mergeCell ref="AB221:AB221"/>
    <mergeCell ref="AB222:AB222"/>
    <mergeCell ref="AB223:AB223"/>
    <mergeCell ref="AB224:AB224"/>
    <mergeCell ref="AB225:AB225"/>
    <mergeCell ref="AB226:AB226"/>
    <mergeCell ref="AB227:AB227"/>
    <mergeCell ref="AB228:AB228"/>
    <mergeCell ref="AB229:AB229"/>
    <mergeCell ref="AB230:AB230"/>
    <mergeCell ref="AB231:AB231"/>
    <mergeCell ref="AB232:AB232"/>
    <mergeCell ref="AB233:AB233"/>
    <mergeCell ref="AB234:AB234"/>
    <mergeCell ref="AB235:AB235"/>
    <mergeCell ref="AB236:AB236"/>
    <mergeCell ref="AB237:AB237"/>
    <mergeCell ref="AB238:AB238"/>
    <mergeCell ref="AB239:AB239"/>
    <mergeCell ref="AB240:AB240"/>
    <mergeCell ref="AB241:AB241"/>
    <mergeCell ref="AB242:AB242"/>
    <mergeCell ref="AB243:AB243"/>
    <mergeCell ref="AB244:AB244"/>
    <mergeCell ref="AB245:AB245"/>
    <mergeCell ref="AB246:AB246"/>
    <mergeCell ref="AB247:AB247"/>
    <mergeCell ref="AB248:AB248"/>
    <mergeCell ref="AB249:AB249"/>
    <mergeCell ref="AB250:AB250"/>
    <mergeCell ref="AB251:AB251"/>
    <mergeCell ref="AB252:AB252"/>
    <mergeCell ref="AB253:AB253"/>
    <mergeCell ref="AB254:AB254"/>
    <mergeCell ref="AB255:AB255"/>
    <mergeCell ref="AB256:AB256"/>
    <mergeCell ref="AB257:AB257"/>
    <mergeCell ref="AB258:AB258"/>
    <mergeCell ref="AB259:AB259"/>
    <mergeCell ref="AB260:AB260"/>
    <mergeCell ref="AB261:AB261"/>
    <mergeCell ref="AB262:AB262"/>
    <mergeCell ref="AB263:AB263"/>
    <mergeCell ref="AB264:AB264"/>
    <mergeCell ref="AB265:AB265"/>
    <mergeCell ref="AB266:AB266"/>
    <mergeCell ref="AB267:AB267"/>
    <mergeCell ref="AB268:AB268"/>
    <mergeCell ref="AB269:AB269"/>
    <mergeCell ref="AB270:AB270"/>
    <mergeCell ref="AB271:AB271"/>
    <mergeCell ref="AB272:AB272"/>
    <mergeCell ref="AB273:AB273"/>
    <mergeCell ref="AB274:AB274"/>
    <mergeCell ref="AB275:AB275"/>
    <mergeCell ref="AB276:AB276"/>
    <mergeCell ref="AB277:AB277"/>
    <mergeCell ref="AB278:AB278"/>
    <mergeCell ref="AB279:AB279"/>
    <mergeCell ref="AB280:AB280"/>
    <mergeCell ref="AB281:AB281"/>
    <mergeCell ref="AB282:AB282"/>
    <mergeCell ref="AB283:AB283"/>
    <mergeCell ref="AB284:AB284"/>
    <mergeCell ref="AB285:AB285"/>
    <mergeCell ref="AB286:AB286"/>
    <mergeCell ref="AB287:AB287"/>
    <mergeCell ref="AB288:AB288"/>
    <mergeCell ref="AB289:AB289"/>
    <mergeCell ref="AB290:AB290"/>
    <mergeCell ref="AB291:AB291"/>
    <mergeCell ref="AB292:AB292"/>
    <mergeCell ref="AF5:AL5"/>
    <mergeCell ref="AF12:AL17"/>
    <mergeCell ref="AF10:AL10"/>
    <mergeCell ref="AF6:AF7"/>
    <mergeCell ref="AG6:AI6"/>
    <mergeCell ref="AJ6:AL6"/>
    <mergeCell ref="AN11:AQ11"/>
    <mergeCell ref="AN12:AO12"/>
    <mergeCell ref="AN13:AN15"/>
    <mergeCell ref="AN16:AN18"/>
    <mergeCell ref="AN19:AQ19"/>
    <mergeCell ref="AN303:AQ308"/>
    <mergeCell ref="AS11:AW11"/>
    <mergeCell ref="AS12:AU12"/>
    <mergeCell ref="AS19:AW19"/>
    <mergeCell ref="AS13:AS18"/>
    <mergeCell ref="AS303:AV308"/>
    <mergeCell ref="AT13:AT15"/>
    <mergeCell ref="AT16:AT18"/>
    <mergeCell ref="BA4:BA4"/>
    <mergeCell ref="BA5:BA5"/>
    <mergeCell ref="BA6:BA6"/>
    <mergeCell ref="BA7:BA7"/>
    <mergeCell ref="BA8:BA8"/>
    <mergeCell ref="BA9:BA9"/>
    <mergeCell ref="BA10:BA10"/>
    <mergeCell ref="BA11:BA11"/>
    <mergeCell ref="BA12:BA12"/>
    <mergeCell ref="BA13:BA13"/>
    <mergeCell ref="BA14:BA14"/>
    <mergeCell ref="BA15:BA15"/>
    <mergeCell ref="BA16:BA16"/>
    <mergeCell ref="BA17:BA17"/>
    <mergeCell ref="BA18:BA18"/>
    <mergeCell ref="BA19:BA19"/>
    <mergeCell ref="BA20:BA20"/>
    <mergeCell ref="BA21:BA21"/>
    <mergeCell ref="BA22:BA22"/>
    <mergeCell ref="BA23:BA23"/>
    <mergeCell ref="BA24:BA24"/>
    <mergeCell ref="BA25:BA25"/>
    <mergeCell ref="BA26:BA26"/>
    <mergeCell ref="BA27:BA27"/>
    <mergeCell ref="BA28:BA28"/>
    <mergeCell ref="BA29:BA29"/>
    <mergeCell ref="BA30:BA30"/>
    <mergeCell ref="BA31:BA31"/>
    <mergeCell ref="BA32:BA32"/>
    <mergeCell ref="BA33:BA33"/>
    <mergeCell ref="BA34:BA34"/>
    <mergeCell ref="BA35:BA35"/>
    <mergeCell ref="BA36:BA36"/>
    <mergeCell ref="BA37:BA37"/>
    <mergeCell ref="BA38:BA38"/>
    <mergeCell ref="BA39:BA39"/>
    <mergeCell ref="BA40:BA40"/>
    <mergeCell ref="BA41:BA41"/>
    <mergeCell ref="BA42:BA42"/>
    <mergeCell ref="BA43:BA43"/>
    <mergeCell ref="BA44:BA44"/>
    <mergeCell ref="BA45:BA45"/>
    <mergeCell ref="BA46:BA46"/>
    <mergeCell ref="BA47:BA47"/>
    <mergeCell ref="BA48:BA48"/>
    <mergeCell ref="BA49:BA49"/>
    <mergeCell ref="BA50:BA50"/>
    <mergeCell ref="BA51:BA51"/>
    <mergeCell ref="BA52:BA52"/>
    <mergeCell ref="BA53:BA53"/>
    <mergeCell ref="BA54:BA54"/>
    <mergeCell ref="BA55:BA55"/>
    <mergeCell ref="BA56:BA56"/>
    <mergeCell ref="BA57:BA57"/>
    <mergeCell ref="BA58:BA58"/>
    <mergeCell ref="BA59:BA59"/>
    <mergeCell ref="BA60:BA60"/>
    <mergeCell ref="BA61:BA61"/>
    <mergeCell ref="BA62:BA62"/>
    <mergeCell ref="BA63:BA63"/>
    <mergeCell ref="BA64:BA64"/>
    <mergeCell ref="BA65:BA65"/>
    <mergeCell ref="BA66:BA66"/>
    <mergeCell ref="BA67:BA67"/>
    <mergeCell ref="BA68:BA68"/>
    <mergeCell ref="BA69:BA69"/>
    <mergeCell ref="BA70:BA70"/>
    <mergeCell ref="BA71:BA71"/>
    <mergeCell ref="BA72:BA72"/>
    <mergeCell ref="BA73:BA73"/>
    <mergeCell ref="BA74:BA74"/>
    <mergeCell ref="BA75:BA75"/>
    <mergeCell ref="BA76:BA76"/>
    <mergeCell ref="BA77:BA77"/>
    <mergeCell ref="BA78:BA78"/>
    <mergeCell ref="BA79:BA79"/>
    <mergeCell ref="BA80:BA80"/>
    <mergeCell ref="BA81:BA81"/>
    <mergeCell ref="BA82:BA82"/>
    <mergeCell ref="BA83:BA83"/>
    <mergeCell ref="BA84:BA84"/>
    <mergeCell ref="BA85:BA85"/>
    <mergeCell ref="BA86:BA86"/>
    <mergeCell ref="BA87:BA87"/>
    <mergeCell ref="BA88:BA88"/>
    <mergeCell ref="BA89:BA89"/>
    <mergeCell ref="BA90:BA90"/>
    <mergeCell ref="BA91:BA91"/>
    <mergeCell ref="BA92:BA92"/>
    <mergeCell ref="BA93:BA93"/>
    <mergeCell ref="BA94:BA94"/>
    <mergeCell ref="BA95:BA95"/>
    <mergeCell ref="BA96:BA96"/>
    <mergeCell ref="BA97:BA97"/>
    <mergeCell ref="BA98:BA98"/>
    <mergeCell ref="BA99:BA99"/>
    <mergeCell ref="BA100:BA100"/>
    <mergeCell ref="BA101:BA101"/>
    <mergeCell ref="BA102:BA102"/>
    <mergeCell ref="BA103:BA103"/>
    <mergeCell ref="BA104:BA104"/>
    <mergeCell ref="BA105:BA105"/>
    <mergeCell ref="BA106:BA106"/>
    <mergeCell ref="BA107:BA107"/>
    <mergeCell ref="BA108:BA108"/>
    <mergeCell ref="BA109:BA109"/>
    <mergeCell ref="BA110:BA110"/>
    <mergeCell ref="BA111:BA111"/>
    <mergeCell ref="BA112:BA112"/>
    <mergeCell ref="BA113:BA113"/>
    <mergeCell ref="BA114:BA114"/>
    <mergeCell ref="BA115:BA115"/>
    <mergeCell ref="BA116:BA116"/>
    <mergeCell ref="BA117:BA117"/>
    <mergeCell ref="BA118:BA118"/>
    <mergeCell ref="BA119:BA119"/>
    <mergeCell ref="BA120:BA120"/>
    <mergeCell ref="BA121:BA121"/>
    <mergeCell ref="BA122:BA122"/>
    <mergeCell ref="BA123:BA123"/>
    <mergeCell ref="BA124:BA124"/>
    <mergeCell ref="BA125:BA125"/>
    <mergeCell ref="BA126:BA126"/>
    <mergeCell ref="BA127:BA127"/>
    <mergeCell ref="BA128:BA128"/>
    <mergeCell ref="BA129:BA129"/>
    <mergeCell ref="BA130:BA130"/>
    <mergeCell ref="BA131:BA131"/>
    <mergeCell ref="BA132:BA132"/>
    <mergeCell ref="BA133:BA133"/>
    <mergeCell ref="BA134:BA134"/>
    <mergeCell ref="BA135:BA135"/>
    <mergeCell ref="BA136:BA136"/>
    <mergeCell ref="BA137:BA137"/>
    <mergeCell ref="BA138:BA138"/>
    <mergeCell ref="BA139:BA139"/>
    <mergeCell ref="BA140:BA140"/>
    <mergeCell ref="BA141:BA141"/>
    <mergeCell ref="BA142:BA142"/>
    <mergeCell ref="BA143:BA143"/>
    <mergeCell ref="BA144:BA144"/>
    <mergeCell ref="BA145:BA145"/>
    <mergeCell ref="BA146:BA146"/>
    <mergeCell ref="BA147:BA147"/>
    <mergeCell ref="BA148:BA148"/>
    <mergeCell ref="BA149:BA149"/>
    <mergeCell ref="BA150:BA150"/>
    <mergeCell ref="BA151:BA151"/>
    <mergeCell ref="BA152:BA152"/>
    <mergeCell ref="BA153:BA153"/>
    <mergeCell ref="BA154:BA154"/>
    <mergeCell ref="BA155:BA155"/>
    <mergeCell ref="BA156:BA156"/>
    <mergeCell ref="BA157:BA157"/>
    <mergeCell ref="BA158:BA158"/>
    <mergeCell ref="BA159:BA159"/>
    <mergeCell ref="BA160:BA160"/>
    <mergeCell ref="BA161:BA161"/>
    <mergeCell ref="BA162:BA162"/>
    <mergeCell ref="BA163:BA163"/>
    <mergeCell ref="BA164:BA164"/>
    <mergeCell ref="BA165:BA165"/>
    <mergeCell ref="BA166:BA166"/>
    <mergeCell ref="BA167:BA167"/>
    <mergeCell ref="BA168:BA168"/>
    <mergeCell ref="BA169:BA169"/>
    <mergeCell ref="BA170:BA170"/>
    <mergeCell ref="BA171:BA171"/>
    <mergeCell ref="BA172:BA172"/>
    <mergeCell ref="BA173:BA173"/>
    <mergeCell ref="BA174:BA174"/>
    <mergeCell ref="BA175:BA175"/>
    <mergeCell ref="BA176:BA176"/>
    <mergeCell ref="BA177:BA177"/>
    <mergeCell ref="BA178:BA178"/>
    <mergeCell ref="BA179:BA179"/>
    <mergeCell ref="BA180:BA180"/>
    <mergeCell ref="BA181:BA181"/>
    <mergeCell ref="BA182:BA182"/>
    <mergeCell ref="BA183:BA183"/>
    <mergeCell ref="BA184:BA184"/>
    <mergeCell ref="BA185:BA185"/>
    <mergeCell ref="BA186:BA186"/>
    <mergeCell ref="BA187:BA187"/>
    <mergeCell ref="BA188:BA188"/>
    <mergeCell ref="BA189:BA189"/>
    <mergeCell ref="BA190:BA190"/>
    <mergeCell ref="BA191:BA191"/>
    <mergeCell ref="BA192:BA192"/>
    <mergeCell ref="BA193:BA193"/>
    <mergeCell ref="BA194:BA194"/>
    <mergeCell ref="BA195:BA195"/>
    <mergeCell ref="BA196:BA196"/>
    <mergeCell ref="BA197:BA197"/>
    <mergeCell ref="BA198:BA198"/>
    <mergeCell ref="BA199:BA199"/>
    <mergeCell ref="BA200:BA200"/>
    <mergeCell ref="BA201:BA201"/>
    <mergeCell ref="BA202:BA202"/>
    <mergeCell ref="BA203:BA203"/>
    <mergeCell ref="BA204:BA204"/>
    <mergeCell ref="BA205:BA205"/>
    <mergeCell ref="BA206:BA206"/>
    <mergeCell ref="BA207:BA207"/>
    <mergeCell ref="BA208:BA208"/>
    <mergeCell ref="BA209:BA209"/>
    <mergeCell ref="BA210:BA210"/>
    <mergeCell ref="BA211:BA211"/>
    <mergeCell ref="BA212:BA212"/>
    <mergeCell ref="BA213:BA213"/>
    <mergeCell ref="BA214:BA214"/>
    <mergeCell ref="BA215:BA215"/>
    <mergeCell ref="BA216:BA216"/>
    <mergeCell ref="BA217:BA217"/>
    <mergeCell ref="BA218:BA218"/>
    <mergeCell ref="BA219:BA219"/>
    <mergeCell ref="BA220:BA220"/>
    <mergeCell ref="BA221:BA221"/>
    <mergeCell ref="BA222:BA222"/>
    <mergeCell ref="BA223:BA223"/>
    <mergeCell ref="BA224:BA224"/>
    <mergeCell ref="BA225:BA225"/>
    <mergeCell ref="BA226:BA226"/>
    <mergeCell ref="BA227:BA227"/>
    <mergeCell ref="BA228:BA228"/>
    <mergeCell ref="BA229:BA229"/>
    <mergeCell ref="BA230:BA230"/>
    <mergeCell ref="BA231:BA231"/>
    <mergeCell ref="BA232:BA232"/>
    <mergeCell ref="BA233:BA233"/>
    <mergeCell ref="BA234:BA234"/>
    <mergeCell ref="BA235:BA235"/>
    <mergeCell ref="BA236:BA236"/>
    <mergeCell ref="BA237:BA237"/>
    <mergeCell ref="BA238:BA238"/>
    <mergeCell ref="BA239:BA239"/>
    <mergeCell ref="BA240:BA240"/>
    <mergeCell ref="BA241:BA241"/>
    <mergeCell ref="BA242:BA242"/>
    <mergeCell ref="BA243:BA243"/>
    <mergeCell ref="BA244:BA244"/>
    <mergeCell ref="BA245:BA245"/>
    <mergeCell ref="BA246:BA246"/>
    <mergeCell ref="BA247:BA247"/>
    <mergeCell ref="BA248:BA248"/>
    <mergeCell ref="BA249:BA249"/>
    <mergeCell ref="BA250:BA250"/>
    <mergeCell ref="BA251:BA251"/>
    <mergeCell ref="BA252:BA252"/>
    <mergeCell ref="BA253:BA253"/>
    <mergeCell ref="BA254:BA254"/>
    <mergeCell ref="BA255:BA255"/>
    <mergeCell ref="BA256:BA256"/>
    <mergeCell ref="BA257:BA257"/>
    <mergeCell ref="BA258:BA258"/>
    <mergeCell ref="BA259:BA259"/>
    <mergeCell ref="BA260:BA260"/>
    <mergeCell ref="BA261:BA261"/>
    <mergeCell ref="BA262:BA262"/>
    <mergeCell ref="BA263:BA263"/>
    <mergeCell ref="BA264:BA264"/>
    <mergeCell ref="BA265:BA265"/>
    <mergeCell ref="BA266:BA266"/>
    <mergeCell ref="BA267:BA267"/>
    <mergeCell ref="BA268:BA268"/>
    <mergeCell ref="BA269:BA269"/>
    <mergeCell ref="BA270:BA270"/>
    <mergeCell ref="BA271:BA271"/>
    <mergeCell ref="BA272:BA272"/>
    <mergeCell ref="BA273:BA273"/>
    <mergeCell ref="BA274:BA274"/>
    <mergeCell ref="BA275:BA275"/>
    <mergeCell ref="BA276:BA276"/>
    <mergeCell ref="BA277:BA277"/>
    <mergeCell ref="BA278:BA278"/>
    <mergeCell ref="BA279:BA279"/>
    <mergeCell ref="BA280:BA280"/>
    <mergeCell ref="BA281:BA281"/>
    <mergeCell ref="BA282:BA282"/>
    <mergeCell ref="BA283:BA283"/>
    <mergeCell ref="BA284:BA284"/>
    <mergeCell ref="BA285:BA285"/>
    <mergeCell ref="BA286:BA286"/>
    <mergeCell ref="BA287:BA287"/>
    <mergeCell ref="BA288:BA288"/>
    <mergeCell ref="BA289:BA289"/>
    <mergeCell ref="BA290:BA290"/>
    <mergeCell ref="BA291:BA291"/>
    <mergeCell ref="BA292:BA292"/>
    <mergeCell ref="BE5:BK5"/>
    <mergeCell ref="BE12:BK17"/>
    <mergeCell ref="BE10:BK10"/>
    <mergeCell ref="BE6:BE7"/>
    <mergeCell ref="BF6:BH6"/>
    <mergeCell ref="BI6:BK6"/>
    <mergeCell ref="BM11:BP11"/>
    <mergeCell ref="BM12:BN12"/>
    <mergeCell ref="BM13:BM15"/>
    <mergeCell ref="BM16:BM18"/>
    <mergeCell ref="BM19:BP19"/>
    <mergeCell ref="BM303:BP308"/>
    <mergeCell ref="BR11:BV11"/>
    <mergeCell ref="BR12:BT12"/>
    <mergeCell ref="BR19:BV19"/>
    <mergeCell ref="BR13:BR18"/>
    <mergeCell ref="BR303:BU308"/>
    <mergeCell ref="BS13:BS15"/>
    <mergeCell ref="BS16:BS18"/>
    <mergeCell ref="CB4:CB4"/>
    <mergeCell ref="CB5:CB5"/>
    <mergeCell ref="CB6:CB6"/>
    <mergeCell ref="CB7:CB7"/>
    <mergeCell ref="CB8:CB8"/>
    <mergeCell ref="CB9:CB9"/>
    <mergeCell ref="CB10:CB10"/>
    <mergeCell ref="CB11:CB11"/>
    <mergeCell ref="CB12:CB12"/>
    <mergeCell ref="CB13:CB13"/>
    <mergeCell ref="CB14:CB14"/>
    <mergeCell ref="CB15:CB15"/>
    <mergeCell ref="CB16:CB16"/>
    <mergeCell ref="CB17:CB17"/>
    <mergeCell ref="CB18:CB18"/>
    <mergeCell ref="CB19:CB19"/>
    <mergeCell ref="CB20:CB20"/>
    <mergeCell ref="CB21:CB21"/>
    <mergeCell ref="CB22:CB22"/>
    <mergeCell ref="CB23:CB23"/>
    <mergeCell ref="CB24:CB24"/>
    <mergeCell ref="CB25:CB25"/>
    <mergeCell ref="CB26:CB26"/>
    <mergeCell ref="CB27:CB27"/>
    <mergeCell ref="CB28:CB28"/>
    <mergeCell ref="CB29:CB29"/>
    <mergeCell ref="CB30:CB30"/>
    <mergeCell ref="CB31:CB31"/>
    <mergeCell ref="CB32:CB32"/>
    <mergeCell ref="CB33:CB33"/>
    <mergeCell ref="CB34:CB34"/>
    <mergeCell ref="CB35:CB35"/>
    <mergeCell ref="CB36:CB36"/>
    <mergeCell ref="CB37:CB37"/>
    <mergeCell ref="CB38:CB38"/>
    <mergeCell ref="CB39:CB39"/>
    <mergeCell ref="CB40:CB40"/>
    <mergeCell ref="CB41:CB41"/>
    <mergeCell ref="CB42:CB42"/>
    <mergeCell ref="CB43:CB43"/>
    <mergeCell ref="CB44:CB44"/>
    <mergeCell ref="CB45:CB45"/>
    <mergeCell ref="CB46:CB46"/>
    <mergeCell ref="CB47:CB47"/>
    <mergeCell ref="CB48:CB48"/>
    <mergeCell ref="CB49:CB49"/>
    <mergeCell ref="CB50:CB50"/>
    <mergeCell ref="CB51:CB51"/>
    <mergeCell ref="CB52:CB52"/>
    <mergeCell ref="CB53:CB53"/>
    <mergeCell ref="CB54:CB54"/>
    <mergeCell ref="CB55:CB55"/>
    <mergeCell ref="CB56:CB56"/>
    <mergeCell ref="CB57:CB57"/>
    <mergeCell ref="CB58:CB58"/>
    <mergeCell ref="CB59:CB59"/>
    <mergeCell ref="CB60:CB60"/>
    <mergeCell ref="CB61:CB61"/>
    <mergeCell ref="CB62:CB62"/>
    <mergeCell ref="CB63:CB63"/>
    <mergeCell ref="CB64:CB64"/>
    <mergeCell ref="CB65:CB65"/>
    <mergeCell ref="CB66:CB66"/>
    <mergeCell ref="CB67:CB67"/>
    <mergeCell ref="CB68:CB68"/>
    <mergeCell ref="CB69:CB69"/>
    <mergeCell ref="CB70:CB70"/>
    <mergeCell ref="CB71:CB71"/>
    <mergeCell ref="CB72:CB72"/>
    <mergeCell ref="CB73:CB73"/>
    <mergeCell ref="CB74:CB74"/>
    <mergeCell ref="CB75:CB75"/>
    <mergeCell ref="CB76:CB76"/>
    <mergeCell ref="CB77:CB77"/>
    <mergeCell ref="CB78:CB78"/>
    <mergeCell ref="CB79:CB79"/>
    <mergeCell ref="CB80:CB80"/>
    <mergeCell ref="CB81:CB81"/>
    <mergeCell ref="CB82:CB82"/>
    <mergeCell ref="CB83:CB83"/>
    <mergeCell ref="CB84:CB84"/>
    <mergeCell ref="CB85:CB85"/>
    <mergeCell ref="CB86:CB86"/>
    <mergeCell ref="CB87:CB87"/>
    <mergeCell ref="CB88:CB88"/>
    <mergeCell ref="CB89:CB89"/>
    <mergeCell ref="CB90:CB90"/>
    <mergeCell ref="CB91:CB91"/>
    <mergeCell ref="CB92:CB92"/>
    <mergeCell ref="CB93:CB93"/>
    <mergeCell ref="CB94:CB94"/>
    <mergeCell ref="CB95:CB95"/>
    <mergeCell ref="CB96:CB96"/>
    <mergeCell ref="CB97:CB97"/>
    <mergeCell ref="CB98:CB98"/>
    <mergeCell ref="CB99:CB99"/>
    <mergeCell ref="CB100:CB100"/>
    <mergeCell ref="CB101:CB101"/>
    <mergeCell ref="CB102:CB102"/>
    <mergeCell ref="CB103:CB103"/>
    <mergeCell ref="CB104:CB104"/>
    <mergeCell ref="CB105:CB105"/>
    <mergeCell ref="CB106:CB106"/>
    <mergeCell ref="CB107:CB107"/>
    <mergeCell ref="CB108:CB108"/>
    <mergeCell ref="CB109:CB109"/>
    <mergeCell ref="CB110:CB110"/>
    <mergeCell ref="CB111:CB111"/>
    <mergeCell ref="CB112:CB112"/>
    <mergeCell ref="CB113:CB113"/>
    <mergeCell ref="CB114:CB114"/>
    <mergeCell ref="CB115:CB115"/>
    <mergeCell ref="CB116:CB116"/>
    <mergeCell ref="CB117:CB117"/>
    <mergeCell ref="CB118:CB118"/>
    <mergeCell ref="CB119:CB119"/>
    <mergeCell ref="CB120:CB120"/>
    <mergeCell ref="CB121:CB121"/>
    <mergeCell ref="CB122:CB122"/>
    <mergeCell ref="CB123:CB123"/>
    <mergeCell ref="CB124:CB124"/>
    <mergeCell ref="CB125:CB125"/>
    <mergeCell ref="CB126:CB126"/>
    <mergeCell ref="CB127:CB127"/>
    <mergeCell ref="CB128:CB128"/>
    <mergeCell ref="CB129:CB129"/>
    <mergeCell ref="CB130:CB130"/>
    <mergeCell ref="CB131:CB131"/>
    <mergeCell ref="CB132:CB132"/>
    <mergeCell ref="CB133:CB133"/>
    <mergeCell ref="CB134:CB134"/>
    <mergeCell ref="CB135:CB135"/>
    <mergeCell ref="CB136:CB136"/>
    <mergeCell ref="CB137:CB137"/>
    <mergeCell ref="CB138:CB138"/>
    <mergeCell ref="CB139:CB139"/>
    <mergeCell ref="CB140:CB140"/>
    <mergeCell ref="CB141:CB141"/>
    <mergeCell ref="CB142:CB142"/>
    <mergeCell ref="CB143:CB143"/>
    <mergeCell ref="CB144:CB144"/>
    <mergeCell ref="CB145:CB145"/>
    <mergeCell ref="CB146:CB146"/>
    <mergeCell ref="CB147:CB147"/>
    <mergeCell ref="CB148:CB148"/>
    <mergeCell ref="CB149:CB149"/>
    <mergeCell ref="CB150:CB150"/>
    <mergeCell ref="CB151:CB151"/>
    <mergeCell ref="CB152:CB152"/>
    <mergeCell ref="CB153:CB153"/>
    <mergeCell ref="CB154:CB154"/>
    <mergeCell ref="CB155:CB155"/>
    <mergeCell ref="CB156:CB156"/>
    <mergeCell ref="CB157:CB157"/>
    <mergeCell ref="CB158:CB158"/>
    <mergeCell ref="CB159:CB159"/>
    <mergeCell ref="CB160:CB160"/>
    <mergeCell ref="CB161:CB161"/>
    <mergeCell ref="CB162:CB162"/>
    <mergeCell ref="CB163:CB163"/>
    <mergeCell ref="CB164:CB164"/>
    <mergeCell ref="CB165:CB165"/>
    <mergeCell ref="CB166:CB166"/>
    <mergeCell ref="CB167:CB167"/>
    <mergeCell ref="CB168:CB168"/>
    <mergeCell ref="CB169:CB169"/>
    <mergeCell ref="CB170:CB170"/>
    <mergeCell ref="CB171:CB171"/>
    <mergeCell ref="CB172:CB172"/>
    <mergeCell ref="CB173:CB173"/>
    <mergeCell ref="CB174:CB174"/>
    <mergeCell ref="CB175:CB175"/>
    <mergeCell ref="CB176:CB176"/>
    <mergeCell ref="CB177:CB177"/>
    <mergeCell ref="CB178:CB178"/>
    <mergeCell ref="CB179:CB179"/>
    <mergeCell ref="CB180:CB180"/>
    <mergeCell ref="CB181:CB181"/>
    <mergeCell ref="CB182:CB182"/>
    <mergeCell ref="CB183:CB183"/>
    <mergeCell ref="CB184:CB184"/>
    <mergeCell ref="CB185:CB185"/>
    <mergeCell ref="CB186:CB186"/>
    <mergeCell ref="CB187:CB187"/>
    <mergeCell ref="CB188:CB188"/>
    <mergeCell ref="CB189:CB189"/>
    <mergeCell ref="CB190:CB190"/>
    <mergeCell ref="CB191:CB191"/>
    <mergeCell ref="CB192:CB192"/>
    <mergeCell ref="CB193:CB193"/>
    <mergeCell ref="CB194:CB194"/>
    <mergeCell ref="CB195:CB195"/>
    <mergeCell ref="CB196:CB196"/>
    <mergeCell ref="CB197:CB197"/>
    <mergeCell ref="CB198:CB198"/>
    <mergeCell ref="CB199:CB199"/>
    <mergeCell ref="CB200:CB200"/>
    <mergeCell ref="CB201:CB201"/>
    <mergeCell ref="CB202:CB202"/>
    <mergeCell ref="CB203:CB203"/>
    <mergeCell ref="CB204:CB204"/>
    <mergeCell ref="CB205:CB205"/>
    <mergeCell ref="CB206:CB206"/>
    <mergeCell ref="CB207:CB207"/>
    <mergeCell ref="CB208:CB208"/>
    <mergeCell ref="CB209:CB209"/>
    <mergeCell ref="CB210:CB210"/>
    <mergeCell ref="CB211:CB211"/>
    <mergeCell ref="CB212:CB212"/>
    <mergeCell ref="CB213:CB213"/>
    <mergeCell ref="CB214:CB214"/>
    <mergeCell ref="CB215:CB215"/>
    <mergeCell ref="CB216:CB216"/>
    <mergeCell ref="CB217:CB217"/>
    <mergeCell ref="CB218:CB218"/>
    <mergeCell ref="CB219:CB219"/>
    <mergeCell ref="CB220:CB220"/>
    <mergeCell ref="CB221:CB221"/>
    <mergeCell ref="CB222:CB222"/>
    <mergeCell ref="CB223:CB223"/>
    <mergeCell ref="CB224:CB224"/>
    <mergeCell ref="CB225:CB225"/>
    <mergeCell ref="CB226:CB226"/>
    <mergeCell ref="CB227:CB227"/>
    <mergeCell ref="CB228:CB228"/>
    <mergeCell ref="CB229:CB229"/>
    <mergeCell ref="CB230:CB230"/>
    <mergeCell ref="CB231:CB231"/>
    <mergeCell ref="CB232:CB232"/>
    <mergeCell ref="CB233:CB233"/>
    <mergeCell ref="CB234:CB234"/>
    <mergeCell ref="CB235:CB235"/>
    <mergeCell ref="CB236:CB236"/>
    <mergeCell ref="CB237:CB237"/>
    <mergeCell ref="CB238:CB238"/>
    <mergeCell ref="CB239:CB239"/>
    <mergeCell ref="CB240:CB240"/>
    <mergeCell ref="CB241:CB241"/>
    <mergeCell ref="CB242:CB242"/>
    <mergeCell ref="CB243:CB243"/>
    <mergeCell ref="CB244:CB244"/>
    <mergeCell ref="CB245:CB245"/>
    <mergeCell ref="CB246:CB246"/>
    <mergeCell ref="CB247:CB247"/>
    <mergeCell ref="CB248:CB248"/>
    <mergeCell ref="CB249:CB249"/>
    <mergeCell ref="CB250:CB250"/>
    <mergeCell ref="CB251:CB251"/>
    <mergeCell ref="CB252:CB252"/>
    <mergeCell ref="CB253:CB253"/>
    <mergeCell ref="CB254:CB254"/>
    <mergeCell ref="CB255:CB255"/>
    <mergeCell ref="CB256:CB256"/>
    <mergeCell ref="CB257:CB257"/>
    <mergeCell ref="CB258:CB258"/>
    <mergeCell ref="CB259:CB259"/>
    <mergeCell ref="CB260:CB260"/>
    <mergeCell ref="CB261:CB261"/>
    <mergeCell ref="CB262:CB262"/>
    <mergeCell ref="CB263:CB263"/>
    <mergeCell ref="CB264:CB264"/>
    <mergeCell ref="CB265:CB265"/>
    <mergeCell ref="CB266:CB266"/>
    <mergeCell ref="CB267:CB267"/>
    <mergeCell ref="CB268:CB268"/>
    <mergeCell ref="CB269:CB269"/>
    <mergeCell ref="CB270:CB270"/>
    <mergeCell ref="CB271:CB271"/>
    <mergeCell ref="CB272:CB272"/>
    <mergeCell ref="CB273:CB273"/>
    <mergeCell ref="CB274:CB274"/>
    <mergeCell ref="CB275:CB275"/>
    <mergeCell ref="CB276:CB276"/>
    <mergeCell ref="CB277:CB277"/>
    <mergeCell ref="CB278:CB278"/>
    <mergeCell ref="CB279:CB279"/>
    <mergeCell ref="CB280:CB280"/>
    <mergeCell ref="CB281:CB281"/>
    <mergeCell ref="CB282:CB282"/>
    <mergeCell ref="CB283:CB283"/>
    <mergeCell ref="CB284:CB284"/>
    <mergeCell ref="CB285:CB285"/>
    <mergeCell ref="CB286:CB286"/>
    <mergeCell ref="CB287:CB287"/>
    <mergeCell ref="CB288:CB288"/>
    <mergeCell ref="CB289:CB289"/>
    <mergeCell ref="CB290:CB290"/>
    <mergeCell ref="CB291:CB291"/>
    <mergeCell ref="CB292:CB292"/>
    <mergeCell ref="CF5:CL5"/>
    <mergeCell ref="CF12:CL17"/>
    <mergeCell ref="CF10:CL10"/>
    <mergeCell ref="CF6:CF7"/>
    <mergeCell ref="CG6:CI6"/>
    <mergeCell ref="CJ6:CL6"/>
    <mergeCell ref="CN11:CQ11"/>
    <mergeCell ref="CN12:CO12"/>
    <mergeCell ref="CN13:CN15"/>
    <mergeCell ref="CN16:CN18"/>
    <mergeCell ref="CN19:CQ19"/>
    <mergeCell ref="CN303:CQ308"/>
    <mergeCell ref="CS11:CW11"/>
    <mergeCell ref="CS12:CU12"/>
    <mergeCell ref="CS19:CW19"/>
    <mergeCell ref="CS13:CS18"/>
    <mergeCell ref="CS303:CV308"/>
    <mergeCell ref="CT13:CT15"/>
    <mergeCell ref="CT16:CT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Z303"/>
  <sheetViews>
    <sheetView tabSelected="0" workbookViewId="0" showGridLines="true" showRowColHeaders="1">
      <selection activeCell="X12" sqref="X12"/>
    </sheetView>
  </sheetViews>
  <sheetFormatPr defaultRowHeight="14.4" outlineLevelRow="0" outlineLevelCol="0"/>
  <cols>
    <col min="3" max="3" width="20" customWidth="true" style="0"/>
    <col min="4" max="4" width="12" customWidth="true" style="0"/>
    <col min="5" max="5" width="12" customWidth="true" style="0"/>
    <col min="7" max="7" width="2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 min="15" max="15" width="23" customWidth="true" style="0"/>
    <col min="16" max="16" width="15" customWidth="true" style="0"/>
    <col min="17" max="17" width="20" customWidth="true" style="0"/>
    <col min="18" max="18" width="20" customWidth="true" style="0"/>
    <col min="20" max="20" width="22" customWidth="true" style="0"/>
    <col min="21" max="21" width="22" customWidth="true" style="0"/>
    <col min="22" max="22" width="15" customWidth="true" style="0"/>
    <col min="23" max="23" width="20" customWidth="true" style="0"/>
  </cols>
  <sheetData>
    <row r="1" spans="1:26">
      <c r="A1" s="50"/>
      <c r="B1" s="50"/>
      <c r="C1" s="50"/>
      <c r="D1" s="50"/>
      <c r="E1" s="50"/>
      <c r="F1" s="50"/>
      <c r="G1" s="50"/>
      <c r="H1" s="50"/>
      <c r="I1" s="50"/>
      <c r="J1" s="50"/>
      <c r="K1" s="50"/>
      <c r="L1" s="50"/>
      <c r="M1" s="50"/>
      <c r="N1" s="50"/>
      <c r="O1" s="50"/>
      <c r="P1" s="50"/>
      <c r="Q1" s="50"/>
      <c r="R1" s="50"/>
      <c r="S1" s="50"/>
      <c r="T1" s="50"/>
      <c r="U1" s="50"/>
      <c r="V1" s="50"/>
      <c r="W1" s="50"/>
      <c r="X1" s="50"/>
      <c r="Y1" s="50"/>
      <c r="Z1" s="50"/>
    </row>
    <row r="2" spans="1:26">
      <c r="A2" s="50"/>
      <c r="D2" s="40" t="s">
        <v>453</v>
      </c>
      <c r="E2" s="40" t="s">
        <v>491</v>
      </c>
      <c r="Z2" s="50"/>
    </row>
    <row r="3" spans="1:26">
      <c r="A3" s="50"/>
      <c r="D3" s="40" t="str">
        <f>'Por Valoracion (3) Dimension'!H2</f>
        <v>0</v>
      </c>
      <c r="E3" s="40" t="str">
        <f>'Por Valoracion (3) Dimension 2'!D2</f>
        <v>0</v>
      </c>
      <c r="Z3" s="50"/>
    </row>
    <row r="4" spans="1:26">
      <c r="A4" s="50"/>
      <c r="C4" t="str">
        <f>('Gestión de abastecimiento'!A5)</f>
        <v>0</v>
      </c>
      <c r="D4" s="39" t="str">
        <f>'Por Valoracion (3) Dimension'!H4</f>
        <v>0</v>
      </c>
      <c r="E4" s="39" t="str">
        <f>'Por Valoracion (3) Dimension 2'!D4</f>
        <v>0</v>
      </c>
      <c r="G4" s="10" t="s">
        <v>343</v>
      </c>
      <c r="Z4" s="50"/>
    </row>
    <row r="5" spans="1:26">
      <c r="A5" s="50"/>
      <c r="C5" t="str">
        <f>('Gestión de abastecimiento'!A6)</f>
        <v>0</v>
      </c>
      <c r="D5" s="39" t="str">
        <f>'Por Valoracion (3) Dimension'!H5</f>
        <v>0</v>
      </c>
      <c r="E5" s="39" t="str">
        <f>'Por Valoracion (3) Dimension 2'!D5</f>
        <v>0</v>
      </c>
      <c r="G5" s="42" t="s">
        <v>465</v>
      </c>
      <c r="H5" s="12"/>
      <c r="I5" s="12"/>
      <c r="J5" s="12"/>
      <c r="K5" s="12"/>
      <c r="L5" s="12"/>
      <c r="M5" s="12"/>
      <c r="Z5" s="50"/>
    </row>
    <row r="6" spans="1:26">
      <c r="A6" s="50"/>
      <c r="C6" t="str">
        <f>('Gestión de abastecimiento'!A7)</f>
        <v>0</v>
      </c>
      <c r="D6" s="39" t="str">
        <f>'Por Valoracion (3) Dimension'!H6</f>
        <v>0</v>
      </c>
      <c r="E6" s="39" t="str">
        <f>'Por Valoracion (3) Dimension 2'!D6</f>
        <v>0</v>
      </c>
      <c r="G6"/>
      <c r="H6" s="41" t="s">
        <v>466</v>
      </c>
      <c r="K6" s="41" t="s">
        <v>467</v>
      </c>
      <c r="Z6" s="50"/>
    </row>
    <row r="7" spans="1:26">
      <c r="A7" s="50"/>
      <c r="C7" t="str">
        <f>('Gestión de abastecimiento'!A8)</f>
        <v>0</v>
      </c>
      <c r="D7" s="39" t="str">
        <f>'Por Valoracion (3) Dimension'!H7</f>
        <v>0</v>
      </c>
      <c r="E7" s="39" t="str">
        <f>'Por Valoracion (3) Dimension 2'!D7</f>
        <v>0</v>
      </c>
      <c r="G7" s="12"/>
      <c r="H7" s="43" t="s">
        <v>468</v>
      </c>
      <c r="I7" s="43" t="s">
        <v>469</v>
      </c>
      <c r="J7" s="43" t="s">
        <v>470</v>
      </c>
      <c r="K7" s="43" t="s">
        <v>468</v>
      </c>
      <c r="L7" s="45" t="s">
        <v>469</v>
      </c>
      <c r="M7" s="43" t="s">
        <v>470</v>
      </c>
      <c r="Z7" s="50"/>
    </row>
    <row r="8" spans="1:26">
      <c r="A8" s="50"/>
      <c r="C8" t="str">
        <f>('Gestión de abastecimiento'!A9)</f>
        <v>0</v>
      </c>
      <c r="D8" s="39" t="str">
        <f>'Por Valoracion (3) Dimension'!H8</f>
        <v>0</v>
      </c>
      <c r="E8" s="39" t="str">
        <f>'Por Valoracion (3) Dimension 2'!D8</f>
        <v>0</v>
      </c>
      <c r="G8" s="41" t="str">
        <f>D3</f>
        <v>0</v>
      </c>
      <c r="H8" s="44"/>
      <c r="I8" s="44"/>
      <c r="J8" s="44"/>
      <c r="K8" s="44"/>
      <c r="L8" s="44"/>
      <c r="M8" s="44"/>
      <c r="Z8" s="50"/>
    </row>
    <row r="9" spans="1:26">
      <c r="A9" s="50"/>
      <c r="C9" t="str">
        <f>('Gestión de abastecimiento'!A10)</f>
        <v>0</v>
      </c>
      <c r="D9" s="39" t="str">
        <f>'Por Valoracion (3) Dimension'!H9</f>
        <v>0</v>
      </c>
      <c r="E9" s="39" t="str">
        <f>'Por Valoracion (3) Dimension 2'!D9</f>
        <v>0</v>
      </c>
      <c r="G9" s="42" t="str">
        <f>E3</f>
        <v>0</v>
      </c>
      <c r="H9" s="12"/>
      <c r="I9" s="12"/>
      <c r="J9" s="12"/>
      <c r="K9" s="12"/>
      <c r="L9" s="12"/>
      <c r="M9" s="12"/>
      <c r="Z9" s="50"/>
    </row>
    <row r="10" spans="1:26">
      <c r="A10" s="50"/>
      <c r="C10" t="str">
        <f>('Gestión de abastecimiento'!A11)</f>
        <v>0</v>
      </c>
      <c r="D10" s="39" t="str">
        <f>'Por Valoracion (3) Dimension'!H10</f>
        <v>0</v>
      </c>
      <c r="E10" s="39" t="str">
        <f>'Por Valoracion (3) Dimension 2'!D10</f>
        <v>0</v>
      </c>
      <c r="G10" s="41" t="s">
        <v>471</v>
      </c>
      <c r="O10" s="10" t="s">
        <v>343</v>
      </c>
      <c r="T10" s="10" t="s">
        <v>343</v>
      </c>
      <c r="Z10" s="50"/>
    </row>
    <row r="11" spans="1:26">
      <c r="A11" s="50"/>
      <c r="C11" t="str">
        <f>('Gestión de abastecimiento'!A12)</f>
        <v>0</v>
      </c>
      <c r="D11" s="39" t="str">
        <f>'Por Valoracion (3) Dimension'!H11</f>
        <v>0</v>
      </c>
      <c r="E11" s="39" t="str">
        <f>'Por Valoracion (3) Dimension 2'!D11</f>
        <v>0</v>
      </c>
      <c r="O11" s="42" t="s">
        <v>472</v>
      </c>
      <c r="P11" s="12"/>
      <c r="Q11" s="12"/>
      <c r="R11" s="12"/>
      <c r="T11" s="42" t="s">
        <v>472</v>
      </c>
      <c r="U11" s="12"/>
      <c r="V11" s="12"/>
      <c r="W11" s="12"/>
      <c r="X11" s="12"/>
      <c r="Z11" s="50"/>
    </row>
    <row r="12" spans="1:26">
      <c r="A12" s="50"/>
      <c r="C12" t="str">
        <f>('Gestión de abastecimiento'!A13)</f>
        <v>0</v>
      </c>
      <c r="D12" s="39" t="str">
        <f>'Por Valoracion (3) Dimension'!H12</f>
        <v>0</v>
      </c>
      <c r="E12" s="39" t="str">
        <f>'Por Valoracion (3) Dimension 2'!D12</f>
        <v>0</v>
      </c>
      <c r="G12" s="27" t="str">
        <f>CONCATENATE("en la ",G8," y basándose en la prueba de ",F298," se puede observar que, ","con una probabilidad de error de ",D299,"% para la ",D297," ",D298," y ",E299,"% para la ",E297," ",E298,", ",G298,H298, " por tal motivo se procederá a utilizar ",I298,".")</f>
        <v>0</v>
      </c>
      <c r="O12" s="12"/>
      <c r="P12" s="12"/>
      <c r="Q12" s="42" t="str">
        <f>D3</f>
        <v>0</v>
      </c>
      <c r="R12" s="42" t="str">
        <f>E3</f>
        <v>0</v>
      </c>
      <c r="T12" s="12"/>
      <c r="U12" s="12"/>
      <c r="V12" s="12"/>
      <c r="W12" s="42" t="str">
        <f>D3</f>
        <v>0</v>
      </c>
      <c r="X12" s="42" t="str">
        <f>E3</f>
        <v>0</v>
      </c>
      <c r="Z12" s="50"/>
    </row>
    <row r="13" spans="1:26">
      <c r="A13" s="50"/>
      <c r="C13" t="str">
        <f>('Gestión de abastecimiento'!A14)</f>
        <v>0</v>
      </c>
      <c r="D13" s="39" t="str">
        <f>'Por Valoracion (3) Dimension'!H13</f>
        <v>0</v>
      </c>
      <c r="E13" s="39" t="str">
        <f>'Por Valoracion (3) Dimension 2'!D13</f>
        <v>0</v>
      </c>
      <c r="O13" s="41" t="str">
        <f>D3</f>
        <v>0</v>
      </c>
      <c r="P13" s="44" t="s">
        <v>473</v>
      </c>
      <c r="T13" s="44" t="s">
        <v>474</v>
      </c>
      <c r="U13" s="41" t="str">
        <f>D3</f>
        <v>0</v>
      </c>
      <c r="V13" s="44" t="s">
        <v>475</v>
      </c>
      <c r="Z13" s="50"/>
    </row>
    <row r="14" spans="1:26">
      <c r="A14" s="50"/>
      <c r="C14" t="str">
        <f>('Gestión de abastecimiento'!A15)</f>
        <v>0</v>
      </c>
      <c r="D14" s="39" t="str">
        <f>'Por Valoracion (3) Dimension'!H14</f>
        <v>0</v>
      </c>
      <c r="E14" s="39" t="str">
        <f>'Por Valoracion (3) Dimension 2'!D14</f>
        <v>0</v>
      </c>
      <c r="P14" s="44" t="s">
        <v>476</v>
      </c>
      <c r="V14" s="44" t="s">
        <v>476</v>
      </c>
      <c r="Z14" s="50"/>
    </row>
    <row r="15" spans="1:26">
      <c r="A15" s="50"/>
      <c r="C15" t="str">
        <f>('Gestión de abastecimiento'!A16)</f>
        <v>0</v>
      </c>
      <c r="D15" s="39" t="str">
        <f>'Por Valoracion (3) Dimension'!H15</f>
        <v>0</v>
      </c>
      <c r="E15" s="39" t="str">
        <f>'Por Valoracion (3) Dimension 2'!D15</f>
        <v>0</v>
      </c>
      <c r="P15" s="44" t="s">
        <v>477</v>
      </c>
      <c r="V15" s="44" t="s">
        <v>477</v>
      </c>
      <c r="Z15" s="50"/>
    </row>
    <row r="16" spans="1:26">
      <c r="A16" s="50"/>
      <c r="C16" t="str">
        <f>('Gestión de abastecimiento'!A17)</f>
        <v>0</v>
      </c>
      <c r="D16" s="39" t="str">
        <f>'Por Valoracion (3) Dimension'!H16</f>
        <v>0</v>
      </c>
      <c r="E16" s="39" t="str">
        <f>'Por Valoracion (3) Dimension 2'!D16</f>
        <v>0</v>
      </c>
      <c r="O16" s="41" t="str">
        <f>E3</f>
        <v>0</v>
      </c>
      <c r="P16" s="44" t="s">
        <v>473</v>
      </c>
      <c r="U16" s="41" t="str">
        <f>E3</f>
        <v>0</v>
      </c>
      <c r="V16" s="44" t="s">
        <v>475</v>
      </c>
      <c r="Z16" s="50"/>
    </row>
    <row r="17" spans="1:26">
      <c r="A17" s="50"/>
      <c r="C17" t="str">
        <f>('Gestión de abastecimiento'!A18)</f>
        <v>0</v>
      </c>
      <c r="D17" s="39" t="str">
        <f>'Por Valoracion (3) Dimension'!H17</f>
        <v>0</v>
      </c>
      <c r="E17" s="39" t="str">
        <f>'Por Valoracion (3) Dimension 2'!D17</f>
        <v>0</v>
      </c>
      <c r="P17" s="44" t="s">
        <v>476</v>
      </c>
      <c r="V17" s="44" t="s">
        <v>476</v>
      </c>
      <c r="Z17" s="50"/>
    </row>
    <row r="18" spans="1:26">
      <c r="A18" s="50"/>
      <c r="C18" t="str">
        <f>('Gestión de abastecimiento'!A19)</f>
        <v>0</v>
      </c>
      <c r="D18" s="39" t="str">
        <f>'Por Valoracion (3) Dimension'!H18</f>
        <v>0</v>
      </c>
      <c r="E18" s="39" t="str">
        <f>'Por Valoracion (3) Dimension 2'!D18</f>
        <v>0</v>
      </c>
      <c r="O18" s="12"/>
      <c r="P18" s="43" t="s">
        <v>477</v>
      </c>
      <c r="Q18" s="12"/>
      <c r="R18" s="12"/>
      <c r="T18" s="12"/>
      <c r="U18" s="12"/>
      <c r="V18" s="43" t="s">
        <v>477</v>
      </c>
      <c r="W18" s="12"/>
      <c r="X18" s="12"/>
      <c r="Z18" s="50"/>
    </row>
    <row r="19" spans="1:26">
      <c r="A19" s="50"/>
      <c r="C19" t="str">
        <f>('Gestión de abastecimiento'!A20)</f>
        <v>0</v>
      </c>
      <c r="D19" s="39" t="str">
        <f>'Por Valoracion (3) Dimension'!H19</f>
        <v>0</v>
      </c>
      <c r="E19" s="39" t="str">
        <f>'Por Valoracion (3) Dimension 2'!D19</f>
        <v>0</v>
      </c>
      <c r="O19" s="41" t="s">
        <v>478</v>
      </c>
      <c r="T19" s="41" t="s">
        <v>478</v>
      </c>
      <c r="Z19" s="50"/>
    </row>
    <row r="20" spans="1:26">
      <c r="A20" s="50"/>
      <c r="C20" t="str">
        <f>('Gestión de abastecimiento'!A21)</f>
        <v>0</v>
      </c>
      <c r="D20" s="39" t="str">
        <f>'Por Valoracion (3) Dimension'!H20</f>
        <v>0</v>
      </c>
      <c r="E20" s="39" t="str">
        <f>'Por Valoracion (3) Dimension 2'!D20</f>
        <v>0</v>
      </c>
      <c r="Z20" s="50"/>
    </row>
    <row r="21" spans="1:26">
      <c r="A21" s="50"/>
      <c r="C21" t="str">
        <f>('Gestión de abastecimiento'!A22)</f>
        <v>0</v>
      </c>
      <c r="D21" s="39" t="str">
        <f>'Por Valoracion (3) Dimension'!H21</f>
        <v>0</v>
      </c>
      <c r="E21" s="39" t="str">
        <f>'Por Valoracion (3) Dimension 2'!D21</f>
        <v>0</v>
      </c>
      <c r="Z21" s="50"/>
    </row>
    <row r="22" spans="1:26">
      <c r="A22" s="50"/>
      <c r="C22" t="str">
        <f>('Gestión de abastecimiento'!A23)</f>
        <v>0</v>
      </c>
      <c r="D22" s="39" t="str">
        <f>'Por Valoracion (3) Dimension'!H22</f>
        <v>0</v>
      </c>
      <c r="E22" s="39" t="str">
        <f>'Por Valoracion (3) Dimension 2'!D22</f>
        <v>0</v>
      </c>
      <c r="Z22" s="50"/>
    </row>
    <row r="23" spans="1:26">
      <c r="A23" s="50"/>
      <c r="C23" t="str">
        <f>('Gestión de abastecimiento'!A24)</f>
        <v>0</v>
      </c>
      <c r="D23" s="39" t="str">
        <f>'Por Valoracion (3) Dimension'!H23</f>
        <v>0</v>
      </c>
      <c r="E23" s="39" t="str">
        <f>'Por Valoracion (3) Dimension 2'!D23</f>
        <v>0</v>
      </c>
      <c r="Z23" s="50"/>
    </row>
    <row r="24" spans="1:26">
      <c r="A24" s="50"/>
      <c r="C24" t="str">
        <f>('Gestión de abastecimiento'!A25)</f>
        <v>0</v>
      </c>
      <c r="D24" s="39" t="str">
        <f>'Por Valoracion (3) Dimension'!H24</f>
        <v>0</v>
      </c>
      <c r="E24" s="39" t="str">
        <f>'Por Valoracion (3) Dimension 2'!D24</f>
        <v>0</v>
      </c>
      <c r="Z24" s="50"/>
    </row>
    <row r="25" spans="1:26">
      <c r="A25" s="50"/>
      <c r="C25" t="str">
        <f>('Gestión de abastecimiento'!A26)</f>
        <v>0</v>
      </c>
      <c r="D25" s="39" t="str">
        <f>'Por Valoracion (3) Dimension'!H25</f>
        <v>0</v>
      </c>
      <c r="E25" s="39" t="str">
        <f>'Por Valoracion (3) Dimension 2'!D25</f>
        <v>0</v>
      </c>
      <c r="Z25" s="50"/>
    </row>
    <row r="26" spans="1:26">
      <c r="A26" s="50"/>
      <c r="C26" t="str">
        <f>('Gestión de abastecimiento'!A27)</f>
        <v>0</v>
      </c>
      <c r="D26" s="39" t="str">
        <f>'Por Valoracion (3) Dimension'!H26</f>
        <v>0</v>
      </c>
      <c r="E26" s="39" t="str">
        <f>'Por Valoracion (3) Dimension 2'!D26</f>
        <v>0</v>
      </c>
      <c r="Z26" s="50"/>
    </row>
    <row r="27" spans="1:26">
      <c r="A27" s="50"/>
      <c r="C27" t="str">
        <f>('Gestión de abastecimiento'!A28)</f>
        <v>0</v>
      </c>
      <c r="D27" s="39" t="str">
        <f>'Por Valoracion (3) Dimension'!H27</f>
        <v>0</v>
      </c>
      <c r="E27" s="39" t="str">
        <f>'Por Valoracion (3) Dimension 2'!D27</f>
        <v>0</v>
      </c>
      <c r="Z27" s="50"/>
    </row>
    <row r="28" spans="1:26">
      <c r="A28" s="50"/>
      <c r="C28" t="str">
        <f>('Gestión de abastecimiento'!A29)</f>
        <v>0</v>
      </c>
      <c r="D28" s="39" t="str">
        <f>'Por Valoracion (3) Dimension'!H28</f>
        <v>0</v>
      </c>
      <c r="E28" s="39" t="str">
        <f>'Por Valoracion (3) Dimension 2'!D28</f>
        <v>0</v>
      </c>
      <c r="Z28" s="50"/>
    </row>
    <row r="29" spans="1:26">
      <c r="A29" s="50"/>
      <c r="C29" t="str">
        <f>('Gestión de abastecimiento'!A30)</f>
        <v>0</v>
      </c>
      <c r="D29" s="39" t="str">
        <f>'Por Valoracion (3) Dimension'!H29</f>
        <v>0</v>
      </c>
      <c r="E29" s="39" t="str">
        <f>'Por Valoracion (3) Dimension 2'!D29</f>
        <v>0</v>
      </c>
      <c r="Z29" s="50"/>
    </row>
    <row r="30" spans="1:26">
      <c r="A30" s="50"/>
      <c r="C30" t="str">
        <f>('Gestión de abastecimiento'!A31)</f>
        <v>0</v>
      </c>
      <c r="D30" s="39" t="str">
        <f>'Por Valoracion (3) Dimension'!H30</f>
        <v>0</v>
      </c>
      <c r="E30" s="39" t="str">
        <f>'Por Valoracion (3) Dimension 2'!D30</f>
        <v>0</v>
      </c>
      <c r="Z30" s="50"/>
    </row>
    <row r="31" spans="1:26">
      <c r="A31" s="50"/>
      <c r="C31" t="str">
        <f>('Gestión de abastecimiento'!A32)</f>
        <v>0</v>
      </c>
      <c r="D31" s="39" t="str">
        <f>'Por Valoracion (3) Dimension'!H31</f>
        <v>0</v>
      </c>
      <c r="E31" s="39" t="str">
        <f>'Por Valoracion (3) Dimension 2'!D31</f>
        <v>0</v>
      </c>
      <c r="Z31" s="50"/>
    </row>
    <row r="32" spans="1:26">
      <c r="A32" s="50"/>
      <c r="C32" t="str">
        <f>('Gestión de abastecimiento'!A33)</f>
        <v>0</v>
      </c>
      <c r="D32" s="39" t="str">
        <f>'Por Valoracion (3) Dimension'!H32</f>
        <v>0</v>
      </c>
      <c r="E32" s="39" t="str">
        <f>'Por Valoracion (3) Dimension 2'!D32</f>
        <v>0</v>
      </c>
      <c r="Z32" s="50"/>
    </row>
    <row r="33" spans="1:26">
      <c r="A33" s="50"/>
      <c r="C33" t="str">
        <f>('Gestión de abastecimiento'!A34)</f>
        <v>0</v>
      </c>
      <c r="D33" s="39" t="str">
        <f>'Por Valoracion (3) Dimension'!H33</f>
        <v>0</v>
      </c>
      <c r="E33" s="39" t="str">
        <f>'Por Valoracion (3) Dimension 2'!D33</f>
        <v>0</v>
      </c>
      <c r="Z33" s="50"/>
    </row>
    <row r="34" spans="1:26">
      <c r="A34" s="50"/>
      <c r="C34" t="str">
        <f>('Gestión de abastecimiento'!A35)</f>
        <v>0</v>
      </c>
      <c r="D34" s="39" t="str">
        <f>'Por Valoracion (3) Dimension'!H34</f>
        <v>0</v>
      </c>
      <c r="E34" s="39" t="str">
        <f>'Por Valoracion (3) Dimension 2'!D34</f>
        <v>0</v>
      </c>
      <c r="Z34" s="50"/>
    </row>
    <row r="35" spans="1:26">
      <c r="A35" s="50"/>
      <c r="C35" t="str">
        <f>('Gestión de abastecimiento'!A36)</f>
        <v>0</v>
      </c>
      <c r="D35" s="39" t="str">
        <f>'Por Valoracion (3) Dimension'!H35</f>
        <v>0</v>
      </c>
      <c r="E35" s="39" t="str">
        <f>'Por Valoracion (3) Dimension 2'!D35</f>
        <v>0</v>
      </c>
      <c r="Z35" s="50"/>
    </row>
    <row r="36" spans="1:26">
      <c r="A36" s="50"/>
      <c r="C36" t="str">
        <f>('Gestión de abastecimiento'!A37)</f>
        <v>0</v>
      </c>
      <c r="D36" s="39" t="str">
        <f>'Por Valoracion (3) Dimension'!H36</f>
        <v>0</v>
      </c>
      <c r="E36" s="39" t="str">
        <f>'Por Valoracion (3) Dimension 2'!D36</f>
        <v>0</v>
      </c>
      <c r="Z36" s="50"/>
    </row>
    <row r="37" spans="1:26">
      <c r="A37" s="50"/>
      <c r="C37" t="str">
        <f>('Gestión de abastecimiento'!A38)</f>
        <v>0</v>
      </c>
      <c r="D37" s="39" t="str">
        <f>'Por Valoracion (3) Dimension'!H37</f>
        <v>0</v>
      </c>
      <c r="E37" s="39" t="str">
        <f>'Por Valoracion (3) Dimension 2'!D37</f>
        <v>0</v>
      </c>
      <c r="Z37" s="50"/>
    </row>
    <row r="38" spans="1:26">
      <c r="A38" s="50"/>
      <c r="C38" t="str">
        <f>('Gestión de abastecimiento'!A39)</f>
        <v>0</v>
      </c>
      <c r="D38" s="39" t="str">
        <f>'Por Valoracion (3) Dimension'!H38</f>
        <v>0</v>
      </c>
      <c r="E38" s="39" t="str">
        <f>'Por Valoracion (3) Dimension 2'!D38</f>
        <v>0</v>
      </c>
      <c r="Z38" s="50"/>
    </row>
    <row r="39" spans="1:26">
      <c r="A39" s="50"/>
      <c r="C39" t="str">
        <f>('Gestión de abastecimiento'!A40)</f>
        <v>0</v>
      </c>
      <c r="D39" s="39" t="str">
        <f>'Por Valoracion (3) Dimension'!H39</f>
        <v>0</v>
      </c>
      <c r="E39" s="39" t="str">
        <f>'Por Valoracion (3) Dimension 2'!D39</f>
        <v>0</v>
      </c>
      <c r="Z39" s="50"/>
    </row>
    <row r="40" spans="1:26">
      <c r="A40" s="50"/>
      <c r="C40" t="str">
        <f>('Gestión de abastecimiento'!A41)</f>
        <v>0</v>
      </c>
      <c r="D40" s="39" t="str">
        <f>'Por Valoracion (3) Dimension'!H40</f>
        <v>0</v>
      </c>
      <c r="E40" s="39" t="str">
        <f>'Por Valoracion (3) Dimension 2'!D40</f>
        <v>0</v>
      </c>
      <c r="Z40" s="50"/>
    </row>
    <row r="41" spans="1:26">
      <c r="A41" s="50"/>
      <c r="C41" t="str">
        <f>('Gestión de abastecimiento'!A42)</f>
        <v>0</v>
      </c>
      <c r="D41" s="39" t="str">
        <f>'Por Valoracion (3) Dimension'!H41</f>
        <v>0</v>
      </c>
      <c r="E41" s="39" t="str">
        <f>'Por Valoracion (3) Dimension 2'!D41</f>
        <v>0</v>
      </c>
      <c r="Z41" s="50"/>
    </row>
    <row r="42" spans="1:26">
      <c r="A42" s="50"/>
      <c r="C42" t="str">
        <f>('Gestión de abastecimiento'!A43)</f>
        <v>0</v>
      </c>
      <c r="D42" s="39" t="str">
        <f>'Por Valoracion (3) Dimension'!H42</f>
        <v>0</v>
      </c>
      <c r="E42" s="39" t="str">
        <f>'Por Valoracion (3) Dimension 2'!D42</f>
        <v>0</v>
      </c>
      <c r="Z42" s="50"/>
    </row>
    <row r="43" spans="1:26">
      <c r="A43" s="50"/>
      <c r="C43" t="str">
        <f>('Gestión de abastecimiento'!A44)</f>
        <v>0</v>
      </c>
      <c r="D43" s="39" t="str">
        <f>'Por Valoracion (3) Dimension'!H43</f>
        <v>0</v>
      </c>
      <c r="E43" s="39" t="str">
        <f>'Por Valoracion (3) Dimension 2'!D43</f>
        <v>0</v>
      </c>
      <c r="Z43" s="50"/>
    </row>
    <row r="44" spans="1:26">
      <c r="A44" s="50"/>
      <c r="C44" t="str">
        <f>('Gestión de abastecimiento'!A45)</f>
        <v>0</v>
      </c>
      <c r="D44" s="39" t="str">
        <f>'Por Valoracion (3) Dimension'!H44</f>
        <v>0</v>
      </c>
      <c r="E44" s="39" t="str">
        <f>'Por Valoracion (3) Dimension 2'!D44</f>
        <v>0</v>
      </c>
      <c r="Z44" s="50"/>
    </row>
    <row r="45" spans="1:26">
      <c r="A45" s="50"/>
      <c r="C45" t="str">
        <f>('Gestión de abastecimiento'!A46)</f>
        <v>0</v>
      </c>
      <c r="D45" s="39" t="str">
        <f>'Por Valoracion (3) Dimension'!H45</f>
        <v>0</v>
      </c>
      <c r="E45" s="39" t="str">
        <f>'Por Valoracion (3) Dimension 2'!D45</f>
        <v>0</v>
      </c>
      <c r="Z45" s="50"/>
    </row>
    <row r="46" spans="1:26">
      <c r="A46" s="50"/>
      <c r="C46" t="str">
        <f>('Gestión de abastecimiento'!A47)</f>
        <v>0</v>
      </c>
      <c r="D46" s="39" t="str">
        <f>'Por Valoracion (3) Dimension'!H46</f>
        <v>0</v>
      </c>
      <c r="E46" s="39" t="str">
        <f>'Por Valoracion (3) Dimension 2'!D46</f>
        <v>0</v>
      </c>
      <c r="Z46" s="50"/>
    </row>
    <row r="47" spans="1:26">
      <c r="A47" s="50"/>
      <c r="C47" t="str">
        <f>('Gestión de abastecimiento'!A48)</f>
        <v>0</v>
      </c>
      <c r="D47" s="39" t="str">
        <f>'Por Valoracion (3) Dimension'!H47</f>
        <v>0</v>
      </c>
      <c r="E47" s="39" t="str">
        <f>'Por Valoracion (3) Dimension 2'!D47</f>
        <v>0</v>
      </c>
      <c r="Z47" s="50"/>
    </row>
    <row r="48" spans="1:26">
      <c r="A48" s="50"/>
      <c r="C48" t="str">
        <f>('Gestión de abastecimiento'!A49)</f>
        <v>0</v>
      </c>
      <c r="D48" s="39" t="str">
        <f>'Por Valoracion (3) Dimension'!H48</f>
        <v>0</v>
      </c>
      <c r="E48" s="39" t="str">
        <f>'Por Valoracion (3) Dimension 2'!D48</f>
        <v>0</v>
      </c>
      <c r="Z48" s="50"/>
    </row>
    <row r="49" spans="1:26">
      <c r="A49" s="50"/>
      <c r="C49" t="str">
        <f>('Gestión de abastecimiento'!A50)</f>
        <v>0</v>
      </c>
      <c r="D49" s="39" t="str">
        <f>'Por Valoracion (3) Dimension'!H49</f>
        <v>0</v>
      </c>
      <c r="E49" s="39" t="str">
        <f>'Por Valoracion (3) Dimension 2'!D49</f>
        <v>0</v>
      </c>
      <c r="Z49" s="50"/>
    </row>
    <row r="50" spans="1:26">
      <c r="A50" s="50"/>
      <c r="C50" t="str">
        <f>('Gestión de abastecimiento'!A51)</f>
        <v>0</v>
      </c>
      <c r="D50" s="39" t="str">
        <f>'Por Valoracion (3) Dimension'!H50</f>
        <v>0</v>
      </c>
      <c r="E50" s="39" t="str">
        <f>'Por Valoracion (3) Dimension 2'!D50</f>
        <v>0</v>
      </c>
      <c r="Z50" s="50"/>
    </row>
    <row r="51" spans="1:26">
      <c r="A51" s="50"/>
      <c r="C51" t="str">
        <f>('Gestión de abastecimiento'!A52)</f>
        <v>0</v>
      </c>
      <c r="D51" s="39" t="str">
        <f>'Por Valoracion (3) Dimension'!H51</f>
        <v>0</v>
      </c>
      <c r="E51" s="39" t="str">
        <f>'Por Valoracion (3) Dimension 2'!D51</f>
        <v>0</v>
      </c>
      <c r="Z51" s="50"/>
    </row>
    <row r="52" spans="1:26">
      <c r="A52" s="50"/>
      <c r="C52" t="str">
        <f>('Gestión de abastecimiento'!A53)</f>
        <v>0</v>
      </c>
      <c r="D52" s="39" t="str">
        <f>'Por Valoracion (3) Dimension'!H52</f>
        <v>0</v>
      </c>
      <c r="E52" s="39" t="str">
        <f>'Por Valoracion (3) Dimension 2'!D52</f>
        <v>0</v>
      </c>
      <c r="Z52" s="50"/>
    </row>
    <row r="53" spans="1:26">
      <c r="A53" s="50"/>
      <c r="C53" t="str">
        <f>('Gestión de abastecimiento'!A54)</f>
        <v>0</v>
      </c>
      <c r="D53" s="39" t="str">
        <f>'Por Valoracion (3) Dimension'!H53</f>
        <v>0</v>
      </c>
      <c r="E53" s="39" t="str">
        <f>'Por Valoracion (3) Dimension 2'!D53</f>
        <v>0</v>
      </c>
      <c r="Z53" s="50"/>
    </row>
    <row r="54" spans="1:26">
      <c r="A54" s="50"/>
      <c r="C54" t="str">
        <f>('Gestión de abastecimiento'!A55)</f>
        <v>0</v>
      </c>
      <c r="D54" s="39" t="str">
        <f>'Por Valoracion (3) Dimension'!H54</f>
        <v>0</v>
      </c>
      <c r="E54" s="39" t="str">
        <f>'Por Valoracion (3) Dimension 2'!D54</f>
        <v>0</v>
      </c>
      <c r="Z54" s="50"/>
    </row>
    <row r="55" spans="1:26">
      <c r="A55" s="50"/>
      <c r="C55" t="str">
        <f>('Gestión de abastecimiento'!A56)</f>
        <v>0</v>
      </c>
      <c r="D55" s="39" t="str">
        <f>'Por Valoracion (3) Dimension'!H55</f>
        <v>0</v>
      </c>
      <c r="E55" s="39" t="str">
        <f>'Por Valoracion (3) Dimension 2'!D55</f>
        <v>0</v>
      </c>
      <c r="Z55" s="50"/>
    </row>
    <row r="56" spans="1:26">
      <c r="A56" s="50"/>
      <c r="C56" t="str">
        <f>('Gestión de abastecimiento'!A57)</f>
        <v>0</v>
      </c>
      <c r="D56" s="39" t="str">
        <f>'Por Valoracion (3) Dimension'!H56</f>
        <v>0</v>
      </c>
      <c r="E56" s="39" t="str">
        <f>'Por Valoracion (3) Dimension 2'!D56</f>
        <v>0</v>
      </c>
      <c r="Z56" s="50"/>
    </row>
    <row r="57" spans="1:26">
      <c r="A57" s="50"/>
      <c r="C57" t="str">
        <f>('Gestión de abastecimiento'!A58)</f>
        <v>0</v>
      </c>
      <c r="D57" s="39" t="str">
        <f>'Por Valoracion (3) Dimension'!H57</f>
        <v>0</v>
      </c>
      <c r="E57" s="39" t="str">
        <f>'Por Valoracion (3) Dimension 2'!D57</f>
        <v>0</v>
      </c>
      <c r="Z57" s="50"/>
    </row>
    <row r="58" spans="1:26">
      <c r="A58" s="50"/>
      <c r="C58" t="str">
        <f>('Gestión de abastecimiento'!A59)</f>
        <v>0</v>
      </c>
      <c r="D58" s="39" t="str">
        <f>'Por Valoracion (3) Dimension'!H58</f>
        <v>0</v>
      </c>
      <c r="E58" s="39" t="str">
        <f>'Por Valoracion (3) Dimension 2'!D58</f>
        <v>0</v>
      </c>
      <c r="Z58" s="50"/>
    </row>
    <row r="59" spans="1:26">
      <c r="A59" s="50"/>
      <c r="C59" t="str">
        <f>('Gestión de abastecimiento'!A60)</f>
        <v>0</v>
      </c>
      <c r="D59" s="39" t="str">
        <f>'Por Valoracion (3) Dimension'!H59</f>
        <v>0</v>
      </c>
      <c r="E59" s="39" t="str">
        <f>'Por Valoracion (3) Dimension 2'!D59</f>
        <v>0</v>
      </c>
      <c r="Z59" s="50"/>
    </row>
    <row r="60" spans="1:26">
      <c r="A60" s="50"/>
      <c r="C60" t="str">
        <f>('Gestión de abastecimiento'!A61)</f>
        <v>0</v>
      </c>
      <c r="D60" s="39" t="str">
        <f>'Por Valoracion (3) Dimension'!H60</f>
        <v>0</v>
      </c>
      <c r="E60" s="39" t="str">
        <f>'Por Valoracion (3) Dimension 2'!D60</f>
        <v>0</v>
      </c>
      <c r="Z60" s="50"/>
    </row>
    <row r="61" spans="1:26">
      <c r="A61" s="50"/>
      <c r="C61" t="str">
        <f>('Gestión de abastecimiento'!A62)</f>
        <v>0</v>
      </c>
      <c r="D61" s="39" t="str">
        <f>'Por Valoracion (3) Dimension'!H61</f>
        <v>0</v>
      </c>
      <c r="E61" s="39" t="str">
        <f>'Por Valoracion (3) Dimension 2'!D61</f>
        <v>0</v>
      </c>
      <c r="Z61" s="50"/>
    </row>
    <row r="62" spans="1:26">
      <c r="A62" s="50"/>
      <c r="C62" t="str">
        <f>('Gestión de abastecimiento'!A63)</f>
        <v>0</v>
      </c>
      <c r="D62" s="39" t="str">
        <f>'Por Valoracion (3) Dimension'!H62</f>
        <v>0</v>
      </c>
      <c r="E62" s="39" t="str">
        <f>'Por Valoracion (3) Dimension 2'!D62</f>
        <v>0</v>
      </c>
      <c r="Z62" s="50"/>
    </row>
    <row r="63" spans="1:26">
      <c r="A63" s="50"/>
      <c r="C63" t="str">
        <f>('Gestión de abastecimiento'!A64)</f>
        <v>0</v>
      </c>
      <c r="D63" s="39" t="str">
        <f>'Por Valoracion (3) Dimension'!H63</f>
        <v>0</v>
      </c>
      <c r="E63" s="39" t="str">
        <f>'Por Valoracion (3) Dimension 2'!D63</f>
        <v>0</v>
      </c>
      <c r="Z63" s="50"/>
    </row>
    <row r="64" spans="1:26">
      <c r="A64" s="50"/>
      <c r="C64" t="str">
        <f>('Gestión de abastecimiento'!A65)</f>
        <v>0</v>
      </c>
      <c r="D64" s="39" t="str">
        <f>'Por Valoracion (3) Dimension'!H64</f>
        <v>0</v>
      </c>
      <c r="E64" s="39" t="str">
        <f>'Por Valoracion (3) Dimension 2'!D64</f>
        <v>0</v>
      </c>
      <c r="Z64" s="50"/>
    </row>
    <row r="65" spans="1:26">
      <c r="A65" s="50"/>
      <c r="C65" t="str">
        <f>('Gestión de abastecimiento'!A66)</f>
        <v>0</v>
      </c>
      <c r="D65" s="39" t="str">
        <f>'Por Valoracion (3) Dimension'!H65</f>
        <v>0</v>
      </c>
      <c r="E65" s="39" t="str">
        <f>'Por Valoracion (3) Dimension 2'!D65</f>
        <v>0</v>
      </c>
      <c r="Z65" s="50"/>
    </row>
    <row r="66" spans="1:26">
      <c r="A66" s="50"/>
      <c r="C66" t="str">
        <f>('Gestión de abastecimiento'!A67)</f>
        <v>0</v>
      </c>
      <c r="D66" s="39" t="str">
        <f>'Por Valoracion (3) Dimension'!H66</f>
        <v>0</v>
      </c>
      <c r="E66" s="39" t="str">
        <f>'Por Valoracion (3) Dimension 2'!D66</f>
        <v>0</v>
      </c>
      <c r="Z66" s="50"/>
    </row>
    <row r="67" spans="1:26">
      <c r="A67" s="50"/>
      <c r="C67" t="str">
        <f>('Gestión de abastecimiento'!A68)</f>
        <v>0</v>
      </c>
      <c r="D67" s="39" t="str">
        <f>'Por Valoracion (3) Dimension'!H67</f>
        <v>0</v>
      </c>
      <c r="E67" s="39" t="str">
        <f>'Por Valoracion (3) Dimension 2'!D67</f>
        <v>0</v>
      </c>
      <c r="Z67" s="50"/>
    </row>
    <row r="68" spans="1:26">
      <c r="A68" s="50"/>
      <c r="C68" t="str">
        <f>('Gestión de abastecimiento'!A69)</f>
        <v>0</v>
      </c>
      <c r="D68" s="39" t="str">
        <f>'Por Valoracion (3) Dimension'!H68</f>
        <v>0</v>
      </c>
      <c r="E68" s="39" t="str">
        <f>'Por Valoracion (3) Dimension 2'!D68</f>
        <v>0</v>
      </c>
      <c r="Z68" s="50"/>
    </row>
    <row r="69" spans="1:26">
      <c r="A69" s="50"/>
      <c r="C69" t="str">
        <f>('Gestión de abastecimiento'!A70)</f>
        <v>0</v>
      </c>
      <c r="D69" s="39" t="str">
        <f>'Por Valoracion (3) Dimension'!H69</f>
        <v>0</v>
      </c>
      <c r="E69" s="39" t="str">
        <f>'Por Valoracion (3) Dimension 2'!D69</f>
        <v>0</v>
      </c>
      <c r="Z69" s="50"/>
    </row>
    <row r="70" spans="1:26">
      <c r="A70" s="50"/>
      <c r="C70" t="str">
        <f>('Gestión de abastecimiento'!A71)</f>
        <v>0</v>
      </c>
      <c r="D70" s="39" t="str">
        <f>'Por Valoracion (3) Dimension'!H70</f>
        <v>0</v>
      </c>
      <c r="E70" s="39" t="str">
        <f>'Por Valoracion (3) Dimension 2'!D70</f>
        <v>0</v>
      </c>
      <c r="Z70" s="50"/>
    </row>
    <row r="71" spans="1:26">
      <c r="A71" s="50"/>
      <c r="C71" t="str">
        <f>('Gestión de abastecimiento'!A72)</f>
        <v>0</v>
      </c>
      <c r="D71" s="39" t="str">
        <f>'Por Valoracion (3) Dimension'!H71</f>
        <v>0</v>
      </c>
      <c r="E71" s="39" t="str">
        <f>'Por Valoracion (3) Dimension 2'!D71</f>
        <v>0</v>
      </c>
      <c r="Z71" s="50"/>
    </row>
    <row r="72" spans="1:26">
      <c r="A72" s="50"/>
      <c r="C72" t="str">
        <f>('Gestión de abastecimiento'!A73)</f>
        <v>0</v>
      </c>
      <c r="D72" s="39" t="str">
        <f>'Por Valoracion (3) Dimension'!H72</f>
        <v>0</v>
      </c>
      <c r="E72" s="39" t="str">
        <f>'Por Valoracion (3) Dimension 2'!D72</f>
        <v>0</v>
      </c>
      <c r="Z72" s="50"/>
    </row>
    <row r="73" spans="1:26">
      <c r="A73" s="50"/>
      <c r="C73" t="str">
        <f>('Gestión de abastecimiento'!A74)</f>
        <v>0</v>
      </c>
      <c r="D73" s="39" t="str">
        <f>'Por Valoracion (3) Dimension'!H73</f>
        <v>0</v>
      </c>
      <c r="E73" s="39" t="str">
        <f>'Por Valoracion (3) Dimension 2'!D73</f>
        <v>0</v>
      </c>
      <c r="Z73" s="50"/>
    </row>
    <row r="74" spans="1:26">
      <c r="A74" s="50"/>
      <c r="C74" t="str">
        <f>('Gestión de abastecimiento'!A75)</f>
        <v>0</v>
      </c>
      <c r="D74" s="39" t="str">
        <f>'Por Valoracion (3) Dimension'!H74</f>
        <v>0</v>
      </c>
      <c r="E74" s="39" t="str">
        <f>'Por Valoracion (3) Dimension 2'!D74</f>
        <v>0</v>
      </c>
      <c r="Z74" s="50"/>
    </row>
    <row r="75" spans="1:26">
      <c r="A75" s="50"/>
      <c r="C75" t="str">
        <f>('Gestión de abastecimiento'!A76)</f>
        <v>0</v>
      </c>
      <c r="D75" s="39" t="str">
        <f>'Por Valoracion (3) Dimension'!H75</f>
        <v>0</v>
      </c>
      <c r="E75" s="39" t="str">
        <f>'Por Valoracion (3) Dimension 2'!D75</f>
        <v>0</v>
      </c>
      <c r="Z75" s="50"/>
    </row>
    <row r="76" spans="1:26">
      <c r="A76" s="50"/>
      <c r="C76" t="str">
        <f>('Gestión de abastecimiento'!A77)</f>
        <v>0</v>
      </c>
      <c r="D76" s="39" t="str">
        <f>'Por Valoracion (3) Dimension'!H76</f>
        <v>0</v>
      </c>
      <c r="E76" s="39" t="str">
        <f>'Por Valoracion (3) Dimension 2'!D76</f>
        <v>0</v>
      </c>
      <c r="Z76" s="50"/>
    </row>
    <row r="77" spans="1:26">
      <c r="A77" s="50"/>
      <c r="C77" t="str">
        <f>('Gestión de abastecimiento'!A78)</f>
        <v>0</v>
      </c>
      <c r="D77" s="39" t="str">
        <f>'Por Valoracion (3) Dimension'!H77</f>
        <v>0</v>
      </c>
      <c r="E77" s="39" t="str">
        <f>'Por Valoracion (3) Dimension 2'!D77</f>
        <v>0</v>
      </c>
      <c r="Z77" s="50"/>
    </row>
    <row r="78" spans="1:26">
      <c r="A78" s="50"/>
      <c r="C78" t="str">
        <f>('Gestión de abastecimiento'!A79)</f>
        <v>0</v>
      </c>
      <c r="D78" s="39" t="str">
        <f>'Por Valoracion (3) Dimension'!H78</f>
        <v>0</v>
      </c>
      <c r="E78" s="39" t="str">
        <f>'Por Valoracion (3) Dimension 2'!D78</f>
        <v>0</v>
      </c>
      <c r="Z78" s="50"/>
    </row>
    <row r="79" spans="1:26">
      <c r="A79" s="50"/>
      <c r="C79" t="str">
        <f>('Gestión de abastecimiento'!A80)</f>
        <v>0</v>
      </c>
      <c r="D79" s="39" t="str">
        <f>'Por Valoracion (3) Dimension'!H79</f>
        <v>0</v>
      </c>
      <c r="E79" s="39" t="str">
        <f>'Por Valoracion (3) Dimension 2'!D79</f>
        <v>0</v>
      </c>
      <c r="Z79" s="50"/>
    </row>
    <row r="80" spans="1:26">
      <c r="A80" s="50"/>
      <c r="C80" t="str">
        <f>('Gestión de abastecimiento'!A81)</f>
        <v>0</v>
      </c>
      <c r="D80" s="39" t="str">
        <f>'Por Valoracion (3) Dimension'!H80</f>
        <v>0</v>
      </c>
      <c r="E80" s="39" t="str">
        <f>'Por Valoracion (3) Dimension 2'!D80</f>
        <v>0</v>
      </c>
      <c r="Z80" s="50"/>
    </row>
    <row r="81" spans="1:26">
      <c r="A81" s="50"/>
      <c r="C81" t="str">
        <f>('Gestión de abastecimiento'!A82)</f>
        <v>0</v>
      </c>
      <c r="D81" s="39" t="str">
        <f>'Por Valoracion (3) Dimension'!H81</f>
        <v>0</v>
      </c>
      <c r="E81" s="39" t="str">
        <f>'Por Valoracion (3) Dimension 2'!D81</f>
        <v>0</v>
      </c>
      <c r="Z81" s="50"/>
    </row>
    <row r="82" spans="1:26">
      <c r="A82" s="50"/>
      <c r="C82" t="str">
        <f>('Gestión de abastecimiento'!A83)</f>
        <v>0</v>
      </c>
      <c r="D82" s="39" t="str">
        <f>'Por Valoracion (3) Dimension'!H82</f>
        <v>0</v>
      </c>
      <c r="E82" s="39" t="str">
        <f>'Por Valoracion (3) Dimension 2'!D82</f>
        <v>0</v>
      </c>
      <c r="Z82" s="50"/>
    </row>
    <row r="83" spans="1:26">
      <c r="A83" s="50"/>
      <c r="C83" t="str">
        <f>('Gestión de abastecimiento'!A84)</f>
        <v>0</v>
      </c>
      <c r="D83" s="39" t="str">
        <f>'Por Valoracion (3) Dimension'!H83</f>
        <v>0</v>
      </c>
      <c r="E83" s="39" t="str">
        <f>'Por Valoracion (3) Dimension 2'!D83</f>
        <v>0</v>
      </c>
      <c r="Z83" s="50"/>
    </row>
    <row r="84" spans="1:26">
      <c r="A84" s="50"/>
      <c r="C84" t="str">
        <f>('Gestión de abastecimiento'!A85)</f>
        <v>0</v>
      </c>
      <c r="D84" s="39" t="str">
        <f>'Por Valoracion (3) Dimension'!H84</f>
        <v>0</v>
      </c>
      <c r="E84" s="39" t="str">
        <f>'Por Valoracion (3) Dimension 2'!D84</f>
        <v>0</v>
      </c>
      <c r="Z84" s="50"/>
    </row>
    <row r="85" spans="1:26">
      <c r="A85" s="50"/>
      <c r="C85" t="str">
        <f>('Gestión de abastecimiento'!A86)</f>
        <v>0</v>
      </c>
      <c r="D85" s="39" t="str">
        <f>'Por Valoracion (3) Dimension'!H85</f>
        <v>0</v>
      </c>
      <c r="E85" s="39" t="str">
        <f>'Por Valoracion (3) Dimension 2'!D85</f>
        <v>0</v>
      </c>
      <c r="Z85" s="50"/>
    </row>
    <row r="86" spans="1:26">
      <c r="A86" s="50"/>
      <c r="C86" t="str">
        <f>('Gestión de abastecimiento'!A87)</f>
        <v>0</v>
      </c>
      <c r="D86" s="39" t="str">
        <f>'Por Valoracion (3) Dimension'!H86</f>
        <v>0</v>
      </c>
      <c r="E86" s="39" t="str">
        <f>'Por Valoracion (3) Dimension 2'!D86</f>
        <v>0</v>
      </c>
      <c r="Z86" s="50"/>
    </row>
    <row r="87" spans="1:26">
      <c r="A87" s="50"/>
      <c r="C87" t="str">
        <f>('Gestión de abastecimiento'!A88)</f>
        <v>0</v>
      </c>
      <c r="D87" s="39" t="str">
        <f>'Por Valoracion (3) Dimension'!H87</f>
        <v>0</v>
      </c>
      <c r="E87" s="39" t="str">
        <f>'Por Valoracion (3) Dimension 2'!D87</f>
        <v>0</v>
      </c>
      <c r="Z87" s="50"/>
    </row>
    <row r="88" spans="1:26">
      <c r="A88" s="50"/>
      <c r="C88" t="str">
        <f>('Gestión de abastecimiento'!A89)</f>
        <v>0</v>
      </c>
      <c r="D88" s="39" t="str">
        <f>'Por Valoracion (3) Dimension'!H88</f>
        <v>0</v>
      </c>
      <c r="E88" s="39" t="str">
        <f>'Por Valoracion (3) Dimension 2'!D88</f>
        <v>0</v>
      </c>
      <c r="Z88" s="50"/>
    </row>
    <row r="89" spans="1:26">
      <c r="A89" s="50"/>
      <c r="C89" t="str">
        <f>('Gestión de abastecimiento'!A90)</f>
        <v>0</v>
      </c>
      <c r="D89" s="39" t="str">
        <f>'Por Valoracion (3) Dimension'!H89</f>
        <v>0</v>
      </c>
      <c r="E89" s="39" t="str">
        <f>'Por Valoracion (3) Dimension 2'!D89</f>
        <v>0</v>
      </c>
      <c r="Z89" s="50"/>
    </row>
    <row r="90" spans="1:26">
      <c r="A90" s="50"/>
      <c r="C90" t="str">
        <f>('Gestión de abastecimiento'!A91)</f>
        <v>0</v>
      </c>
      <c r="D90" s="39" t="str">
        <f>'Por Valoracion (3) Dimension'!H90</f>
        <v>0</v>
      </c>
      <c r="E90" s="39" t="str">
        <f>'Por Valoracion (3) Dimension 2'!D90</f>
        <v>0</v>
      </c>
      <c r="Z90" s="50"/>
    </row>
    <row r="91" spans="1:26">
      <c r="A91" s="50"/>
      <c r="C91" t="str">
        <f>('Gestión de abastecimiento'!A92)</f>
        <v>0</v>
      </c>
      <c r="D91" s="39" t="str">
        <f>'Por Valoracion (3) Dimension'!H91</f>
        <v>0</v>
      </c>
      <c r="E91" s="39" t="str">
        <f>'Por Valoracion (3) Dimension 2'!D91</f>
        <v>0</v>
      </c>
      <c r="Z91" s="50"/>
    </row>
    <row r="92" spans="1:26">
      <c r="A92" s="50"/>
      <c r="C92" t="str">
        <f>('Gestión de abastecimiento'!A93)</f>
        <v>0</v>
      </c>
      <c r="D92" s="39" t="str">
        <f>'Por Valoracion (3) Dimension'!H92</f>
        <v>0</v>
      </c>
      <c r="E92" s="39" t="str">
        <f>'Por Valoracion (3) Dimension 2'!D92</f>
        <v>0</v>
      </c>
      <c r="Z92" s="50"/>
    </row>
    <row r="93" spans="1:26">
      <c r="A93" s="50"/>
      <c r="C93" t="str">
        <f>('Gestión de abastecimiento'!A94)</f>
        <v>0</v>
      </c>
      <c r="D93" s="39" t="str">
        <f>'Por Valoracion (3) Dimension'!H93</f>
        <v>0</v>
      </c>
      <c r="E93" s="39" t="str">
        <f>'Por Valoracion (3) Dimension 2'!D93</f>
        <v>0</v>
      </c>
      <c r="Z93" s="50"/>
    </row>
    <row r="94" spans="1:26">
      <c r="A94" s="50"/>
      <c r="C94" t="str">
        <f>('Gestión de abastecimiento'!A95)</f>
        <v>0</v>
      </c>
      <c r="D94" s="39" t="str">
        <f>'Por Valoracion (3) Dimension'!H94</f>
        <v>0</v>
      </c>
      <c r="E94" s="39" t="str">
        <f>'Por Valoracion (3) Dimension 2'!D94</f>
        <v>0</v>
      </c>
      <c r="Z94" s="50"/>
    </row>
    <row r="95" spans="1:26">
      <c r="A95" s="50"/>
      <c r="C95" t="str">
        <f>('Gestión de abastecimiento'!A96)</f>
        <v>0</v>
      </c>
      <c r="D95" s="39" t="str">
        <f>'Por Valoracion (3) Dimension'!H95</f>
        <v>0</v>
      </c>
      <c r="E95" s="39" t="str">
        <f>'Por Valoracion (3) Dimension 2'!D95</f>
        <v>0</v>
      </c>
      <c r="Z95" s="50"/>
    </row>
    <row r="96" spans="1:26">
      <c r="A96" s="50"/>
      <c r="C96" t="str">
        <f>('Gestión de abastecimiento'!A97)</f>
        <v>0</v>
      </c>
      <c r="D96" s="39" t="str">
        <f>'Por Valoracion (3) Dimension'!H96</f>
        <v>0</v>
      </c>
      <c r="E96" s="39" t="str">
        <f>'Por Valoracion (3) Dimension 2'!D96</f>
        <v>0</v>
      </c>
      <c r="Z96" s="50"/>
    </row>
    <row r="97" spans="1:26">
      <c r="A97" s="50"/>
      <c r="C97" t="str">
        <f>('Gestión de abastecimiento'!A98)</f>
        <v>0</v>
      </c>
      <c r="D97" s="39" t="str">
        <f>'Por Valoracion (3) Dimension'!H97</f>
        <v>0</v>
      </c>
      <c r="E97" s="39" t="str">
        <f>'Por Valoracion (3) Dimension 2'!D97</f>
        <v>0</v>
      </c>
      <c r="Z97" s="50"/>
    </row>
    <row r="98" spans="1:26">
      <c r="A98" s="50"/>
      <c r="C98" t="str">
        <f>('Gestión de abastecimiento'!A99)</f>
        <v>0</v>
      </c>
      <c r="D98" s="39" t="str">
        <f>'Por Valoracion (3) Dimension'!H98</f>
        <v>0</v>
      </c>
      <c r="E98" s="39" t="str">
        <f>'Por Valoracion (3) Dimension 2'!D98</f>
        <v>0</v>
      </c>
      <c r="Z98" s="50"/>
    </row>
    <row r="99" spans="1:26">
      <c r="A99" s="50"/>
      <c r="C99" t="str">
        <f>('Gestión de abastecimiento'!A100)</f>
        <v>0</v>
      </c>
      <c r="D99" s="39" t="str">
        <f>'Por Valoracion (3) Dimension'!H99</f>
        <v>0</v>
      </c>
      <c r="E99" s="39" t="str">
        <f>'Por Valoracion (3) Dimension 2'!D99</f>
        <v>0</v>
      </c>
      <c r="Z99" s="50"/>
    </row>
    <row r="100" spans="1:26">
      <c r="A100" s="50"/>
      <c r="C100" t="str">
        <f>('Gestión de abastecimiento'!A101)</f>
        <v>0</v>
      </c>
      <c r="D100" s="39" t="str">
        <f>'Por Valoracion (3) Dimension'!H100</f>
        <v>0</v>
      </c>
      <c r="E100" s="39" t="str">
        <f>'Por Valoracion (3) Dimension 2'!D100</f>
        <v>0</v>
      </c>
      <c r="Z100" s="50"/>
    </row>
    <row r="101" spans="1:26">
      <c r="A101" s="50"/>
      <c r="C101" t="str">
        <f>('Gestión de abastecimiento'!A102)</f>
        <v>0</v>
      </c>
      <c r="D101" s="39" t="str">
        <f>'Por Valoracion (3) Dimension'!H101</f>
        <v>0</v>
      </c>
      <c r="E101" s="39" t="str">
        <f>'Por Valoracion (3) Dimension 2'!D101</f>
        <v>0</v>
      </c>
      <c r="Z101" s="50"/>
    </row>
    <row r="102" spans="1:26">
      <c r="A102" s="50"/>
      <c r="C102" t="str">
        <f>('Gestión de abastecimiento'!A103)</f>
        <v>0</v>
      </c>
      <c r="D102" s="39" t="str">
        <f>'Por Valoracion (3) Dimension'!H102</f>
        <v>0</v>
      </c>
      <c r="E102" s="39" t="str">
        <f>'Por Valoracion (3) Dimension 2'!D102</f>
        <v>0</v>
      </c>
      <c r="Z102" s="50"/>
    </row>
    <row r="103" spans="1:26">
      <c r="A103" s="50"/>
      <c r="C103" t="str">
        <f>('Gestión de abastecimiento'!A104)</f>
        <v>0</v>
      </c>
      <c r="D103" s="39" t="str">
        <f>'Por Valoracion (3) Dimension'!H103</f>
        <v>0</v>
      </c>
      <c r="E103" s="39" t="str">
        <f>'Por Valoracion (3) Dimension 2'!D103</f>
        <v>0</v>
      </c>
      <c r="Z103" s="50"/>
    </row>
    <row r="104" spans="1:26">
      <c r="A104" s="50"/>
      <c r="C104" t="str">
        <f>('Gestión de abastecimiento'!A105)</f>
        <v>0</v>
      </c>
      <c r="D104" s="39" t="str">
        <f>'Por Valoracion (3) Dimension'!H104</f>
        <v>0</v>
      </c>
      <c r="E104" s="39" t="str">
        <f>'Por Valoracion (3) Dimension 2'!D104</f>
        <v>0</v>
      </c>
      <c r="Z104" s="50"/>
    </row>
    <row r="105" spans="1:26">
      <c r="A105" s="50"/>
      <c r="C105" t="str">
        <f>('Gestión de abastecimiento'!A106)</f>
        <v>0</v>
      </c>
      <c r="D105" s="39" t="str">
        <f>'Por Valoracion (3) Dimension'!H105</f>
        <v>0</v>
      </c>
      <c r="E105" s="39" t="str">
        <f>'Por Valoracion (3) Dimension 2'!D105</f>
        <v>0</v>
      </c>
      <c r="Z105" s="50"/>
    </row>
    <row r="106" spans="1:26">
      <c r="A106" s="50"/>
      <c r="C106" t="str">
        <f>('Gestión de abastecimiento'!A107)</f>
        <v>0</v>
      </c>
      <c r="D106" s="39" t="str">
        <f>'Por Valoracion (3) Dimension'!H106</f>
        <v>0</v>
      </c>
      <c r="E106" s="39" t="str">
        <f>'Por Valoracion (3) Dimension 2'!D106</f>
        <v>0</v>
      </c>
      <c r="Z106" s="50"/>
    </row>
    <row r="107" spans="1:26">
      <c r="A107" s="50"/>
      <c r="C107" t="str">
        <f>('Gestión de abastecimiento'!A108)</f>
        <v>0</v>
      </c>
      <c r="D107" s="39" t="str">
        <f>'Por Valoracion (3) Dimension'!H107</f>
        <v>0</v>
      </c>
      <c r="E107" s="39" t="str">
        <f>'Por Valoracion (3) Dimension 2'!D107</f>
        <v>0</v>
      </c>
      <c r="Z107" s="50"/>
    </row>
    <row r="108" spans="1:26">
      <c r="A108" s="50"/>
      <c r="C108" t="str">
        <f>('Gestión de abastecimiento'!A109)</f>
        <v>0</v>
      </c>
      <c r="D108" s="39" t="str">
        <f>'Por Valoracion (3) Dimension'!H108</f>
        <v>0</v>
      </c>
      <c r="E108" s="39" t="str">
        <f>'Por Valoracion (3) Dimension 2'!D108</f>
        <v>0</v>
      </c>
      <c r="Z108" s="50"/>
    </row>
    <row r="109" spans="1:26">
      <c r="A109" s="50"/>
      <c r="C109" t="str">
        <f>('Gestión de abastecimiento'!A110)</f>
        <v>0</v>
      </c>
      <c r="D109" s="39" t="str">
        <f>'Por Valoracion (3) Dimension'!H109</f>
        <v>0</v>
      </c>
      <c r="E109" s="39" t="str">
        <f>'Por Valoracion (3) Dimension 2'!D109</f>
        <v>0</v>
      </c>
      <c r="Z109" s="50"/>
    </row>
    <row r="110" spans="1:26">
      <c r="A110" s="50"/>
      <c r="C110" t="str">
        <f>('Gestión de abastecimiento'!A111)</f>
        <v>0</v>
      </c>
      <c r="D110" s="39" t="str">
        <f>'Por Valoracion (3) Dimension'!H110</f>
        <v>0</v>
      </c>
      <c r="E110" s="39" t="str">
        <f>'Por Valoracion (3) Dimension 2'!D110</f>
        <v>0</v>
      </c>
      <c r="Z110" s="50"/>
    </row>
    <row r="111" spans="1:26">
      <c r="A111" s="50"/>
      <c r="C111" t="str">
        <f>('Gestión de abastecimiento'!A112)</f>
        <v>0</v>
      </c>
      <c r="D111" s="39" t="str">
        <f>'Por Valoracion (3) Dimension'!H111</f>
        <v>0</v>
      </c>
      <c r="E111" s="39" t="str">
        <f>'Por Valoracion (3) Dimension 2'!D111</f>
        <v>0</v>
      </c>
      <c r="Z111" s="50"/>
    </row>
    <row r="112" spans="1:26">
      <c r="A112" s="50"/>
      <c r="C112" t="str">
        <f>('Gestión de abastecimiento'!A113)</f>
        <v>0</v>
      </c>
      <c r="D112" s="39" t="str">
        <f>'Por Valoracion (3) Dimension'!H112</f>
        <v>0</v>
      </c>
      <c r="E112" s="39" t="str">
        <f>'Por Valoracion (3) Dimension 2'!D112</f>
        <v>0</v>
      </c>
      <c r="Z112" s="50"/>
    </row>
    <row r="113" spans="1:26">
      <c r="A113" s="50"/>
      <c r="C113" t="str">
        <f>('Gestión de abastecimiento'!A114)</f>
        <v>0</v>
      </c>
      <c r="D113" s="39" t="str">
        <f>'Por Valoracion (3) Dimension'!H113</f>
        <v>0</v>
      </c>
      <c r="E113" s="39" t="str">
        <f>'Por Valoracion (3) Dimension 2'!D113</f>
        <v>0</v>
      </c>
      <c r="Z113" s="50"/>
    </row>
    <row r="114" spans="1:26">
      <c r="A114" s="50"/>
      <c r="C114" t="str">
        <f>('Gestión de abastecimiento'!A115)</f>
        <v>0</v>
      </c>
      <c r="D114" s="39" t="str">
        <f>'Por Valoracion (3) Dimension'!H114</f>
        <v>0</v>
      </c>
      <c r="E114" s="39" t="str">
        <f>'Por Valoracion (3) Dimension 2'!D114</f>
        <v>0</v>
      </c>
      <c r="Z114" s="50"/>
    </row>
    <row r="115" spans="1:26">
      <c r="A115" s="50"/>
      <c r="C115" t="str">
        <f>('Gestión de abastecimiento'!A116)</f>
        <v>0</v>
      </c>
      <c r="D115" s="39" t="str">
        <f>'Por Valoracion (3) Dimension'!H115</f>
        <v>0</v>
      </c>
      <c r="E115" s="39" t="str">
        <f>'Por Valoracion (3) Dimension 2'!D115</f>
        <v>0</v>
      </c>
      <c r="Z115" s="50"/>
    </row>
    <row r="116" spans="1:26">
      <c r="A116" s="50"/>
      <c r="C116" t="str">
        <f>('Gestión de abastecimiento'!A117)</f>
        <v>0</v>
      </c>
      <c r="D116" s="39" t="str">
        <f>'Por Valoracion (3) Dimension'!H116</f>
        <v>0</v>
      </c>
      <c r="E116" s="39" t="str">
        <f>'Por Valoracion (3) Dimension 2'!D116</f>
        <v>0</v>
      </c>
      <c r="Z116" s="50"/>
    </row>
    <row r="117" spans="1:26">
      <c r="A117" s="50"/>
      <c r="C117" t="str">
        <f>('Gestión de abastecimiento'!A118)</f>
        <v>0</v>
      </c>
      <c r="D117" s="39" t="str">
        <f>'Por Valoracion (3) Dimension'!H117</f>
        <v>0</v>
      </c>
      <c r="E117" s="39" t="str">
        <f>'Por Valoracion (3) Dimension 2'!D117</f>
        <v>0</v>
      </c>
      <c r="Z117" s="50"/>
    </row>
    <row r="118" spans="1:26">
      <c r="A118" s="50"/>
      <c r="C118" t="str">
        <f>('Gestión de abastecimiento'!A119)</f>
        <v>0</v>
      </c>
      <c r="D118" s="39" t="str">
        <f>'Por Valoracion (3) Dimension'!H118</f>
        <v>0</v>
      </c>
      <c r="E118" s="39" t="str">
        <f>'Por Valoracion (3) Dimension 2'!D118</f>
        <v>0</v>
      </c>
      <c r="Z118" s="50"/>
    </row>
    <row r="119" spans="1:26">
      <c r="A119" s="50"/>
      <c r="C119" t="str">
        <f>('Gestión de abastecimiento'!A120)</f>
        <v>0</v>
      </c>
      <c r="D119" s="39" t="str">
        <f>'Por Valoracion (3) Dimension'!H119</f>
        <v>0</v>
      </c>
      <c r="E119" s="39" t="str">
        <f>'Por Valoracion (3) Dimension 2'!D119</f>
        <v>0</v>
      </c>
      <c r="Z119" s="50"/>
    </row>
    <row r="120" spans="1:26">
      <c r="A120" s="50"/>
      <c r="C120" t="str">
        <f>('Gestión de abastecimiento'!A121)</f>
        <v>0</v>
      </c>
      <c r="D120" s="39" t="str">
        <f>'Por Valoracion (3) Dimension'!H120</f>
        <v>0</v>
      </c>
      <c r="E120" s="39" t="str">
        <f>'Por Valoracion (3) Dimension 2'!D120</f>
        <v>0</v>
      </c>
      <c r="Z120" s="50"/>
    </row>
    <row r="121" spans="1:26">
      <c r="A121" s="50"/>
      <c r="C121" t="str">
        <f>('Gestión de abastecimiento'!A122)</f>
        <v>0</v>
      </c>
      <c r="D121" s="39" t="str">
        <f>'Por Valoracion (3) Dimension'!H121</f>
        <v>0</v>
      </c>
      <c r="E121" s="39" t="str">
        <f>'Por Valoracion (3) Dimension 2'!D121</f>
        <v>0</v>
      </c>
      <c r="Z121" s="50"/>
    </row>
    <row r="122" spans="1:26">
      <c r="A122" s="50"/>
      <c r="C122" t="str">
        <f>('Gestión de abastecimiento'!A123)</f>
        <v>0</v>
      </c>
      <c r="D122" s="39" t="str">
        <f>'Por Valoracion (3) Dimension'!H122</f>
        <v>0</v>
      </c>
      <c r="E122" s="39" t="str">
        <f>'Por Valoracion (3) Dimension 2'!D122</f>
        <v>0</v>
      </c>
      <c r="Z122" s="50"/>
    </row>
    <row r="123" spans="1:26">
      <c r="A123" s="50"/>
      <c r="C123" t="str">
        <f>('Gestión de abastecimiento'!A124)</f>
        <v>0</v>
      </c>
      <c r="D123" s="39" t="str">
        <f>'Por Valoracion (3) Dimension'!H123</f>
        <v>0</v>
      </c>
      <c r="E123" s="39" t="str">
        <f>'Por Valoracion (3) Dimension 2'!D123</f>
        <v>0</v>
      </c>
      <c r="Z123" s="50"/>
    </row>
    <row r="124" spans="1:26">
      <c r="A124" s="50"/>
      <c r="C124" t="str">
        <f>('Gestión de abastecimiento'!A125)</f>
        <v>0</v>
      </c>
      <c r="D124" s="39" t="str">
        <f>'Por Valoracion (3) Dimension'!H124</f>
        <v>0</v>
      </c>
      <c r="E124" s="39" t="str">
        <f>'Por Valoracion (3) Dimension 2'!D124</f>
        <v>0</v>
      </c>
      <c r="Z124" s="50"/>
    </row>
    <row r="125" spans="1:26">
      <c r="A125" s="50"/>
      <c r="C125" t="str">
        <f>('Gestión de abastecimiento'!A126)</f>
        <v>0</v>
      </c>
      <c r="D125" s="39" t="str">
        <f>'Por Valoracion (3) Dimension'!H125</f>
        <v>0</v>
      </c>
      <c r="E125" s="39" t="str">
        <f>'Por Valoracion (3) Dimension 2'!D125</f>
        <v>0</v>
      </c>
      <c r="Z125" s="50"/>
    </row>
    <row r="126" spans="1:26">
      <c r="A126" s="50"/>
      <c r="C126" t="str">
        <f>('Gestión de abastecimiento'!A127)</f>
        <v>0</v>
      </c>
      <c r="D126" s="39" t="str">
        <f>'Por Valoracion (3) Dimension'!H126</f>
        <v>0</v>
      </c>
      <c r="E126" s="39" t="str">
        <f>'Por Valoracion (3) Dimension 2'!D126</f>
        <v>0</v>
      </c>
      <c r="Z126" s="50"/>
    </row>
    <row r="127" spans="1:26">
      <c r="A127" s="50"/>
      <c r="C127" t="str">
        <f>('Gestión de abastecimiento'!A128)</f>
        <v>0</v>
      </c>
      <c r="D127" s="39" t="str">
        <f>'Por Valoracion (3) Dimension'!H127</f>
        <v>0</v>
      </c>
      <c r="E127" s="39" t="str">
        <f>'Por Valoracion (3) Dimension 2'!D127</f>
        <v>0</v>
      </c>
      <c r="Z127" s="50"/>
    </row>
    <row r="128" spans="1:26">
      <c r="A128" s="50"/>
      <c r="C128" t="str">
        <f>('Gestión de abastecimiento'!A129)</f>
        <v>0</v>
      </c>
      <c r="D128" s="39" t="str">
        <f>'Por Valoracion (3) Dimension'!H128</f>
        <v>0</v>
      </c>
      <c r="E128" s="39" t="str">
        <f>'Por Valoracion (3) Dimension 2'!D128</f>
        <v>0</v>
      </c>
      <c r="Z128" s="50"/>
    </row>
    <row r="129" spans="1:26">
      <c r="A129" s="50"/>
      <c r="C129" t="str">
        <f>('Gestión de abastecimiento'!A130)</f>
        <v>0</v>
      </c>
      <c r="D129" s="39" t="str">
        <f>'Por Valoracion (3) Dimension'!H129</f>
        <v>0</v>
      </c>
      <c r="E129" s="39" t="str">
        <f>'Por Valoracion (3) Dimension 2'!D129</f>
        <v>0</v>
      </c>
      <c r="Z129" s="50"/>
    </row>
    <row r="130" spans="1:26">
      <c r="A130" s="50"/>
      <c r="C130" t="str">
        <f>('Gestión de abastecimiento'!A131)</f>
        <v>0</v>
      </c>
      <c r="D130" s="39" t="str">
        <f>'Por Valoracion (3) Dimension'!H130</f>
        <v>0</v>
      </c>
      <c r="E130" s="39" t="str">
        <f>'Por Valoracion (3) Dimension 2'!D130</f>
        <v>0</v>
      </c>
      <c r="Z130" s="50"/>
    </row>
    <row r="131" spans="1:26">
      <c r="A131" s="50"/>
      <c r="C131" t="str">
        <f>('Gestión de abastecimiento'!A132)</f>
        <v>0</v>
      </c>
      <c r="D131" s="39" t="str">
        <f>'Por Valoracion (3) Dimension'!H131</f>
        <v>0</v>
      </c>
      <c r="E131" s="39" t="str">
        <f>'Por Valoracion (3) Dimension 2'!D131</f>
        <v>0</v>
      </c>
      <c r="Z131" s="50"/>
    </row>
    <row r="132" spans="1:26">
      <c r="A132" s="50"/>
      <c r="C132" t="str">
        <f>('Gestión de abastecimiento'!A133)</f>
        <v>0</v>
      </c>
      <c r="D132" s="39" t="str">
        <f>'Por Valoracion (3) Dimension'!H132</f>
        <v>0</v>
      </c>
      <c r="E132" s="39" t="str">
        <f>'Por Valoracion (3) Dimension 2'!D132</f>
        <v>0</v>
      </c>
      <c r="Z132" s="50"/>
    </row>
    <row r="133" spans="1:26">
      <c r="A133" s="50"/>
      <c r="C133" t="str">
        <f>('Gestión de abastecimiento'!A134)</f>
        <v>0</v>
      </c>
      <c r="D133" s="39" t="str">
        <f>'Por Valoracion (3) Dimension'!H133</f>
        <v>0</v>
      </c>
      <c r="E133" s="39" t="str">
        <f>'Por Valoracion (3) Dimension 2'!D133</f>
        <v>0</v>
      </c>
      <c r="Z133" s="50"/>
    </row>
    <row r="134" spans="1:26">
      <c r="A134" s="50"/>
      <c r="C134" t="str">
        <f>('Gestión de abastecimiento'!A135)</f>
        <v>0</v>
      </c>
      <c r="D134" s="39" t="str">
        <f>'Por Valoracion (3) Dimension'!H134</f>
        <v>0</v>
      </c>
      <c r="E134" s="39" t="str">
        <f>'Por Valoracion (3) Dimension 2'!D134</f>
        <v>0</v>
      </c>
      <c r="Z134" s="50"/>
    </row>
    <row r="135" spans="1:26">
      <c r="A135" s="50"/>
      <c r="C135" t="str">
        <f>('Gestión de abastecimiento'!A136)</f>
        <v>0</v>
      </c>
      <c r="D135" s="39" t="str">
        <f>'Por Valoracion (3) Dimension'!H135</f>
        <v>0</v>
      </c>
      <c r="E135" s="39" t="str">
        <f>'Por Valoracion (3) Dimension 2'!D135</f>
        <v>0</v>
      </c>
      <c r="Z135" s="50"/>
    </row>
    <row r="136" spans="1:26">
      <c r="A136" s="50"/>
      <c r="C136" t="str">
        <f>('Gestión de abastecimiento'!A137)</f>
        <v>0</v>
      </c>
      <c r="D136" s="39" t="str">
        <f>'Por Valoracion (3) Dimension'!H136</f>
        <v>0</v>
      </c>
      <c r="E136" s="39" t="str">
        <f>'Por Valoracion (3) Dimension 2'!D136</f>
        <v>0</v>
      </c>
      <c r="Z136" s="50"/>
    </row>
    <row r="137" spans="1:26">
      <c r="A137" s="50"/>
      <c r="C137" t="str">
        <f>('Gestión de abastecimiento'!A138)</f>
        <v>0</v>
      </c>
      <c r="D137" s="39" t="str">
        <f>'Por Valoracion (3) Dimension'!H137</f>
        <v>0</v>
      </c>
      <c r="E137" s="39" t="str">
        <f>'Por Valoracion (3) Dimension 2'!D137</f>
        <v>0</v>
      </c>
      <c r="Z137" s="50"/>
    </row>
    <row r="138" spans="1:26">
      <c r="A138" s="50"/>
      <c r="C138" t="str">
        <f>('Gestión de abastecimiento'!A139)</f>
        <v>0</v>
      </c>
      <c r="D138" s="39" t="str">
        <f>'Por Valoracion (3) Dimension'!H138</f>
        <v>0</v>
      </c>
      <c r="E138" s="39" t="str">
        <f>'Por Valoracion (3) Dimension 2'!D138</f>
        <v>0</v>
      </c>
      <c r="Z138" s="50"/>
    </row>
    <row r="139" spans="1:26">
      <c r="A139" s="50"/>
      <c r="C139" t="str">
        <f>('Gestión de abastecimiento'!A140)</f>
        <v>0</v>
      </c>
      <c r="D139" s="39" t="str">
        <f>'Por Valoracion (3) Dimension'!H139</f>
        <v>0</v>
      </c>
      <c r="E139" s="39" t="str">
        <f>'Por Valoracion (3) Dimension 2'!D139</f>
        <v>0</v>
      </c>
      <c r="Z139" s="50"/>
    </row>
    <row r="140" spans="1:26">
      <c r="A140" s="50"/>
      <c r="C140" t="str">
        <f>('Gestión de abastecimiento'!A141)</f>
        <v>0</v>
      </c>
      <c r="D140" s="39" t="str">
        <f>'Por Valoracion (3) Dimension'!H140</f>
        <v>0</v>
      </c>
      <c r="E140" s="39" t="str">
        <f>'Por Valoracion (3) Dimension 2'!D140</f>
        <v>0</v>
      </c>
      <c r="Z140" s="50"/>
    </row>
    <row r="141" spans="1:26">
      <c r="A141" s="50"/>
      <c r="C141" t="str">
        <f>('Gestión de abastecimiento'!A142)</f>
        <v>0</v>
      </c>
      <c r="D141" s="39" t="str">
        <f>'Por Valoracion (3) Dimension'!H141</f>
        <v>0</v>
      </c>
      <c r="E141" s="39" t="str">
        <f>'Por Valoracion (3) Dimension 2'!D141</f>
        <v>0</v>
      </c>
      <c r="Z141" s="50"/>
    </row>
    <row r="142" spans="1:26">
      <c r="A142" s="50"/>
      <c r="C142" t="str">
        <f>('Gestión de abastecimiento'!A143)</f>
        <v>0</v>
      </c>
      <c r="D142" s="39" t="str">
        <f>'Por Valoracion (3) Dimension'!H142</f>
        <v>0</v>
      </c>
      <c r="E142" s="39" t="str">
        <f>'Por Valoracion (3) Dimension 2'!D142</f>
        <v>0</v>
      </c>
      <c r="Z142" s="50"/>
    </row>
    <row r="143" spans="1:26">
      <c r="A143" s="50"/>
      <c r="C143" t="str">
        <f>('Gestión de abastecimiento'!A144)</f>
        <v>0</v>
      </c>
      <c r="D143" s="39" t="str">
        <f>'Por Valoracion (3) Dimension'!H143</f>
        <v>0</v>
      </c>
      <c r="E143" s="39" t="str">
        <f>'Por Valoracion (3) Dimension 2'!D143</f>
        <v>0</v>
      </c>
      <c r="Z143" s="50"/>
    </row>
    <row r="144" spans="1:26">
      <c r="A144" s="50"/>
      <c r="C144" t="str">
        <f>('Gestión de abastecimiento'!A145)</f>
        <v>0</v>
      </c>
      <c r="D144" s="39" t="str">
        <f>'Por Valoracion (3) Dimension'!H144</f>
        <v>0</v>
      </c>
      <c r="E144" s="39" t="str">
        <f>'Por Valoracion (3) Dimension 2'!D144</f>
        <v>0</v>
      </c>
      <c r="Z144" s="50"/>
    </row>
    <row r="145" spans="1:26">
      <c r="A145" s="50"/>
      <c r="C145" t="str">
        <f>('Gestión de abastecimiento'!A146)</f>
        <v>0</v>
      </c>
      <c r="D145" s="39" t="str">
        <f>'Por Valoracion (3) Dimension'!H145</f>
        <v>0</v>
      </c>
      <c r="E145" s="39" t="str">
        <f>'Por Valoracion (3) Dimension 2'!D145</f>
        <v>0</v>
      </c>
      <c r="Z145" s="50"/>
    </row>
    <row r="146" spans="1:26">
      <c r="A146" s="50"/>
      <c r="C146" t="str">
        <f>('Gestión de abastecimiento'!A147)</f>
        <v>0</v>
      </c>
      <c r="D146" s="39" t="str">
        <f>'Por Valoracion (3) Dimension'!H146</f>
        <v>0</v>
      </c>
      <c r="E146" s="39" t="str">
        <f>'Por Valoracion (3) Dimension 2'!D146</f>
        <v>0</v>
      </c>
      <c r="Z146" s="50"/>
    </row>
    <row r="147" spans="1:26">
      <c r="A147" s="50"/>
      <c r="C147" t="str">
        <f>('Gestión de abastecimiento'!A148)</f>
        <v>0</v>
      </c>
      <c r="D147" s="39" t="str">
        <f>'Por Valoracion (3) Dimension'!H147</f>
        <v>0</v>
      </c>
      <c r="E147" s="39" t="str">
        <f>'Por Valoracion (3) Dimension 2'!D147</f>
        <v>0</v>
      </c>
      <c r="Z147" s="50"/>
    </row>
    <row r="148" spans="1:26">
      <c r="A148" s="50"/>
      <c r="C148" t="str">
        <f>('Gestión de abastecimiento'!A149)</f>
        <v>0</v>
      </c>
      <c r="D148" s="39" t="str">
        <f>'Por Valoracion (3) Dimension'!H148</f>
        <v>0</v>
      </c>
      <c r="E148" s="39" t="str">
        <f>'Por Valoracion (3) Dimension 2'!D148</f>
        <v>0</v>
      </c>
      <c r="Z148" s="50"/>
    </row>
    <row r="149" spans="1:26">
      <c r="A149" s="50"/>
      <c r="C149" t="str">
        <f>('Gestión de abastecimiento'!A150)</f>
        <v>0</v>
      </c>
      <c r="D149" s="39" t="str">
        <f>'Por Valoracion (3) Dimension'!H149</f>
        <v>0</v>
      </c>
      <c r="E149" s="39" t="str">
        <f>'Por Valoracion (3) Dimension 2'!D149</f>
        <v>0</v>
      </c>
      <c r="Z149" s="50"/>
    </row>
    <row r="150" spans="1:26">
      <c r="A150" s="50"/>
      <c r="C150" t="str">
        <f>('Gestión de abastecimiento'!A151)</f>
        <v>0</v>
      </c>
      <c r="D150" s="39" t="str">
        <f>'Por Valoracion (3) Dimension'!H150</f>
        <v>0</v>
      </c>
      <c r="E150" s="39" t="str">
        <f>'Por Valoracion (3) Dimension 2'!D150</f>
        <v>0</v>
      </c>
      <c r="Z150" s="50"/>
    </row>
    <row r="151" spans="1:26">
      <c r="A151" s="50"/>
      <c r="C151" t="str">
        <f>('Gestión de abastecimiento'!A152)</f>
        <v>0</v>
      </c>
      <c r="D151" s="39" t="str">
        <f>'Por Valoracion (3) Dimension'!H151</f>
        <v>0</v>
      </c>
      <c r="E151" s="39" t="str">
        <f>'Por Valoracion (3) Dimension 2'!D151</f>
        <v>0</v>
      </c>
      <c r="Z151" s="50"/>
    </row>
    <row r="152" spans="1:26">
      <c r="A152" s="50"/>
      <c r="C152" t="str">
        <f>('Gestión de abastecimiento'!A153)</f>
        <v>0</v>
      </c>
      <c r="D152" s="39" t="str">
        <f>'Por Valoracion (3) Dimension'!H152</f>
        <v>0</v>
      </c>
      <c r="E152" s="39" t="str">
        <f>'Por Valoracion (3) Dimension 2'!D152</f>
        <v>0</v>
      </c>
      <c r="Z152" s="50"/>
    </row>
    <row r="153" spans="1:26">
      <c r="A153" s="50"/>
      <c r="C153" t="str">
        <f>('Gestión de abastecimiento'!A154)</f>
        <v>0</v>
      </c>
      <c r="D153" s="39" t="str">
        <f>'Por Valoracion (3) Dimension'!H153</f>
        <v>0</v>
      </c>
      <c r="E153" s="39" t="str">
        <f>'Por Valoracion (3) Dimension 2'!D153</f>
        <v>0</v>
      </c>
      <c r="Z153" s="50"/>
    </row>
    <row r="154" spans="1:26">
      <c r="A154" s="50"/>
      <c r="C154" t="str">
        <f>('Gestión de abastecimiento'!A155)</f>
        <v>0</v>
      </c>
      <c r="D154" s="39" t="str">
        <f>'Por Valoracion (3) Dimension'!H154</f>
        <v>0</v>
      </c>
      <c r="E154" s="39" t="str">
        <f>'Por Valoracion (3) Dimension 2'!D154</f>
        <v>0</v>
      </c>
      <c r="Z154" s="50"/>
    </row>
    <row r="155" spans="1:26">
      <c r="A155" s="50"/>
      <c r="C155" t="str">
        <f>('Gestión de abastecimiento'!A156)</f>
        <v>0</v>
      </c>
      <c r="D155" s="39" t="str">
        <f>'Por Valoracion (3) Dimension'!H155</f>
        <v>0</v>
      </c>
      <c r="E155" s="39" t="str">
        <f>'Por Valoracion (3) Dimension 2'!D155</f>
        <v>0</v>
      </c>
      <c r="Z155" s="50"/>
    </row>
    <row r="156" spans="1:26">
      <c r="A156" s="50"/>
      <c r="C156" t="str">
        <f>('Gestión de abastecimiento'!A157)</f>
        <v>0</v>
      </c>
      <c r="D156" s="39" t="str">
        <f>'Por Valoracion (3) Dimension'!H156</f>
        <v>0</v>
      </c>
      <c r="E156" s="39" t="str">
        <f>'Por Valoracion (3) Dimension 2'!D156</f>
        <v>0</v>
      </c>
      <c r="Z156" s="50"/>
    </row>
    <row r="157" spans="1:26">
      <c r="A157" s="50"/>
      <c r="C157" t="str">
        <f>('Gestión de abastecimiento'!A158)</f>
        <v>0</v>
      </c>
      <c r="D157" s="39" t="str">
        <f>'Por Valoracion (3) Dimension'!H157</f>
        <v>0</v>
      </c>
      <c r="E157" s="39" t="str">
        <f>'Por Valoracion (3) Dimension 2'!D157</f>
        <v>0</v>
      </c>
      <c r="Z157" s="50"/>
    </row>
    <row r="158" spans="1:26">
      <c r="A158" s="50"/>
      <c r="C158" t="str">
        <f>('Gestión de abastecimiento'!A159)</f>
        <v>0</v>
      </c>
      <c r="D158" s="39" t="str">
        <f>'Por Valoracion (3) Dimension'!H158</f>
        <v>0</v>
      </c>
      <c r="E158" s="39" t="str">
        <f>'Por Valoracion (3) Dimension 2'!D158</f>
        <v>0</v>
      </c>
      <c r="Z158" s="50"/>
    </row>
    <row r="159" spans="1:26">
      <c r="A159" s="50"/>
      <c r="C159" t="str">
        <f>('Gestión de abastecimiento'!A160)</f>
        <v>0</v>
      </c>
      <c r="D159" s="39" t="str">
        <f>'Por Valoracion (3) Dimension'!H159</f>
        <v>0</v>
      </c>
      <c r="E159" s="39" t="str">
        <f>'Por Valoracion (3) Dimension 2'!D159</f>
        <v>0</v>
      </c>
      <c r="Z159" s="50"/>
    </row>
    <row r="160" spans="1:26">
      <c r="A160" s="50"/>
      <c r="C160" t="str">
        <f>('Gestión de abastecimiento'!A161)</f>
        <v>0</v>
      </c>
      <c r="D160" s="39" t="str">
        <f>'Por Valoracion (3) Dimension'!H160</f>
        <v>0</v>
      </c>
      <c r="E160" s="39" t="str">
        <f>'Por Valoracion (3) Dimension 2'!D160</f>
        <v>0</v>
      </c>
      <c r="Z160" s="50"/>
    </row>
    <row r="161" spans="1:26">
      <c r="A161" s="50"/>
      <c r="C161" t="str">
        <f>('Gestión de abastecimiento'!A162)</f>
        <v>0</v>
      </c>
      <c r="D161" s="39" t="str">
        <f>'Por Valoracion (3) Dimension'!H161</f>
        <v>0</v>
      </c>
      <c r="E161" s="39" t="str">
        <f>'Por Valoracion (3) Dimension 2'!D161</f>
        <v>0</v>
      </c>
      <c r="Z161" s="50"/>
    </row>
    <row r="162" spans="1:26">
      <c r="A162" s="50"/>
      <c r="C162" t="str">
        <f>('Gestión de abastecimiento'!A163)</f>
        <v>0</v>
      </c>
      <c r="D162" s="39" t="str">
        <f>'Por Valoracion (3) Dimension'!H162</f>
        <v>0</v>
      </c>
      <c r="E162" s="39" t="str">
        <f>'Por Valoracion (3) Dimension 2'!D162</f>
        <v>0</v>
      </c>
      <c r="Z162" s="50"/>
    </row>
    <row r="163" spans="1:26">
      <c r="A163" s="50"/>
      <c r="C163" t="str">
        <f>('Gestión de abastecimiento'!A164)</f>
        <v>0</v>
      </c>
      <c r="D163" s="39" t="str">
        <f>'Por Valoracion (3) Dimension'!H163</f>
        <v>0</v>
      </c>
      <c r="E163" s="39" t="str">
        <f>'Por Valoracion (3) Dimension 2'!D163</f>
        <v>0</v>
      </c>
      <c r="Z163" s="50"/>
    </row>
    <row r="164" spans="1:26">
      <c r="A164" s="50"/>
      <c r="C164" t="str">
        <f>('Gestión de abastecimiento'!A165)</f>
        <v>0</v>
      </c>
      <c r="D164" s="39" t="str">
        <f>'Por Valoracion (3) Dimension'!H164</f>
        <v>0</v>
      </c>
      <c r="E164" s="39" t="str">
        <f>'Por Valoracion (3) Dimension 2'!D164</f>
        <v>0</v>
      </c>
      <c r="Z164" s="50"/>
    </row>
    <row r="165" spans="1:26">
      <c r="A165" s="50"/>
      <c r="C165" t="str">
        <f>('Gestión de abastecimiento'!A166)</f>
        <v>0</v>
      </c>
      <c r="D165" s="39" t="str">
        <f>'Por Valoracion (3) Dimension'!H165</f>
        <v>0</v>
      </c>
      <c r="E165" s="39" t="str">
        <f>'Por Valoracion (3) Dimension 2'!D165</f>
        <v>0</v>
      </c>
      <c r="Z165" s="50"/>
    </row>
    <row r="166" spans="1:26">
      <c r="A166" s="50"/>
      <c r="C166" t="str">
        <f>('Gestión de abastecimiento'!A167)</f>
        <v>0</v>
      </c>
      <c r="D166" s="39" t="str">
        <f>'Por Valoracion (3) Dimension'!H166</f>
        <v>0</v>
      </c>
      <c r="E166" s="39" t="str">
        <f>'Por Valoracion (3) Dimension 2'!D166</f>
        <v>0</v>
      </c>
      <c r="Z166" s="50"/>
    </row>
    <row r="167" spans="1:26">
      <c r="A167" s="50"/>
      <c r="C167" t="str">
        <f>('Gestión de abastecimiento'!A168)</f>
        <v>0</v>
      </c>
      <c r="D167" s="39" t="str">
        <f>'Por Valoracion (3) Dimension'!H167</f>
        <v>0</v>
      </c>
      <c r="E167" s="39" t="str">
        <f>'Por Valoracion (3) Dimension 2'!D167</f>
        <v>0</v>
      </c>
      <c r="Z167" s="50"/>
    </row>
    <row r="168" spans="1:26">
      <c r="A168" s="50"/>
      <c r="C168" t="str">
        <f>('Gestión de abastecimiento'!A169)</f>
        <v>0</v>
      </c>
      <c r="D168" s="39" t="str">
        <f>'Por Valoracion (3) Dimension'!H168</f>
        <v>0</v>
      </c>
      <c r="E168" s="39" t="str">
        <f>'Por Valoracion (3) Dimension 2'!D168</f>
        <v>0</v>
      </c>
      <c r="Z168" s="50"/>
    </row>
    <row r="169" spans="1:26">
      <c r="A169" s="50"/>
      <c r="C169" t="str">
        <f>('Gestión de abastecimiento'!A170)</f>
        <v>0</v>
      </c>
      <c r="D169" s="39" t="str">
        <f>'Por Valoracion (3) Dimension'!H169</f>
        <v>0</v>
      </c>
      <c r="E169" s="39" t="str">
        <f>'Por Valoracion (3) Dimension 2'!D169</f>
        <v>0</v>
      </c>
      <c r="Z169" s="50"/>
    </row>
    <row r="170" spans="1:26">
      <c r="A170" s="50"/>
      <c r="C170" t="str">
        <f>('Gestión de abastecimiento'!A171)</f>
        <v>0</v>
      </c>
      <c r="D170" s="39" t="str">
        <f>'Por Valoracion (3) Dimension'!H170</f>
        <v>0</v>
      </c>
      <c r="E170" s="39" t="str">
        <f>'Por Valoracion (3) Dimension 2'!D170</f>
        <v>0</v>
      </c>
      <c r="Z170" s="50"/>
    </row>
    <row r="171" spans="1:26">
      <c r="A171" s="50"/>
      <c r="C171" t="str">
        <f>('Gestión de abastecimiento'!A172)</f>
        <v>0</v>
      </c>
      <c r="D171" s="39" t="str">
        <f>'Por Valoracion (3) Dimension'!H171</f>
        <v>0</v>
      </c>
      <c r="E171" s="39" t="str">
        <f>'Por Valoracion (3) Dimension 2'!D171</f>
        <v>0</v>
      </c>
      <c r="Z171" s="50"/>
    </row>
    <row r="172" spans="1:26">
      <c r="A172" s="50"/>
      <c r="C172" t="str">
        <f>('Gestión de abastecimiento'!A173)</f>
        <v>0</v>
      </c>
      <c r="D172" s="39" t="str">
        <f>'Por Valoracion (3) Dimension'!H172</f>
        <v>0</v>
      </c>
      <c r="E172" s="39" t="str">
        <f>'Por Valoracion (3) Dimension 2'!D172</f>
        <v>0</v>
      </c>
      <c r="Z172" s="50"/>
    </row>
    <row r="173" spans="1:26">
      <c r="A173" s="50"/>
      <c r="C173" t="str">
        <f>('Gestión de abastecimiento'!A174)</f>
        <v>0</v>
      </c>
      <c r="D173" s="39" t="str">
        <f>'Por Valoracion (3) Dimension'!H173</f>
        <v>0</v>
      </c>
      <c r="E173" s="39" t="str">
        <f>'Por Valoracion (3) Dimension 2'!D173</f>
        <v>0</v>
      </c>
      <c r="Z173" s="50"/>
    </row>
    <row r="174" spans="1:26">
      <c r="A174" s="50"/>
      <c r="C174" t="str">
        <f>('Gestión de abastecimiento'!A175)</f>
        <v>0</v>
      </c>
      <c r="D174" s="39" t="str">
        <f>'Por Valoracion (3) Dimension'!H174</f>
        <v>0</v>
      </c>
      <c r="E174" s="39" t="str">
        <f>'Por Valoracion (3) Dimension 2'!D174</f>
        <v>0</v>
      </c>
      <c r="Z174" s="50"/>
    </row>
    <row r="175" spans="1:26">
      <c r="A175" s="50"/>
      <c r="C175" t="str">
        <f>('Gestión de abastecimiento'!A176)</f>
        <v>0</v>
      </c>
      <c r="D175" s="39" t="str">
        <f>'Por Valoracion (3) Dimension'!H175</f>
        <v>0</v>
      </c>
      <c r="E175" s="39" t="str">
        <f>'Por Valoracion (3) Dimension 2'!D175</f>
        <v>0</v>
      </c>
      <c r="Z175" s="50"/>
    </row>
    <row r="176" spans="1:26">
      <c r="A176" s="50"/>
      <c r="C176" t="str">
        <f>('Gestión de abastecimiento'!A177)</f>
        <v>0</v>
      </c>
      <c r="D176" s="39" t="str">
        <f>'Por Valoracion (3) Dimension'!H176</f>
        <v>0</v>
      </c>
      <c r="E176" s="39" t="str">
        <f>'Por Valoracion (3) Dimension 2'!D176</f>
        <v>0</v>
      </c>
      <c r="Z176" s="50"/>
    </row>
    <row r="177" spans="1:26">
      <c r="A177" s="50"/>
      <c r="C177" t="str">
        <f>('Gestión de abastecimiento'!A178)</f>
        <v>0</v>
      </c>
      <c r="D177" s="39" t="str">
        <f>'Por Valoracion (3) Dimension'!H177</f>
        <v>0</v>
      </c>
      <c r="E177" s="39" t="str">
        <f>'Por Valoracion (3) Dimension 2'!D177</f>
        <v>0</v>
      </c>
      <c r="Z177" s="50"/>
    </row>
    <row r="178" spans="1:26">
      <c r="A178" s="50"/>
      <c r="C178" t="str">
        <f>('Gestión de abastecimiento'!A179)</f>
        <v>0</v>
      </c>
      <c r="D178" s="39" t="str">
        <f>'Por Valoracion (3) Dimension'!H178</f>
        <v>0</v>
      </c>
      <c r="E178" s="39" t="str">
        <f>'Por Valoracion (3) Dimension 2'!D178</f>
        <v>0</v>
      </c>
      <c r="Z178" s="50"/>
    </row>
    <row r="179" spans="1:26">
      <c r="A179" s="50"/>
      <c r="C179" t="str">
        <f>('Gestión de abastecimiento'!A180)</f>
        <v>0</v>
      </c>
      <c r="D179" s="39" t="str">
        <f>'Por Valoracion (3) Dimension'!H179</f>
        <v>0</v>
      </c>
      <c r="E179" s="39" t="str">
        <f>'Por Valoracion (3) Dimension 2'!D179</f>
        <v>0</v>
      </c>
      <c r="Z179" s="50"/>
    </row>
    <row r="180" spans="1:26">
      <c r="A180" s="50"/>
      <c r="C180" t="str">
        <f>('Gestión de abastecimiento'!A181)</f>
        <v>0</v>
      </c>
      <c r="D180" s="39" t="str">
        <f>'Por Valoracion (3) Dimension'!H180</f>
        <v>0</v>
      </c>
      <c r="E180" s="39" t="str">
        <f>'Por Valoracion (3) Dimension 2'!D180</f>
        <v>0</v>
      </c>
      <c r="Z180" s="50"/>
    </row>
    <row r="181" spans="1:26">
      <c r="A181" s="50"/>
      <c r="C181" t="str">
        <f>('Gestión de abastecimiento'!A182)</f>
        <v>0</v>
      </c>
      <c r="D181" s="39" t="str">
        <f>'Por Valoracion (3) Dimension'!H181</f>
        <v>0</v>
      </c>
      <c r="E181" s="39" t="str">
        <f>'Por Valoracion (3) Dimension 2'!D181</f>
        <v>0</v>
      </c>
      <c r="Z181" s="50"/>
    </row>
    <row r="182" spans="1:26">
      <c r="A182" s="50"/>
      <c r="C182" t="str">
        <f>('Gestión de abastecimiento'!A183)</f>
        <v>0</v>
      </c>
      <c r="D182" s="39" t="str">
        <f>'Por Valoracion (3) Dimension'!H182</f>
        <v>0</v>
      </c>
      <c r="E182" s="39" t="str">
        <f>'Por Valoracion (3) Dimension 2'!D182</f>
        <v>0</v>
      </c>
      <c r="Z182" s="50"/>
    </row>
    <row r="183" spans="1:26">
      <c r="A183" s="50"/>
      <c r="C183" t="str">
        <f>('Gestión de abastecimiento'!A184)</f>
        <v>0</v>
      </c>
      <c r="D183" s="39" t="str">
        <f>'Por Valoracion (3) Dimension'!H183</f>
        <v>0</v>
      </c>
      <c r="E183" s="39" t="str">
        <f>'Por Valoracion (3) Dimension 2'!D183</f>
        <v>0</v>
      </c>
      <c r="Z183" s="50"/>
    </row>
    <row r="184" spans="1:26">
      <c r="A184" s="50"/>
      <c r="C184" t="str">
        <f>('Gestión de abastecimiento'!A185)</f>
        <v>0</v>
      </c>
      <c r="D184" s="39" t="str">
        <f>'Por Valoracion (3) Dimension'!H184</f>
        <v>0</v>
      </c>
      <c r="E184" s="39" t="str">
        <f>'Por Valoracion (3) Dimension 2'!D184</f>
        <v>0</v>
      </c>
      <c r="Z184" s="50"/>
    </row>
    <row r="185" spans="1:26">
      <c r="A185" s="50"/>
      <c r="C185" t="str">
        <f>('Gestión de abastecimiento'!A186)</f>
        <v>0</v>
      </c>
      <c r="D185" s="39" t="str">
        <f>'Por Valoracion (3) Dimension'!H185</f>
        <v>0</v>
      </c>
      <c r="E185" s="39" t="str">
        <f>'Por Valoracion (3) Dimension 2'!D185</f>
        <v>0</v>
      </c>
      <c r="Z185" s="50"/>
    </row>
    <row r="186" spans="1:26">
      <c r="A186" s="50"/>
      <c r="C186" t="str">
        <f>('Gestión de abastecimiento'!A187)</f>
        <v>0</v>
      </c>
      <c r="D186" s="39" t="str">
        <f>'Por Valoracion (3) Dimension'!H186</f>
        <v>0</v>
      </c>
      <c r="E186" s="39" t="str">
        <f>'Por Valoracion (3) Dimension 2'!D186</f>
        <v>0</v>
      </c>
      <c r="Z186" s="50"/>
    </row>
    <row r="187" spans="1:26">
      <c r="A187" s="50"/>
      <c r="C187" t="str">
        <f>('Gestión de abastecimiento'!A188)</f>
        <v>0</v>
      </c>
      <c r="D187" s="39" t="str">
        <f>'Por Valoracion (3) Dimension'!H187</f>
        <v>0</v>
      </c>
      <c r="E187" s="39" t="str">
        <f>'Por Valoracion (3) Dimension 2'!D187</f>
        <v>0</v>
      </c>
      <c r="Z187" s="50"/>
    </row>
    <row r="188" spans="1:26">
      <c r="A188" s="50"/>
      <c r="C188" t="str">
        <f>('Gestión de abastecimiento'!A189)</f>
        <v>0</v>
      </c>
      <c r="D188" s="39" t="str">
        <f>'Por Valoracion (3) Dimension'!H188</f>
        <v>0</v>
      </c>
      <c r="E188" s="39" t="str">
        <f>'Por Valoracion (3) Dimension 2'!D188</f>
        <v>0</v>
      </c>
      <c r="Z188" s="50"/>
    </row>
    <row r="189" spans="1:26">
      <c r="A189" s="50"/>
      <c r="C189" t="str">
        <f>('Gestión de abastecimiento'!A190)</f>
        <v>0</v>
      </c>
      <c r="D189" s="39" t="str">
        <f>'Por Valoracion (3) Dimension'!H189</f>
        <v>0</v>
      </c>
      <c r="E189" s="39" t="str">
        <f>'Por Valoracion (3) Dimension 2'!D189</f>
        <v>0</v>
      </c>
      <c r="Z189" s="50"/>
    </row>
    <row r="190" spans="1:26">
      <c r="A190" s="50"/>
      <c r="C190" t="str">
        <f>('Gestión de abastecimiento'!A191)</f>
        <v>0</v>
      </c>
      <c r="D190" s="39" t="str">
        <f>'Por Valoracion (3) Dimension'!H190</f>
        <v>0</v>
      </c>
      <c r="E190" s="39" t="str">
        <f>'Por Valoracion (3) Dimension 2'!D190</f>
        <v>0</v>
      </c>
      <c r="Z190" s="50"/>
    </row>
    <row r="191" spans="1:26">
      <c r="A191" s="50"/>
      <c r="C191" t="str">
        <f>('Gestión de abastecimiento'!A192)</f>
        <v>0</v>
      </c>
      <c r="D191" s="39" t="str">
        <f>'Por Valoracion (3) Dimension'!H191</f>
        <v>0</v>
      </c>
      <c r="E191" s="39" t="str">
        <f>'Por Valoracion (3) Dimension 2'!D191</f>
        <v>0</v>
      </c>
      <c r="Z191" s="50"/>
    </row>
    <row r="192" spans="1:26">
      <c r="A192" s="50"/>
      <c r="C192" t="str">
        <f>('Gestión de abastecimiento'!A193)</f>
        <v>0</v>
      </c>
      <c r="D192" s="39" t="str">
        <f>'Por Valoracion (3) Dimension'!H192</f>
        <v>0</v>
      </c>
      <c r="E192" s="39" t="str">
        <f>'Por Valoracion (3) Dimension 2'!D192</f>
        <v>0</v>
      </c>
      <c r="Z192" s="50"/>
    </row>
    <row r="193" spans="1:26">
      <c r="A193" s="50"/>
      <c r="C193" t="str">
        <f>('Gestión de abastecimiento'!A194)</f>
        <v>0</v>
      </c>
      <c r="D193" s="39" t="str">
        <f>'Por Valoracion (3) Dimension'!H193</f>
        <v>0</v>
      </c>
      <c r="E193" s="39" t="str">
        <f>'Por Valoracion (3) Dimension 2'!D193</f>
        <v>0</v>
      </c>
      <c r="Z193" s="50"/>
    </row>
    <row r="194" spans="1:26">
      <c r="A194" s="50"/>
      <c r="C194" t="str">
        <f>('Gestión de abastecimiento'!A195)</f>
        <v>0</v>
      </c>
      <c r="D194" s="39" t="str">
        <f>'Por Valoracion (3) Dimension'!H194</f>
        <v>0</v>
      </c>
      <c r="E194" s="39" t="str">
        <f>'Por Valoracion (3) Dimension 2'!D194</f>
        <v>0</v>
      </c>
      <c r="Z194" s="50"/>
    </row>
    <row r="195" spans="1:26">
      <c r="A195" s="50"/>
      <c r="C195" t="str">
        <f>('Gestión de abastecimiento'!A196)</f>
        <v>0</v>
      </c>
      <c r="D195" s="39" t="str">
        <f>'Por Valoracion (3) Dimension'!H195</f>
        <v>0</v>
      </c>
      <c r="E195" s="39" t="str">
        <f>'Por Valoracion (3) Dimension 2'!D195</f>
        <v>0</v>
      </c>
      <c r="Z195" s="50"/>
    </row>
    <row r="196" spans="1:26">
      <c r="A196" s="50"/>
      <c r="C196" t="str">
        <f>('Gestión de abastecimiento'!A197)</f>
        <v>0</v>
      </c>
      <c r="D196" s="39" t="str">
        <f>'Por Valoracion (3) Dimension'!H196</f>
        <v>0</v>
      </c>
      <c r="E196" s="39" t="str">
        <f>'Por Valoracion (3) Dimension 2'!D196</f>
        <v>0</v>
      </c>
      <c r="Z196" s="50"/>
    </row>
    <row r="197" spans="1:26">
      <c r="A197" s="50"/>
      <c r="C197" t="str">
        <f>('Gestión de abastecimiento'!A198)</f>
        <v>0</v>
      </c>
      <c r="D197" s="39" t="str">
        <f>'Por Valoracion (3) Dimension'!H197</f>
        <v>0</v>
      </c>
      <c r="E197" s="39" t="str">
        <f>'Por Valoracion (3) Dimension 2'!D197</f>
        <v>0</v>
      </c>
      <c r="Z197" s="50"/>
    </row>
    <row r="198" spans="1:26">
      <c r="A198" s="50"/>
      <c r="C198" t="str">
        <f>('Gestión de abastecimiento'!A199)</f>
        <v>0</v>
      </c>
      <c r="D198" s="39" t="str">
        <f>'Por Valoracion (3) Dimension'!H198</f>
        <v>0</v>
      </c>
      <c r="E198" s="39" t="str">
        <f>'Por Valoracion (3) Dimension 2'!D198</f>
        <v>0</v>
      </c>
      <c r="Z198" s="50"/>
    </row>
    <row r="199" spans="1:26">
      <c r="A199" s="50"/>
      <c r="C199" t="str">
        <f>('Gestión de abastecimiento'!A200)</f>
        <v>0</v>
      </c>
      <c r="D199" s="39" t="str">
        <f>'Por Valoracion (3) Dimension'!H199</f>
        <v>0</v>
      </c>
      <c r="E199" s="39" t="str">
        <f>'Por Valoracion (3) Dimension 2'!D199</f>
        <v>0</v>
      </c>
      <c r="Z199" s="50"/>
    </row>
    <row r="200" spans="1:26">
      <c r="A200" s="50"/>
      <c r="C200" t="str">
        <f>('Gestión de abastecimiento'!A201)</f>
        <v>0</v>
      </c>
      <c r="D200" s="39" t="str">
        <f>'Por Valoracion (3) Dimension'!H200</f>
        <v>0</v>
      </c>
      <c r="E200" s="39" t="str">
        <f>'Por Valoracion (3) Dimension 2'!D200</f>
        <v>0</v>
      </c>
      <c r="Z200" s="50"/>
    </row>
    <row r="201" spans="1:26">
      <c r="A201" s="50"/>
      <c r="C201" t="str">
        <f>('Gestión de abastecimiento'!A202)</f>
        <v>0</v>
      </c>
      <c r="D201" s="39" t="str">
        <f>'Por Valoracion (3) Dimension'!H201</f>
        <v>0</v>
      </c>
      <c r="E201" s="39" t="str">
        <f>'Por Valoracion (3) Dimension 2'!D201</f>
        <v>0</v>
      </c>
      <c r="Z201" s="50"/>
    </row>
    <row r="202" spans="1:26">
      <c r="A202" s="50"/>
      <c r="C202" t="str">
        <f>('Gestión de abastecimiento'!A203)</f>
        <v>0</v>
      </c>
      <c r="D202" s="39" t="str">
        <f>'Por Valoracion (3) Dimension'!H202</f>
        <v>0</v>
      </c>
      <c r="E202" s="39" t="str">
        <f>'Por Valoracion (3) Dimension 2'!D202</f>
        <v>0</v>
      </c>
      <c r="Z202" s="50"/>
    </row>
    <row r="203" spans="1:26">
      <c r="A203" s="50"/>
      <c r="C203" t="str">
        <f>('Gestión de abastecimiento'!A204)</f>
        <v>0</v>
      </c>
      <c r="D203" s="39" t="str">
        <f>'Por Valoracion (3) Dimension'!H203</f>
        <v>0</v>
      </c>
      <c r="E203" s="39" t="str">
        <f>'Por Valoracion (3) Dimension 2'!D203</f>
        <v>0</v>
      </c>
      <c r="Z203" s="50"/>
    </row>
    <row r="204" spans="1:26">
      <c r="A204" s="50"/>
      <c r="C204" t="str">
        <f>('Gestión de abastecimiento'!A205)</f>
        <v>0</v>
      </c>
      <c r="D204" s="39" t="str">
        <f>'Por Valoracion (3) Dimension'!H204</f>
        <v>0</v>
      </c>
      <c r="E204" s="39" t="str">
        <f>'Por Valoracion (3) Dimension 2'!D204</f>
        <v>0</v>
      </c>
      <c r="Z204" s="50"/>
    </row>
    <row r="205" spans="1:26">
      <c r="A205" s="50"/>
      <c r="C205" t="str">
        <f>('Gestión de abastecimiento'!A206)</f>
        <v>0</v>
      </c>
      <c r="D205" s="39" t="str">
        <f>'Por Valoracion (3) Dimension'!H205</f>
        <v>0</v>
      </c>
      <c r="E205" s="39" t="str">
        <f>'Por Valoracion (3) Dimension 2'!D205</f>
        <v>0</v>
      </c>
      <c r="Z205" s="50"/>
    </row>
    <row r="206" spans="1:26">
      <c r="A206" s="50"/>
      <c r="C206" t="str">
        <f>('Gestión de abastecimiento'!A207)</f>
        <v>0</v>
      </c>
      <c r="D206" s="39" t="str">
        <f>'Por Valoracion (3) Dimension'!H206</f>
        <v>0</v>
      </c>
      <c r="E206" s="39" t="str">
        <f>'Por Valoracion (3) Dimension 2'!D206</f>
        <v>0</v>
      </c>
      <c r="Z206" s="50"/>
    </row>
    <row r="207" spans="1:26">
      <c r="A207" s="50"/>
      <c r="C207" t="str">
        <f>('Gestión de abastecimiento'!A208)</f>
        <v>0</v>
      </c>
      <c r="D207" s="39" t="str">
        <f>'Por Valoracion (3) Dimension'!H207</f>
        <v>0</v>
      </c>
      <c r="E207" s="39" t="str">
        <f>'Por Valoracion (3) Dimension 2'!D207</f>
        <v>0</v>
      </c>
      <c r="Z207" s="50"/>
    </row>
    <row r="208" spans="1:26">
      <c r="A208" s="50"/>
      <c r="C208" t="str">
        <f>('Gestión de abastecimiento'!A209)</f>
        <v>0</v>
      </c>
      <c r="D208" s="39" t="str">
        <f>'Por Valoracion (3) Dimension'!H208</f>
        <v>0</v>
      </c>
      <c r="E208" s="39" t="str">
        <f>'Por Valoracion (3) Dimension 2'!D208</f>
        <v>0</v>
      </c>
      <c r="Z208" s="50"/>
    </row>
    <row r="209" spans="1:26">
      <c r="A209" s="50"/>
      <c r="C209" t="str">
        <f>('Gestión de abastecimiento'!A210)</f>
        <v>0</v>
      </c>
      <c r="D209" s="39" t="str">
        <f>'Por Valoracion (3) Dimension'!H209</f>
        <v>0</v>
      </c>
      <c r="E209" s="39" t="str">
        <f>'Por Valoracion (3) Dimension 2'!D209</f>
        <v>0</v>
      </c>
      <c r="Z209" s="50"/>
    </row>
    <row r="210" spans="1:26">
      <c r="A210" s="50"/>
      <c r="C210" t="str">
        <f>('Gestión de abastecimiento'!A211)</f>
        <v>0</v>
      </c>
      <c r="D210" s="39" t="str">
        <f>'Por Valoracion (3) Dimension'!H210</f>
        <v>0</v>
      </c>
      <c r="E210" s="39" t="str">
        <f>'Por Valoracion (3) Dimension 2'!D210</f>
        <v>0</v>
      </c>
      <c r="Z210" s="50"/>
    </row>
    <row r="211" spans="1:26">
      <c r="A211" s="50"/>
      <c r="C211" t="str">
        <f>('Gestión de abastecimiento'!A212)</f>
        <v>0</v>
      </c>
      <c r="D211" s="39" t="str">
        <f>'Por Valoracion (3) Dimension'!H211</f>
        <v>0</v>
      </c>
      <c r="E211" s="39" t="str">
        <f>'Por Valoracion (3) Dimension 2'!D211</f>
        <v>0</v>
      </c>
      <c r="Z211" s="50"/>
    </row>
    <row r="212" spans="1:26">
      <c r="A212" s="50"/>
      <c r="C212" t="str">
        <f>('Gestión de abastecimiento'!A213)</f>
        <v>0</v>
      </c>
      <c r="D212" s="39" t="str">
        <f>'Por Valoracion (3) Dimension'!H212</f>
        <v>0</v>
      </c>
      <c r="E212" s="39" t="str">
        <f>'Por Valoracion (3) Dimension 2'!D212</f>
        <v>0</v>
      </c>
      <c r="Z212" s="50"/>
    </row>
    <row r="213" spans="1:26">
      <c r="A213" s="50"/>
      <c r="C213" t="str">
        <f>('Gestión de abastecimiento'!A214)</f>
        <v>0</v>
      </c>
      <c r="D213" s="39" t="str">
        <f>'Por Valoracion (3) Dimension'!H213</f>
        <v>0</v>
      </c>
      <c r="E213" s="39" t="str">
        <f>'Por Valoracion (3) Dimension 2'!D213</f>
        <v>0</v>
      </c>
      <c r="Z213" s="50"/>
    </row>
    <row r="214" spans="1:26">
      <c r="A214" s="50"/>
      <c r="C214" t="str">
        <f>('Gestión de abastecimiento'!A215)</f>
        <v>0</v>
      </c>
      <c r="D214" s="39" t="str">
        <f>'Por Valoracion (3) Dimension'!H214</f>
        <v>0</v>
      </c>
      <c r="E214" s="39" t="str">
        <f>'Por Valoracion (3) Dimension 2'!D214</f>
        <v>0</v>
      </c>
      <c r="Z214" s="50"/>
    </row>
    <row r="215" spans="1:26">
      <c r="A215" s="50"/>
      <c r="C215" t="str">
        <f>('Gestión de abastecimiento'!A216)</f>
        <v>0</v>
      </c>
      <c r="D215" s="39" t="str">
        <f>'Por Valoracion (3) Dimension'!H215</f>
        <v>0</v>
      </c>
      <c r="E215" s="39" t="str">
        <f>'Por Valoracion (3) Dimension 2'!D215</f>
        <v>0</v>
      </c>
      <c r="Z215" s="50"/>
    </row>
    <row r="216" spans="1:26">
      <c r="A216" s="50"/>
      <c r="C216" t="str">
        <f>('Gestión de abastecimiento'!A217)</f>
        <v>0</v>
      </c>
      <c r="D216" s="39" t="str">
        <f>'Por Valoracion (3) Dimension'!H216</f>
        <v>0</v>
      </c>
      <c r="E216" s="39" t="str">
        <f>'Por Valoracion (3) Dimension 2'!D216</f>
        <v>0</v>
      </c>
      <c r="Z216" s="50"/>
    </row>
    <row r="217" spans="1:26">
      <c r="A217" s="50"/>
      <c r="C217" t="str">
        <f>('Gestión de abastecimiento'!A218)</f>
        <v>0</v>
      </c>
      <c r="D217" s="39" t="str">
        <f>'Por Valoracion (3) Dimension'!H217</f>
        <v>0</v>
      </c>
      <c r="E217" s="39" t="str">
        <f>'Por Valoracion (3) Dimension 2'!D217</f>
        <v>0</v>
      </c>
      <c r="Z217" s="50"/>
    </row>
    <row r="218" spans="1:26">
      <c r="A218" s="50"/>
      <c r="C218" t="str">
        <f>('Gestión de abastecimiento'!A219)</f>
        <v>0</v>
      </c>
      <c r="D218" s="39" t="str">
        <f>'Por Valoracion (3) Dimension'!H218</f>
        <v>0</v>
      </c>
      <c r="E218" s="39" t="str">
        <f>'Por Valoracion (3) Dimension 2'!D218</f>
        <v>0</v>
      </c>
      <c r="Z218" s="50"/>
    </row>
    <row r="219" spans="1:26">
      <c r="A219" s="50"/>
      <c r="C219" t="str">
        <f>('Gestión de abastecimiento'!A220)</f>
        <v>0</v>
      </c>
      <c r="D219" s="39" t="str">
        <f>'Por Valoracion (3) Dimension'!H219</f>
        <v>0</v>
      </c>
      <c r="E219" s="39" t="str">
        <f>'Por Valoracion (3) Dimension 2'!D219</f>
        <v>0</v>
      </c>
      <c r="Z219" s="50"/>
    </row>
    <row r="220" spans="1:26">
      <c r="A220" s="50"/>
      <c r="C220" t="str">
        <f>('Gestión de abastecimiento'!A221)</f>
        <v>0</v>
      </c>
      <c r="D220" s="39" t="str">
        <f>'Por Valoracion (3) Dimension'!H220</f>
        <v>0</v>
      </c>
      <c r="E220" s="39" t="str">
        <f>'Por Valoracion (3) Dimension 2'!D220</f>
        <v>0</v>
      </c>
      <c r="Z220" s="50"/>
    </row>
    <row r="221" spans="1:26">
      <c r="A221" s="50"/>
      <c r="C221" t="str">
        <f>('Gestión de abastecimiento'!A222)</f>
        <v>0</v>
      </c>
      <c r="D221" s="39" t="str">
        <f>'Por Valoracion (3) Dimension'!H221</f>
        <v>0</v>
      </c>
      <c r="E221" s="39" t="str">
        <f>'Por Valoracion (3) Dimension 2'!D221</f>
        <v>0</v>
      </c>
      <c r="Z221" s="50"/>
    </row>
    <row r="222" spans="1:26">
      <c r="A222" s="50"/>
      <c r="C222" t="str">
        <f>('Gestión de abastecimiento'!A223)</f>
        <v>0</v>
      </c>
      <c r="D222" s="39" t="str">
        <f>'Por Valoracion (3) Dimension'!H222</f>
        <v>0</v>
      </c>
      <c r="E222" s="39" t="str">
        <f>'Por Valoracion (3) Dimension 2'!D222</f>
        <v>0</v>
      </c>
      <c r="Z222" s="50"/>
    </row>
    <row r="223" spans="1:26">
      <c r="A223" s="50"/>
      <c r="C223" t="str">
        <f>('Gestión de abastecimiento'!A224)</f>
        <v>0</v>
      </c>
      <c r="D223" s="39" t="str">
        <f>'Por Valoracion (3) Dimension'!H223</f>
        <v>0</v>
      </c>
      <c r="E223" s="39" t="str">
        <f>'Por Valoracion (3) Dimension 2'!D223</f>
        <v>0</v>
      </c>
      <c r="Z223" s="50"/>
    </row>
    <row r="224" spans="1:26">
      <c r="A224" s="50"/>
      <c r="C224" t="str">
        <f>('Gestión de abastecimiento'!A225)</f>
        <v>0</v>
      </c>
      <c r="D224" s="39" t="str">
        <f>'Por Valoracion (3) Dimension'!H224</f>
        <v>0</v>
      </c>
      <c r="E224" s="39" t="str">
        <f>'Por Valoracion (3) Dimension 2'!D224</f>
        <v>0</v>
      </c>
      <c r="Z224" s="50"/>
    </row>
    <row r="225" spans="1:26">
      <c r="A225" s="50"/>
      <c r="C225" t="str">
        <f>('Gestión de abastecimiento'!A226)</f>
        <v>0</v>
      </c>
      <c r="D225" s="39" t="str">
        <f>'Por Valoracion (3) Dimension'!H225</f>
        <v>0</v>
      </c>
      <c r="E225" s="39" t="str">
        <f>'Por Valoracion (3) Dimension 2'!D225</f>
        <v>0</v>
      </c>
      <c r="Z225" s="50"/>
    </row>
    <row r="226" spans="1:26">
      <c r="A226" s="50"/>
      <c r="C226" t="str">
        <f>('Gestión de abastecimiento'!A227)</f>
        <v>0</v>
      </c>
      <c r="D226" s="39" t="str">
        <f>'Por Valoracion (3) Dimension'!H226</f>
        <v>0</v>
      </c>
      <c r="E226" s="39" t="str">
        <f>'Por Valoracion (3) Dimension 2'!D226</f>
        <v>0</v>
      </c>
      <c r="Z226" s="50"/>
    </row>
    <row r="227" spans="1:26">
      <c r="A227" s="50"/>
      <c r="C227" t="str">
        <f>('Gestión de abastecimiento'!A228)</f>
        <v>0</v>
      </c>
      <c r="D227" s="39" t="str">
        <f>'Por Valoracion (3) Dimension'!H227</f>
        <v>0</v>
      </c>
      <c r="E227" s="39" t="str">
        <f>'Por Valoracion (3) Dimension 2'!D227</f>
        <v>0</v>
      </c>
      <c r="Z227" s="50"/>
    </row>
    <row r="228" spans="1:26">
      <c r="A228" s="50"/>
      <c r="C228" t="str">
        <f>('Gestión de abastecimiento'!A229)</f>
        <v>0</v>
      </c>
      <c r="D228" s="39" t="str">
        <f>'Por Valoracion (3) Dimension'!H228</f>
        <v>0</v>
      </c>
      <c r="E228" s="39" t="str">
        <f>'Por Valoracion (3) Dimension 2'!D228</f>
        <v>0</v>
      </c>
      <c r="Z228" s="50"/>
    </row>
    <row r="229" spans="1:26">
      <c r="A229" s="50"/>
      <c r="C229" t="str">
        <f>('Gestión de abastecimiento'!A230)</f>
        <v>0</v>
      </c>
      <c r="D229" s="39" t="str">
        <f>'Por Valoracion (3) Dimension'!H229</f>
        <v>0</v>
      </c>
      <c r="E229" s="39" t="str">
        <f>'Por Valoracion (3) Dimension 2'!D229</f>
        <v>0</v>
      </c>
      <c r="Z229" s="50"/>
    </row>
    <row r="230" spans="1:26">
      <c r="A230" s="50"/>
      <c r="C230" t="str">
        <f>('Gestión de abastecimiento'!A231)</f>
        <v>0</v>
      </c>
      <c r="D230" s="39" t="str">
        <f>'Por Valoracion (3) Dimension'!H230</f>
        <v>0</v>
      </c>
      <c r="E230" s="39" t="str">
        <f>'Por Valoracion (3) Dimension 2'!D230</f>
        <v>0</v>
      </c>
      <c r="Z230" s="50"/>
    </row>
    <row r="231" spans="1:26">
      <c r="A231" s="50"/>
      <c r="C231" t="str">
        <f>('Gestión de abastecimiento'!A232)</f>
        <v>0</v>
      </c>
      <c r="D231" s="39" t="str">
        <f>'Por Valoracion (3) Dimension'!H231</f>
        <v>0</v>
      </c>
      <c r="E231" s="39" t="str">
        <f>'Por Valoracion (3) Dimension 2'!D231</f>
        <v>0</v>
      </c>
      <c r="Z231" s="50"/>
    </row>
    <row r="232" spans="1:26">
      <c r="A232" s="50"/>
      <c r="C232" t="str">
        <f>('Gestión de abastecimiento'!A233)</f>
        <v>0</v>
      </c>
      <c r="D232" s="39" t="str">
        <f>'Por Valoracion (3) Dimension'!H232</f>
        <v>0</v>
      </c>
      <c r="E232" s="39" t="str">
        <f>'Por Valoracion (3) Dimension 2'!D232</f>
        <v>0</v>
      </c>
      <c r="Z232" s="50"/>
    </row>
    <row r="233" spans="1:26">
      <c r="A233" s="50"/>
      <c r="C233" t="str">
        <f>('Gestión de abastecimiento'!A234)</f>
        <v>0</v>
      </c>
      <c r="D233" s="39" t="str">
        <f>'Por Valoracion (3) Dimension'!H233</f>
        <v>0</v>
      </c>
      <c r="E233" s="39" t="str">
        <f>'Por Valoracion (3) Dimension 2'!D233</f>
        <v>0</v>
      </c>
      <c r="Z233" s="50"/>
    </row>
    <row r="234" spans="1:26">
      <c r="A234" s="50"/>
      <c r="C234" t="str">
        <f>('Gestión de abastecimiento'!A235)</f>
        <v>0</v>
      </c>
      <c r="D234" s="39" t="str">
        <f>'Por Valoracion (3) Dimension'!H234</f>
        <v>0</v>
      </c>
      <c r="E234" s="39" t="str">
        <f>'Por Valoracion (3) Dimension 2'!D234</f>
        <v>0</v>
      </c>
      <c r="Z234" s="50"/>
    </row>
    <row r="235" spans="1:26">
      <c r="A235" s="50"/>
      <c r="C235" t="str">
        <f>('Gestión de abastecimiento'!A236)</f>
        <v>0</v>
      </c>
      <c r="D235" s="39" t="str">
        <f>'Por Valoracion (3) Dimension'!H235</f>
        <v>0</v>
      </c>
      <c r="E235" s="39" t="str">
        <f>'Por Valoracion (3) Dimension 2'!D235</f>
        <v>0</v>
      </c>
      <c r="Z235" s="50"/>
    </row>
    <row r="236" spans="1:26">
      <c r="A236" s="50"/>
      <c r="C236" t="str">
        <f>('Gestión de abastecimiento'!A237)</f>
        <v>0</v>
      </c>
      <c r="D236" s="39" t="str">
        <f>'Por Valoracion (3) Dimension'!H236</f>
        <v>0</v>
      </c>
      <c r="E236" s="39" t="str">
        <f>'Por Valoracion (3) Dimension 2'!D236</f>
        <v>0</v>
      </c>
      <c r="Z236" s="50"/>
    </row>
    <row r="237" spans="1:26">
      <c r="A237" s="50"/>
      <c r="C237" t="str">
        <f>('Gestión de abastecimiento'!A238)</f>
        <v>0</v>
      </c>
      <c r="D237" s="39" t="str">
        <f>'Por Valoracion (3) Dimension'!H237</f>
        <v>0</v>
      </c>
      <c r="E237" s="39" t="str">
        <f>'Por Valoracion (3) Dimension 2'!D237</f>
        <v>0</v>
      </c>
      <c r="Z237" s="50"/>
    </row>
    <row r="238" spans="1:26">
      <c r="A238" s="50"/>
      <c r="C238" t="str">
        <f>('Gestión de abastecimiento'!A239)</f>
        <v>0</v>
      </c>
      <c r="D238" s="39" t="str">
        <f>'Por Valoracion (3) Dimension'!H238</f>
        <v>0</v>
      </c>
      <c r="E238" s="39" t="str">
        <f>'Por Valoracion (3) Dimension 2'!D238</f>
        <v>0</v>
      </c>
      <c r="Z238" s="50"/>
    </row>
    <row r="239" spans="1:26">
      <c r="A239" s="50"/>
      <c r="C239" t="str">
        <f>('Gestión de abastecimiento'!A240)</f>
        <v>0</v>
      </c>
      <c r="D239" s="39" t="str">
        <f>'Por Valoracion (3) Dimension'!H239</f>
        <v>0</v>
      </c>
      <c r="E239" s="39" t="str">
        <f>'Por Valoracion (3) Dimension 2'!D239</f>
        <v>0</v>
      </c>
      <c r="Z239" s="50"/>
    </row>
    <row r="240" spans="1:26">
      <c r="A240" s="50"/>
      <c r="C240" t="str">
        <f>('Gestión de abastecimiento'!A241)</f>
        <v>0</v>
      </c>
      <c r="D240" s="39" t="str">
        <f>'Por Valoracion (3) Dimension'!H240</f>
        <v>0</v>
      </c>
      <c r="E240" s="39" t="str">
        <f>'Por Valoracion (3) Dimension 2'!D240</f>
        <v>0</v>
      </c>
      <c r="Z240" s="50"/>
    </row>
    <row r="241" spans="1:26">
      <c r="A241" s="50"/>
      <c r="C241" t="str">
        <f>('Gestión de abastecimiento'!A242)</f>
        <v>0</v>
      </c>
      <c r="D241" s="39" t="str">
        <f>'Por Valoracion (3) Dimension'!H241</f>
        <v>0</v>
      </c>
      <c r="E241" s="39" t="str">
        <f>'Por Valoracion (3) Dimension 2'!D241</f>
        <v>0</v>
      </c>
      <c r="Z241" s="50"/>
    </row>
    <row r="242" spans="1:26">
      <c r="A242" s="50"/>
      <c r="C242" t="str">
        <f>('Gestión de abastecimiento'!A243)</f>
        <v>0</v>
      </c>
      <c r="D242" s="39" t="str">
        <f>'Por Valoracion (3) Dimension'!H242</f>
        <v>0</v>
      </c>
      <c r="E242" s="39" t="str">
        <f>'Por Valoracion (3) Dimension 2'!D242</f>
        <v>0</v>
      </c>
      <c r="Z242" s="50"/>
    </row>
    <row r="243" spans="1:26">
      <c r="A243" s="50"/>
      <c r="C243" t="str">
        <f>('Gestión de abastecimiento'!A244)</f>
        <v>0</v>
      </c>
      <c r="D243" s="39" t="str">
        <f>'Por Valoracion (3) Dimension'!H243</f>
        <v>0</v>
      </c>
      <c r="E243" s="39" t="str">
        <f>'Por Valoracion (3) Dimension 2'!D243</f>
        <v>0</v>
      </c>
      <c r="Z243" s="50"/>
    </row>
    <row r="244" spans="1:26">
      <c r="A244" s="50"/>
      <c r="C244" t="str">
        <f>('Gestión de abastecimiento'!A245)</f>
        <v>0</v>
      </c>
      <c r="D244" s="39" t="str">
        <f>'Por Valoracion (3) Dimension'!H244</f>
        <v>0</v>
      </c>
      <c r="E244" s="39" t="str">
        <f>'Por Valoracion (3) Dimension 2'!D244</f>
        <v>0</v>
      </c>
      <c r="Z244" s="50"/>
    </row>
    <row r="245" spans="1:26">
      <c r="A245" s="50"/>
      <c r="C245" t="str">
        <f>('Gestión de abastecimiento'!A246)</f>
        <v>0</v>
      </c>
      <c r="D245" s="39" t="str">
        <f>'Por Valoracion (3) Dimension'!H245</f>
        <v>0</v>
      </c>
      <c r="E245" s="39" t="str">
        <f>'Por Valoracion (3) Dimension 2'!D245</f>
        <v>0</v>
      </c>
      <c r="Z245" s="50"/>
    </row>
    <row r="246" spans="1:26">
      <c r="A246" s="50"/>
      <c r="C246" t="str">
        <f>('Gestión de abastecimiento'!A247)</f>
        <v>0</v>
      </c>
      <c r="D246" s="39" t="str">
        <f>'Por Valoracion (3) Dimension'!H246</f>
        <v>0</v>
      </c>
      <c r="E246" s="39" t="str">
        <f>'Por Valoracion (3) Dimension 2'!D246</f>
        <v>0</v>
      </c>
      <c r="Z246" s="50"/>
    </row>
    <row r="247" spans="1:26">
      <c r="A247" s="50"/>
      <c r="C247" t="str">
        <f>('Gestión de abastecimiento'!A248)</f>
        <v>0</v>
      </c>
      <c r="D247" s="39" t="str">
        <f>'Por Valoracion (3) Dimension'!H247</f>
        <v>0</v>
      </c>
      <c r="E247" s="39" t="str">
        <f>'Por Valoracion (3) Dimension 2'!D247</f>
        <v>0</v>
      </c>
      <c r="Z247" s="50"/>
    </row>
    <row r="248" spans="1:26">
      <c r="A248" s="50"/>
      <c r="C248" t="str">
        <f>('Gestión de abastecimiento'!A249)</f>
        <v>0</v>
      </c>
      <c r="D248" s="39" t="str">
        <f>'Por Valoracion (3) Dimension'!H248</f>
        <v>0</v>
      </c>
      <c r="E248" s="39" t="str">
        <f>'Por Valoracion (3) Dimension 2'!D248</f>
        <v>0</v>
      </c>
      <c r="Z248" s="50"/>
    </row>
    <row r="249" spans="1:26">
      <c r="A249" s="50"/>
      <c r="C249" t="str">
        <f>('Gestión de abastecimiento'!A250)</f>
        <v>0</v>
      </c>
      <c r="D249" s="39" t="str">
        <f>'Por Valoracion (3) Dimension'!H249</f>
        <v>0</v>
      </c>
      <c r="E249" s="39" t="str">
        <f>'Por Valoracion (3) Dimension 2'!D249</f>
        <v>0</v>
      </c>
      <c r="Z249" s="50"/>
    </row>
    <row r="250" spans="1:26">
      <c r="A250" s="50"/>
      <c r="C250" t="str">
        <f>('Gestión de abastecimiento'!A251)</f>
        <v>0</v>
      </c>
      <c r="D250" s="39" t="str">
        <f>'Por Valoracion (3) Dimension'!H250</f>
        <v>0</v>
      </c>
      <c r="E250" s="39" t="str">
        <f>'Por Valoracion (3) Dimension 2'!D250</f>
        <v>0</v>
      </c>
      <c r="Z250" s="50"/>
    </row>
    <row r="251" spans="1:26">
      <c r="A251" s="50"/>
      <c r="C251" t="str">
        <f>('Gestión de abastecimiento'!A252)</f>
        <v>0</v>
      </c>
      <c r="D251" s="39" t="str">
        <f>'Por Valoracion (3) Dimension'!H251</f>
        <v>0</v>
      </c>
      <c r="E251" s="39" t="str">
        <f>'Por Valoracion (3) Dimension 2'!D251</f>
        <v>0</v>
      </c>
      <c r="Z251" s="50"/>
    </row>
    <row r="252" spans="1:26">
      <c r="A252" s="50"/>
      <c r="C252" t="str">
        <f>('Gestión de abastecimiento'!A253)</f>
        <v>0</v>
      </c>
      <c r="D252" s="39" t="str">
        <f>'Por Valoracion (3) Dimension'!H252</f>
        <v>0</v>
      </c>
      <c r="E252" s="39" t="str">
        <f>'Por Valoracion (3) Dimension 2'!D252</f>
        <v>0</v>
      </c>
      <c r="Z252" s="50"/>
    </row>
    <row r="253" spans="1:26">
      <c r="A253" s="50"/>
      <c r="C253" t="str">
        <f>('Gestión de abastecimiento'!A254)</f>
        <v>0</v>
      </c>
      <c r="D253" s="39" t="str">
        <f>'Por Valoracion (3) Dimension'!H253</f>
        <v>0</v>
      </c>
      <c r="E253" s="39" t="str">
        <f>'Por Valoracion (3) Dimension 2'!D253</f>
        <v>0</v>
      </c>
      <c r="Z253" s="50"/>
    </row>
    <row r="254" spans="1:26">
      <c r="A254" s="50"/>
      <c r="C254" t="str">
        <f>('Gestión de abastecimiento'!A255)</f>
        <v>0</v>
      </c>
      <c r="D254" s="39" t="str">
        <f>'Por Valoracion (3) Dimension'!H254</f>
        <v>0</v>
      </c>
      <c r="E254" s="39" t="str">
        <f>'Por Valoracion (3) Dimension 2'!D254</f>
        <v>0</v>
      </c>
      <c r="Z254" s="50"/>
    </row>
    <row r="255" spans="1:26">
      <c r="A255" s="50"/>
      <c r="C255" t="str">
        <f>('Gestión de abastecimiento'!A256)</f>
        <v>0</v>
      </c>
      <c r="D255" s="39" t="str">
        <f>'Por Valoracion (3) Dimension'!H255</f>
        <v>0</v>
      </c>
      <c r="E255" s="39" t="str">
        <f>'Por Valoracion (3) Dimension 2'!D255</f>
        <v>0</v>
      </c>
      <c r="Z255" s="50"/>
    </row>
    <row r="256" spans="1:26">
      <c r="A256" s="50"/>
      <c r="C256" t="str">
        <f>('Gestión de abastecimiento'!A257)</f>
        <v>0</v>
      </c>
      <c r="D256" s="39" t="str">
        <f>'Por Valoracion (3) Dimension'!H256</f>
        <v>0</v>
      </c>
      <c r="E256" s="39" t="str">
        <f>'Por Valoracion (3) Dimension 2'!D256</f>
        <v>0</v>
      </c>
      <c r="Z256" s="50"/>
    </row>
    <row r="257" spans="1:26">
      <c r="A257" s="50"/>
      <c r="C257" t="str">
        <f>('Gestión de abastecimiento'!A258)</f>
        <v>0</v>
      </c>
      <c r="D257" s="39" t="str">
        <f>'Por Valoracion (3) Dimension'!H257</f>
        <v>0</v>
      </c>
      <c r="E257" s="39" t="str">
        <f>'Por Valoracion (3) Dimension 2'!D257</f>
        <v>0</v>
      </c>
      <c r="Z257" s="50"/>
    </row>
    <row r="258" spans="1:26">
      <c r="A258" s="50"/>
      <c r="C258" t="str">
        <f>('Gestión de abastecimiento'!A259)</f>
        <v>0</v>
      </c>
      <c r="D258" s="39" t="str">
        <f>'Por Valoracion (3) Dimension'!H258</f>
        <v>0</v>
      </c>
      <c r="E258" s="39" t="str">
        <f>'Por Valoracion (3) Dimension 2'!D258</f>
        <v>0</v>
      </c>
      <c r="Z258" s="50"/>
    </row>
    <row r="259" spans="1:26">
      <c r="A259" s="50"/>
      <c r="C259" t="str">
        <f>('Gestión de abastecimiento'!A260)</f>
        <v>0</v>
      </c>
      <c r="D259" s="39" t="str">
        <f>'Por Valoracion (3) Dimension'!H259</f>
        <v>0</v>
      </c>
      <c r="E259" s="39" t="str">
        <f>'Por Valoracion (3) Dimension 2'!D259</f>
        <v>0</v>
      </c>
      <c r="Z259" s="50"/>
    </row>
    <row r="260" spans="1:26">
      <c r="A260" s="50"/>
      <c r="C260" t="str">
        <f>('Gestión de abastecimiento'!A261)</f>
        <v>0</v>
      </c>
      <c r="D260" s="39" t="str">
        <f>'Por Valoracion (3) Dimension'!H260</f>
        <v>0</v>
      </c>
      <c r="E260" s="39" t="str">
        <f>'Por Valoracion (3) Dimension 2'!D260</f>
        <v>0</v>
      </c>
      <c r="Z260" s="50"/>
    </row>
    <row r="261" spans="1:26">
      <c r="A261" s="50"/>
      <c r="C261" t="str">
        <f>('Gestión de abastecimiento'!A262)</f>
        <v>0</v>
      </c>
      <c r="D261" s="39" t="str">
        <f>'Por Valoracion (3) Dimension'!H261</f>
        <v>0</v>
      </c>
      <c r="E261" s="39" t="str">
        <f>'Por Valoracion (3) Dimension 2'!D261</f>
        <v>0</v>
      </c>
      <c r="Z261" s="50"/>
    </row>
    <row r="262" spans="1:26">
      <c r="A262" s="50"/>
      <c r="C262" t="str">
        <f>('Gestión de abastecimiento'!A263)</f>
        <v>0</v>
      </c>
      <c r="D262" s="39" t="str">
        <f>'Por Valoracion (3) Dimension'!H262</f>
        <v>0</v>
      </c>
      <c r="E262" s="39" t="str">
        <f>'Por Valoracion (3) Dimension 2'!D262</f>
        <v>0</v>
      </c>
      <c r="Z262" s="50"/>
    </row>
    <row r="263" spans="1:26">
      <c r="A263" s="50"/>
      <c r="C263" t="str">
        <f>('Gestión de abastecimiento'!A264)</f>
        <v>0</v>
      </c>
      <c r="D263" s="39" t="str">
        <f>'Por Valoracion (3) Dimension'!H263</f>
        <v>0</v>
      </c>
      <c r="E263" s="39" t="str">
        <f>'Por Valoracion (3) Dimension 2'!D263</f>
        <v>0</v>
      </c>
      <c r="Z263" s="50"/>
    </row>
    <row r="264" spans="1:26">
      <c r="A264" s="50"/>
      <c r="C264" t="str">
        <f>('Gestión de abastecimiento'!A265)</f>
        <v>0</v>
      </c>
      <c r="D264" s="39" t="str">
        <f>'Por Valoracion (3) Dimension'!H264</f>
        <v>0</v>
      </c>
      <c r="E264" s="39" t="str">
        <f>'Por Valoracion (3) Dimension 2'!D264</f>
        <v>0</v>
      </c>
      <c r="Z264" s="50"/>
    </row>
    <row r="265" spans="1:26">
      <c r="A265" s="50"/>
      <c r="C265" t="str">
        <f>('Gestión de abastecimiento'!A266)</f>
        <v>0</v>
      </c>
      <c r="D265" s="39" t="str">
        <f>'Por Valoracion (3) Dimension'!H265</f>
        <v>0</v>
      </c>
      <c r="E265" s="39" t="str">
        <f>'Por Valoracion (3) Dimension 2'!D265</f>
        <v>0</v>
      </c>
      <c r="Z265" s="50"/>
    </row>
    <row r="266" spans="1:26">
      <c r="A266" s="50"/>
      <c r="C266" t="str">
        <f>('Gestión de abastecimiento'!A267)</f>
        <v>0</v>
      </c>
      <c r="D266" s="39" t="str">
        <f>'Por Valoracion (3) Dimension'!H266</f>
        <v>0</v>
      </c>
      <c r="E266" s="39" t="str">
        <f>'Por Valoracion (3) Dimension 2'!D266</f>
        <v>0</v>
      </c>
      <c r="Z266" s="50"/>
    </row>
    <row r="267" spans="1:26">
      <c r="A267" s="50"/>
      <c r="C267" t="str">
        <f>('Gestión de abastecimiento'!A268)</f>
        <v>0</v>
      </c>
      <c r="D267" s="39" t="str">
        <f>'Por Valoracion (3) Dimension'!H267</f>
        <v>0</v>
      </c>
      <c r="E267" s="39" t="str">
        <f>'Por Valoracion (3) Dimension 2'!D267</f>
        <v>0</v>
      </c>
      <c r="Z267" s="50"/>
    </row>
    <row r="268" spans="1:26">
      <c r="A268" s="50"/>
      <c r="C268" t="str">
        <f>('Gestión de abastecimiento'!A269)</f>
        <v>0</v>
      </c>
      <c r="D268" s="39" t="str">
        <f>'Por Valoracion (3) Dimension'!H268</f>
        <v>0</v>
      </c>
      <c r="E268" s="39" t="str">
        <f>'Por Valoracion (3) Dimension 2'!D268</f>
        <v>0</v>
      </c>
      <c r="Z268" s="50"/>
    </row>
    <row r="269" spans="1:26">
      <c r="A269" s="50"/>
      <c r="C269" t="str">
        <f>('Gestión de abastecimiento'!A270)</f>
        <v>0</v>
      </c>
      <c r="D269" s="39" t="str">
        <f>'Por Valoracion (3) Dimension'!H269</f>
        <v>0</v>
      </c>
      <c r="E269" s="39" t="str">
        <f>'Por Valoracion (3) Dimension 2'!D269</f>
        <v>0</v>
      </c>
      <c r="Z269" s="50"/>
    </row>
    <row r="270" spans="1:26">
      <c r="A270" s="50"/>
      <c r="C270" t="str">
        <f>('Gestión de abastecimiento'!A271)</f>
        <v>0</v>
      </c>
      <c r="D270" s="39" t="str">
        <f>'Por Valoracion (3) Dimension'!H270</f>
        <v>0</v>
      </c>
      <c r="E270" s="39" t="str">
        <f>'Por Valoracion (3) Dimension 2'!D270</f>
        <v>0</v>
      </c>
      <c r="Z270" s="50"/>
    </row>
    <row r="271" spans="1:26">
      <c r="A271" s="50"/>
      <c r="C271" t="str">
        <f>('Gestión de abastecimiento'!A272)</f>
        <v>0</v>
      </c>
      <c r="D271" s="39" t="str">
        <f>'Por Valoracion (3) Dimension'!H271</f>
        <v>0</v>
      </c>
      <c r="E271" s="39" t="str">
        <f>'Por Valoracion (3) Dimension 2'!D271</f>
        <v>0</v>
      </c>
      <c r="Z271" s="50"/>
    </row>
    <row r="272" spans="1:26">
      <c r="A272" s="50"/>
      <c r="C272" t="str">
        <f>('Gestión de abastecimiento'!A273)</f>
        <v>0</v>
      </c>
      <c r="D272" s="39" t="str">
        <f>'Por Valoracion (3) Dimension'!H272</f>
        <v>0</v>
      </c>
      <c r="E272" s="39" t="str">
        <f>'Por Valoracion (3) Dimension 2'!D272</f>
        <v>0</v>
      </c>
      <c r="Z272" s="50"/>
    </row>
    <row r="273" spans="1:26">
      <c r="A273" s="50"/>
      <c r="C273" t="str">
        <f>('Gestión de abastecimiento'!A274)</f>
        <v>0</v>
      </c>
      <c r="D273" s="39" t="str">
        <f>'Por Valoracion (3) Dimension'!H273</f>
        <v>0</v>
      </c>
      <c r="E273" s="39" t="str">
        <f>'Por Valoracion (3) Dimension 2'!D273</f>
        <v>0</v>
      </c>
      <c r="Z273" s="50"/>
    </row>
    <row r="274" spans="1:26">
      <c r="A274" s="50"/>
      <c r="C274" t="str">
        <f>('Gestión de abastecimiento'!A275)</f>
        <v>0</v>
      </c>
      <c r="D274" s="39" t="str">
        <f>'Por Valoracion (3) Dimension'!H274</f>
        <v>0</v>
      </c>
      <c r="E274" s="39" t="str">
        <f>'Por Valoracion (3) Dimension 2'!D274</f>
        <v>0</v>
      </c>
      <c r="Z274" s="50"/>
    </row>
    <row r="275" spans="1:26">
      <c r="A275" s="50"/>
      <c r="C275" t="str">
        <f>('Gestión de abastecimiento'!A276)</f>
        <v>0</v>
      </c>
      <c r="D275" s="39" t="str">
        <f>'Por Valoracion (3) Dimension'!H275</f>
        <v>0</v>
      </c>
      <c r="E275" s="39" t="str">
        <f>'Por Valoracion (3) Dimension 2'!D275</f>
        <v>0</v>
      </c>
      <c r="Z275" s="50"/>
    </row>
    <row r="276" spans="1:26">
      <c r="A276" s="50"/>
      <c r="C276" t="str">
        <f>('Gestión de abastecimiento'!A277)</f>
        <v>0</v>
      </c>
      <c r="D276" s="39" t="str">
        <f>'Por Valoracion (3) Dimension'!H276</f>
        <v>0</v>
      </c>
      <c r="E276" s="39" t="str">
        <f>'Por Valoracion (3) Dimension 2'!D276</f>
        <v>0</v>
      </c>
      <c r="Z276" s="50"/>
    </row>
    <row r="277" spans="1:26">
      <c r="A277" s="50"/>
      <c r="C277" t="str">
        <f>('Gestión de abastecimiento'!A278)</f>
        <v>0</v>
      </c>
      <c r="D277" s="39" t="str">
        <f>'Por Valoracion (3) Dimension'!H277</f>
        <v>0</v>
      </c>
      <c r="E277" s="39" t="str">
        <f>'Por Valoracion (3) Dimension 2'!D277</f>
        <v>0</v>
      </c>
      <c r="Z277" s="50"/>
    </row>
    <row r="278" spans="1:26">
      <c r="A278" s="50"/>
      <c r="C278" t="str">
        <f>('Gestión de abastecimiento'!A279)</f>
        <v>0</v>
      </c>
      <c r="D278" s="39" t="str">
        <f>'Por Valoracion (3) Dimension'!H278</f>
        <v>0</v>
      </c>
      <c r="E278" s="39" t="str">
        <f>'Por Valoracion (3) Dimension 2'!D278</f>
        <v>0</v>
      </c>
      <c r="Z278" s="50"/>
    </row>
    <row r="279" spans="1:26">
      <c r="A279" s="50"/>
      <c r="C279" t="str">
        <f>('Gestión de abastecimiento'!A280)</f>
        <v>0</v>
      </c>
      <c r="D279" s="39" t="str">
        <f>'Por Valoracion (3) Dimension'!H279</f>
        <v>0</v>
      </c>
      <c r="E279" s="39" t="str">
        <f>'Por Valoracion (3) Dimension 2'!D279</f>
        <v>0</v>
      </c>
      <c r="Z279" s="50"/>
    </row>
    <row r="280" spans="1:26">
      <c r="A280" s="50"/>
      <c r="C280" t="str">
        <f>('Gestión de abastecimiento'!A281)</f>
        <v>0</v>
      </c>
      <c r="D280" s="39" t="str">
        <f>'Por Valoracion (3) Dimension'!H280</f>
        <v>0</v>
      </c>
      <c r="E280" s="39" t="str">
        <f>'Por Valoracion (3) Dimension 2'!D280</f>
        <v>0</v>
      </c>
      <c r="Z280" s="50"/>
    </row>
    <row r="281" spans="1:26">
      <c r="A281" s="50"/>
      <c r="C281" t="str">
        <f>('Gestión de abastecimiento'!A282)</f>
        <v>0</v>
      </c>
      <c r="D281" s="39" t="str">
        <f>'Por Valoracion (3) Dimension'!H281</f>
        <v>0</v>
      </c>
      <c r="E281" s="39" t="str">
        <f>'Por Valoracion (3) Dimension 2'!D281</f>
        <v>0</v>
      </c>
      <c r="Z281" s="50"/>
    </row>
    <row r="282" spans="1:26">
      <c r="A282" s="50"/>
      <c r="C282" t="str">
        <f>('Gestión de abastecimiento'!A283)</f>
        <v>0</v>
      </c>
      <c r="D282" s="39" t="str">
        <f>'Por Valoracion (3) Dimension'!H282</f>
        <v>0</v>
      </c>
      <c r="E282" s="39" t="str">
        <f>'Por Valoracion (3) Dimension 2'!D282</f>
        <v>0</v>
      </c>
      <c r="Z282" s="50"/>
    </row>
    <row r="283" spans="1:26">
      <c r="A283" s="50"/>
      <c r="C283" t="str">
        <f>('Gestión de abastecimiento'!A284)</f>
        <v>0</v>
      </c>
      <c r="D283" s="39" t="str">
        <f>'Por Valoracion (3) Dimension'!H283</f>
        <v>0</v>
      </c>
      <c r="E283" s="39" t="str">
        <f>'Por Valoracion (3) Dimension 2'!D283</f>
        <v>0</v>
      </c>
      <c r="Z283" s="50"/>
    </row>
    <row r="284" spans="1:26">
      <c r="A284" s="50"/>
      <c r="C284" t="str">
        <f>('Gestión de abastecimiento'!A285)</f>
        <v>0</v>
      </c>
      <c r="D284" s="39" t="str">
        <f>'Por Valoracion (3) Dimension'!H284</f>
        <v>0</v>
      </c>
      <c r="E284" s="39" t="str">
        <f>'Por Valoracion (3) Dimension 2'!D284</f>
        <v>0</v>
      </c>
      <c r="Z284" s="50"/>
    </row>
    <row r="285" spans="1:26">
      <c r="A285" s="50"/>
      <c r="C285" t="str">
        <f>('Gestión de abastecimiento'!A286)</f>
        <v>0</v>
      </c>
      <c r="D285" s="39" t="str">
        <f>'Por Valoracion (3) Dimension'!H285</f>
        <v>0</v>
      </c>
      <c r="E285" s="39" t="str">
        <f>'Por Valoracion (3) Dimension 2'!D285</f>
        <v>0</v>
      </c>
      <c r="Z285" s="50"/>
    </row>
    <row r="286" spans="1:26">
      <c r="A286" s="50"/>
      <c r="C286" t="str">
        <f>('Gestión de abastecimiento'!A287)</f>
        <v>0</v>
      </c>
      <c r="D286" s="39" t="str">
        <f>'Por Valoracion (3) Dimension'!H286</f>
        <v>0</v>
      </c>
      <c r="E286" s="39" t="str">
        <f>'Por Valoracion (3) Dimension 2'!D286</f>
        <v>0</v>
      </c>
      <c r="Z286" s="50"/>
    </row>
    <row r="287" spans="1:26">
      <c r="A287" s="50"/>
      <c r="C287" t="str">
        <f>('Gestión de abastecimiento'!A288)</f>
        <v>0</v>
      </c>
      <c r="D287" s="39" t="str">
        <f>'Por Valoracion (3) Dimension'!H287</f>
        <v>0</v>
      </c>
      <c r="E287" s="39" t="str">
        <f>'Por Valoracion (3) Dimension 2'!D287</f>
        <v>0</v>
      </c>
      <c r="Z287" s="50"/>
    </row>
    <row r="288" spans="1:26">
      <c r="A288" s="50"/>
      <c r="C288" t="str">
        <f>('Gestión de abastecimiento'!A289)</f>
        <v>0</v>
      </c>
      <c r="D288" s="39" t="str">
        <f>'Por Valoracion (3) Dimension'!H288</f>
        <v>0</v>
      </c>
      <c r="E288" s="39" t="str">
        <f>'Por Valoracion (3) Dimension 2'!D288</f>
        <v>0</v>
      </c>
      <c r="Z288" s="50"/>
    </row>
    <row r="289" spans="1:26">
      <c r="A289" s="50"/>
      <c r="C289" t="str">
        <f>('Gestión de abastecimiento'!A290)</f>
        <v>0</v>
      </c>
      <c r="D289" s="39" t="str">
        <f>'Por Valoracion (3) Dimension'!H289</f>
        <v>0</v>
      </c>
      <c r="E289" s="39" t="str">
        <f>'Por Valoracion (3) Dimension 2'!D289</f>
        <v>0</v>
      </c>
      <c r="Z289" s="50"/>
    </row>
    <row r="290" spans="1:26">
      <c r="A290" s="50"/>
      <c r="C290" t="str">
        <f>('Gestión de abastecimiento'!A291)</f>
        <v>0</v>
      </c>
      <c r="D290" s="39" t="str">
        <f>'Por Valoracion (3) Dimension'!H290</f>
        <v>0</v>
      </c>
      <c r="E290" s="39" t="str">
        <f>'Por Valoracion (3) Dimension 2'!D290</f>
        <v>0</v>
      </c>
      <c r="Z290" s="50"/>
    </row>
    <row r="291" spans="1:26">
      <c r="A291" s="50"/>
      <c r="C291" t="str">
        <f>('Gestión de abastecimiento'!A292)</f>
        <v>0</v>
      </c>
      <c r="D291" s="39" t="str">
        <f>'Por Valoracion (3) Dimension'!H291</f>
        <v>0</v>
      </c>
      <c r="E291" s="39" t="str">
        <f>'Por Valoracion (3) Dimension 2'!D291</f>
        <v>0</v>
      </c>
      <c r="Z291" s="50"/>
    </row>
    <row r="292" spans="1:26">
      <c r="A292" s="50"/>
      <c r="C292" t="str">
        <f>('Gestión de abastecimiento'!A293)</f>
        <v>0</v>
      </c>
      <c r="D292" s="39" t="str">
        <f>'Por Valoracion (3) Dimension'!H292</f>
        <v>0</v>
      </c>
      <c r="E292" s="39" t="str">
        <f>'Por Valoracion (3) Dimension 2'!D292</f>
        <v>0</v>
      </c>
      <c r="Z292" s="50"/>
    </row>
    <row r="293" spans="1:26">
      <c r="A293" s="50"/>
      <c r="Z293" s="50"/>
    </row>
    <row r="294" spans="1:26">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7" spans="1:26">
      <c r="D297" t="s">
        <v>492</v>
      </c>
      <c r="E297" t="s">
        <v>492</v>
      </c>
      <c r="F297" t="s">
        <v>480</v>
      </c>
      <c r="G297" t="s">
        <v>481</v>
      </c>
      <c r="H297" t="s">
        <v>482</v>
      </c>
      <c r="I297" t="s">
        <v>483</v>
      </c>
      <c r="M297" t="s">
        <v>484</v>
      </c>
      <c r="N297" t="s">
        <v>485</v>
      </c>
      <c r="O297" t="s">
        <v>486</v>
      </c>
      <c r="R297" t="s">
        <v>484</v>
      </c>
      <c r="S297" t="s">
        <v>485</v>
      </c>
      <c r="T297" t="s">
        <v>487</v>
      </c>
    </row>
    <row r="298" spans="1:26">
      <c r="D298" t="str">
        <f>D3</f>
        <v>0</v>
      </c>
      <c r="E298" t="str">
        <f>E3</f>
        <v>0</v>
      </c>
      <c r="F298" t="str">
        <f>IF(G8&lt;=50,H6,H6)</f>
        <v>0</v>
      </c>
      <c r="G298" t="str">
        <f>IF(E3&lt;5/100,"la distribución de sus valores son diferentes a la distribución normal","la distribución de sus valores no son diferentes a la distribución normal")</f>
        <v>0</v>
      </c>
      <c r="H298" t="str">
        <f>IF(G298="la distribución de sus valores son diferentes a la distribución normal"," es decir los datos no se encuentran normalmente distribuidos"," es decir los datos si se encuentran normalmente distribuidos")</f>
        <v>0</v>
      </c>
      <c r="I298" t="str">
        <f>IF(G298=" es decir los datos no se encuentran normalmente distribuidos"," la prueba no paramétrica de correlación de Rho de Spearman","la prueba paramétrica de correlación de Pearson")</f>
        <v>0</v>
      </c>
      <c r="M298" t="s">
        <v>488</v>
      </c>
      <c r="N298" t="str">
        <f>R14</f>
        <v>0</v>
      </c>
      <c r="O298" t="str">
        <f>R13</f>
        <v>0</v>
      </c>
      <c r="R298" t="s">
        <v>488</v>
      </c>
      <c r="S298" t="str">
        <f>X14</f>
        <v>0</v>
      </c>
      <c r="T298" t="str">
        <f>X13</f>
        <v>0</v>
      </c>
    </row>
    <row r="299" spans="1:26">
      <c r="C299" t="s">
        <v>489</v>
      </c>
      <c r="D299" t="str">
        <f>M8</f>
        <v>0</v>
      </c>
      <c r="E299" t="str">
        <f>M9</f>
        <v>0</v>
      </c>
      <c r="N299" t="str">
        <f>N298/100</f>
        <v>0</v>
      </c>
      <c r="O299" t="str">
        <f>O298*100</f>
        <v>0</v>
      </c>
      <c r="Q299" t="s">
        <v>490</v>
      </c>
      <c r="S299" t="str">
        <f>S298/100</f>
        <v>0</v>
      </c>
      <c r="T299" t="str">
        <f>T298*100</f>
        <v>0</v>
      </c>
      <c r="V299" t="s">
        <v>490</v>
      </c>
    </row>
    <row r="300" spans="1:26">
      <c r="N300" t="str">
        <f>IF(N298&lt;5/100,"existe relación significativa entre las ","no existe relación entre las ")</f>
        <v>0</v>
      </c>
      <c r="O300" t="str">
        <f>IF(O298&lt;='Criterio para el valor r'!$A$2,'Criterio para el valor r'!$C$2,IF(O298&lt;='Criterio para el valor r'!$A$3,'Criterio para el valor r'!$C$3,IF(O298&lt;='Criterio para el valor r'!$A$4,'Criterio para el valor r'!$C$4,IF(O298&lt;='Criterio para el valor r'!$A$5,'Criterio para el valor r'!$C$5,IF(O298&lt;='Criterio para el valor r'!$A$6,'Criterio para el valor r'!$C$6,IF(O298&lt;='Criterio para el valor r'!$A$8,'Criterio para el valor r'!$C$7,IF(O298&lt;='Criterio para el valor r'!$A$7,'Criterio para el valor r'!$C$8,IF(O298&lt;='Criterio para el valor r'!$B$9,'Criterio para el valor r'!$C$9,IF(O298&lt;='Criterio para el valor r'!$B$10,'Criterio para el valor r'!$C$10,IF(O298&lt;='Criterio para el valor r'!$B$11,'Criterio para el valor r'!$C$11,IF(O298&lt;='Criterio para el valor r'!$B$12,'Criterio para el valor r'!$C$12,IF(O298&lt;='Criterio para el valor r'!$B$13,'Criterio para el valor r'!$C$13,IF(O298&lt;='Criterio para el valor r'!$B$14,'Criterio para el valor r'!$C$14,"algo esta mal")))))))))))))</f>
        <v>0</v>
      </c>
      <c r="P300" t="str">
        <f>IF(O298&lt;0,"menor","mayor")</f>
        <v>0</v>
      </c>
      <c r="Q300" t="str">
        <f>IF(N299&gt;=5/100,"se acepta la Ho y se rechaza la Hi","se rechaza la Ho y se acepta la Hi")</f>
        <v>0</v>
      </c>
      <c r="S300" t="str">
        <f>IF(S298&lt;5/100,"existe relación significativa entre las ","no existe relación entre las ")</f>
        <v>0</v>
      </c>
      <c r="T300" t="str">
        <f>IF(T298&lt;5/100,"existe relación significativa entre las ","no existe relación entre las ")</f>
        <v>0</v>
      </c>
      <c r="U300" t="str">
        <f>IF(T298&lt;0,"menor","mayor")</f>
        <v>0</v>
      </c>
      <c r="V300" t="str">
        <f>IF(S299&gt;=5/100,"se acepta la Ho y se rechaza la Hi","se rechaza la Ho y se acepta la Hi")</f>
        <v>0</v>
      </c>
    </row>
    <row r="303" spans="1:26">
      <c r="O303" s="27" t="str">
        <f>CONCATENATE("la ",O10," muestra los resultados de la prueba de ",P13,", en donde se evidencia que con una ",N297," del ",N299,"% ",N300," ",M298," ",O13," y ",O16,", adicional a ello se puede observar que la fuerza y/o grado de correlación ",O297," tiene un valor de ",O299,"% lo que afirma que es una ",O300," mismo que asu vez significa que a mayor ",Q12," ",P300," ",O16,", por todo ello en el presente objetivo ",Q300,".")</f>
        <v>0</v>
      </c>
      <c r="T303" s="27" t="str">
        <f>CONCATENATE("la ",T10," muestra los resultados de la prueba de ",V13,", en donde se evidencia que con una ",S297," del ",S299,"% ",S300," ",R298," ",U13," y ",U16,", adicional a ello se puede observar que la fuerza y/o grado de correlación ",T297," tiene un valor de ",T299,"% lo que afirma que es una ",T300," mismo que asu vez significa que a mayor ",W12," ",U300," ",X12,", por todo ello en el presente objetivo ",V300,".")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C4"/>
    <mergeCell ref="C5:C5"/>
    <mergeCell ref="C6:C6"/>
    <mergeCell ref="C7:C7"/>
    <mergeCell ref="C8:C8"/>
    <mergeCell ref="C9:C9"/>
    <mergeCell ref="C10:C10"/>
    <mergeCell ref="C11:C11"/>
    <mergeCell ref="C12:C12"/>
    <mergeCell ref="C13:C13"/>
    <mergeCell ref="C14:C14"/>
    <mergeCell ref="C15:C15"/>
    <mergeCell ref="C16:C16"/>
    <mergeCell ref="C17:C17"/>
    <mergeCell ref="C18:C18"/>
    <mergeCell ref="C19:C19"/>
    <mergeCell ref="C20:C20"/>
    <mergeCell ref="C21:C21"/>
    <mergeCell ref="C22:C22"/>
    <mergeCell ref="C23:C23"/>
    <mergeCell ref="C24:C24"/>
    <mergeCell ref="C25:C25"/>
    <mergeCell ref="C26:C26"/>
    <mergeCell ref="C27:C27"/>
    <mergeCell ref="C28:C28"/>
    <mergeCell ref="C29:C29"/>
    <mergeCell ref="C30:C30"/>
    <mergeCell ref="C31:C31"/>
    <mergeCell ref="C32:C32"/>
    <mergeCell ref="C33:C33"/>
    <mergeCell ref="C34:C34"/>
    <mergeCell ref="C35:C35"/>
    <mergeCell ref="C36:C36"/>
    <mergeCell ref="C37:C37"/>
    <mergeCell ref="C38:C38"/>
    <mergeCell ref="C39:C39"/>
    <mergeCell ref="C40:C40"/>
    <mergeCell ref="C41:C41"/>
    <mergeCell ref="C42:C42"/>
    <mergeCell ref="C43:C43"/>
    <mergeCell ref="C44:C44"/>
    <mergeCell ref="C45:C45"/>
    <mergeCell ref="C46:C46"/>
    <mergeCell ref="C47:C47"/>
    <mergeCell ref="C48:C48"/>
    <mergeCell ref="C49:C49"/>
    <mergeCell ref="C50:C50"/>
    <mergeCell ref="C51:C51"/>
    <mergeCell ref="C52:C52"/>
    <mergeCell ref="C53:C53"/>
    <mergeCell ref="C54:C54"/>
    <mergeCell ref="C55:C55"/>
    <mergeCell ref="C56:C56"/>
    <mergeCell ref="C57:C57"/>
    <mergeCell ref="C58:C58"/>
    <mergeCell ref="C59:C59"/>
    <mergeCell ref="C60:C60"/>
    <mergeCell ref="C61:C61"/>
    <mergeCell ref="C62:C62"/>
    <mergeCell ref="C63:C63"/>
    <mergeCell ref="C64:C64"/>
    <mergeCell ref="C65:C65"/>
    <mergeCell ref="C66:C66"/>
    <mergeCell ref="C67:C67"/>
    <mergeCell ref="C68:C68"/>
    <mergeCell ref="C69:C69"/>
    <mergeCell ref="C70:C70"/>
    <mergeCell ref="C71:C71"/>
    <mergeCell ref="C72:C72"/>
    <mergeCell ref="C73:C73"/>
    <mergeCell ref="C74:C74"/>
    <mergeCell ref="C75:C75"/>
    <mergeCell ref="C76:C76"/>
    <mergeCell ref="C77:C77"/>
    <mergeCell ref="C78:C78"/>
    <mergeCell ref="C79:C79"/>
    <mergeCell ref="C80:C80"/>
    <mergeCell ref="C81:C81"/>
    <mergeCell ref="C82:C82"/>
    <mergeCell ref="C83:C83"/>
    <mergeCell ref="C84:C84"/>
    <mergeCell ref="C85:C85"/>
    <mergeCell ref="C86:C86"/>
    <mergeCell ref="C87:C87"/>
    <mergeCell ref="C88:C88"/>
    <mergeCell ref="C89:C89"/>
    <mergeCell ref="C90:C90"/>
    <mergeCell ref="C91:C91"/>
    <mergeCell ref="C92:C92"/>
    <mergeCell ref="C93:C93"/>
    <mergeCell ref="C94:C94"/>
    <mergeCell ref="C95:C95"/>
    <mergeCell ref="C96:C96"/>
    <mergeCell ref="C97:C97"/>
    <mergeCell ref="C98:C98"/>
    <mergeCell ref="C99:C99"/>
    <mergeCell ref="C100:C100"/>
    <mergeCell ref="C101:C101"/>
    <mergeCell ref="C102:C102"/>
    <mergeCell ref="C103:C103"/>
    <mergeCell ref="C104:C104"/>
    <mergeCell ref="C105:C105"/>
    <mergeCell ref="C106:C106"/>
    <mergeCell ref="C107:C107"/>
    <mergeCell ref="C108:C108"/>
    <mergeCell ref="C109:C109"/>
    <mergeCell ref="C110:C110"/>
    <mergeCell ref="C111:C111"/>
    <mergeCell ref="C112:C112"/>
    <mergeCell ref="C113:C113"/>
    <mergeCell ref="C114:C114"/>
    <mergeCell ref="C115:C115"/>
    <mergeCell ref="C116:C116"/>
    <mergeCell ref="C117:C117"/>
    <mergeCell ref="C118:C118"/>
    <mergeCell ref="C119:C119"/>
    <mergeCell ref="C120:C120"/>
    <mergeCell ref="C121:C121"/>
    <mergeCell ref="C122:C122"/>
    <mergeCell ref="C123:C123"/>
    <mergeCell ref="C124:C124"/>
    <mergeCell ref="C125:C125"/>
    <mergeCell ref="C126:C126"/>
    <mergeCell ref="C127:C127"/>
    <mergeCell ref="C128:C128"/>
    <mergeCell ref="C129:C129"/>
    <mergeCell ref="C130:C130"/>
    <mergeCell ref="C131:C131"/>
    <mergeCell ref="C132:C132"/>
    <mergeCell ref="C133:C133"/>
    <mergeCell ref="C134:C134"/>
    <mergeCell ref="C135:C135"/>
    <mergeCell ref="C136:C136"/>
    <mergeCell ref="C137:C137"/>
    <mergeCell ref="C138:C138"/>
    <mergeCell ref="C139:C139"/>
    <mergeCell ref="C140:C140"/>
    <mergeCell ref="C141:C141"/>
    <mergeCell ref="C142:C142"/>
    <mergeCell ref="C143:C143"/>
    <mergeCell ref="C144:C144"/>
    <mergeCell ref="C145:C145"/>
    <mergeCell ref="C146:C146"/>
    <mergeCell ref="C147:C147"/>
    <mergeCell ref="C148:C148"/>
    <mergeCell ref="C149:C149"/>
    <mergeCell ref="C150:C150"/>
    <mergeCell ref="C151:C151"/>
    <mergeCell ref="C152:C152"/>
    <mergeCell ref="C153:C153"/>
    <mergeCell ref="C154:C154"/>
    <mergeCell ref="C155:C155"/>
    <mergeCell ref="C156:C156"/>
    <mergeCell ref="C157:C157"/>
    <mergeCell ref="C158:C158"/>
    <mergeCell ref="C159:C159"/>
    <mergeCell ref="C160:C160"/>
    <mergeCell ref="C161:C161"/>
    <mergeCell ref="C162:C162"/>
    <mergeCell ref="C163:C163"/>
    <mergeCell ref="C164:C164"/>
    <mergeCell ref="C165:C165"/>
    <mergeCell ref="C166:C166"/>
    <mergeCell ref="C167:C167"/>
    <mergeCell ref="C168:C168"/>
    <mergeCell ref="C169:C169"/>
    <mergeCell ref="C170:C170"/>
    <mergeCell ref="C171:C171"/>
    <mergeCell ref="C172:C172"/>
    <mergeCell ref="C173:C173"/>
    <mergeCell ref="C174:C174"/>
    <mergeCell ref="C175:C175"/>
    <mergeCell ref="C176:C176"/>
    <mergeCell ref="C177:C177"/>
    <mergeCell ref="C178:C178"/>
    <mergeCell ref="C179:C179"/>
    <mergeCell ref="C180:C180"/>
    <mergeCell ref="C181:C181"/>
    <mergeCell ref="C182:C182"/>
    <mergeCell ref="C183:C183"/>
    <mergeCell ref="C184:C184"/>
    <mergeCell ref="C185:C185"/>
    <mergeCell ref="C186:C186"/>
    <mergeCell ref="C187:C187"/>
    <mergeCell ref="C188:C188"/>
    <mergeCell ref="C189:C189"/>
    <mergeCell ref="C190:C190"/>
    <mergeCell ref="C191:C191"/>
    <mergeCell ref="C192:C192"/>
    <mergeCell ref="C193:C193"/>
    <mergeCell ref="C194:C194"/>
    <mergeCell ref="C195:C195"/>
    <mergeCell ref="C196:C196"/>
    <mergeCell ref="C197:C197"/>
    <mergeCell ref="C198:C198"/>
    <mergeCell ref="C199:C199"/>
    <mergeCell ref="C200:C200"/>
    <mergeCell ref="C201:C201"/>
    <mergeCell ref="C202:C202"/>
    <mergeCell ref="C203:C203"/>
    <mergeCell ref="C204:C204"/>
    <mergeCell ref="C205:C205"/>
    <mergeCell ref="C206:C206"/>
    <mergeCell ref="C207:C207"/>
    <mergeCell ref="C208:C208"/>
    <mergeCell ref="C209:C209"/>
    <mergeCell ref="C210:C210"/>
    <mergeCell ref="C211:C211"/>
    <mergeCell ref="C212:C212"/>
    <mergeCell ref="C213:C213"/>
    <mergeCell ref="C214:C214"/>
    <mergeCell ref="C215:C215"/>
    <mergeCell ref="C216:C216"/>
    <mergeCell ref="C217:C217"/>
    <mergeCell ref="C218:C218"/>
    <mergeCell ref="C219:C219"/>
    <mergeCell ref="C220:C220"/>
    <mergeCell ref="C221:C221"/>
    <mergeCell ref="C222:C222"/>
    <mergeCell ref="C223:C223"/>
    <mergeCell ref="C224:C224"/>
    <mergeCell ref="C225:C225"/>
    <mergeCell ref="C226:C226"/>
    <mergeCell ref="C227:C227"/>
    <mergeCell ref="C228:C228"/>
    <mergeCell ref="C229:C229"/>
    <mergeCell ref="C230:C230"/>
    <mergeCell ref="C231:C231"/>
    <mergeCell ref="C232:C232"/>
    <mergeCell ref="C233:C233"/>
    <mergeCell ref="C234:C234"/>
    <mergeCell ref="C235:C235"/>
    <mergeCell ref="C236:C236"/>
    <mergeCell ref="C237:C237"/>
    <mergeCell ref="C238:C238"/>
    <mergeCell ref="C239:C239"/>
    <mergeCell ref="C240:C240"/>
    <mergeCell ref="C241:C241"/>
    <mergeCell ref="C242:C242"/>
    <mergeCell ref="C243:C243"/>
    <mergeCell ref="C244:C244"/>
    <mergeCell ref="C245:C245"/>
    <mergeCell ref="C246:C246"/>
    <mergeCell ref="C247:C247"/>
    <mergeCell ref="C248:C248"/>
    <mergeCell ref="C249:C249"/>
    <mergeCell ref="C250:C250"/>
    <mergeCell ref="C251:C251"/>
    <mergeCell ref="C252:C252"/>
    <mergeCell ref="C253:C253"/>
    <mergeCell ref="C254:C254"/>
    <mergeCell ref="C255:C255"/>
    <mergeCell ref="C256:C256"/>
    <mergeCell ref="C257:C257"/>
    <mergeCell ref="C258:C258"/>
    <mergeCell ref="C259:C259"/>
    <mergeCell ref="C260:C260"/>
    <mergeCell ref="C261:C261"/>
    <mergeCell ref="C262:C262"/>
    <mergeCell ref="C263:C263"/>
    <mergeCell ref="C264:C264"/>
    <mergeCell ref="C265:C265"/>
    <mergeCell ref="C266:C266"/>
    <mergeCell ref="C267:C267"/>
    <mergeCell ref="C268:C268"/>
    <mergeCell ref="C269:C269"/>
    <mergeCell ref="C270:C270"/>
    <mergeCell ref="C271:C271"/>
    <mergeCell ref="C272:C272"/>
    <mergeCell ref="C273:C273"/>
    <mergeCell ref="C274:C274"/>
    <mergeCell ref="C275:C275"/>
    <mergeCell ref="C276:C276"/>
    <mergeCell ref="C277:C277"/>
    <mergeCell ref="C278:C278"/>
    <mergeCell ref="C279:C279"/>
    <mergeCell ref="C280:C280"/>
    <mergeCell ref="C281:C281"/>
    <mergeCell ref="C282:C282"/>
    <mergeCell ref="C283:C283"/>
    <mergeCell ref="C284:C284"/>
    <mergeCell ref="C285:C285"/>
    <mergeCell ref="C286:C286"/>
    <mergeCell ref="C287:C287"/>
    <mergeCell ref="C288:C288"/>
    <mergeCell ref="C289:C289"/>
    <mergeCell ref="C290:C290"/>
    <mergeCell ref="C291:C291"/>
    <mergeCell ref="C292:C292"/>
    <mergeCell ref="G5:M5"/>
    <mergeCell ref="G12:M17"/>
    <mergeCell ref="G10:M10"/>
    <mergeCell ref="G6:G7"/>
    <mergeCell ref="H6:J6"/>
    <mergeCell ref="K6:M6"/>
    <mergeCell ref="O11:R11"/>
    <mergeCell ref="O12:P12"/>
    <mergeCell ref="O13:O15"/>
    <mergeCell ref="O16:O18"/>
    <mergeCell ref="O19:R19"/>
    <mergeCell ref="O303:R308"/>
    <mergeCell ref="T11:X11"/>
    <mergeCell ref="T12:V12"/>
    <mergeCell ref="T19:X19"/>
    <mergeCell ref="T13:T18"/>
    <mergeCell ref="T303:W308"/>
    <mergeCell ref="U13:U15"/>
    <mergeCell ref="U16:U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C14"/>
  <sheetViews>
    <sheetView tabSelected="1" workbookViewId="0" showGridLines="true" showRowColHeaders="1">
      <selection activeCell="B2" sqref="B2"/>
    </sheetView>
  </sheetViews>
  <sheetFormatPr defaultRowHeight="14.4" outlineLevelRow="0" outlineLevelCol="0"/>
  <sheetData>
    <row r="1" spans="1:3">
      <c r="A1" t="s">
        <v>350</v>
      </c>
      <c r="B1" t="s">
        <v>351</v>
      </c>
      <c r="C1" t="s">
        <v>493</v>
      </c>
    </row>
    <row r="2" spans="1:3">
      <c r="A2" s="51">
        <v>-0.91</v>
      </c>
      <c r="B2" s="51">
        <v>-1</v>
      </c>
      <c r="C2" t="s">
        <v>494</v>
      </c>
    </row>
    <row r="3" spans="1:3">
      <c r="A3" s="51">
        <v>-0.76</v>
      </c>
      <c r="B3" s="51">
        <v>-0.9</v>
      </c>
      <c r="C3" t="s">
        <v>495</v>
      </c>
    </row>
    <row r="4" spans="1:3">
      <c r="A4" s="51">
        <v>-0.51</v>
      </c>
      <c r="B4" s="51">
        <v>-0.75</v>
      </c>
      <c r="C4" t="s">
        <v>496</v>
      </c>
    </row>
    <row r="5" spans="1:3">
      <c r="A5" s="51">
        <v>-0.26</v>
      </c>
      <c r="B5" s="51">
        <v>-0.5</v>
      </c>
      <c r="C5" t="s">
        <v>497</v>
      </c>
    </row>
    <row r="6" spans="1:3">
      <c r="A6" s="51">
        <v>-0.11</v>
      </c>
      <c r="B6" s="51">
        <v>-0.25</v>
      </c>
      <c r="C6" t="s">
        <v>498</v>
      </c>
    </row>
    <row r="7" spans="1:3">
      <c r="A7" s="51">
        <v>-0.01</v>
      </c>
      <c r="B7" s="51">
        <v>-0.1</v>
      </c>
      <c r="C7" t="s">
        <v>499</v>
      </c>
    </row>
    <row r="8" spans="1:3">
      <c r="A8" s="51">
        <v>0</v>
      </c>
      <c r="B8" s="51">
        <v>0</v>
      </c>
      <c r="C8" t="s">
        <v>500</v>
      </c>
    </row>
    <row r="9" spans="1:3">
      <c r="A9" s="51">
        <v>0.01</v>
      </c>
      <c r="B9" s="51">
        <v>0.1</v>
      </c>
      <c r="C9" t="s">
        <v>501</v>
      </c>
    </row>
    <row r="10" spans="1:3">
      <c r="A10" s="51">
        <v>0.11</v>
      </c>
      <c r="B10" s="51">
        <v>0.25</v>
      </c>
      <c r="C10" t="s">
        <v>502</v>
      </c>
    </row>
    <row r="11" spans="1:3">
      <c r="A11" s="51">
        <v>0.26</v>
      </c>
      <c r="B11" s="51">
        <v>0.5</v>
      </c>
      <c r="C11" t="s">
        <v>503</v>
      </c>
    </row>
    <row r="12" spans="1:3">
      <c r="A12" s="51">
        <v>0.51</v>
      </c>
      <c r="B12" s="51">
        <v>0.75</v>
      </c>
      <c r="C12" t="s">
        <v>504</v>
      </c>
    </row>
    <row r="13" spans="1:3">
      <c r="A13" s="51">
        <v>0.76</v>
      </c>
      <c r="B13" s="51">
        <v>0.9</v>
      </c>
      <c r="C13" t="s">
        <v>505</v>
      </c>
    </row>
    <row r="14" spans="1:3">
      <c r="A14" s="51">
        <v>0.91</v>
      </c>
      <c r="B14" s="51">
        <v>1</v>
      </c>
      <c r="C14" t="s">
        <v>506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Gestión de abastecimiento</vt:lpstr>
      <vt:lpstr>Por Valoracion (3) Dimension</vt:lpstr>
      <vt:lpstr>Tabulacion por item</vt:lpstr>
      <vt:lpstr>Por conteo Dimension</vt:lpstr>
      <vt:lpstr>Satisfacción de los comités d</vt:lpstr>
      <vt:lpstr>Por Valoracion (3) Dimension 2</vt:lpstr>
      <vt:lpstr>Tabulacion por item 2</vt:lpstr>
      <vt:lpstr>Por conteo Dimension 2</vt:lpstr>
      <vt:lpstr>Rela. ent. dimension</vt:lpstr>
      <vt:lpstr>Rela. dimen. ent. vari</vt:lpstr>
      <vt:lpstr>Rela. ent. variable</vt:lpstr>
      <vt:lpstr>Criterio para el valor 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2026-01-11T20:51:40-05:00</dcterms:created>
  <dcterms:modified xsi:type="dcterms:W3CDTF">2026-01-11T20:51:40-05:00</dcterms:modified>
  <dc:title>Untitled Spreadsheet</dc:title>
  <dc:description/>
  <dc:subject/>
  <cp:keywords/>
  <cp:category/>
</cp:coreProperties>
</file>