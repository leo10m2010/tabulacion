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drawings/drawing2.xml" ContentType="application/vnd.openxmlformats-officedocument.drawing+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drawings/drawing3.xml" ContentType="application/vnd.openxmlformats-officedocument.drawing+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drawings/drawing4.xml" ContentType="application/vnd.openxmlformats-officedocument.drawing+xml"/>
  <Override PartName="/xl/charts/chart27.xml" ContentType="application/vnd.openxmlformats-officedocument.drawingml.chart+xml"/>
  <Override PartName="/xl/charts/chart28.xml" ContentType="application/vnd.openxmlformats-officedocument.drawingml.chart+xml"/>
  <Override PartName="/xl/drawings/drawing5.xml" ContentType="application/vnd.openxmlformats-officedocument.drawing+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drawings/drawing6.xml" ContentType="application/vnd.openxmlformats-officedocument.drawing+xml"/>
  <Override PartName="/xl/charts/chart38.xml" ContentType="application/vnd.openxmlformats-officedocument.drawingml.chart+xml"/>
  <Override PartName="/xl/charts/chart39.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628"/>
  <workbookPr codeName="ThisWorkbook"/>
  <mc:AlternateContent xmlns:mc="http://schemas.openxmlformats.org/markup-compatibility/2006">
    <mc:Choice Requires="x15">
      <x15ac:absPath xmlns:x15ac="http://schemas.microsoft.com/office/spreadsheetml/2010/11/ac" url="C:\Users\PC-4640\AppData\Local\Temp\"/>
    </mc:Choice>
  </mc:AlternateContent>
  <xr:revisionPtr revIDLastSave="0" documentId="8_{363E00CA-242C-4893-A55C-A751AEC02166}" xr6:coauthVersionLast="47" xr6:coauthVersionMax="47" xr10:uidLastSave="{00000000-0000-0000-0000-000000000000}"/>
  <bookViews>
    <workbookView xWindow="28680" yWindow="-120" windowWidth="29040" windowHeight="15720" firstSheet="6" activeTab="11" xr2:uid="{00000000-000D-0000-FFFF-FFFF00000000}"/>
  </bookViews>
  <sheets>
    <sheet name="Gestión de abastecimiento" sheetId="1" r:id="rId1"/>
    <sheet name="Por Valoracion (3) Dimension" sheetId="2" r:id="rId2"/>
    <sheet name="Tabulacion por item" sheetId="3" r:id="rId3"/>
    <sheet name="Por conteo Dimension" sheetId="4" r:id="rId4"/>
    <sheet name="Satisfacción de los comités d" sheetId="5" r:id="rId5"/>
    <sheet name="Por Valoracion (3) Dimension 2" sheetId="6" r:id="rId6"/>
    <sheet name="Tabulacion por item 2" sheetId="7" r:id="rId7"/>
    <sheet name="Por conteo Dimension 2" sheetId="8" r:id="rId8"/>
    <sheet name="Rela. ent. dimension" sheetId="9" r:id="rId9"/>
    <sheet name="Rela. dimen. ent. vari" sheetId="10" r:id="rId10"/>
    <sheet name="Rela. ent. variable" sheetId="11" r:id="rId11"/>
    <sheet name="Criterio para el valor r"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99" i="11" l="1"/>
  <c r="D299" i="11"/>
  <c r="T298" i="11"/>
  <c r="U300" i="11" s="1"/>
  <c r="S298" i="11"/>
  <c r="O298" i="11"/>
  <c r="N298" i="11"/>
  <c r="C292" i="11"/>
  <c r="C291" i="11"/>
  <c r="C290" i="11"/>
  <c r="C289" i="11"/>
  <c r="C288" i="11"/>
  <c r="C287" i="11"/>
  <c r="C286" i="11"/>
  <c r="C285" i="11"/>
  <c r="C284" i="11"/>
  <c r="C283" i="11"/>
  <c r="C282" i="11"/>
  <c r="C281" i="11"/>
  <c r="C280" i="11"/>
  <c r="C279" i="11"/>
  <c r="C278" i="11"/>
  <c r="C277" i="11"/>
  <c r="C276" i="11"/>
  <c r="C275" i="11"/>
  <c r="C274" i="11"/>
  <c r="C273" i="11"/>
  <c r="C272" i="11"/>
  <c r="C271" i="11"/>
  <c r="C270" i="11"/>
  <c r="C269" i="11"/>
  <c r="C268" i="11"/>
  <c r="C267" i="11"/>
  <c r="C266" i="11"/>
  <c r="C265" i="11"/>
  <c r="C264" i="11"/>
  <c r="C263" i="11"/>
  <c r="C262" i="11"/>
  <c r="C261" i="11"/>
  <c r="C260" i="11"/>
  <c r="C259" i="11"/>
  <c r="C258" i="11"/>
  <c r="C257" i="11"/>
  <c r="C256" i="11"/>
  <c r="C255" i="11"/>
  <c r="C254" i="11"/>
  <c r="C253" i="11"/>
  <c r="C252" i="11"/>
  <c r="C251" i="11"/>
  <c r="C250" i="11"/>
  <c r="C249" i="11"/>
  <c r="C248" i="11"/>
  <c r="C247" i="11"/>
  <c r="C246" i="11"/>
  <c r="C245" i="11"/>
  <c r="C244" i="11"/>
  <c r="C243" i="11"/>
  <c r="C242" i="11"/>
  <c r="C241" i="11"/>
  <c r="C240" i="11"/>
  <c r="C239" i="11"/>
  <c r="C238" i="11"/>
  <c r="C237" i="11"/>
  <c r="C236" i="11"/>
  <c r="C235" i="11"/>
  <c r="C234" i="11"/>
  <c r="C233" i="11"/>
  <c r="C232" i="11"/>
  <c r="C231" i="11"/>
  <c r="C230" i="11"/>
  <c r="C229" i="11"/>
  <c r="C228" i="11"/>
  <c r="C227" i="11"/>
  <c r="C226" i="11"/>
  <c r="C225" i="11"/>
  <c r="C224" i="11"/>
  <c r="C223" i="11"/>
  <c r="C222" i="11"/>
  <c r="C221" i="11"/>
  <c r="C220" i="11"/>
  <c r="C219" i="11"/>
  <c r="C218" i="11"/>
  <c r="C217" i="11"/>
  <c r="C216" i="11"/>
  <c r="C215" i="11"/>
  <c r="C214" i="11"/>
  <c r="C213" i="11"/>
  <c r="C212" i="11"/>
  <c r="C211" i="11"/>
  <c r="C210" i="11"/>
  <c r="C209" i="11"/>
  <c r="C208" i="11"/>
  <c r="C207" i="11"/>
  <c r="C206" i="11"/>
  <c r="C205" i="11"/>
  <c r="C204" i="11"/>
  <c r="C203" i="11"/>
  <c r="C202" i="11"/>
  <c r="C201" i="11"/>
  <c r="C200" i="11"/>
  <c r="C199" i="11"/>
  <c r="C198" i="11"/>
  <c r="C197" i="11"/>
  <c r="C196" i="11"/>
  <c r="C195" i="11"/>
  <c r="C194" i="11"/>
  <c r="C193" i="11"/>
  <c r="C192" i="11"/>
  <c r="C191" i="11"/>
  <c r="C190" i="11"/>
  <c r="C189" i="11"/>
  <c r="C188" i="11"/>
  <c r="C187" i="11"/>
  <c r="C186" i="11"/>
  <c r="C185" i="11"/>
  <c r="C184" i="11"/>
  <c r="C183" i="11"/>
  <c r="C182" i="11"/>
  <c r="C181" i="11"/>
  <c r="C180" i="11"/>
  <c r="C179" i="11"/>
  <c r="C178" i="11"/>
  <c r="C177" i="11"/>
  <c r="C176" i="11"/>
  <c r="C175" i="11"/>
  <c r="C174" i="11"/>
  <c r="C173" i="11"/>
  <c r="C172" i="11"/>
  <c r="C171" i="11"/>
  <c r="C170" i="11"/>
  <c r="C169" i="11"/>
  <c r="C168" i="11"/>
  <c r="C167" i="11"/>
  <c r="C166" i="11"/>
  <c r="C165" i="11"/>
  <c r="C164" i="11"/>
  <c r="C163" i="11"/>
  <c r="C162" i="11"/>
  <c r="C161" i="11"/>
  <c r="C160" i="11"/>
  <c r="C159" i="11"/>
  <c r="C158" i="11"/>
  <c r="C157" i="11"/>
  <c r="C156" i="11"/>
  <c r="C155" i="11"/>
  <c r="C154" i="11"/>
  <c r="C153" i="11"/>
  <c r="C152" i="11"/>
  <c r="C151" i="11"/>
  <c r="C150" i="11"/>
  <c r="C149" i="11"/>
  <c r="C148" i="11"/>
  <c r="C147" i="11"/>
  <c r="C146" i="11"/>
  <c r="C145" i="11"/>
  <c r="C144" i="11"/>
  <c r="C143" i="11"/>
  <c r="C142" i="11"/>
  <c r="C141" i="11"/>
  <c r="C140" i="11"/>
  <c r="C139" i="11"/>
  <c r="C138" i="11"/>
  <c r="C137" i="11"/>
  <c r="C136" i="11"/>
  <c r="C135" i="11"/>
  <c r="C134" i="11"/>
  <c r="C133" i="11"/>
  <c r="C132" i="11"/>
  <c r="C131" i="11"/>
  <c r="C130" i="11"/>
  <c r="C129" i="11"/>
  <c r="C128" i="11"/>
  <c r="C127" i="11"/>
  <c r="C126" i="11"/>
  <c r="C125" i="11"/>
  <c r="C124" i="11"/>
  <c r="C123" i="11"/>
  <c r="C122" i="11"/>
  <c r="C121" i="11"/>
  <c r="C120" i="11"/>
  <c r="C119" i="11"/>
  <c r="C118" i="11"/>
  <c r="C117" i="11"/>
  <c r="C116" i="11"/>
  <c r="C115" i="11"/>
  <c r="C114" i="11"/>
  <c r="C113" i="11"/>
  <c r="C112" i="11"/>
  <c r="C111" i="11"/>
  <c r="C110" i="11"/>
  <c r="C109" i="11"/>
  <c r="C108" i="11"/>
  <c r="C107" i="11"/>
  <c r="C106" i="11"/>
  <c r="C105" i="11"/>
  <c r="C104" i="11"/>
  <c r="C103" i="11"/>
  <c r="C102" i="11"/>
  <c r="C101" i="11"/>
  <c r="C100" i="11"/>
  <c r="C99" i="11"/>
  <c r="C98" i="11"/>
  <c r="C97" i="11"/>
  <c r="C96" i="11"/>
  <c r="C95" i="11"/>
  <c r="C94" i="11"/>
  <c r="C93" i="11"/>
  <c r="C92" i="11"/>
  <c r="C91" i="11"/>
  <c r="C90" i="11"/>
  <c r="C89" i="11"/>
  <c r="C88" i="11"/>
  <c r="C87" i="11"/>
  <c r="C86" i="11"/>
  <c r="C85" i="11"/>
  <c r="C84" i="11"/>
  <c r="C83" i="11"/>
  <c r="C82" i="11"/>
  <c r="C81" i="11"/>
  <c r="C80" i="11"/>
  <c r="C79" i="11"/>
  <c r="C78" i="11"/>
  <c r="C77" i="11"/>
  <c r="C76" i="11"/>
  <c r="C75" i="11"/>
  <c r="C74" i="11"/>
  <c r="C73" i="11"/>
  <c r="C72" i="11"/>
  <c r="C71" i="11"/>
  <c r="C70" i="11"/>
  <c r="C69" i="11"/>
  <c r="C68" i="11"/>
  <c r="C67" i="11"/>
  <c r="C66" i="11"/>
  <c r="C65" i="11"/>
  <c r="C64" i="11"/>
  <c r="C63" i="11"/>
  <c r="C62" i="11"/>
  <c r="C61" i="11"/>
  <c r="C60" i="11"/>
  <c r="C59" i="11"/>
  <c r="C58" i="11"/>
  <c r="C57" i="11"/>
  <c r="C56" i="11"/>
  <c r="C55" i="11"/>
  <c r="C54" i="11"/>
  <c r="C53" i="11"/>
  <c r="C52" i="11"/>
  <c r="C51" i="11"/>
  <c r="C50" i="11"/>
  <c r="C49" i="11"/>
  <c r="C48" i="11"/>
  <c r="C47" i="11"/>
  <c r="C46" i="11"/>
  <c r="C45" i="11"/>
  <c r="C44" i="11"/>
  <c r="C43" i="11"/>
  <c r="C42" i="11"/>
  <c r="C41" i="11"/>
  <c r="C40" i="11"/>
  <c r="C39" i="11"/>
  <c r="C38" i="11"/>
  <c r="C37" i="11"/>
  <c r="C36" i="11"/>
  <c r="C35" i="11"/>
  <c r="C34" i="11"/>
  <c r="C33" i="11"/>
  <c r="C32" i="11"/>
  <c r="C31" i="11"/>
  <c r="C30" i="11"/>
  <c r="C29" i="11"/>
  <c r="C28" i="11"/>
  <c r="C27" i="11"/>
  <c r="C26" i="11"/>
  <c r="C25" i="11"/>
  <c r="C24" i="11"/>
  <c r="C23" i="11"/>
  <c r="C22" i="11"/>
  <c r="C21" i="11"/>
  <c r="C20" i="11"/>
  <c r="C19" i="11"/>
  <c r="C18" i="11"/>
  <c r="C17" i="11"/>
  <c r="C16" i="11"/>
  <c r="C15" i="11"/>
  <c r="C14" i="11"/>
  <c r="C13" i="11"/>
  <c r="W12" i="11"/>
  <c r="Q12" i="11"/>
  <c r="C12" i="11"/>
  <c r="C11" i="11"/>
  <c r="C10" i="11"/>
  <c r="G9" i="11"/>
  <c r="C9" i="11"/>
  <c r="C8" i="11"/>
  <c r="C7" i="11"/>
  <c r="C6" i="11"/>
  <c r="C5" i="11"/>
  <c r="C4" i="11"/>
  <c r="E3" i="11"/>
  <c r="D3" i="11"/>
  <c r="O13" i="11" s="1"/>
  <c r="CT300" i="10"/>
  <c r="CS300" i="10"/>
  <c r="BS300" i="10"/>
  <c r="BR300" i="10"/>
  <c r="BQ300" i="10"/>
  <c r="BL300" i="10"/>
  <c r="AS300" i="10"/>
  <c r="U300" i="10"/>
  <c r="T300" i="10"/>
  <c r="CS299" i="10"/>
  <c r="CN299" i="10"/>
  <c r="CD299" i="10"/>
  <c r="CC299" i="10"/>
  <c r="BQ299" i="10"/>
  <c r="BM299" i="10"/>
  <c r="BL299" i="10"/>
  <c r="BO300" i="10" s="1"/>
  <c r="BC299" i="10"/>
  <c r="BB299" i="10"/>
  <c r="AC299" i="10"/>
  <c r="T299" i="10"/>
  <c r="N299" i="10"/>
  <c r="E299" i="10"/>
  <c r="D299" i="10"/>
  <c r="CS298" i="10"/>
  <c r="CR298" i="10"/>
  <c r="CR300" i="10" s="1"/>
  <c r="CN298" i="10"/>
  <c r="CM298" i="10"/>
  <c r="BR298" i="10"/>
  <c r="BR299" i="10" s="1"/>
  <c r="BQ298" i="10"/>
  <c r="BM298" i="10"/>
  <c r="BL298" i="10"/>
  <c r="AS298" i="10"/>
  <c r="AT300" i="10" s="1"/>
  <c r="AR298" i="10"/>
  <c r="AN298" i="10"/>
  <c r="AM298" i="10"/>
  <c r="AD298" i="10"/>
  <c r="AC298" i="10"/>
  <c r="T298" i="10"/>
  <c r="S298" i="10"/>
  <c r="O298" i="10"/>
  <c r="N298" i="10"/>
  <c r="N300" i="10" s="1"/>
  <c r="G298" i="10"/>
  <c r="CB292" i="10"/>
  <c r="BA292" i="10"/>
  <c r="AB292" i="10"/>
  <c r="C292" i="10"/>
  <c r="CB291" i="10"/>
  <c r="BA291" i="10"/>
  <c r="AB291" i="10"/>
  <c r="C291" i="10"/>
  <c r="CB290" i="10"/>
  <c r="BA290" i="10"/>
  <c r="AB290" i="10"/>
  <c r="C290" i="10"/>
  <c r="CB289" i="10"/>
  <c r="BA289" i="10"/>
  <c r="AB289" i="10"/>
  <c r="C289" i="10"/>
  <c r="CB288" i="10"/>
  <c r="BA288" i="10"/>
  <c r="AB288" i="10"/>
  <c r="C288" i="10"/>
  <c r="CB287" i="10"/>
  <c r="BA287" i="10"/>
  <c r="AB287" i="10"/>
  <c r="C287" i="10"/>
  <c r="CB286" i="10"/>
  <c r="BA286" i="10"/>
  <c r="AB286" i="10"/>
  <c r="C286" i="10"/>
  <c r="CB285" i="10"/>
  <c r="BA285" i="10"/>
  <c r="AB285" i="10"/>
  <c r="C285" i="10"/>
  <c r="CB284" i="10"/>
  <c r="BA284" i="10"/>
  <c r="AB284" i="10"/>
  <c r="C284" i="10"/>
  <c r="CB283" i="10"/>
  <c r="BA283" i="10"/>
  <c r="AB283" i="10"/>
  <c r="C283" i="10"/>
  <c r="CB282" i="10"/>
  <c r="BA282" i="10"/>
  <c r="AB282" i="10"/>
  <c r="C282" i="10"/>
  <c r="CB281" i="10"/>
  <c r="BA281" i="10"/>
  <c r="AB281" i="10"/>
  <c r="C281" i="10"/>
  <c r="CB280" i="10"/>
  <c r="BA280" i="10"/>
  <c r="AB280" i="10"/>
  <c r="C280" i="10"/>
  <c r="CB279" i="10"/>
  <c r="BA279" i="10"/>
  <c r="AB279" i="10"/>
  <c r="C279" i="10"/>
  <c r="CB278" i="10"/>
  <c r="BA278" i="10"/>
  <c r="AB278" i="10"/>
  <c r="C278" i="10"/>
  <c r="CB277" i="10"/>
  <c r="BA277" i="10"/>
  <c r="AB277" i="10"/>
  <c r="C277" i="10"/>
  <c r="CB276" i="10"/>
  <c r="BA276" i="10"/>
  <c r="AB276" i="10"/>
  <c r="C276" i="10"/>
  <c r="CB275" i="10"/>
  <c r="BA275" i="10"/>
  <c r="AB275" i="10"/>
  <c r="C275" i="10"/>
  <c r="CB274" i="10"/>
  <c r="BA274" i="10"/>
  <c r="AB274" i="10"/>
  <c r="C274" i="10"/>
  <c r="CB273" i="10"/>
  <c r="BA273" i="10"/>
  <c r="AB273" i="10"/>
  <c r="C273" i="10"/>
  <c r="CC272" i="10"/>
  <c r="CB272" i="10"/>
  <c r="BA272" i="10"/>
  <c r="AB272" i="10"/>
  <c r="C272" i="10"/>
  <c r="CB271" i="10"/>
  <c r="BA271" i="10"/>
  <c r="AB271" i="10"/>
  <c r="C271" i="10"/>
  <c r="CB270" i="10"/>
  <c r="BA270" i="10"/>
  <c r="AB270" i="10"/>
  <c r="C270" i="10"/>
  <c r="CB269" i="10"/>
  <c r="BA269" i="10"/>
  <c r="AB269" i="10"/>
  <c r="C269" i="10"/>
  <c r="CB268" i="10"/>
  <c r="BA268" i="10"/>
  <c r="AB268" i="10"/>
  <c r="C268" i="10"/>
  <c r="CB267" i="10"/>
  <c r="BA267" i="10"/>
  <c r="AB267" i="10"/>
  <c r="C267" i="10"/>
  <c r="CB266" i="10"/>
  <c r="BA266" i="10"/>
  <c r="AB266" i="10"/>
  <c r="C266" i="10"/>
  <c r="CB265" i="10"/>
  <c r="BA265" i="10"/>
  <c r="AB265" i="10"/>
  <c r="C265" i="10"/>
  <c r="CB264" i="10"/>
  <c r="BA264" i="10"/>
  <c r="AB264" i="10"/>
  <c r="C264" i="10"/>
  <c r="CB263" i="10"/>
  <c r="BA263" i="10"/>
  <c r="AB263" i="10"/>
  <c r="C263" i="10"/>
  <c r="CB262" i="10"/>
  <c r="BA262" i="10"/>
  <c r="AB262" i="10"/>
  <c r="C262" i="10"/>
  <c r="CB261" i="10"/>
  <c r="BA261" i="10"/>
  <c r="AB261" i="10"/>
  <c r="C261" i="10"/>
  <c r="CB260" i="10"/>
  <c r="BA260" i="10"/>
  <c r="AB260" i="10"/>
  <c r="C260" i="10"/>
  <c r="CB259" i="10"/>
  <c r="BA259" i="10"/>
  <c r="AB259" i="10"/>
  <c r="C259" i="10"/>
  <c r="CB258" i="10"/>
  <c r="BA258" i="10"/>
  <c r="AB258" i="10"/>
  <c r="C258" i="10"/>
  <c r="CB257" i="10"/>
  <c r="BA257" i="10"/>
  <c r="AB257" i="10"/>
  <c r="C257" i="10"/>
  <c r="CB256" i="10"/>
  <c r="BA256" i="10"/>
  <c r="AB256" i="10"/>
  <c r="C256" i="10"/>
  <c r="CB255" i="10"/>
  <c r="BA255" i="10"/>
  <c r="AB255" i="10"/>
  <c r="C255" i="10"/>
  <c r="CC254" i="10"/>
  <c r="CB254" i="10"/>
  <c r="BA254" i="10"/>
  <c r="AB254" i="10"/>
  <c r="C254" i="10"/>
  <c r="CB253" i="10"/>
  <c r="BA253" i="10"/>
  <c r="AB253" i="10"/>
  <c r="C253" i="10"/>
  <c r="CB252" i="10"/>
  <c r="BA252" i="10"/>
  <c r="AB252" i="10"/>
  <c r="C252" i="10"/>
  <c r="CB251" i="10"/>
  <c r="BA251" i="10"/>
  <c r="AB251" i="10"/>
  <c r="C251" i="10"/>
  <c r="CB250" i="10"/>
  <c r="BA250" i="10"/>
  <c r="AB250" i="10"/>
  <c r="C250" i="10"/>
  <c r="CB249" i="10"/>
  <c r="BA249" i="10"/>
  <c r="AB249" i="10"/>
  <c r="C249" i="10"/>
  <c r="CB248" i="10"/>
  <c r="BA248" i="10"/>
  <c r="AB248" i="10"/>
  <c r="C248" i="10"/>
  <c r="CB247" i="10"/>
  <c r="BA247" i="10"/>
  <c r="AB247" i="10"/>
  <c r="C247" i="10"/>
  <c r="CB246" i="10"/>
  <c r="BA246" i="10"/>
  <c r="AB246" i="10"/>
  <c r="C246" i="10"/>
  <c r="CB245" i="10"/>
  <c r="BA245" i="10"/>
  <c r="AB245" i="10"/>
  <c r="C245" i="10"/>
  <c r="CB244" i="10"/>
  <c r="BA244" i="10"/>
  <c r="AB244" i="10"/>
  <c r="C244" i="10"/>
  <c r="CB243" i="10"/>
  <c r="BA243" i="10"/>
  <c r="AB243" i="10"/>
  <c r="C243" i="10"/>
  <c r="CB242" i="10"/>
  <c r="BA242" i="10"/>
  <c r="AB242" i="10"/>
  <c r="C242" i="10"/>
  <c r="CB241" i="10"/>
  <c r="BA241" i="10"/>
  <c r="AB241" i="10"/>
  <c r="C241" i="10"/>
  <c r="CB240" i="10"/>
  <c r="BA240" i="10"/>
  <c r="AB240" i="10"/>
  <c r="C240" i="10"/>
  <c r="CB239" i="10"/>
  <c r="BA239" i="10"/>
  <c r="AB239" i="10"/>
  <c r="C239" i="10"/>
  <c r="CB238" i="10"/>
  <c r="BA238" i="10"/>
  <c r="AB238" i="10"/>
  <c r="C238" i="10"/>
  <c r="CB237" i="10"/>
  <c r="BA237" i="10"/>
  <c r="AB237" i="10"/>
  <c r="C237" i="10"/>
  <c r="CB236" i="10"/>
  <c r="BA236" i="10"/>
  <c r="AB236" i="10"/>
  <c r="C236" i="10"/>
  <c r="CB235" i="10"/>
  <c r="BA235" i="10"/>
  <c r="AB235" i="10"/>
  <c r="C235" i="10"/>
  <c r="CB234" i="10"/>
  <c r="BA234" i="10"/>
  <c r="AB234" i="10"/>
  <c r="C234" i="10"/>
  <c r="CB233" i="10"/>
  <c r="BA233" i="10"/>
  <c r="AB233" i="10"/>
  <c r="C233" i="10"/>
  <c r="CB232" i="10"/>
  <c r="BA232" i="10"/>
  <c r="AB232" i="10"/>
  <c r="C232" i="10"/>
  <c r="CB231" i="10"/>
  <c r="BA231" i="10"/>
  <c r="AB231" i="10"/>
  <c r="C231" i="10"/>
  <c r="CB230" i="10"/>
  <c r="BA230" i="10"/>
  <c r="AB230" i="10"/>
  <c r="C230" i="10"/>
  <c r="CB229" i="10"/>
  <c r="BA229" i="10"/>
  <c r="AB229" i="10"/>
  <c r="C229" i="10"/>
  <c r="CB228" i="10"/>
  <c r="BA228" i="10"/>
  <c r="AB228" i="10"/>
  <c r="C228" i="10"/>
  <c r="CB227" i="10"/>
  <c r="BA227" i="10"/>
  <c r="AB227" i="10"/>
  <c r="C227" i="10"/>
  <c r="CB226" i="10"/>
  <c r="BA226" i="10"/>
  <c r="AB226" i="10"/>
  <c r="C226" i="10"/>
  <c r="CB225" i="10"/>
  <c r="BA225" i="10"/>
  <c r="AB225" i="10"/>
  <c r="C225" i="10"/>
  <c r="CB224" i="10"/>
  <c r="BA224" i="10"/>
  <c r="AB224" i="10"/>
  <c r="C224" i="10"/>
  <c r="CB223" i="10"/>
  <c r="BA223" i="10"/>
  <c r="AB223" i="10"/>
  <c r="C223" i="10"/>
  <c r="CB222" i="10"/>
  <c r="BA222" i="10"/>
  <c r="AB222" i="10"/>
  <c r="C222" i="10"/>
  <c r="CB221" i="10"/>
  <c r="BA221" i="10"/>
  <c r="AB221" i="10"/>
  <c r="C221" i="10"/>
  <c r="CB220" i="10"/>
  <c r="BA220" i="10"/>
  <c r="AB220" i="10"/>
  <c r="C220" i="10"/>
  <c r="CB219" i="10"/>
  <c r="BA219" i="10"/>
  <c r="AB219" i="10"/>
  <c r="C219" i="10"/>
  <c r="CB218" i="10"/>
  <c r="BA218" i="10"/>
  <c r="AB218" i="10"/>
  <c r="C218" i="10"/>
  <c r="CB217" i="10"/>
  <c r="BA217" i="10"/>
  <c r="AB217" i="10"/>
  <c r="C217" i="10"/>
  <c r="CB216" i="10"/>
  <c r="BA216" i="10"/>
  <c r="AB216" i="10"/>
  <c r="C216" i="10"/>
  <c r="CB215" i="10"/>
  <c r="BA215" i="10"/>
  <c r="AB215" i="10"/>
  <c r="C215" i="10"/>
  <c r="CB214" i="10"/>
  <c r="BA214" i="10"/>
  <c r="AB214" i="10"/>
  <c r="C214" i="10"/>
  <c r="CB213" i="10"/>
  <c r="BA213" i="10"/>
  <c r="AB213" i="10"/>
  <c r="C213" i="10"/>
  <c r="CB212" i="10"/>
  <c r="BA212" i="10"/>
  <c r="AC212" i="10"/>
  <c r="AB212" i="10"/>
  <c r="C212" i="10"/>
  <c r="CB211" i="10"/>
  <c r="BA211" i="10"/>
  <c r="AB211" i="10"/>
  <c r="C211" i="10"/>
  <c r="CB210" i="10"/>
  <c r="BA210" i="10"/>
  <c r="AB210" i="10"/>
  <c r="C210" i="10"/>
  <c r="CB209" i="10"/>
  <c r="BA209" i="10"/>
  <c r="AB209" i="10"/>
  <c r="C209" i="10"/>
  <c r="CB208" i="10"/>
  <c r="BA208" i="10"/>
  <c r="AB208" i="10"/>
  <c r="C208" i="10"/>
  <c r="CB207" i="10"/>
  <c r="BA207" i="10"/>
  <c r="AB207" i="10"/>
  <c r="C207" i="10"/>
  <c r="CB206" i="10"/>
  <c r="BA206" i="10"/>
  <c r="AB206" i="10"/>
  <c r="C206" i="10"/>
  <c r="CB205" i="10"/>
  <c r="BA205" i="10"/>
  <c r="AB205" i="10"/>
  <c r="C205" i="10"/>
  <c r="CB204" i="10"/>
  <c r="BA204" i="10"/>
  <c r="AB204" i="10"/>
  <c r="C204" i="10"/>
  <c r="CB203" i="10"/>
  <c r="BA203" i="10"/>
  <c r="AB203" i="10"/>
  <c r="C203" i="10"/>
  <c r="CB202" i="10"/>
  <c r="BA202" i="10"/>
  <c r="AB202" i="10"/>
  <c r="C202" i="10"/>
  <c r="CB201" i="10"/>
  <c r="BA201" i="10"/>
  <c r="AB201" i="10"/>
  <c r="C201" i="10"/>
  <c r="CB200" i="10"/>
  <c r="BA200" i="10"/>
  <c r="AB200" i="10"/>
  <c r="C200" i="10"/>
  <c r="CB199" i="10"/>
  <c r="BA199" i="10"/>
  <c r="AB199" i="10"/>
  <c r="C199" i="10"/>
  <c r="CC198" i="10"/>
  <c r="CB198" i="10"/>
  <c r="BA198" i="10"/>
  <c r="AB198" i="10"/>
  <c r="C198" i="10"/>
  <c r="CB197" i="10"/>
  <c r="BA197" i="10"/>
  <c r="AB197" i="10"/>
  <c r="C197" i="10"/>
  <c r="CB196" i="10"/>
  <c r="BB196" i="10"/>
  <c r="BA196" i="10"/>
  <c r="AB196" i="10"/>
  <c r="C196" i="10"/>
  <c r="CB195" i="10"/>
  <c r="BA195" i="10"/>
  <c r="AB195" i="10"/>
  <c r="C195" i="10"/>
  <c r="CB194" i="10"/>
  <c r="BA194" i="10"/>
  <c r="AB194" i="10"/>
  <c r="C194" i="10"/>
  <c r="CB193" i="10"/>
  <c r="BA193" i="10"/>
  <c r="AB193" i="10"/>
  <c r="C193" i="10"/>
  <c r="CC192" i="10"/>
  <c r="CB192" i="10"/>
  <c r="BA192" i="10"/>
  <c r="AB192" i="10"/>
  <c r="C192" i="10"/>
  <c r="CB191" i="10"/>
  <c r="BA191" i="10"/>
  <c r="AB191" i="10"/>
  <c r="C191" i="10"/>
  <c r="CB190" i="10"/>
  <c r="BA190" i="10"/>
  <c r="AB190" i="10"/>
  <c r="C190" i="10"/>
  <c r="CB189" i="10"/>
  <c r="BA189" i="10"/>
  <c r="AB189" i="10"/>
  <c r="C189" i="10"/>
  <c r="CB188" i="10"/>
  <c r="BA188" i="10"/>
  <c r="AB188" i="10"/>
  <c r="C188" i="10"/>
  <c r="CB187" i="10"/>
  <c r="BA187" i="10"/>
  <c r="AB187" i="10"/>
  <c r="C187" i="10"/>
  <c r="CB186" i="10"/>
  <c r="BA186" i="10"/>
  <c r="AB186" i="10"/>
  <c r="C186" i="10"/>
  <c r="CB185" i="10"/>
  <c r="BA185" i="10"/>
  <c r="AB185" i="10"/>
  <c r="C185" i="10"/>
  <c r="CB184" i="10"/>
  <c r="BA184" i="10"/>
  <c r="AB184" i="10"/>
  <c r="C184" i="10"/>
  <c r="CB183" i="10"/>
  <c r="BA183" i="10"/>
  <c r="AB183" i="10"/>
  <c r="C183" i="10"/>
  <c r="CB182" i="10"/>
  <c r="BA182" i="10"/>
  <c r="AB182" i="10"/>
  <c r="C182" i="10"/>
  <c r="CB181" i="10"/>
  <c r="BA181" i="10"/>
  <c r="AB181" i="10"/>
  <c r="C181" i="10"/>
  <c r="CB180" i="10"/>
  <c r="BA180" i="10"/>
  <c r="AB180" i="10"/>
  <c r="C180" i="10"/>
  <c r="CB179" i="10"/>
  <c r="BA179" i="10"/>
  <c r="AB179" i="10"/>
  <c r="C179" i="10"/>
  <c r="CB178" i="10"/>
  <c r="BA178" i="10"/>
  <c r="AB178" i="10"/>
  <c r="C178" i="10"/>
  <c r="CC177" i="10"/>
  <c r="CB177" i="10"/>
  <c r="BA177" i="10"/>
  <c r="AB177" i="10"/>
  <c r="C177" i="10"/>
  <c r="CB176" i="10"/>
  <c r="BA176" i="10"/>
  <c r="AB176" i="10"/>
  <c r="C176" i="10"/>
  <c r="CB175" i="10"/>
  <c r="BA175" i="10"/>
  <c r="AB175" i="10"/>
  <c r="C175" i="10"/>
  <c r="CB174" i="10"/>
  <c r="BA174" i="10"/>
  <c r="AB174" i="10"/>
  <c r="C174" i="10"/>
  <c r="CB173" i="10"/>
  <c r="BA173" i="10"/>
  <c r="AB173" i="10"/>
  <c r="C173" i="10"/>
  <c r="CB172" i="10"/>
  <c r="BA172" i="10"/>
  <c r="AB172" i="10"/>
  <c r="C172" i="10"/>
  <c r="CB171" i="10"/>
  <c r="BB171" i="10"/>
  <c r="BA171" i="10"/>
  <c r="AB171" i="10"/>
  <c r="C171" i="10"/>
  <c r="CB170" i="10"/>
  <c r="BA170" i="10"/>
  <c r="AB170" i="10"/>
  <c r="C170" i="10"/>
  <c r="CB169" i="10"/>
  <c r="BA169" i="10"/>
  <c r="AB169" i="10"/>
  <c r="C169" i="10"/>
  <c r="CB168" i="10"/>
  <c r="BA168" i="10"/>
  <c r="AB168" i="10"/>
  <c r="C168" i="10"/>
  <c r="CB167" i="10"/>
  <c r="BA167" i="10"/>
  <c r="AB167" i="10"/>
  <c r="C167" i="10"/>
  <c r="CB166" i="10"/>
  <c r="BA166" i="10"/>
  <c r="AB166" i="10"/>
  <c r="C166" i="10"/>
  <c r="CB165" i="10"/>
  <c r="BA165" i="10"/>
  <c r="AB165" i="10"/>
  <c r="C165" i="10"/>
  <c r="CB164" i="10"/>
  <c r="BA164" i="10"/>
  <c r="AB164" i="10"/>
  <c r="C164" i="10"/>
  <c r="CB163" i="10"/>
  <c r="BA163" i="10"/>
  <c r="AB163" i="10"/>
  <c r="C163" i="10"/>
  <c r="CB162" i="10"/>
  <c r="BA162" i="10"/>
  <c r="AB162" i="10"/>
  <c r="C162" i="10"/>
  <c r="CB161" i="10"/>
  <c r="BA161" i="10"/>
  <c r="AB161" i="10"/>
  <c r="C161" i="10"/>
  <c r="CB160" i="10"/>
  <c r="BA160" i="10"/>
  <c r="AB160" i="10"/>
  <c r="C160" i="10"/>
  <c r="CB159" i="10"/>
  <c r="BA159" i="10"/>
  <c r="AB159" i="10"/>
  <c r="C159" i="10"/>
  <c r="CB158" i="10"/>
  <c r="BA158" i="10"/>
  <c r="AB158" i="10"/>
  <c r="C158" i="10"/>
  <c r="CB157" i="10"/>
  <c r="BA157" i="10"/>
  <c r="AB157" i="10"/>
  <c r="C157" i="10"/>
  <c r="CC156" i="10"/>
  <c r="CB156" i="10"/>
  <c r="BA156" i="10"/>
  <c r="AB156" i="10"/>
  <c r="C156" i="10"/>
  <c r="CC155" i="10"/>
  <c r="CB155" i="10"/>
  <c r="BA155" i="10"/>
  <c r="AB155" i="10"/>
  <c r="C155" i="10"/>
  <c r="CB154" i="10"/>
  <c r="BA154" i="10"/>
  <c r="AB154" i="10"/>
  <c r="C154" i="10"/>
  <c r="CC153" i="10"/>
  <c r="CB153" i="10"/>
  <c r="BA153" i="10"/>
  <c r="AB153" i="10"/>
  <c r="C153" i="10"/>
  <c r="CB152" i="10"/>
  <c r="BA152" i="10"/>
  <c r="AB152" i="10"/>
  <c r="C152" i="10"/>
  <c r="CB151" i="10"/>
  <c r="BA151" i="10"/>
  <c r="AB151" i="10"/>
  <c r="C151" i="10"/>
  <c r="CB150" i="10"/>
  <c r="BA150" i="10"/>
  <c r="AB150" i="10"/>
  <c r="C150" i="10"/>
  <c r="CB149" i="10"/>
  <c r="BA149" i="10"/>
  <c r="AB149" i="10"/>
  <c r="C149" i="10"/>
  <c r="CB148" i="10"/>
  <c r="BA148" i="10"/>
  <c r="AB148" i="10"/>
  <c r="C148" i="10"/>
  <c r="CB147" i="10"/>
  <c r="BA147" i="10"/>
  <c r="AB147" i="10"/>
  <c r="C147" i="10"/>
  <c r="CB146" i="10"/>
  <c r="BA146" i="10"/>
  <c r="AB146" i="10"/>
  <c r="C146" i="10"/>
  <c r="CB145" i="10"/>
  <c r="BA145" i="10"/>
  <c r="AB145" i="10"/>
  <c r="C145" i="10"/>
  <c r="CB144" i="10"/>
  <c r="BA144" i="10"/>
  <c r="AB144" i="10"/>
  <c r="C144" i="10"/>
  <c r="CC143" i="10"/>
  <c r="CB143" i="10"/>
  <c r="BA143" i="10"/>
  <c r="AB143" i="10"/>
  <c r="C143" i="10"/>
  <c r="CB142" i="10"/>
  <c r="BA142" i="10"/>
  <c r="AB142" i="10"/>
  <c r="C142" i="10"/>
  <c r="CB141" i="10"/>
  <c r="BA141" i="10"/>
  <c r="AB141" i="10"/>
  <c r="C141" i="10"/>
  <c r="CB140" i="10"/>
  <c r="BA140" i="10"/>
  <c r="AB140" i="10"/>
  <c r="C140" i="10"/>
  <c r="CB139" i="10"/>
  <c r="BB139" i="10"/>
  <c r="BA139" i="10"/>
  <c r="AB139" i="10"/>
  <c r="C139" i="10"/>
  <c r="CB138" i="10"/>
  <c r="BA138" i="10"/>
  <c r="AB138" i="10"/>
  <c r="C138" i="10"/>
  <c r="CB137" i="10"/>
  <c r="BA137" i="10"/>
  <c r="AB137" i="10"/>
  <c r="C137" i="10"/>
  <c r="CB136" i="10"/>
  <c r="BA136" i="10"/>
  <c r="AB136" i="10"/>
  <c r="C136" i="10"/>
  <c r="CB135" i="10"/>
  <c r="BA135" i="10"/>
  <c r="AB135" i="10"/>
  <c r="C135" i="10"/>
  <c r="CB134" i="10"/>
  <c r="BA134" i="10"/>
  <c r="AB134" i="10"/>
  <c r="C134" i="10"/>
  <c r="CB133" i="10"/>
  <c r="BA133" i="10"/>
  <c r="AB133" i="10"/>
  <c r="C133" i="10"/>
  <c r="CC132" i="10"/>
  <c r="CB132" i="10"/>
  <c r="BA132" i="10"/>
  <c r="AB132" i="10"/>
  <c r="C132" i="10"/>
  <c r="CB131" i="10"/>
  <c r="BA131" i="10"/>
  <c r="AB131" i="10"/>
  <c r="C131" i="10"/>
  <c r="CB130" i="10"/>
  <c r="BA130" i="10"/>
  <c r="AB130" i="10"/>
  <c r="C130" i="10"/>
  <c r="CB129" i="10"/>
  <c r="BA129" i="10"/>
  <c r="AB129" i="10"/>
  <c r="C129" i="10"/>
  <c r="CB128" i="10"/>
  <c r="BA128" i="10"/>
  <c r="AB128" i="10"/>
  <c r="C128" i="10"/>
  <c r="CB127" i="10"/>
  <c r="BB127" i="10"/>
  <c r="BA127" i="10"/>
  <c r="AB127" i="10"/>
  <c r="C127" i="10"/>
  <c r="CB126" i="10"/>
  <c r="BA126" i="10"/>
  <c r="AB126" i="10"/>
  <c r="C126" i="10"/>
  <c r="CB125" i="10"/>
  <c r="BA125" i="10"/>
  <c r="AB125" i="10"/>
  <c r="C125" i="10"/>
  <c r="CB124" i="10"/>
  <c r="BA124" i="10"/>
  <c r="AB124" i="10"/>
  <c r="C124" i="10"/>
  <c r="CB123" i="10"/>
  <c r="BA123" i="10"/>
  <c r="AB123" i="10"/>
  <c r="C123" i="10"/>
  <c r="CB122" i="10"/>
  <c r="BA122" i="10"/>
  <c r="AB122" i="10"/>
  <c r="C122" i="10"/>
  <c r="CB121" i="10"/>
  <c r="BA121" i="10"/>
  <c r="AB121" i="10"/>
  <c r="C121" i="10"/>
  <c r="CB120" i="10"/>
  <c r="BA120" i="10"/>
  <c r="AB120" i="10"/>
  <c r="C120" i="10"/>
  <c r="CC119" i="10"/>
  <c r="CB119" i="10"/>
  <c r="BA119" i="10"/>
  <c r="AB119" i="10"/>
  <c r="C119" i="10"/>
  <c r="CB118" i="10"/>
  <c r="BA118" i="10"/>
  <c r="AB118" i="10"/>
  <c r="C118" i="10"/>
  <c r="CB117" i="10"/>
  <c r="BA117" i="10"/>
  <c r="AB117" i="10"/>
  <c r="C117" i="10"/>
  <c r="CB116" i="10"/>
  <c r="BA116" i="10"/>
  <c r="AB116" i="10"/>
  <c r="C116" i="10"/>
  <c r="CB115" i="10"/>
  <c r="BA115" i="10"/>
  <c r="AB115" i="10"/>
  <c r="C115" i="10"/>
  <c r="CB114" i="10"/>
  <c r="BA114" i="10"/>
  <c r="AB114" i="10"/>
  <c r="C114" i="10"/>
  <c r="CB113" i="10"/>
  <c r="BA113" i="10"/>
  <c r="AB113" i="10"/>
  <c r="C113" i="10"/>
  <c r="CC112" i="10"/>
  <c r="CB112" i="10"/>
  <c r="BA112" i="10"/>
  <c r="AB112" i="10"/>
  <c r="C112" i="10"/>
  <c r="CB111" i="10"/>
  <c r="BA111" i="10"/>
  <c r="AB111" i="10"/>
  <c r="C111" i="10"/>
  <c r="CB110" i="10"/>
  <c r="BA110" i="10"/>
  <c r="AB110" i="10"/>
  <c r="C110" i="10"/>
  <c r="CB109" i="10"/>
  <c r="BA109" i="10"/>
  <c r="AB109" i="10"/>
  <c r="C109" i="10"/>
  <c r="CC108" i="10"/>
  <c r="CB108" i="10"/>
  <c r="BA108" i="10"/>
  <c r="AB108" i="10"/>
  <c r="C108" i="10"/>
  <c r="CB107" i="10"/>
  <c r="BA107" i="10"/>
  <c r="AB107" i="10"/>
  <c r="C107" i="10"/>
  <c r="CB106" i="10"/>
  <c r="BA106" i="10"/>
  <c r="AB106" i="10"/>
  <c r="C106" i="10"/>
  <c r="CB105" i="10"/>
  <c r="BA105" i="10"/>
  <c r="AB105" i="10"/>
  <c r="C105" i="10"/>
  <c r="CB104" i="10"/>
  <c r="BA104" i="10"/>
  <c r="AB104" i="10"/>
  <c r="C104" i="10"/>
  <c r="CB103" i="10"/>
  <c r="BA103" i="10"/>
  <c r="AB103" i="10"/>
  <c r="C103" i="10"/>
  <c r="CB102" i="10"/>
  <c r="BA102" i="10"/>
  <c r="AB102" i="10"/>
  <c r="C102" i="10"/>
  <c r="CB101" i="10"/>
  <c r="BA101" i="10"/>
  <c r="AB101" i="10"/>
  <c r="C101" i="10"/>
  <c r="CB100" i="10"/>
  <c r="BA100" i="10"/>
  <c r="AB100" i="10"/>
  <c r="C100" i="10"/>
  <c r="CC99" i="10"/>
  <c r="CB99" i="10"/>
  <c r="BA99" i="10"/>
  <c r="AB99" i="10"/>
  <c r="C99" i="10"/>
  <c r="CB98" i="10"/>
  <c r="BA98" i="10"/>
  <c r="AB98" i="10"/>
  <c r="C98" i="10"/>
  <c r="CB97" i="10"/>
  <c r="BA97" i="10"/>
  <c r="AB97" i="10"/>
  <c r="C97" i="10"/>
  <c r="CB96" i="10"/>
  <c r="BA96" i="10"/>
  <c r="AB96" i="10"/>
  <c r="C96" i="10"/>
  <c r="CB95" i="10"/>
  <c r="BA95" i="10"/>
  <c r="AB95" i="10"/>
  <c r="C95" i="10"/>
  <c r="CB94" i="10"/>
  <c r="BA94" i="10"/>
  <c r="AB94" i="10"/>
  <c r="C94" i="10"/>
  <c r="CB93" i="10"/>
  <c r="BA93" i="10"/>
  <c r="AB93" i="10"/>
  <c r="C93" i="10"/>
  <c r="CB92" i="10"/>
  <c r="BA92" i="10"/>
  <c r="AB92" i="10"/>
  <c r="C92" i="10"/>
  <c r="CB91" i="10"/>
  <c r="BB91" i="10"/>
  <c r="BA91" i="10"/>
  <c r="AB91" i="10"/>
  <c r="C91" i="10"/>
  <c r="CB90" i="10"/>
  <c r="BA90" i="10"/>
  <c r="AB90" i="10"/>
  <c r="C90" i="10"/>
  <c r="CB89" i="10"/>
  <c r="BA89" i="10"/>
  <c r="AB89" i="10"/>
  <c r="C89" i="10"/>
  <c r="CB88" i="10"/>
  <c r="BA88" i="10"/>
  <c r="AB88" i="10"/>
  <c r="C88" i="10"/>
  <c r="CC87" i="10"/>
  <c r="CB87" i="10"/>
  <c r="BA87" i="10"/>
  <c r="AB87" i="10"/>
  <c r="C87" i="10"/>
  <c r="CB86" i="10"/>
  <c r="BA86" i="10"/>
  <c r="AB86" i="10"/>
  <c r="C86" i="10"/>
  <c r="CB85" i="10"/>
  <c r="BA85" i="10"/>
  <c r="AB85" i="10"/>
  <c r="C85" i="10"/>
  <c r="CB84" i="10"/>
  <c r="BA84" i="10"/>
  <c r="AB84" i="10"/>
  <c r="C84" i="10"/>
  <c r="CB83" i="10"/>
  <c r="BA83" i="10"/>
  <c r="AB83" i="10"/>
  <c r="C83" i="10"/>
  <c r="CB82" i="10"/>
  <c r="BA82" i="10"/>
  <c r="AB82" i="10"/>
  <c r="C82" i="10"/>
  <c r="CB81" i="10"/>
  <c r="BA81" i="10"/>
  <c r="AB81" i="10"/>
  <c r="C81" i="10"/>
  <c r="CC80" i="10"/>
  <c r="CB80" i="10"/>
  <c r="BA80" i="10"/>
  <c r="AB80" i="10"/>
  <c r="C80" i="10"/>
  <c r="CC79" i="10"/>
  <c r="CB79" i="10"/>
  <c r="BA79" i="10"/>
  <c r="AB79" i="10"/>
  <c r="C79" i="10"/>
  <c r="CB78" i="10"/>
  <c r="BA78" i="10"/>
  <c r="AB78" i="10"/>
  <c r="C78" i="10"/>
  <c r="CB77" i="10"/>
  <c r="BA77" i="10"/>
  <c r="AB77" i="10"/>
  <c r="C77" i="10"/>
  <c r="CB76" i="10"/>
  <c r="BA76" i="10"/>
  <c r="AB76" i="10"/>
  <c r="C76" i="10"/>
  <c r="CB75" i="10"/>
  <c r="BA75" i="10"/>
  <c r="AB75" i="10"/>
  <c r="C75" i="10"/>
  <c r="CB74" i="10"/>
  <c r="BA74" i="10"/>
  <c r="AB74" i="10"/>
  <c r="C74" i="10"/>
  <c r="CB73" i="10"/>
  <c r="BA73" i="10"/>
  <c r="AB73" i="10"/>
  <c r="C73" i="10"/>
  <c r="CB72" i="10"/>
  <c r="BA72" i="10"/>
  <c r="AB72" i="10"/>
  <c r="C72" i="10"/>
  <c r="CB71" i="10"/>
  <c r="BA71" i="10"/>
  <c r="AB71" i="10"/>
  <c r="C71" i="10"/>
  <c r="CB70" i="10"/>
  <c r="BA70" i="10"/>
  <c r="AB70" i="10"/>
  <c r="C70" i="10"/>
  <c r="CB69" i="10"/>
  <c r="BA69" i="10"/>
  <c r="AB69" i="10"/>
  <c r="C69" i="10"/>
  <c r="CB68" i="10"/>
  <c r="BA68" i="10"/>
  <c r="AB68" i="10"/>
  <c r="C68" i="10"/>
  <c r="CB67" i="10"/>
  <c r="BA67" i="10"/>
  <c r="AB67" i="10"/>
  <c r="C67" i="10"/>
  <c r="CB66" i="10"/>
  <c r="BA66" i="10"/>
  <c r="AB66" i="10"/>
  <c r="C66" i="10"/>
  <c r="CB65" i="10"/>
  <c r="BA65" i="10"/>
  <c r="AB65" i="10"/>
  <c r="C65" i="10"/>
  <c r="CB64" i="10"/>
  <c r="BA64" i="10"/>
  <c r="AB64" i="10"/>
  <c r="C64" i="10"/>
  <c r="CB63" i="10"/>
  <c r="BA63" i="10"/>
  <c r="AB63" i="10"/>
  <c r="C63" i="10"/>
  <c r="CB62" i="10"/>
  <c r="BA62" i="10"/>
  <c r="AB62" i="10"/>
  <c r="C62" i="10"/>
  <c r="CB61" i="10"/>
  <c r="BA61" i="10"/>
  <c r="AB61" i="10"/>
  <c r="C61" i="10"/>
  <c r="CB60" i="10"/>
  <c r="BA60" i="10"/>
  <c r="AB60" i="10"/>
  <c r="C60" i="10"/>
  <c r="CB59" i="10"/>
  <c r="BA59" i="10"/>
  <c r="AB59" i="10"/>
  <c r="C59" i="10"/>
  <c r="CB58" i="10"/>
  <c r="BA58" i="10"/>
  <c r="AB58" i="10"/>
  <c r="C58" i="10"/>
  <c r="CB57" i="10"/>
  <c r="BA57" i="10"/>
  <c r="AB57" i="10"/>
  <c r="C57" i="10"/>
  <c r="CB56" i="10"/>
  <c r="BA56" i="10"/>
  <c r="AB56" i="10"/>
  <c r="C56" i="10"/>
  <c r="CB55" i="10"/>
  <c r="BA55" i="10"/>
  <c r="AB55" i="10"/>
  <c r="C55" i="10"/>
  <c r="CB54" i="10"/>
  <c r="BA54" i="10"/>
  <c r="AB54" i="10"/>
  <c r="C54" i="10"/>
  <c r="CB53" i="10"/>
  <c r="BA53" i="10"/>
  <c r="AB53" i="10"/>
  <c r="C53" i="10"/>
  <c r="CB52" i="10"/>
  <c r="BA52" i="10"/>
  <c r="AB52" i="10"/>
  <c r="C52" i="10"/>
  <c r="CB51" i="10"/>
  <c r="BA51" i="10"/>
  <c r="AB51" i="10"/>
  <c r="C51" i="10"/>
  <c r="CC50" i="10"/>
  <c r="CB50" i="10"/>
  <c r="BA50" i="10"/>
  <c r="AB50" i="10"/>
  <c r="C50" i="10"/>
  <c r="CB49" i="10"/>
  <c r="BA49" i="10"/>
  <c r="AB49" i="10"/>
  <c r="C49" i="10"/>
  <c r="CB48" i="10"/>
  <c r="BA48" i="10"/>
  <c r="AB48" i="10"/>
  <c r="C48" i="10"/>
  <c r="CB47" i="10"/>
  <c r="BA47" i="10"/>
  <c r="AB47" i="10"/>
  <c r="C47" i="10"/>
  <c r="CB46" i="10"/>
  <c r="BA46" i="10"/>
  <c r="AB46" i="10"/>
  <c r="C46" i="10"/>
  <c r="CB45" i="10"/>
  <c r="BA45" i="10"/>
  <c r="AB45" i="10"/>
  <c r="C45" i="10"/>
  <c r="CB44" i="10"/>
  <c r="BA44" i="10"/>
  <c r="AB44" i="10"/>
  <c r="C44" i="10"/>
  <c r="CB43" i="10"/>
  <c r="BA43" i="10"/>
  <c r="AB43" i="10"/>
  <c r="C43" i="10"/>
  <c r="CB42" i="10"/>
  <c r="BA42" i="10"/>
  <c r="AB42" i="10"/>
  <c r="C42" i="10"/>
  <c r="CB41" i="10"/>
  <c r="BA41" i="10"/>
  <c r="AB41" i="10"/>
  <c r="C41" i="10"/>
  <c r="CC40" i="10"/>
  <c r="CB40" i="10"/>
  <c r="BA40" i="10"/>
  <c r="AB40" i="10"/>
  <c r="C40" i="10"/>
  <c r="CB39" i="10"/>
  <c r="BA39" i="10"/>
  <c r="AB39" i="10"/>
  <c r="C39" i="10"/>
  <c r="CB38" i="10"/>
  <c r="BA38" i="10"/>
  <c r="AB38" i="10"/>
  <c r="C38" i="10"/>
  <c r="CB37" i="10"/>
  <c r="BA37" i="10"/>
  <c r="AB37" i="10"/>
  <c r="C37" i="10"/>
  <c r="CB36" i="10"/>
  <c r="BA36" i="10"/>
  <c r="AB36" i="10"/>
  <c r="C36" i="10"/>
  <c r="CB35" i="10"/>
  <c r="BA35" i="10"/>
  <c r="AB35" i="10"/>
  <c r="C35" i="10"/>
  <c r="CB34" i="10"/>
  <c r="BA34" i="10"/>
  <c r="AB34" i="10"/>
  <c r="C34" i="10"/>
  <c r="CB33" i="10"/>
  <c r="BA33" i="10"/>
  <c r="AB33" i="10"/>
  <c r="C33" i="10"/>
  <c r="CB32" i="10"/>
  <c r="BA32" i="10"/>
  <c r="AB32" i="10"/>
  <c r="C32" i="10"/>
  <c r="CB31" i="10"/>
  <c r="BA31" i="10"/>
  <c r="AB31" i="10"/>
  <c r="C31" i="10"/>
  <c r="CB30" i="10"/>
  <c r="BC30" i="10"/>
  <c r="BA30" i="10"/>
  <c r="AB30" i="10"/>
  <c r="C30" i="10"/>
  <c r="CB29" i="10"/>
  <c r="BA29" i="10"/>
  <c r="AB29" i="10"/>
  <c r="C29" i="10"/>
  <c r="CB28" i="10"/>
  <c r="BA28" i="10"/>
  <c r="AB28" i="10"/>
  <c r="C28" i="10"/>
  <c r="CB27" i="10"/>
  <c r="BA27" i="10"/>
  <c r="AB27" i="10"/>
  <c r="C27" i="10"/>
  <c r="CB26" i="10"/>
  <c r="BA26" i="10"/>
  <c r="AB26" i="10"/>
  <c r="C26" i="10"/>
  <c r="CB25" i="10"/>
  <c r="BA25" i="10"/>
  <c r="AB25" i="10"/>
  <c r="C25" i="10"/>
  <c r="CB24" i="10"/>
  <c r="BA24" i="10"/>
  <c r="AB24" i="10"/>
  <c r="C24" i="10"/>
  <c r="CB23" i="10"/>
  <c r="BA23" i="10"/>
  <c r="AD23" i="10"/>
  <c r="AB23" i="10"/>
  <c r="C23" i="10"/>
  <c r="CB22" i="10"/>
  <c r="BA22" i="10"/>
  <c r="AB22" i="10"/>
  <c r="C22" i="10"/>
  <c r="CB21" i="10"/>
  <c r="BA21" i="10"/>
  <c r="AB21" i="10"/>
  <c r="C21" i="10"/>
  <c r="CB20" i="10"/>
  <c r="BA20" i="10"/>
  <c r="AB20" i="10"/>
  <c r="C20" i="10"/>
  <c r="CB19" i="10"/>
  <c r="BA19" i="10"/>
  <c r="AB19" i="10"/>
  <c r="C19" i="10"/>
  <c r="CB18" i="10"/>
  <c r="BA18" i="10"/>
  <c r="AB18" i="10"/>
  <c r="C18" i="10"/>
  <c r="CB17" i="10"/>
  <c r="BA17" i="10"/>
  <c r="AB17" i="10"/>
  <c r="C17" i="10"/>
  <c r="CB16" i="10"/>
  <c r="BA16" i="10"/>
  <c r="AN16" i="10"/>
  <c r="AB16" i="10"/>
  <c r="U16" i="10"/>
  <c r="O16" i="10"/>
  <c r="C16" i="10"/>
  <c r="CB15" i="10"/>
  <c r="BA15" i="10"/>
  <c r="AB15" i="10"/>
  <c r="C15" i="10"/>
  <c r="CB14" i="10"/>
  <c r="BA14" i="10"/>
  <c r="AB14" i="10"/>
  <c r="C14" i="10"/>
  <c r="CT13" i="10"/>
  <c r="CC13" i="10"/>
  <c r="CB13" i="10"/>
  <c r="BA13" i="10"/>
  <c r="AT13" i="10"/>
  <c r="AN13" i="10"/>
  <c r="AB13" i="10"/>
  <c r="U13" i="10"/>
  <c r="C13" i="10"/>
  <c r="CB12" i="10"/>
  <c r="BA12" i="10"/>
  <c r="AW12" i="10"/>
  <c r="AP12" i="10"/>
  <c r="AB12" i="10"/>
  <c r="X12" i="10"/>
  <c r="Q12" i="10"/>
  <c r="C12" i="10"/>
  <c r="CB11" i="10"/>
  <c r="BA11" i="10"/>
  <c r="AB11" i="10"/>
  <c r="C11" i="10"/>
  <c r="CC10" i="10"/>
  <c r="CB10" i="10"/>
  <c r="BA10" i="10"/>
  <c r="AB10" i="10"/>
  <c r="C10" i="10"/>
  <c r="CB9" i="10"/>
  <c r="BK9" i="10"/>
  <c r="BJ9" i="10"/>
  <c r="BI9" i="10"/>
  <c r="BH9" i="10"/>
  <c r="BG9" i="10"/>
  <c r="BF9" i="10"/>
  <c r="BA9" i="10"/>
  <c r="AL9" i="10"/>
  <c r="AD299" i="10" s="1"/>
  <c r="AK9" i="10"/>
  <c r="AJ9" i="10"/>
  <c r="AI9" i="10"/>
  <c r="AH9" i="10"/>
  <c r="AG9" i="10"/>
  <c r="AB9" i="10"/>
  <c r="G9" i="10"/>
  <c r="C9" i="10"/>
  <c r="CB8" i="10"/>
  <c r="BA8" i="10"/>
  <c r="AF8" i="10"/>
  <c r="AE298" i="10" s="1"/>
  <c r="AB8" i="10"/>
  <c r="C8" i="10"/>
  <c r="CB7" i="10"/>
  <c r="BA7" i="10"/>
  <c r="AB7" i="10"/>
  <c r="C7" i="10"/>
  <c r="CB6" i="10"/>
  <c r="BA6" i="10"/>
  <c r="AB6" i="10"/>
  <c r="C6" i="10"/>
  <c r="CB5" i="10"/>
  <c r="BA5" i="10"/>
  <c r="AB5" i="10"/>
  <c r="C5" i="10"/>
  <c r="CB4" i="10"/>
  <c r="BA4" i="10"/>
  <c r="AB4" i="10"/>
  <c r="C4" i="10"/>
  <c r="CD3" i="10"/>
  <c r="CC3" i="10"/>
  <c r="BC3" i="10"/>
  <c r="BV12" i="10" s="1"/>
  <c r="BB3" i="10"/>
  <c r="AD3" i="10"/>
  <c r="AC3" i="10"/>
  <c r="AV12" i="10" s="1"/>
  <c r="E3" i="10"/>
  <c r="D3" i="10"/>
  <c r="BW300" i="9"/>
  <c r="BV300" i="9"/>
  <c r="BU300" i="9"/>
  <c r="BR300" i="9"/>
  <c r="AV300" i="9"/>
  <c r="AU300" i="9"/>
  <c r="AR300" i="9"/>
  <c r="AQ300" i="9"/>
  <c r="AO300" i="9"/>
  <c r="S300" i="9"/>
  <c r="Q300" i="9"/>
  <c r="P300" i="9"/>
  <c r="BU299" i="9"/>
  <c r="BX300" i="9" s="1"/>
  <c r="BQ299" i="9"/>
  <c r="BP299" i="9"/>
  <c r="BF299" i="9"/>
  <c r="AU299" i="9"/>
  <c r="AO299" i="9"/>
  <c r="AE299" i="9"/>
  <c r="O299" i="9"/>
  <c r="N299" i="9"/>
  <c r="E299" i="9"/>
  <c r="D299" i="9"/>
  <c r="BV298" i="9"/>
  <c r="BV299" i="9" s="1"/>
  <c r="BU298" i="9"/>
  <c r="BQ298" i="9"/>
  <c r="BQ300" i="9" s="1"/>
  <c r="BP298" i="9"/>
  <c r="BP300" i="9" s="1"/>
  <c r="BH298" i="9"/>
  <c r="AU298" i="9"/>
  <c r="AT298" i="9"/>
  <c r="AT299" i="9" s="1"/>
  <c r="AP298" i="9"/>
  <c r="AO298" i="9"/>
  <c r="AG298" i="9"/>
  <c r="T298" i="9"/>
  <c r="S298" i="9"/>
  <c r="S299" i="9" s="1"/>
  <c r="O298" i="9"/>
  <c r="O300" i="9" s="1"/>
  <c r="N298" i="9"/>
  <c r="N300" i="9" s="1"/>
  <c r="BE292" i="9"/>
  <c r="AD292" i="9"/>
  <c r="C292" i="9"/>
  <c r="BE291" i="9"/>
  <c r="AD291" i="9"/>
  <c r="C291" i="9"/>
  <c r="BE290" i="9"/>
  <c r="AD290" i="9"/>
  <c r="C290" i="9"/>
  <c r="BE289" i="9"/>
  <c r="AD289" i="9"/>
  <c r="C289" i="9"/>
  <c r="BE288" i="9"/>
  <c r="AD288" i="9"/>
  <c r="C288" i="9"/>
  <c r="BE287" i="9"/>
  <c r="AD287" i="9"/>
  <c r="C287" i="9"/>
  <c r="BG286" i="9"/>
  <c r="BE286" i="9"/>
  <c r="AD286" i="9"/>
  <c r="C286" i="9"/>
  <c r="BE285" i="9"/>
  <c r="AD285" i="9"/>
  <c r="C285" i="9"/>
  <c r="BE284" i="9"/>
  <c r="AF284" i="9"/>
  <c r="AD284" i="9"/>
  <c r="C284" i="9"/>
  <c r="BE283" i="9"/>
  <c r="AD283" i="9"/>
  <c r="C283" i="9"/>
  <c r="BE282" i="9"/>
  <c r="AD282" i="9"/>
  <c r="C282" i="9"/>
  <c r="BE281" i="9"/>
  <c r="AD281" i="9"/>
  <c r="C281" i="9"/>
  <c r="BF280" i="9"/>
  <c r="BE280" i="9"/>
  <c r="AD280" i="9"/>
  <c r="C280" i="9"/>
  <c r="BE279" i="9"/>
  <c r="AD279" i="9"/>
  <c r="C279" i="9"/>
  <c r="BG278" i="9"/>
  <c r="BE278" i="9"/>
  <c r="AF278" i="9"/>
  <c r="AD278" i="9"/>
  <c r="C278" i="9"/>
  <c r="BE277" i="9"/>
  <c r="AD277" i="9"/>
  <c r="C277" i="9"/>
  <c r="BE276" i="9"/>
  <c r="AD276" i="9"/>
  <c r="C276" i="9"/>
  <c r="BE275" i="9"/>
  <c r="AD275" i="9"/>
  <c r="C275" i="9"/>
  <c r="BE274" i="9"/>
  <c r="AD274" i="9"/>
  <c r="C274" i="9"/>
  <c r="BE273" i="9"/>
  <c r="AD273" i="9"/>
  <c r="C273" i="9"/>
  <c r="BG272" i="9"/>
  <c r="BE272" i="9"/>
  <c r="AF272" i="9"/>
  <c r="AD272" i="9"/>
  <c r="C272" i="9"/>
  <c r="BG271" i="9"/>
  <c r="BF271" i="9"/>
  <c r="BE271" i="9"/>
  <c r="AD271" i="9"/>
  <c r="C271" i="9"/>
  <c r="BE270" i="9"/>
  <c r="AD270" i="9"/>
  <c r="C270" i="9"/>
  <c r="BE269" i="9"/>
  <c r="AD269" i="9"/>
  <c r="C269" i="9"/>
  <c r="BE268" i="9"/>
  <c r="AD268" i="9"/>
  <c r="C268" i="9"/>
  <c r="BE267" i="9"/>
  <c r="AD267" i="9"/>
  <c r="C267" i="9"/>
  <c r="BG266" i="9"/>
  <c r="BE266" i="9"/>
  <c r="AF266" i="9"/>
  <c r="AD266" i="9"/>
  <c r="D266" i="9"/>
  <c r="C266" i="9"/>
  <c r="BE265" i="9"/>
  <c r="AD265" i="9"/>
  <c r="C265" i="9"/>
  <c r="BE264" i="9"/>
  <c r="AD264" i="9"/>
  <c r="C264" i="9"/>
  <c r="BE263" i="9"/>
  <c r="AD263" i="9"/>
  <c r="C263" i="9"/>
  <c r="BE262" i="9"/>
  <c r="AD262" i="9"/>
  <c r="C262" i="9"/>
  <c r="BE261" i="9"/>
  <c r="AD261" i="9"/>
  <c r="C261" i="9"/>
  <c r="BE260" i="9"/>
  <c r="AF260" i="9"/>
  <c r="AD260" i="9"/>
  <c r="E260" i="9"/>
  <c r="C260" i="9"/>
  <c r="BG259" i="9"/>
  <c r="BE259" i="9"/>
  <c r="AD259" i="9"/>
  <c r="C259" i="9"/>
  <c r="BE258" i="9"/>
  <c r="AD258" i="9"/>
  <c r="C258" i="9"/>
  <c r="BE257" i="9"/>
  <c r="AD257" i="9"/>
  <c r="C257" i="9"/>
  <c r="BE256" i="9"/>
  <c r="AD256" i="9"/>
  <c r="C256" i="9"/>
  <c r="BE255" i="9"/>
  <c r="AD255" i="9"/>
  <c r="C255" i="9"/>
  <c r="BG254" i="9"/>
  <c r="BE254" i="9"/>
  <c r="AD254" i="9"/>
  <c r="C254" i="9"/>
  <c r="BE253" i="9"/>
  <c r="AD253" i="9"/>
  <c r="C253" i="9"/>
  <c r="BE252" i="9"/>
  <c r="AD252" i="9"/>
  <c r="C252" i="9"/>
  <c r="BE251" i="9"/>
  <c r="AD251" i="9"/>
  <c r="C251" i="9"/>
  <c r="BF250" i="9"/>
  <c r="BE250" i="9"/>
  <c r="AD250" i="9"/>
  <c r="C250" i="9"/>
  <c r="BE249" i="9"/>
  <c r="AD249" i="9"/>
  <c r="C249" i="9"/>
  <c r="BE248" i="9"/>
  <c r="AD248" i="9"/>
  <c r="C248" i="9"/>
  <c r="BE247" i="9"/>
  <c r="AD247" i="9"/>
  <c r="C247" i="9"/>
  <c r="BE246" i="9"/>
  <c r="AD246" i="9"/>
  <c r="C246" i="9"/>
  <c r="BE245" i="9"/>
  <c r="AD245" i="9"/>
  <c r="C245" i="9"/>
  <c r="BE244" i="9"/>
  <c r="AD244" i="9"/>
  <c r="C244" i="9"/>
  <c r="BE243" i="9"/>
  <c r="AE243" i="9"/>
  <c r="AD243" i="9"/>
  <c r="C243" i="9"/>
  <c r="BE242" i="9"/>
  <c r="AD242" i="9"/>
  <c r="C242" i="9"/>
  <c r="BF241" i="9"/>
  <c r="BE241" i="9"/>
  <c r="AD241" i="9"/>
  <c r="C241" i="9"/>
  <c r="BE240" i="9"/>
  <c r="AD240" i="9"/>
  <c r="C240" i="9"/>
  <c r="BE239" i="9"/>
  <c r="AD239" i="9"/>
  <c r="C239" i="9"/>
  <c r="BE238" i="9"/>
  <c r="AF238" i="9"/>
  <c r="AD238" i="9"/>
  <c r="E238" i="9"/>
  <c r="C238" i="9"/>
  <c r="BE237" i="9"/>
  <c r="AD237" i="9"/>
  <c r="C237" i="9"/>
  <c r="BE236" i="9"/>
  <c r="AF236" i="9"/>
  <c r="AD236" i="9"/>
  <c r="C236" i="9"/>
  <c r="BG235" i="9"/>
  <c r="BF235" i="9"/>
  <c r="BE235" i="9"/>
  <c r="AD235" i="9"/>
  <c r="C235" i="9"/>
  <c r="BE234" i="9"/>
  <c r="AD234" i="9"/>
  <c r="C234" i="9"/>
  <c r="BE233" i="9"/>
  <c r="AD233" i="9"/>
  <c r="C233" i="9"/>
  <c r="BE232" i="9"/>
  <c r="AD232" i="9"/>
  <c r="C232" i="9"/>
  <c r="BE231" i="9"/>
  <c r="AD231" i="9"/>
  <c r="C231" i="9"/>
  <c r="BF230" i="9"/>
  <c r="BE230" i="9"/>
  <c r="AD230" i="9"/>
  <c r="C230" i="9"/>
  <c r="BE229" i="9"/>
  <c r="AD229" i="9"/>
  <c r="C229" i="9"/>
  <c r="BE228" i="9"/>
  <c r="AD228" i="9"/>
  <c r="C228" i="9"/>
  <c r="BE227" i="9"/>
  <c r="AF227" i="9"/>
  <c r="AD227" i="9"/>
  <c r="C227" i="9"/>
  <c r="BG226" i="9"/>
  <c r="BE226" i="9"/>
  <c r="AD226" i="9"/>
  <c r="C226" i="9"/>
  <c r="BE225" i="9"/>
  <c r="AD225" i="9"/>
  <c r="C225" i="9"/>
  <c r="BE224" i="9"/>
  <c r="AD224" i="9"/>
  <c r="C224" i="9"/>
  <c r="BE223" i="9"/>
  <c r="AD223" i="9"/>
  <c r="C223" i="9"/>
  <c r="BG222" i="9"/>
  <c r="BE222" i="9"/>
  <c r="AD222" i="9"/>
  <c r="C222" i="9"/>
  <c r="BE221" i="9"/>
  <c r="AD221" i="9"/>
  <c r="C221" i="9"/>
  <c r="BE220" i="9"/>
  <c r="AE220" i="9"/>
  <c r="AD220" i="9"/>
  <c r="D220" i="9"/>
  <c r="C220" i="9"/>
  <c r="BE219" i="9"/>
  <c r="AD219" i="9"/>
  <c r="C219" i="9"/>
  <c r="BE218" i="9"/>
  <c r="AD218" i="9"/>
  <c r="C218" i="9"/>
  <c r="BE217" i="9"/>
  <c r="AD217" i="9"/>
  <c r="C217" i="9"/>
  <c r="BE216" i="9"/>
  <c r="AD216" i="9"/>
  <c r="C216" i="9"/>
  <c r="BE215" i="9"/>
  <c r="AD215" i="9"/>
  <c r="C215" i="9"/>
  <c r="BE214" i="9"/>
  <c r="AD214" i="9"/>
  <c r="C214" i="9"/>
  <c r="BG213" i="9"/>
  <c r="BE213" i="9"/>
  <c r="AF213" i="9"/>
  <c r="AD213" i="9"/>
  <c r="E213" i="9"/>
  <c r="C213" i="9"/>
  <c r="BE212" i="9"/>
  <c r="AD212" i="9"/>
  <c r="C212" i="9"/>
  <c r="BF211" i="9"/>
  <c r="BE211" i="9"/>
  <c r="AD211" i="9"/>
  <c r="C211" i="9"/>
  <c r="BE210" i="9"/>
  <c r="AD210" i="9"/>
  <c r="C210" i="9"/>
  <c r="BE209" i="9"/>
  <c r="AD209" i="9"/>
  <c r="C209" i="9"/>
  <c r="BE208" i="9"/>
  <c r="AD208" i="9"/>
  <c r="C208" i="9"/>
  <c r="BE207" i="9"/>
  <c r="AD207" i="9"/>
  <c r="C207" i="9"/>
  <c r="BE206" i="9"/>
  <c r="AD206" i="9"/>
  <c r="C206" i="9"/>
  <c r="BE205" i="9"/>
  <c r="AD205" i="9"/>
  <c r="C205" i="9"/>
  <c r="BE204" i="9"/>
  <c r="AD204" i="9"/>
  <c r="C204" i="9"/>
  <c r="BE203" i="9"/>
  <c r="AD203" i="9"/>
  <c r="C203" i="9"/>
  <c r="BE202" i="9"/>
  <c r="AD202" i="9"/>
  <c r="C202" i="9"/>
  <c r="BE201" i="9"/>
  <c r="AD201" i="9"/>
  <c r="C201" i="9"/>
  <c r="BG200" i="9"/>
  <c r="BE200" i="9"/>
  <c r="AF200" i="9"/>
  <c r="AD200" i="9"/>
  <c r="E200" i="9"/>
  <c r="C200" i="9"/>
  <c r="BE199" i="9"/>
  <c r="AD199" i="9"/>
  <c r="C199" i="9"/>
  <c r="BG198" i="9"/>
  <c r="BE198" i="9"/>
  <c r="AD198" i="9"/>
  <c r="C198" i="9"/>
  <c r="BE197" i="9"/>
  <c r="AD197" i="9"/>
  <c r="D197" i="9"/>
  <c r="C197" i="9"/>
  <c r="BE196" i="9"/>
  <c r="AD196" i="9"/>
  <c r="C196" i="9"/>
  <c r="BE195" i="9"/>
  <c r="AE195" i="9"/>
  <c r="AD195" i="9"/>
  <c r="C195" i="9"/>
  <c r="BE194" i="9"/>
  <c r="AD194" i="9"/>
  <c r="C194" i="9"/>
  <c r="BE193" i="9"/>
  <c r="AD193" i="9"/>
  <c r="C193" i="9"/>
  <c r="BE192" i="9"/>
  <c r="AD192" i="9"/>
  <c r="E192" i="9"/>
  <c r="C192" i="9"/>
  <c r="BE191" i="9"/>
  <c r="AD191" i="9"/>
  <c r="C191" i="9"/>
  <c r="BE190" i="9"/>
  <c r="AD190" i="9"/>
  <c r="C190" i="9"/>
  <c r="BE189" i="9"/>
  <c r="AD189" i="9"/>
  <c r="C189" i="9"/>
  <c r="BE188" i="9"/>
  <c r="AD188" i="9"/>
  <c r="C188" i="9"/>
  <c r="BF187" i="9"/>
  <c r="BE187" i="9"/>
  <c r="AD187" i="9"/>
  <c r="C187" i="9"/>
  <c r="BG186" i="9"/>
  <c r="BE186" i="9"/>
  <c r="AD186" i="9"/>
  <c r="C186" i="9"/>
  <c r="BE185" i="9"/>
  <c r="AD185" i="9"/>
  <c r="C185" i="9"/>
  <c r="BE184" i="9"/>
  <c r="AD184" i="9"/>
  <c r="C184" i="9"/>
  <c r="BE183" i="9"/>
  <c r="AD183" i="9"/>
  <c r="C183" i="9"/>
  <c r="BE182" i="9"/>
  <c r="AD182" i="9"/>
  <c r="C182" i="9"/>
  <c r="BE181" i="9"/>
  <c r="AD181" i="9"/>
  <c r="D181" i="9"/>
  <c r="C181" i="9"/>
  <c r="BE180" i="9"/>
  <c r="AD180" i="9"/>
  <c r="E180" i="9"/>
  <c r="C180" i="9"/>
  <c r="BE179" i="9"/>
  <c r="AD179" i="9"/>
  <c r="C179" i="9"/>
  <c r="BE178" i="9"/>
  <c r="AD178" i="9"/>
  <c r="C178" i="9"/>
  <c r="BE177" i="9"/>
  <c r="AD177" i="9"/>
  <c r="C177" i="9"/>
  <c r="BE176" i="9"/>
  <c r="AD176" i="9"/>
  <c r="C176" i="9"/>
  <c r="BG175" i="9"/>
  <c r="BE175" i="9"/>
  <c r="AD175" i="9"/>
  <c r="E175" i="9"/>
  <c r="C175" i="9"/>
  <c r="BE174" i="9"/>
  <c r="AD174" i="9"/>
  <c r="C174" i="9"/>
  <c r="BE173" i="9"/>
  <c r="AD173" i="9"/>
  <c r="C173" i="9"/>
  <c r="BE172" i="9"/>
  <c r="AD172" i="9"/>
  <c r="C172" i="9"/>
  <c r="BE171" i="9"/>
  <c r="AD171" i="9"/>
  <c r="C171" i="9"/>
  <c r="BE170" i="9"/>
  <c r="AD170" i="9"/>
  <c r="C170" i="9"/>
  <c r="BG169" i="9"/>
  <c r="BE169" i="9"/>
  <c r="AF169" i="9"/>
  <c r="AD169" i="9"/>
  <c r="C169" i="9"/>
  <c r="BE168" i="9"/>
  <c r="AD168" i="9"/>
  <c r="E168" i="9"/>
  <c r="C168" i="9"/>
  <c r="BE167" i="9"/>
  <c r="AD167" i="9"/>
  <c r="C167" i="9"/>
  <c r="BE166" i="9"/>
  <c r="AD166" i="9"/>
  <c r="C166" i="9"/>
  <c r="BE165" i="9"/>
  <c r="AD165" i="9"/>
  <c r="C165" i="9"/>
  <c r="BE164" i="9"/>
  <c r="AD164" i="9"/>
  <c r="C164" i="9"/>
  <c r="BF163" i="9"/>
  <c r="BE163" i="9"/>
  <c r="AD163" i="9"/>
  <c r="C163" i="9"/>
  <c r="BE162" i="9"/>
  <c r="AF162" i="9"/>
  <c r="AD162" i="9"/>
  <c r="C162" i="9"/>
  <c r="BE161" i="9"/>
  <c r="AD161" i="9"/>
  <c r="C161" i="9"/>
  <c r="BE160" i="9"/>
  <c r="AD160" i="9"/>
  <c r="C160" i="9"/>
  <c r="BE159" i="9"/>
  <c r="AD159" i="9"/>
  <c r="C159" i="9"/>
  <c r="BE158" i="9"/>
  <c r="AD158" i="9"/>
  <c r="C158" i="9"/>
  <c r="BG157" i="9"/>
  <c r="BE157" i="9"/>
  <c r="AD157" i="9"/>
  <c r="C157" i="9"/>
  <c r="BE156" i="9"/>
  <c r="AD156" i="9"/>
  <c r="C156" i="9"/>
  <c r="BE155" i="9"/>
  <c r="AD155" i="9"/>
  <c r="C155" i="9"/>
  <c r="BE154" i="9"/>
  <c r="AD154" i="9"/>
  <c r="C154" i="9"/>
  <c r="BE153" i="9"/>
  <c r="AD153" i="9"/>
  <c r="C153" i="9"/>
  <c r="BE152" i="9"/>
  <c r="AD152" i="9"/>
  <c r="C152" i="9"/>
  <c r="BF151" i="9"/>
  <c r="BE151" i="9"/>
  <c r="AD151" i="9"/>
  <c r="C151" i="9"/>
  <c r="BE150" i="9"/>
  <c r="AD150" i="9"/>
  <c r="C150" i="9"/>
  <c r="BE149" i="9"/>
  <c r="AD149" i="9"/>
  <c r="C149" i="9"/>
  <c r="BE148" i="9"/>
  <c r="AD148" i="9"/>
  <c r="C148" i="9"/>
  <c r="BE147" i="9"/>
  <c r="AD147" i="9"/>
  <c r="E147" i="9"/>
  <c r="C147" i="9"/>
  <c r="BE146" i="9"/>
  <c r="AD146" i="9"/>
  <c r="C146" i="9"/>
  <c r="BE145" i="9"/>
  <c r="AD145" i="9"/>
  <c r="C145" i="9"/>
  <c r="BE144" i="9"/>
  <c r="AF144" i="9"/>
  <c r="AD144" i="9"/>
  <c r="C144" i="9"/>
  <c r="BE143" i="9"/>
  <c r="AD143" i="9"/>
  <c r="C143" i="9"/>
  <c r="BE142" i="9"/>
  <c r="AD142" i="9"/>
  <c r="C142" i="9"/>
  <c r="BE141" i="9"/>
  <c r="AD141" i="9"/>
  <c r="C141" i="9"/>
  <c r="BE140" i="9"/>
  <c r="AD140" i="9"/>
  <c r="C140" i="9"/>
  <c r="BF139" i="9"/>
  <c r="BE139" i="9"/>
  <c r="AD139" i="9"/>
  <c r="C139" i="9"/>
  <c r="BE138" i="9"/>
  <c r="AE138" i="9"/>
  <c r="AD138" i="9"/>
  <c r="C138" i="9"/>
  <c r="BE137" i="9"/>
  <c r="AD137" i="9"/>
  <c r="C137" i="9"/>
  <c r="BE136" i="9"/>
  <c r="AD136" i="9"/>
  <c r="C136" i="9"/>
  <c r="BE135" i="9"/>
  <c r="AD135" i="9"/>
  <c r="C135" i="9"/>
  <c r="BE134" i="9"/>
  <c r="AD134" i="9"/>
  <c r="C134" i="9"/>
  <c r="BF133" i="9"/>
  <c r="BE133" i="9"/>
  <c r="AD133" i="9"/>
  <c r="C133" i="9"/>
  <c r="BG132" i="9"/>
  <c r="BE132" i="9"/>
  <c r="AF132" i="9"/>
  <c r="AD132" i="9"/>
  <c r="C132" i="9"/>
  <c r="BE131" i="9"/>
  <c r="AD131" i="9"/>
  <c r="C131" i="9"/>
  <c r="BE130" i="9"/>
  <c r="AD130" i="9"/>
  <c r="C130" i="9"/>
  <c r="BF129" i="9"/>
  <c r="BE129" i="9"/>
  <c r="AD129" i="9"/>
  <c r="C129" i="9"/>
  <c r="BE128" i="9"/>
  <c r="AD128" i="9"/>
  <c r="E128" i="9"/>
  <c r="C128" i="9"/>
  <c r="BE127" i="9"/>
  <c r="AD127" i="9"/>
  <c r="C127" i="9"/>
  <c r="BE126" i="9"/>
  <c r="AD126" i="9"/>
  <c r="C126" i="9"/>
  <c r="BE125" i="9"/>
  <c r="AD125" i="9"/>
  <c r="C125" i="9"/>
  <c r="BG124" i="9"/>
  <c r="BE124" i="9"/>
  <c r="AF124" i="9"/>
  <c r="AD124" i="9"/>
  <c r="C124" i="9"/>
  <c r="BE123" i="9"/>
  <c r="AF123" i="9"/>
  <c r="AD123" i="9"/>
  <c r="E123" i="9"/>
  <c r="C123" i="9"/>
  <c r="BE122" i="9"/>
  <c r="AF122" i="9"/>
  <c r="AD122" i="9"/>
  <c r="C122" i="9"/>
  <c r="BE121" i="9"/>
  <c r="AD121" i="9"/>
  <c r="C121" i="9"/>
  <c r="BE120" i="9"/>
  <c r="AD120" i="9"/>
  <c r="C120" i="9"/>
  <c r="BE119" i="9"/>
  <c r="AD119" i="9"/>
  <c r="C119" i="9"/>
  <c r="BE118" i="9"/>
  <c r="AD118" i="9"/>
  <c r="C118" i="9"/>
  <c r="BE117" i="9"/>
  <c r="AD117" i="9"/>
  <c r="C117" i="9"/>
  <c r="BE116" i="9"/>
  <c r="AD116" i="9"/>
  <c r="C116" i="9"/>
  <c r="BE115" i="9"/>
  <c r="AD115" i="9"/>
  <c r="C115" i="9"/>
  <c r="BE114" i="9"/>
  <c r="AD114" i="9"/>
  <c r="C114" i="9"/>
  <c r="BE113" i="9"/>
  <c r="AD113" i="9"/>
  <c r="C113" i="9"/>
  <c r="BE112" i="9"/>
  <c r="AF112" i="9"/>
  <c r="AD112" i="9"/>
  <c r="C112" i="9"/>
  <c r="BE111" i="9"/>
  <c r="AF111" i="9"/>
  <c r="AD111" i="9"/>
  <c r="C111" i="9"/>
  <c r="BE110" i="9"/>
  <c r="AD110" i="9"/>
  <c r="E110" i="9"/>
  <c r="C110" i="9"/>
  <c r="BG109" i="9"/>
  <c r="BF109" i="9"/>
  <c r="BE109" i="9"/>
  <c r="AD109" i="9"/>
  <c r="C109" i="9"/>
  <c r="BE108" i="9"/>
  <c r="AD108" i="9"/>
  <c r="C108" i="9"/>
  <c r="BE107" i="9"/>
  <c r="AD107" i="9"/>
  <c r="C107" i="9"/>
  <c r="BF106" i="9"/>
  <c r="BE106" i="9"/>
  <c r="AD106" i="9"/>
  <c r="C106" i="9"/>
  <c r="BE105" i="9"/>
  <c r="AD105" i="9"/>
  <c r="C105" i="9"/>
  <c r="BG104" i="9"/>
  <c r="BE104" i="9"/>
  <c r="AD104" i="9"/>
  <c r="C104" i="9"/>
  <c r="BE103" i="9"/>
  <c r="AD103" i="9"/>
  <c r="E103" i="9"/>
  <c r="C103" i="9"/>
  <c r="BE102" i="9"/>
  <c r="AD102" i="9"/>
  <c r="C102" i="9"/>
  <c r="BE101" i="9"/>
  <c r="AD101" i="9"/>
  <c r="C101" i="9"/>
  <c r="BG100" i="9"/>
  <c r="BE100" i="9"/>
  <c r="AF100" i="9"/>
  <c r="AD100" i="9"/>
  <c r="E100" i="9"/>
  <c r="C100" i="9"/>
  <c r="BE99" i="9"/>
  <c r="AD99" i="9"/>
  <c r="E99" i="9"/>
  <c r="C99" i="9"/>
  <c r="BE98" i="9"/>
  <c r="AD98" i="9"/>
  <c r="C98" i="9"/>
  <c r="BE97" i="9"/>
  <c r="AD97" i="9"/>
  <c r="C97" i="9"/>
  <c r="BE96" i="9"/>
  <c r="AD96" i="9"/>
  <c r="C96" i="9"/>
  <c r="BE95" i="9"/>
  <c r="AD95" i="9"/>
  <c r="C95" i="9"/>
  <c r="BE94" i="9"/>
  <c r="AD94" i="9"/>
  <c r="C94" i="9"/>
  <c r="BE93" i="9"/>
  <c r="AF93" i="9"/>
  <c r="AD93" i="9"/>
  <c r="C93" i="9"/>
  <c r="BE92" i="9"/>
  <c r="AD92" i="9"/>
  <c r="C92" i="9"/>
  <c r="BE91" i="9"/>
  <c r="AD91" i="9"/>
  <c r="C91" i="9"/>
  <c r="BE90" i="9"/>
  <c r="AD90" i="9"/>
  <c r="C90" i="9"/>
  <c r="BG89" i="9"/>
  <c r="BE89" i="9"/>
  <c r="AD89" i="9"/>
  <c r="C89" i="9"/>
  <c r="BE88" i="9"/>
  <c r="AD88" i="9"/>
  <c r="C88" i="9"/>
  <c r="BE87" i="9"/>
  <c r="AD87" i="9"/>
  <c r="C87" i="9"/>
  <c r="BG86" i="9"/>
  <c r="BE86" i="9"/>
  <c r="AD86" i="9"/>
  <c r="C86" i="9"/>
  <c r="BE85" i="9"/>
  <c r="AD85" i="9"/>
  <c r="C85" i="9"/>
  <c r="BE84" i="9"/>
  <c r="AD84" i="9"/>
  <c r="C84" i="9"/>
  <c r="BF83" i="9"/>
  <c r="BE83" i="9"/>
  <c r="AD83" i="9"/>
  <c r="C83" i="9"/>
  <c r="BE82" i="9"/>
  <c r="AD82" i="9"/>
  <c r="C82" i="9"/>
  <c r="BE81" i="9"/>
  <c r="AD81" i="9"/>
  <c r="C81" i="9"/>
  <c r="BG80" i="9"/>
  <c r="BE80" i="9"/>
  <c r="AD80" i="9"/>
  <c r="C80" i="9"/>
  <c r="BE79" i="9"/>
  <c r="AD79" i="9"/>
  <c r="C79" i="9"/>
  <c r="BE78" i="9"/>
  <c r="AD78" i="9"/>
  <c r="C78" i="9"/>
  <c r="BE77" i="9"/>
  <c r="AD77" i="9"/>
  <c r="E77" i="9"/>
  <c r="C77" i="9"/>
  <c r="BF76" i="9"/>
  <c r="BE76" i="9"/>
  <c r="AD76" i="9"/>
  <c r="C76" i="9"/>
  <c r="BE75" i="9"/>
  <c r="AD75" i="9"/>
  <c r="C75" i="9"/>
  <c r="BE74" i="9"/>
  <c r="AD74" i="9"/>
  <c r="C74" i="9"/>
  <c r="BE73" i="9"/>
  <c r="AD73" i="9"/>
  <c r="C73" i="9"/>
  <c r="BG72" i="9"/>
  <c r="BE72" i="9"/>
  <c r="AD72" i="9"/>
  <c r="C72" i="9"/>
  <c r="BG71" i="9"/>
  <c r="BE71" i="9"/>
  <c r="AF71" i="9"/>
  <c r="AD71" i="9"/>
  <c r="C71" i="9"/>
  <c r="BE70" i="9"/>
  <c r="AD70" i="9"/>
  <c r="E70" i="9"/>
  <c r="C70" i="9"/>
  <c r="BE69" i="9"/>
  <c r="AD69" i="9"/>
  <c r="C69" i="9"/>
  <c r="BE68" i="9"/>
  <c r="AD68" i="9"/>
  <c r="C68" i="9"/>
  <c r="BE67" i="9"/>
  <c r="AD67" i="9"/>
  <c r="C67" i="9"/>
  <c r="BE66" i="9"/>
  <c r="AD66" i="9"/>
  <c r="C66" i="9"/>
  <c r="BE65" i="9"/>
  <c r="AD65" i="9"/>
  <c r="C65" i="9"/>
  <c r="BE64" i="9"/>
  <c r="AD64" i="9"/>
  <c r="C64" i="9"/>
  <c r="BE63" i="9"/>
  <c r="AD63" i="9"/>
  <c r="C63" i="9"/>
  <c r="BE62" i="9"/>
  <c r="AD62" i="9"/>
  <c r="C62" i="9"/>
  <c r="BE61" i="9"/>
  <c r="AD61" i="9"/>
  <c r="C61" i="9"/>
  <c r="BG60" i="9"/>
  <c r="BE60" i="9"/>
  <c r="AD60" i="9"/>
  <c r="E60" i="9"/>
  <c r="C60" i="9"/>
  <c r="BE59" i="9"/>
  <c r="AF59" i="9"/>
  <c r="AD59" i="9"/>
  <c r="C59" i="9"/>
  <c r="BG58" i="9"/>
  <c r="BE58" i="9"/>
  <c r="AD58" i="9"/>
  <c r="C58" i="9"/>
  <c r="BE57" i="9"/>
  <c r="AD57" i="9"/>
  <c r="C57" i="9"/>
  <c r="BE56" i="9"/>
  <c r="AD56" i="9"/>
  <c r="C56" i="9"/>
  <c r="BE55" i="9"/>
  <c r="AD55" i="9"/>
  <c r="C55" i="9"/>
  <c r="BG54" i="9"/>
  <c r="BE54" i="9"/>
  <c r="AD54" i="9"/>
  <c r="C54" i="9"/>
  <c r="BE53" i="9"/>
  <c r="AD53" i="9"/>
  <c r="C53" i="9"/>
  <c r="BE52" i="9"/>
  <c r="AD52" i="9"/>
  <c r="C52" i="9"/>
  <c r="BE51" i="9"/>
  <c r="AD51" i="9"/>
  <c r="E51" i="9"/>
  <c r="C51" i="9"/>
  <c r="BG50" i="9"/>
  <c r="BE50" i="9"/>
  <c r="AF50" i="9"/>
  <c r="AD50" i="9"/>
  <c r="C50" i="9"/>
  <c r="BE49" i="9"/>
  <c r="AF49" i="9"/>
  <c r="AD49" i="9"/>
  <c r="C49" i="9"/>
  <c r="BE48" i="9"/>
  <c r="AF48" i="9"/>
  <c r="AD48" i="9"/>
  <c r="C48" i="9"/>
  <c r="BE47" i="9"/>
  <c r="AD47" i="9"/>
  <c r="C47" i="9"/>
  <c r="BE46" i="9"/>
  <c r="AD46" i="9"/>
  <c r="C46" i="9"/>
  <c r="BE45" i="9"/>
  <c r="AD45" i="9"/>
  <c r="C45" i="9"/>
  <c r="BE44" i="9"/>
  <c r="AD44" i="9"/>
  <c r="C44" i="9"/>
  <c r="BE43" i="9"/>
  <c r="AD43" i="9"/>
  <c r="C43" i="9"/>
  <c r="BE42" i="9"/>
  <c r="AD42" i="9"/>
  <c r="C42" i="9"/>
  <c r="BE41" i="9"/>
  <c r="AD41" i="9"/>
  <c r="C41" i="9"/>
  <c r="BE40" i="9"/>
  <c r="AD40" i="9"/>
  <c r="C40" i="9"/>
  <c r="BE39" i="9"/>
  <c r="AD39" i="9"/>
  <c r="C39" i="9"/>
  <c r="BE38" i="9"/>
  <c r="AD38" i="9"/>
  <c r="E38" i="9"/>
  <c r="C38" i="9"/>
  <c r="BE37" i="9"/>
  <c r="AF37" i="9"/>
  <c r="AD37" i="9"/>
  <c r="C37" i="9"/>
  <c r="BE36" i="9"/>
  <c r="AD36" i="9"/>
  <c r="E36" i="9"/>
  <c r="C36" i="9"/>
  <c r="BE35" i="9"/>
  <c r="AD35" i="9"/>
  <c r="C35" i="9"/>
  <c r="BE34" i="9"/>
  <c r="AD34" i="9"/>
  <c r="C34" i="9"/>
  <c r="BE33" i="9"/>
  <c r="AF33" i="9"/>
  <c r="AD33" i="9"/>
  <c r="C33" i="9"/>
  <c r="BE32" i="9"/>
  <c r="AD32" i="9"/>
  <c r="C32" i="9"/>
  <c r="BE31" i="9"/>
  <c r="AD31" i="9"/>
  <c r="C31" i="9"/>
  <c r="BE30" i="9"/>
  <c r="AD30" i="9"/>
  <c r="C30" i="9"/>
  <c r="BE29" i="9"/>
  <c r="AD29" i="9"/>
  <c r="C29" i="9"/>
  <c r="BE28" i="9"/>
  <c r="AD28" i="9"/>
  <c r="C28" i="9"/>
  <c r="BE27" i="9"/>
  <c r="AD27" i="9"/>
  <c r="C27" i="9"/>
  <c r="BE26" i="9"/>
  <c r="AD26" i="9"/>
  <c r="C26" i="9"/>
  <c r="BE25" i="9"/>
  <c r="AF25" i="9"/>
  <c r="AD25" i="9"/>
  <c r="C25" i="9"/>
  <c r="BE24" i="9"/>
  <c r="AD24" i="9"/>
  <c r="C24" i="9"/>
  <c r="BE23" i="9"/>
  <c r="AD23" i="9"/>
  <c r="C23" i="9"/>
  <c r="BE22" i="9"/>
  <c r="AD22" i="9"/>
  <c r="C22" i="9"/>
  <c r="BE21" i="9"/>
  <c r="AD21" i="9"/>
  <c r="C21" i="9"/>
  <c r="BE20" i="9"/>
  <c r="AD20" i="9"/>
  <c r="C20" i="9"/>
  <c r="BE19" i="9"/>
  <c r="AD19" i="9"/>
  <c r="C19" i="9"/>
  <c r="BE18" i="9"/>
  <c r="AD18" i="9"/>
  <c r="C18" i="9"/>
  <c r="BG17" i="9"/>
  <c r="BE17" i="9"/>
  <c r="AD17" i="9"/>
  <c r="E17" i="9"/>
  <c r="C17" i="9"/>
  <c r="BE16" i="9"/>
  <c r="AV16" i="9"/>
  <c r="AP16" i="9"/>
  <c r="AD16" i="9"/>
  <c r="O16" i="9"/>
  <c r="C16" i="9"/>
  <c r="BE15" i="9"/>
  <c r="AD15" i="9"/>
  <c r="C15" i="9"/>
  <c r="BE14" i="9"/>
  <c r="AD14" i="9"/>
  <c r="C14" i="9"/>
  <c r="BQ13" i="9"/>
  <c r="BE13" i="9"/>
  <c r="AV13" i="9"/>
  <c r="AP13" i="9"/>
  <c r="AF13" i="9"/>
  <c r="AD13" i="9"/>
  <c r="U13" i="9"/>
  <c r="C13" i="9"/>
  <c r="BE12" i="9"/>
  <c r="AY12" i="9"/>
  <c r="AX12" i="9"/>
  <c r="AS12" i="9"/>
  <c r="AR12" i="9"/>
  <c r="AD12" i="9"/>
  <c r="C12" i="9"/>
  <c r="BG11" i="9"/>
  <c r="BE11" i="9"/>
  <c r="AD11" i="9"/>
  <c r="C11" i="9"/>
  <c r="BG10" i="9"/>
  <c r="BE10" i="9"/>
  <c r="AD10" i="9"/>
  <c r="E10" i="9"/>
  <c r="C10" i="9"/>
  <c r="BO9" i="9"/>
  <c r="BG299" i="9" s="1"/>
  <c r="BN9" i="9"/>
  <c r="BM9" i="9"/>
  <c r="BL9" i="9"/>
  <c r="BK9" i="9"/>
  <c r="BJ9" i="9"/>
  <c r="BE9" i="9"/>
  <c r="AN9" i="9"/>
  <c r="AF299" i="9" s="1"/>
  <c r="AM9" i="9"/>
  <c r="AL9" i="9"/>
  <c r="AK9" i="9"/>
  <c r="AJ9" i="9"/>
  <c r="AI9" i="9"/>
  <c r="AD9" i="9"/>
  <c r="C9" i="9"/>
  <c r="BI8" i="9"/>
  <c r="BE8" i="9"/>
  <c r="AH8" i="9"/>
  <c r="AD8" i="9"/>
  <c r="C8" i="9"/>
  <c r="BE7" i="9"/>
  <c r="AD7" i="9"/>
  <c r="C7" i="9"/>
  <c r="BE6" i="9"/>
  <c r="AD6" i="9"/>
  <c r="C6" i="9"/>
  <c r="BE5" i="9"/>
  <c r="AD5" i="9"/>
  <c r="C5" i="9"/>
  <c r="BE4" i="9"/>
  <c r="AD4" i="9"/>
  <c r="C4" i="9"/>
  <c r="BG3" i="9"/>
  <c r="BF3" i="9"/>
  <c r="AF3" i="9"/>
  <c r="AE3" i="9"/>
  <c r="AE298" i="9" s="1"/>
  <c r="E3" i="9"/>
  <c r="D3" i="9"/>
  <c r="E1018" i="8"/>
  <c r="E1017" i="8"/>
  <c r="V1016" i="8"/>
  <c r="T1016" i="8"/>
  <c r="U1016" i="8" s="1"/>
  <c r="R1016" i="8"/>
  <c r="S1016" i="8" s="1"/>
  <c r="L1016" i="8"/>
  <c r="O1015" i="8"/>
  <c r="E1014" i="8"/>
  <c r="E1013" i="8"/>
  <c r="N1005" i="8"/>
  <c r="N1015" i="8" s="1"/>
  <c r="M1005" i="8"/>
  <c r="M1015" i="8" s="1"/>
  <c r="E1005" i="8"/>
  <c r="N1002" i="8"/>
  <c r="E1002" i="8"/>
  <c r="N1001" i="8"/>
  <c r="E1001" i="8"/>
  <c r="M13" i="8"/>
  <c r="D13" i="8"/>
  <c r="N12" i="8"/>
  <c r="M12" i="8"/>
  <c r="E12" i="8"/>
  <c r="D12" i="8"/>
  <c r="N11" i="8"/>
  <c r="M11" i="8"/>
  <c r="O1005" i="8" s="1"/>
  <c r="E11" i="8"/>
  <c r="D11" i="8"/>
  <c r="F1005" i="8" s="1"/>
  <c r="N10" i="8"/>
  <c r="M10" i="8"/>
  <c r="E10" i="8"/>
  <c r="D10" i="8"/>
  <c r="N9" i="8"/>
  <c r="M9" i="8"/>
  <c r="E9" i="8"/>
  <c r="D9" i="8"/>
  <c r="D1005" i="8" s="1"/>
  <c r="N8" i="8"/>
  <c r="M8" i="8"/>
  <c r="E8" i="8"/>
  <c r="D8" i="8"/>
  <c r="BX13" i="7"/>
  <c r="BO13" i="7"/>
  <c r="BF13" i="7"/>
  <c r="AW13" i="7"/>
  <c r="AN13" i="7"/>
  <c r="AE13" i="7"/>
  <c r="V13" i="7"/>
  <c r="M13" i="7"/>
  <c r="D13" i="7"/>
  <c r="BX12" i="7"/>
  <c r="BO12" i="7"/>
  <c r="BF12" i="7"/>
  <c r="AW12" i="7"/>
  <c r="AN12" i="7"/>
  <c r="AE12" i="7"/>
  <c r="V12" i="7"/>
  <c r="M12" i="7"/>
  <c r="D12" i="7"/>
  <c r="BX11" i="7"/>
  <c r="BO11" i="7"/>
  <c r="BF11" i="7"/>
  <c r="AW11" i="7"/>
  <c r="AN11" i="7"/>
  <c r="AE11" i="7"/>
  <c r="V11" i="7"/>
  <c r="M11" i="7"/>
  <c r="D11" i="7"/>
  <c r="BX10" i="7"/>
  <c r="BO10" i="7"/>
  <c r="BF10" i="7"/>
  <c r="AW10" i="7"/>
  <c r="AN10" i="7"/>
  <c r="AE10" i="7"/>
  <c r="V10" i="7"/>
  <c r="M10" i="7"/>
  <c r="D10" i="7"/>
  <c r="BX9" i="7"/>
  <c r="BO9" i="7"/>
  <c r="BF9" i="7"/>
  <c r="AW9" i="7"/>
  <c r="AN9" i="7"/>
  <c r="AE9" i="7"/>
  <c r="V9" i="7"/>
  <c r="M9" i="7"/>
  <c r="D9" i="7"/>
  <c r="BX8" i="7"/>
  <c r="BO8" i="7"/>
  <c r="BF8" i="7"/>
  <c r="AW8" i="7"/>
  <c r="AN8" i="7"/>
  <c r="AE8" i="7"/>
  <c r="V8" i="7"/>
  <c r="M8" i="7"/>
  <c r="D8" i="7"/>
  <c r="AC1120" i="6"/>
  <c r="O1024" i="6"/>
  <c r="P1024" i="6" s="1"/>
  <c r="I1024" i="6"/>
  <c r="E1019" i="8" s="1"/>
  <c r="O1023" i="6"/>
  <c r="P1023" i="6" s="1"/>
  <c r="I1023" i="6"/>
  <c r="O1022" i="6"/>
  <c r="P1022" i="6" s="1"/>
  <c r="I1022" i="6"/>
  <c r="O1021" i="6"/>
  <c r="P1021" i="6" s="1"/>
  <c r="I1021" i="6"/>
  <c r="E1016" i="8" s="1"/>
  <c r="O1020" i="6"/>
  <c r="P1020" i="6" s="1"/>
  <c r="I1020" i="6"/>
  <c r="E1015" i="8" s="1"/>
  <c r="O1019" i="6"/>
  <c r="P1019" i="6" s="1"/>
  <c r="I1019" i="6"/>
  <c r="O1018" i="6"/>
  <c r="P1018" i="6" s="1"/>
  <c r="I1018" i="6"/>
  <c r="O1017" i="6"/>
  <c r="P1017" i="6" s="1"/>
  <c r="I1017" i="6"/>
  <c r="E1012" i="8" s="1"/>
  <c r="AE1016" i="6"/>
  <c r="AF1016" i="6" s="1"/>
  <c r="AC1016" i="6"/>
  <c r="AD1016" i="6" s="1"/>
  <c r="AA1016" i="6"/>
  <c r="AB1016" i="6" s="1"/>
  <c r="U1016" i="6"/>
  <c r="O1016" i="6"/>
  <c r="P1016" i="6" s="1"/>
  <c r="I1016" i="6"/>
  <c r="E1011" i="8" s="1"/>
  <c r="L1015" i="6"/>
  <c r="K1015" i="6"/>
  <c r="J1015" i="6"/>
  <c r="T902" i="6"/>
  <c r="H902" i="6"/>
  <c r="T901" i="6"/>
  <c r="H901" i="6"/>
  <c r="B292" i="6"/>
  <c r="E292" i="9" s="1"/>
  <c r="B291" i="6"/>
  <c r="E291" i="9" s="1"/>
  <c r="B290" i="6"/>
  <c r="AF290" i="9" s="1"/>
  <c r="B289" i="6"/>
  <c r="B288" i="6"/>
  <c r="B287" i="6"/>
  <c r="B286" i="6"/>
  <c r="D286" i="6" s="1"/>
  <c r="B285" i="6"/>
  <c r="B284" i="6"/>
  <c r="E284" i="9" s="1"/>
  <c r="B283" i="6"/>
  <c r="E283" i="9" s="1"/>
  <c r="B282" i="6"/>
  <c r="D282" i="6" s="1"/>
  <c r="B281" i="6"/>
  <c r="D281" i="6" s="1"/>
  <c r="B280" i="6"/>
  <c r="BG280" i="9" s="1"/>
  <c r="B279" i="6"/>
  <c r="D278" i="6"/>
  <c r="B278" i="6"/>
  <c r="CC278" i="10" s="1"/>
  <c r="B277" i="6"/>
  <c r="B276" i="6"/>
  <c r="D276" i="6" s="1"/>
  <c r="B275" i="6"/>
  <c r="D275" i="6" s="1"/>
  <c r="E275" i="10" s="1"/>
  <c r="B274" i="6"/>
  <c r="B273" i="6"/>
  <c r="B272" i="6"/>
  <c r="D272" i="6" s="1"/>
  <c r="B271" i="6"/>
  <c r="D271" i="6" s="1"/>
  <c r="B270" i="6"/>
  <c r="AF270" i="9" s="1"/>
  <c r="B269" i="6"/>
  <c r="B268" i="6"/>
  <c r="B267" i="6"/>
  <c r="E267" i="9" s="1"/>
  <c r="D266" i="6"/>
  <c r="AD266" i="10" s="1"/>
  <c r="B266" i="6"/>
  <c r="B265" i="6"/>
  <c r="B264" i="6"/>
  <c r="B263" i="6"/>
  <c r="D263" i="6" s="1"/>
  <c r="B262" i="6"/>
  <c r="D261" i="6"/>
  <c r="B261" i="6"/>
  <c r="B260" i="6"/>
  <c r="D260" i="6" s="1"/>
  <c r="B259" i="6"/>
  <c r="E259" i="9" s="1"/>
  <c r="B258" i="6"/>
  <c r="BG258" i="9" s="1"/>
  <c r="B257" i="6"/>
  <c r="E257" i="9" s="1"/>
  <c r="B256" i="6"/>
  <c r="B255" i="6"/>
  <c r="BG255" i="9" s="1"/>
  <c r="B254" i="6"/>
  <c r="E254" i="9" s="1"/>
  <c r="B253" i="6"/>
  <c r="E253" i="9" s="1"/>
  <c r="B252" i="6"/>
  <c r="B251" i="6"/>
  <c r="AF251" i="9" s="1"/>
  <c r="B250" i="6"/>
  <c r="BG250" i="9" s="1"/>
  <c r="B249" i="6"/>
  <c r="B248" i="6"/>
  <c r="B247" i="6"/>
  <c r="CC247" i="10" s="1"/>
  <c r="B246" i="6"/>
  <c r="B245" i="6"/>
  <c r="E245" i="9" s="1"/>
  <c r="B244" i="6"/>
  <c r="B243" i="6"/>
  <c r="B242" i="6"/>
  <c r="B241" i="6"/>
  <c r="D241" i="6" s="1"/>
  <c r="B240" i="6"/>
  <c r="B239" i="6"/>
  <c r="B238" i="6"/>
  <c r="CC238" i="10" s="1"/>
  <c r="B237" i="6"/>
  <c r="B236" i="6"/>
  <c r="D236" i="6" s="1"/>
  <c r="B235" i="6"/>
  <c r="CC235" i="10" s="1"/>
  <c r="B234" i="6"/>
  <c r="B233" i="6"/>
  <c r="CC233" i="10" s="1"/>
  <c r="B232" i="6"/>
  <c r="D232" i="6" s="1"/>
  <c r="B231" i="6"/>
  <c r="D230" i="6"/>
  <c r="B230" i="6"/>
  <c r="B229" i="6"/>
  <c r="B228" i="6"/>
  <c r="B227" i="6"/>
  <c r="B226" i="6"/>
  <c r="D226" i="6" s="1"/>
  <c r="E226" i="6" s="1"/>
  <c r="B225" i="6"/>
  <c r="B224" i="6"/>
  <c r="D224" i="6" s="1"/>
  <c r="B223" i="6"/>
  <c r="B222" i="6"/>
  <c r="B221" i="6"/>
  <c r="B220" i="6"/>
  <c r="B219" i="6"/>
  <c r="AF219" i="9" s="1"/>
  <c r="B218" i="6"/>
  <c r="BG218" i="9" s="1"/>
  <c r="B217" i="6"/>
  <c r="D217" i="6" s="1"/>
  <c r="B216" i="6"/>
  <c r="D216" i="6" s="1"/>
  <c r="B215" i="6"/>
  <c r="B214" i="6"/>
  <c r="BG214" i="9" s="1"/>
  <c r="B213" i="6"/>
  <c r="CC213" i="10" s="1"/>
  <c r="B212" i="6"/>
  <c r="B211" i="6"/>
  <c r="B210" i="6"/>
  <c r="D210" i="6" s="1"/>
  <c r="B209" i="6"/>
  <c r="B208" i="6"/>
  <c r="D208" i="6" s="1"/>
  <c r="B207" i="6"/>
  <c r="E207" i="9" s="1"/>
  <c r="B206" i="6"/>
  <c r="AF206" i="9" s="1"/>
  <c r="B205" i="6"/>
  <c r="D204" i="6"/>
  <c r="E204" i="10" s="1"/>
  <c r="B204" i="6"/>
  <c r="B203" i="6"/>
  <c r="CC203" i="10" s="1"/>
  <c r="B202" i="6"/>
  <c r="D202" i="6" s="1"/>
  <c r="B201" i="6"/>
  <c r="B200" i="6"/>
  <c r="B199" i="6"/>
  <c r="D199" i="6" s="1"/>
  <c r="B198" i="6"/>
  <c r="D198" i="6" s="1"/>
  <c r="B197" i="6"/>
  <c r="B196" i="6"/>
  <c r="AF196" i="9" s="1"/>
  <c r="B195" i="6"/>
  <c r="B194" i="6"/>
  <c r="BG194" i="9" s="1"/>
  <c r="B193" i="6"/>
  <c r="B192" i="6"/>
  <c r="B191" i="6"/>
  <c r="D191" i="6" s="1"/>
  <c r="B190" i="6"/>
  <c r="CC190" i="10" s="1"/>
  <c r="B189" i="6"/>
  <c r="E189" i="9" s="1"/>
  <c r="B188" i="6"/>
  <c r="D188" i="6" s="1"/>
  <c r="B187" i="6"/>
  <c r="E187" i="9" s="1"/>
  <c r="B186" i="6"/>
  <c r="B185" i="6"/>
  <c r="E185" i="9" s="1"/>
  <c r="B184" i="6"/>
  <c r="B183" i="6"/>
  <c r="B182" i="6"/>
  <c r="CC182" i="10" s="1"/>
  <c r="B181" i="6"/>
  <c r="D180" i="6"/>
  <c r="B180" i="6"/>
  <c r="B179" i="6"/>
  <c r="AF179" i="9" s="1"/>
  <c r="B178" i="6"/>
  <c r="BG178" i="9" s="1"/>
  <c r="B177" i="6"/>
  <c r="B176" i="6"/>
  <c r="AF176" i="9" s="1"/>
  <c r="B175" i="6"/>
  <c r="D175" i="6" s="1"/>
  <c r="B174" i="6"/>
  <c r="D174" i="6" s="1"/>
  <c r="B173" i="6"/>
  <c r="B172" i="6"/>
  <c r="CC172" i="10" s="1"/>
  <c r="B171" i="6"/>
  <c r="BG171" i="9" s="1"/>
  <c r="B170" i="6"/>
  <c r="B169" i="6"/>
  <c r="CC169" i="10" s="1"/>
  <c r="B168" i="6"/>
  <c r="B167" i="6"/>
  <c r="E167" i="9" s="1"/>
  <c r="B166" i="6"/>
  <c r="D166" i="6" s="1"/>
  <c r="B165" i="6"/>
  <c r="BG165" i="9" s="1"/>
  <c r="B164" i="6"/>
  <c r="B163" i="6"/>
  <c r="B162" i="6"/>
  <c r="CC162" i="10" s="1"/>
  <c r="B161" i="6"/>
  <c r="AF161" i="9" s="1"/>
  <c r="B160" i="6"/>
  <c r="AF160" i="9" s="1"/>
  <c r="B159" i="6"/>
  <c r="B158" i="6"/>
  <c r="CC158" i="10" s="1"/>
  <c r="B157" i="6"/>
  <c r="E157" i="9" s="1"/>
  <c r="B156" i="6"/>
  <c r="B155" i="6"/>
  <c r="E155" i="9" s="1"/>
  <c r="B154" i="6"/>
  <c r="D154" i="6" s="1"/>
  <c r="B153" i="6"/>
  <c r="D153" i="6" s="1"/>
  <c r="B152" i="6"/>
  <c r="BG152" i="9" s="1"/>
  <c r="B151" i="6"/>
  <c r="D151" i="6" s="1"/>
  <c r="B150" i="6"/>
  <c r="AF150" i="9" s="1"/>
  <c r="B149" i="6"/>
  <c r="B148" i="6"/>
  <c r="D148" i="6" s="1"/>
  <c r="B147" i="6"/>
  <c r="B146" i="6"/>
  <c r="D145" i="6"/>
  <c r="B145" i="6"/>
  <c r="CC145" i="10" s="1"/>
  <c r="B144" i="6"/>
  <c r="D144" i="6" s="1"/>
  <c r="E144" i="10" s="1"/>
  <c r="B143" i="6"/>
  <c r="AF143" i="9" s="1"/>
  <c r="B142" i="6"/>
  <c r="D142" i="6" s="1"/>
  <c r="B141" i="6"/>
  <c r="B140" i="6"/>
  <c r="D140" i="6" s="1"/>
  <c r="B139" i="6"/>
  <c r="B138" i="6"/>
  <c r="D138" i="6" s="1"/>
  <c r="B137" i="6"/>
  <c r="B136" i="6"/>
  <c r="BG136" i="9" s="1"/>
  <c r="B135" i="6"/>
  <c r="B134" i="6"/>
  <c r="B133" i="6"/>
  <c r="B132" i="6"/>
  <c r="B131" i="6"/>
  <c r="B130" i="6"/>
  <c r="BG130" i="9" s="1"/>
  <c r="B129" i="6"/>
  <c r="BG129" i="9" s="1"/>
  <c r="B128" i="6"/>
  <c r="D128" i="6" s="1"/>
  <c r="E128" i="10" s="1"/>
  <c r="B127" i="6"/>
  <c r="D127" i="6" s="1"/>
  <c r="E127" i="11" s="1"/>
  <c r="B126" i="6"/>
  <c r="BG126" i="9" s="1"/>
  <c r="B125" i="6"/>
  <c r="CC125" i="10" s="1"/>
  <c r="D124" i="6"/>
  <c r="B124" i="6"/>
  <c r="D123" i="6"/>
  <c r="B123" i="6"/>
  <c r="BG123" i="9" s="1"/>
  <c r="B122" i="6"/>
  <c r="D122" i="6" s="1"/>
  <c r="B121" i="6"/>
  <c r="D121" i="6" s="1"/>
  <c r="B120" i="6"/>
  <c r="D120" i="6" s="1"/>
  <c r="B119" i="6"/>
  <c r="AF119" i="9" s="1"/>
  <c r="B118" i="6"/>
  <c r="B117" i="6"/>
  <c r="AF117" i="9" s="1"/>
  <c r="B116" i="6"/>
  <c r="CC116" i="10" s="1"/>
  <c r="B115" i="6"/>
  <c r="D115" i="6" s="1"/>
  <c r="BC115" i="10" s="1"/>
  <c r="B114" i="6"/>
  <c r="AF114" i="9" s="1"/>
  <c r="B113" i="6"/>
  <c r="B112" i="6"/>
  <c r="B111" i="6"/>
  <c r="D111" i="6" s="1"/>
  <c r="B110" i="6"/>
  <c r="B109" i="6"/>
  <c r="B108" i="6"/>
  <c r="BG108" i="9" s="1"/>
  <c r="B107" i="6"/>
  <c r="D107" i="6" s="1"/>
  <c r="B106" i="6"/>
  <c r="CC106" i="10" s="1"/>
  <c r="B105" i="6"/>
  <c r="B104" i="6"/>
  <c r="AF104" i="9" s="1"/>
  <c r="B103" i="6"/>
  <c r="AF103" i="9" s="1"/>
  <c r="B102" i="6"/>
  <c r="B101" i="6"/>
  <c r="B100" i="6"/>
  <c r="CC100" i="10" s="1"/>
  <c r="B99" i="6"/>
  <c r="BG99" i="9" s="1"/>
  <c r="B98" i="6"/>
  <c r="B97" i="6"/>
  <c r="B96" i="6"/>
  <c r="D96" i="6" s="1"/>
  <c r="B95" i="6"/>
  <c r="CC95" i="10" s="1"/>
  <c r="B94" i="6"/>
  <c r="BG94" i="9" s="1"/>
  <c r="B93" i="6"/>
  <c r="B92" i="6"/>
  <c r="CC92" i="10" s="1"/>
  <c r="B91" i="6"/>
  <c r="E91" i="9" s="1"/>
  <c r="D90" i="6"/>
  <c r="B90" i="6"/>
  <c r="D89" i="6"/>
  <c r="B89" i="6"/>
  <c r="B88" i="6"/>
  <c r="B87" i="6"/>
  <c r="B86" i="6"/>
  <c r="CC86" i="10" s="1"/>
  <c r="B85" i="6"/>
  <c r="E85" i="9" s="1"/>
  <c r="B84" i="6"/>
  <c r="B83" i="6"/>
  <c r="D83" i="6" s="1"/>
  <c r="E83" i="10" s="1"/>
  <c r="B82" i="6"/>
  <c r="B81" i="6"/>
  <c r="D80" i="6"/>
  <c r="B80" i="6"/>
  <c r="B79" i="6"/>
  <c r="AF79" i="9" s="1"/>
  <c r="B78" i="6"/>
  <c r="BG78" i="9" s="1"/>
  <c r="B77" i="6"/>
  <c r="D77" i="6" s="1"/>
  <c r="BC77" i="10" s="1"/>
  <c r="B76" i="6"/>
  <c r="B75" i="6"/>
  <c r="BG75" i="9" s="1"/>
  <c r="B74" i="6"/>
  <c r="B73" i="6"/>
  <c r="AF73" i="9" s="1"/>
  <c r="D72" i="6"/>
  <c r="B72" i="6"/>
  <c r="AF72" i="9" s="1"/>
  <c r="B71" i="6"/>
  <c r="CC71" i="10" s="1"/>
  <c r="D70" i="6"/>
  <c r="AD70" i="10" s="1"/>
  <c r="B70" i="6"/>
  <c r="B69" i="6"/>
  <c r="CC69" i="10" s="1"/>
  <c r="B68" i="6"/>
  <c r="B67" i="6"/>
  <c r="E67" i="9" s="1"/>
  <c r="B66" i="6"/>
  <c r="B65" i="6"/>
  <c r="D65" i="6" s="1"/>
  <c r="B64" i="6"/>
  <c r="CC64" i="10" s="1"/>
  <c r="B63" i="6"/>
  <c r="B62" i="6"/>
  <c r="B61" i="6"/>
  <c r="B60" i="6"/>
  <c r="D60" i="6" s="1"/>
  <c r="B59" i="6"/>
  <c r="D59" i="6" s="1"/>
  <c r="B58" i="6"/>
  <c r="E58" i="9" s="1"/>
  <c r="B57" i="6"/>
  <c r="BG57" i="9" s="1"/>
  <c r="B56" i="6"/>
  <c r="E56" i="9" s="1"/>
  <c r="B55" i="6"/>
  <c r="AF55" i="9" s="1"/>
  <c r="D54" i="6"/>
  <c r="B54" i="6"/>
  <c r="B53" i="6"/>
  <c r="D53" i="6" s="1"/>
  <c r="B52" i="6"/>
  <c r="B51" i="6"/>
  <c r="D51" i="6" s="1"/>
  <c r="B50" i="6"/>
  <c r="E50" i="9" s="1"/>
  <c r="B49" i="6"/>
  <c r="B48" i="6"/>
  <c r="D48" i="6" s="1"/>
  <c r="B47" i="6"/>
  <c r="D47" i="6" s="1"/>
  <c r="B46" i="6"/>
  <c r="E46" i="9" s="1"/>
  <c r="B45" i="6"/>
  <c r="B44" i="6"/>
  <c r="CC44" i="10" s="1"/>
  <c r="B43" i="6"/>
  <c r="CC43" i="10" s="1"/>
  <c r="B42" i="6"/>
  <c r="AF42" i="9" s="1"/>
  <c r="B41" i="6"/>
  <c r="B40" i="6"/>
  <c r="AF40" i="9" s="1"/>
  <c r="B39" i="6"/>
  <c r="BG39" i="9" s="1"/>
  <c r="B38" i="6"/>
  <c r="CC38" i="10" s="1"/>
  <c r="B37" i="6"/>
  <c r="D37" i="6" s="1"/>
  <c r="BC37" i="10" s="1"/>
  <c r="B36" i="6"/>
  <c r="D36" i="6" s="1"/>
  <c r="B35" i="6"/>
  <c r="BG35" i="9" s="1"/>
  <c r="B34" i="6"/>
  <c r="B33" i="6"/>
  <c r="B32" i="6"/>
  <c r="B31" i="6"/>
  <c r="D30" i="6"/>
  <c r="B30" i="6"/>
  <c r="B29" i="6"/>
  <c r="B28" i="6"/>
  <c r="BG28" i="9" s="1"/>
  <c r="B27" i="6"/>
  <c r="D27" i="6" s="1"/>
  <c r="B26" i="6"/>
  <c r="B25" i="6"/>
  <c r="CC25" i="10" s="1"/>
  <c r="B24" i="6"/>
  <c r="B23" i="6"/>
  <c r="D23" i="6" s="1"/>
  <c r="B22" i="6"/>
  <c r="B21" i="6"/>
  <c r="AF21" i="9" s="1"/>
  <c r="B20" i="6"/>
  <c r="X19" i="6"/>
  <c r="Y19" i="6" s="1"/>
  <c r="B19" i="6"/>
  <c r="B18" i="6"/>
  <c r="B17" i="6"/>
  <c r="CC17" i="10" s="1"/>
  <c r="W16" i="6"/>
  <c r="B16" i="6"/>
  <c r="CC16" i="10" s="1"/>
  <c r="B15" i="6"/>
  <c r="AF15" i="9" s="1"/>
  <c r="B14" i="6"/>
  <c r="BG14" i="9" s="1"/>
  <c r="B13" i="6"/>
  <c r="J12" i="6"/>
  <c r="J13" i="6" s="1"/>
  <c r="B12" i="6"/>
  <c r="E12" i="9" s="1"/>
  <c r="V11" i="6"/>
  <c r="V12" i="6" s="1"/>
  <c r="V13" i="6" s="1"/>
  <c r="J11" i="6"/>
  <c r="L19" i="6" s="1"/>
  <c r="B11" i="6"/>
  <c r="D11" i="6" s="1"/>
  <c r="V10" i="6"/>
  <c r="Y21" i="6" s="1"/>
  <c r="J10" i="6"/>
  <c r="M21" i="6" s="1"/>
  <c r="B10" i="6"/>
  <c r="AF10" i="9" s="1"/>
  <c r="B9" i="6"/>
  <c r="AF9" i="9" s="1"/>
  <c r="B8" i="6"/>
  <c r="AF8" i="9" s="1"/>
  <c r="B7" i="6"/>
  <c r="D7" i="6" s="1"/>
  <c r="AD7" i="10" s="1"/>
  <c r="B6" i="6"/>
  <c r="J5" i="6"/>
  <c r="K16" i="6" s="1"/>
  <c r="B5" i="6"/>
  <c r="E5" i="9" s="1"/>
  <c r="B4" i="6"/>
  <c r="D4" i="6" s="1"/>
  <c r="E4" i="10" s="1"/>
  <c r="J304" i="5"/>
  <c r="I304" i="5"/>
  <c r="BP12" i="7" s="1"/>
  <c r="H304" i="5"/>
  <c r="G304" i="5"/>
  <c r="AX12" i="7" s="1"/>
  <c r="F304" i="5"/>
  <c r="E304" i="5"/>
  <c r="D304" i="5"/>
  <c r="W12" i="7" s="1"/>
  <c r="C304" i="5"/>
  <c r="B304" i="5"/>
  <c r="J303" i="5"/>
  <c r="I303" i="5"/>
  <c r="H303" i="5"/>
  <c r="BG11" i="7" s="1"/>
  <c r="G303" i="5"/>
  <c r="AX11" i="7" s="1"/>
  <c r="F303" i="5"/>
  <c r="AO11" i="7" s="1"/>
  <c r="E303" i="5"/>
  <c r="AF11" i="7" s="1"/>
  <c r="D303" i="5"/>
  <c r="C303" i="5"/>
  <c r="N11" i="7" s="1"/>
  <c r="B303" i="5"/>
  <c r="E11" i="7" s="1"/>
  <c r="J302" i="5"/>
  <c r="BY10" i="7" s="1"/>
  <c r="I302" i="5"/>
  <c r="BP10" i="7" s="1"/>
  <c r="H302" i="5"/>
  <c r="BG10" i="7" s="1"/>
  <c r="G302" i="5"/>
  <c r="F302" i="5"/>
  <c r="AO10" i="7" s="1"/>
  <c r="E302" i="5"/>
  <c r="AF10" i="7" s="1"/>
  <c r="D302" i="5"/>
  <c r="C302" i="5"/>
  <c r="N10" i="7" s="1"/>
  <c r="B302" i="5"/>
  <c r="E10" i="7" s="1"/>
  <c r="J301" i="5"/>
  <c r="BY9" i="7" s="1"/>
  <c r="I301" i="5"/>
  <c r="H301" i="5"/>
  <c r="G301" i="5"/>
  <c r="F301" i="5"/>
  <c r="E301" i="5"/>
  <c r="D301" i="5"/>
  <c r="W9" i="7" s="1"/>
  <c r="C301" i="5"/>
  <c r="B301" i="5"/>
  <c r="E9" i="7" s="1"/>
  <c r="J300" i="5"/>
  <c r="BY8" i="7" s="1"/>
  <c r="I300" i="5"/>
  <c r="H300" i="5"/>
  <c r="BG8" i="7" s="1"/>
  <c r="G300" i="5"/>
  <c r="AX8" i="7" s="1"/>
  <c r="F300" i="5"/>
  <c r="AO8" i="7" s="1"/>
  <c r="E300" i="5"/>
  <c r="AF8" i="7" s="1"/>
  <c r="D300" i="5"/>
  <c r="W8" i="7" s="1"/>
  <c r="C300" i="5"/>
  <c r="N8" i="7" s="1"/>
  <c r="B300" i="5"/>
  <c r="E8" i="7" s="1"/>
  <c r="J298" i="5"/>
  <c r="I298" i="5"/>
  <c r="H298" i="5"/>
  <c r="G298" i="5"/>
  <c r="F298" i="5"/>
  <c r="E298" i="5"/>
  <c r="D298" i="5"/>
  <c r="C298" i="5"/>
  <c r="B298" i="5"/>
  <c r="J297" i="5"/>
  <c r="I297" i="5"/>
  <c r="H297" i="5"/>
  <c r="G297" i="5"/>
  <c r="F297" i="5"/>
  <c r="E297" i="5"/>
  <c r="D297" i="5"/>
  <c r="C297" i="5"/>
  <c r="B297" i="5"/>
  <c r="J295" i="5"/>
  <c r="I295" i="5"/>
  <c r="H295" i="5"/>
  <c r="G295" i="5"/>
  <c r="F295" i="5"/>
  <c r="E295" i="5"/>
  <c r="D295" i="5"/>
  <c r="C295" i="5"/>
  <c r="B295" i="5"/>
  <c r="J294" i="5"/>
  <c r="J296" i="5" s="1"/>
  <c r="I294" i="5"/>
  <c r="I296" i="5" s="1"/>
  <c r="H294" i="5"/>
  <c r="H296" i="5" s="1"/>
  <c r="G294" i="5"/>
  <c r="G296" i="5" s="1"/>
  <c r="F294" i="5"/>
  <c r="F296" i="5" s="1"/>
  <c r="E294" i="5"/>
  <c r="E296" i="5" s="1"/>
  <c r="D294" i="5"/>
  <c r="D296" i="5" s="1"/>
  <c r="C294" i="5"/>
  <c r="C296" i="5" s="1"/>
  <c r="B294" i="5"/>
  <c r="B296" i="5" s="1"/>
  <c r="K293" i="5"/>
  <c r="K292" i="5"/>
  <c r="K291" i="5"/>
  <c r="K290" i="5"/>
  <c r="K289" i="5"/>
  <c r="K288" i="5"/>
  <c r="K287" i="5"/>
  <c r="K286" i="5"/>
  <c r="K285" i="5"/>
  <c r="K284" i="5"/>
  <c r="K283" i="5"/>
  <c r="K282" i="5"/>
  <c r="K281" i="5"/>
  <c r="K280" i="5"/>
  <c r="K279" i="5"/>
  <c r="K278" i="5"/>
  <c r="K277" i="5"/>
  <c r="K276" i="5"/>
  <c r="K275" i="5"/>
  <c r="K274" i="5"/>
  <c r="K273" i="5"/>
  <c r="K272" i="5"/>
  <c r="K271" i="5"/>
  <c r="K270" i="5"/>
  <c r="K269" i="5"/>
  <c r="K268" i="5"/>
  <c r="K267" i="5"/>
  <c r="K266" i="5"/>
  <c r="K265" i="5"/>
  <c r="K264" i="5"/>
  <c r="K263" i="5"/>
  <c r="K262" i="5"/>
  <c r="K261" i="5"/>
  <c r="K260" i="5"/>
  <c r="K259" i="5"/>
  <c r="K258" i="5"/>
  <c r="K257" i="5"/>
  <c r="K256" i="5"/>
  <c r="K255" i="5"/>
  <c r="K254" i="5"/>
  <c r="K253" i="5"/>
  <c r="K252" i="5"/>
  <c r="K251" i="5"/>
  <c r="K250" i="5"/>
  <c r="K249" i="5"/>
  <c r="K248" i="5"/>
  <c r="K247" i="5"/>
  <c r="K246" i="5"/>
  <c r="K245" i="5"/>
  <c r="K244" i="5"/>
  <c r="K243" i="5"/>
  <c r="K242" i="5"/>
  <c r="K241" i="5"/>
  <c r="K240" i="5"/>
  <c r="K239" i="5"/>
  <c r="K238" i="5"/>
  <c r="K237" i="5"/>
  <c r="K236" i="5"/>
  <c r="K235" i="5"/>
  <c r="K234" i="5"/>
  <c r="K233" i="5"/>
  <c r="K232" i="5"/>
  <c r="K231" i="5"/>
  <c r="K230" i="5"/>
  <c r="K229" i="5"/>
  <c r="K228" i="5"/>
  <c r="K227" i="5"/>
  <c r="K226" i="5"/>
  <c r="K225" i="5"/>
  <c r="K224" i="5"/>
  <c r="K223" i="5"/>
  <c r="K222" i="5"/>
  <c r="K221" i="5"/>
  <c r="K220" i="5"/>
  <c r="K219" i="5"/>
  <c r="K218" i="5"/>
  <c r="K217" i="5"/>
  <c r="K216" i="5"/>
  <c r="K215" i="5"/>
  <c r="K214" i="5"/>
  <c r="K213" i="5"/>
  <c r="K212" i="5"/>
  <c r="K211" i="5"/>
  <c r="K210" i="5"/>
  <c r="K209" i="5"/>
  <c r="K208" i="5"/>
  <c r="K207" i="5"/>
  <c r="K206" i="5"/>
  <c r="K205" i="5"/>
  <c r="K204" i="5"/>
  <c r="K203" i="5"/>
  <c r="K202" i="5"/>
  <c r="K201" i="5"/>
  <c r="K200" i="5"/>
  <c r="K199" i="5"/>
  <c r="K198" i="5"/>
  <c r="K197" i="5"/>
  <c r="K196" i="5"/>
  <c r="K195" i="5"/>
  <c r="K194" i="5"/>
  <c r="K193" i="5"/>
  <c r="K192" i="5"/>
  <c r="K191" i="5"/>
  <c r="K190" i="5"/>
  <c r="K189" i="5"/>
  <c r="K188" i="5"/>
  <c r="K187" i="5"/>
  <c r="K186" i="5"/>
  <c r="K185" i="5"/>
  <c r="K184" i="5"/>
  <c r="K183" i="5"/>
  <c r="K182" i="5"/>
  <c r="K181" i="5"/>
  <c r="K180" i="5"/>
  <c r="K179" i="5"/>
  <c r="K178" i="5"/>
  <c r="K177" i="5"/>
  <c r="K176" i="5"/>
  <c r="K175" i="5"/>
  <c r="K174" i="5"/>
  <c r="K173" i="5"/>
  <c r="K172" i="5"/>
  <c r="K171" i="5"/>
  <c r="K170" i="5"/>
  <c r="K169" i="5"/>
  <c r="K168" i="5"/>
  <c r="K167" i="5"/>
  <c r="K166" i="5"/>
  <c r="K165" i="5"/>
  <c r="K164" i="5"/>
  <c r="K163" i="5"/>
  <c r="K162" i="5"/>
  <c r="K161" i="5"/>
  <c r="K160" i="5"/>
  <c r="K159" i="5"/>
  <c r="K158" i="5"/>
  <c r="K157" i="5"/>
  <c r="K156" i="5"/>
  <c r="K155" i="5"/>
  <c r="K154" i="5"/>
  <c r="K153" i="5"/>
  <c r="K152" i="5"/>
  <c r="K151" i="5"/>
  <c r="K150" i="5"/>
  <c r="K149" i="5"/>
  <c r="K148" i="5"/>
  <c r="K147" i="5"/>
  <c r="K146" i="5"/>
  <c r="K145" i="5"/>
  <c r="K144" i="5"/>
  <c r="K143" i="5"/>
  <c r="K142" i="5"/>
  <c r="K141" i="5"/>
  <c r="K140" i="5"/>
  <c r="K139" i="5"/>
  <c r="K138" i="5"/>
  <c r="K137" i="5"/>
  <c r="K136" i="5"/>
  <c r="K135" i="5"/>
  <c r="K134" i="5"/>
  <c r="K133" i="5"/>
  <c r="K132" i="5"/>
  <c r="K131" i="5"/>
  <c r="K130" i="5"/>
  <c r="K129" i="5"/>
  <c r="K128" i="5"/>
  <c r="K127" i="5"/>
  <c r="K126" i="5"/>
  <c r="K125" i="5"/>
  <c r="K124" i="5"/>
  <c r="K123" i="5"/>
  <c r="K122" i="5"/>
  <c r="K121" i="5"/>
  <c r="K120" i="5"/>
  <c r="K119" i="5"/>
  <c r="K118" i="5"/>
  <c r="K117" i="5"/>
  <c r="K116" i="5"/>
  <c r="K115" i="5"/>
  <c r="K114" i="5"/>
  <c r="K113" i="5"/>
  <c r="K112" i="5"/>
  <c r="K111" i="5"/>
  <c r="K110" i="5"/>
  <c r="K109" i="5"/>
  <c r="K108" i="5"/>
  <c r="K107" i="5"/>
  <c r="K106" i="5"/>
  <c r="K105" i="5"/>
  <c r="K104" i="5"/>
  <c r="K103" i="5"/>
  <c r="K102" i="5"/>
  <c r="K101" i="5"/>
  <c r="K100" i="5"/>
  <c r="K99" i="5"/>
  <c r="K98" i="5"/>
  <c r="K97" i="5"/>
  <c r="K96" i="5"/>
  <c r="K95" i="5"/>
  <c r="K94" i="5"/>
  <c r="K93" i="5"/>
  <c r="K92" i="5"/>
  <c r="K91" i="5"/>
  <c r="K90" i="5"/>
  <c r="K89" i="5"/>
  <c r="K88" i="5"/>
  <c r="K87" i="5"/>
  <c r="K86" i="5"/>
  <c r="K85" i="5"/>
  <c r="K84" i="5"/>
  <c r="K83" i="5"/>
  <c r="K82" i="5"/>
  <c r="K81" i="5"/>
  <c r="K80" i="5"/>
  <c r="K79" i="5"/>
  <c r="K78" i="5"/>
  <c r="K77" i="5"/>
  <c r="K76" i="5"/>
  <c r="K75" i="5"/>
  <c r="K74" i="5"/>
  <c r="K73" i="5"/>
  <c r="K72" i="5"/>
  <c r="K71" i="5"/>
  <c r="K70" i="5"/>
  <c r="K69" i="5"/>
  <c r="K68" i="5"/>
  <c r="K67" i="5"/>
  <c r="K66" i="5"/>
  <c r="K65" i="5"/>
  <c r="K64" i="5"/>
  <c r="K63" i="5"/>
  <c r="K62" i="5"/>
  <c r="K61" i="5"/>
  <c r="K60" i="5"/>
  <c r="K59" i="5"/>
  <c r="K58" i="5"/>
  <c r="K57" i="5"/>
  <c r="K56" i="5"/>
  <c r="K55" i="5"/>
  <c r="K54" i="5"/>
  <c r="K53" i="5"/>
  <c r="K52" i="5"/>
  <c r="K51" i="5"/>
  <c r="K50" i="5"/>
  <c r="K49" i="5"/>
  <c r="K48" i="5"/>
  <c r="K47" i="5"/>
  <c r="K46" i="5"/>
  <c r="K45" i="5"/>
  <c r="K44" i="5"/>
  <c r="K43" i="5"/>
  <c r="K42" i="5"/>
  <c r="K41" i="5"/>
  <c r="K40" i="5"/>
  <c r="K39" i="5"/>
  <c r="K38" i="5"/>
  <c r="K37" i="5"/>
  <c r="K36" i="5"/>
  <c r="K35" i="5"/>
  <c r="K34" i="5"/>
  <c r="K33" i="5"/>
  <c r="K32" i="5"/>
  <c r="K31" i="5"/>
  <c r="K30" i="5"/>
  <c r="K29" i="5"/>
  <c r="K28" i="5"/>
  <c r="K27" i="5"/>
  <c r="K26" i="5"/>
  <c r="K25" i="5"/>
  <c r="K24" i="5"/>
  <c r="K23" i="5"/>
  <c r="K22" i="5"/>
  <c r="K21" i="5"/>
  <c r="K20" i="5"/>
  <c r="K19" i="5"/>
  <c r="K18" i="5"/>
  <c r="K17" i="5"/>
  <c r="K16" i="5"/>
  <c r="K15" i="5"/>
  <c r="K14" i="5"/>
  <c r="K13" i="5"/>
  <c r="K12" i="5"/>
  <c r="K11" i="5"/>
  <c r="K10" i="5"/>
  <c r="K9" i="5"/>
  <c r="K8" i="5"/>
  <c r="K7" i="5"/>
  <c r="K6" i="5"/>
  <c r="K5" i="5"/>
  <c r="AF2102" i="4"/>
  <c r="W2102" i="4"/>
  <c r="N2102" i="4"/>
  <c r="E2102" i="4"/>
  <c r="AF2101" i="4"/>
  <c r="W2101" i="4"/>
  <c r="N2101" i="4"/>
  <c r="E2101" i="4"/>
  <c r="AG2013" i="4"/>
  <c r="AF2013" i="4"/>
  <c r="X2013" i="4"/>
  <c r="W2013" i="4"/>
  <c r="O2013" i="4"/>
  <c r="N2013" i="4"/>
  <c r="F2013" i="4"/>
  <c r="E2013" i="4"/>
  <c r="AN1018" i="4"/>
  <c r="AO1018" i="4" s="1"/>
  <c r="AL1018" i="4"/>
  <c r="AM1018" i="4" s="1"/>
  <c r="AJ1018" i="4"/>
  <c r="AK1018" i="4" s="1"/>
  <c r="AD1018" i="4"/>
  <c r="AN1017" i="4"/>
  <c r="AO1017" i="4" s="1"/>
  <c r="AL1017" i="4"/>
  <c r="AM1017" i="4" s="1"/>
  <c r="AJ1017" i="4"/>
  <c r="AK1017" i="4" s="1"/>
  <c r="AD1017" i="4"/>
  <c r="AN1016" i="4"/>
  <c r="AO1016" i="4" s="1"/>
  <c r="AL1016" i="4"/>
  <c r="AM1016" i="4" s="1"/>
  <c r="AJ1016" i="4"/>
  <c r="AK1016" i="4" s="1"/>
  <c r="AD1016" i="4"/>
  <c r="W1016" i="4"/>
  <c r="N1015" i="4"/>
  <c r="N1013" i="4"/>
  <c r="W1012" i="4"/>
  <c r="N1012" i="4"/>
  <c r="E1011" i="4"/>
  <c r="AF1005" i="4"/>
  <c r="AF1015" i="4" s="1"/>
  <c r="W1005" i="4"/>
  <c r="V1005" i="4"/>
  <c r="O1005" i="4"/>
  <c r="N1005" i="4"/>
  <c r="M1005" i="4"/>
  <c r="F1005" i="4"/>
  <c r="D1005" i="4"/>
  <c r="AF1002" i="4"/>
  <c r="W1002" i="4"/>
  <c r="N1002" i="4"/>
  <c r="E1002" i="4"/>
  <c r="AF1001" i="4"/>
  <c r="W1001" i="4"/>
  <c r="N1001" i="4"/>
  <c r="E1001" i="4"/>
  <c r="AE13" i="4"/>
  <c r="V13" i="4"/>
  <c r="M13" i="4"/>
  <c r="D13" i="4"/>
  <c r="AF12" i="4"/>
  <c r="AE12" i="4"/>
  <c r="W12" i="4"/>
  <c r="V12" i="4"/>
  <c r="N12" i="4"/>
  <c r="M12" i="4"/>
  <c r="E12" i="4"/>
  <c r="D12" i="4"/>
  <c r="AF11" i="4"/>
  <c r="AE11" i="4"/>
  <c r="AG1005" i="4" s="1"/>
  <c r="AG1015" i="4" s="1"/>
  <c r="W11" i="4"/>
  <c r="V11" i="4"/>
  <c r="N11" i="4"/>
  <c r="M11" i="4"/>
  <c r="E11" i="4"/>
  <c r="D11" i="4"/>
  <c r="AF10" i="4"/>
  <c r="AE10" i="4"/>
  <c r="W10" i="4"/>
  <c r="V10" i="4"/>
  <c r="N10" i="4"/>
  <c r="M10" i="4"/>
  <c r="E10" i="4"/>
  <c r="D10" i="4"/>
  <c r="E1005" i="4" s="1"/>
  <c r="AF9" i="4"/>
  <c r="AE9" i="4"/>
  <c r="AE1005" i="4" s="1"/>
  <c r="AE1015" i="4" s="1"/>
  <c r="W9" i="4"/>
  <c r="V9" i="4"/>
  <c r="N9" i="4"/>
  <c r="M9" i="4"/>
  <c r="E9" i="4"/>
  <c r="D9" i="4"/>
  <c r="AF8" i="4"/>
  <c r="AE8" i="4"/>
  <c r="W8" i="4"/>
  <c r="V8" i="4"/>
  <c r="N8" i="4"/>
  <c r="M8" i="4"/>
  <c r="E8" i="4"/>
  <c r="D8" i="4"/>
  <c r="ES2058" i="3"/>
  <c r="CQ2058" i="3"/>
  <c r="BP2058" i="3"/>
  <c r="W2058" i="3"/>
  <c r="FB2057" i="3"/>
  <c r="EA2057" i="3"/>
  <c r="DR2057" i="3"/>
  <c r="DI2057" i="3"/>
  <c r="CZ2057" i="3"/>
  <c r="BY2057" i="3"/>
  <c r="BY2060" i="3" s="1"/>
  <c r="AO2057" i="3"/>
  <c r="N2057" i="3"/>
  <c r="ES2056" i="3"/>
  <c r="BY2056" i="3"/>
  <c r="AX2056" i="3"/>
  <c r="AO2056" i="3"/>
  <c r="W2056" i="3"/>
  <c r="W2060" i="3" s="1"/>
  <c r="DZ2054" i="3"/>
  <c r="V2054" i="3"/>
  <c r="BF2053" i="3"/>
  <c r="AO2050" i="3"/>
  <c r="BY2049" i="3"/>
  <c r="BX2049" i="3" s="1"/>
  <c r="BG2049" i="3"/>
  <c r="CI2047" i="3"/>
  <c r="CJ2047" i="3" s="1"/>
  <c r="W2047" i="3"/>
  <c r="X2047" i="3" s="1"/>
  <c r="Y2047" i="3" s="1"/>
  <c r="V2047" i="3"/>
  <c r="BP2046" i="3"/>
  <c r="BG2046" i="3"/>
  <c r="BH2046" i="3" s="1"/>
  <c r="BI2046" i="3" s="1"/>
  <c r="BF2046" i="3"/>
  <c r="AX2046" i="3"/>
  <c r="AP2046" i="3"/>
  <c r="AQ2046" i="3" s="1"/>
  <c r="AO2046" i="3"/>
  <c r="AN2046" i="3" s="1"/>
  <c r="FA2013" i="3"/>
  <c r="ER2013" i="3"/>
  <c r="EI2013" i="3"/>
  <c r="DZ2013" i="3"/>
  <c r="DQ2013" i="3"/>
  <c r="DJ2013" i="3"/>
  <c r="DI2013" i="3"/>
  <c r="DH2013" i="3"/>
  <c r="DA2013" i="3"/>
  <c r="CY2013" i="3"/>
  <c r="CR2013" i="3"/>
  <c r="CP2013" i="3"/>
  <c r="CG2013" i="3"/>
  <c r="BX2013" i="3"/>
  <c r="BO2013" i="3"/>
  <c r="BH2013" i="3"/>
  <c r="BF2013" i="3"/>
  <c r="AY2013" i="3"/>
  <c r="AW2013" i="3"/>
  <c r="AO2013" i="3"/>
  <c r="AN2013" i="3"/>
  <c r="AE2013" i="3"/>
  <c r="W2013" i="3"/>
  <c r="V2013" i="3"/>
  <c r="O2013" i="3"/>
  <c r="M2013" i="3"/>
  <c r="D2013" i="3"/>
  <c r="FC2012" i="3"/>
  <c r="FB2012" i="3"/>
  <c r="FA2012" i="3"/>
  <c r="ET2012" i="3"/>
  <c r="ES2012" i="3"/>
  <c r="ER2012" i="3"/>
  <c r="EK2012" i="3"/>
  <c r="EJ2012" i="3"/>
  <c r="EI2012" i="3"/>
  <c r="EB2012" i="3"/>
  <c r="EA2012" i="3"/>
  <c r="DZ2012" i="3"/>
  <c r="DS2012" i="3"/>
  <c r="DR2012" i="3"/>
  <c r="DQ2012" i="3"/>
  <c r="DJ2012" i="3"/>
  <c r="DI2012" i="3"/>
  <c r="DH2012" i="3"/>
  <c r="DA2012" i="3"/>
  <c r="CZ2012" i="3"/>
  <c r="CY2012" i="3"/>
  <c r="CR2012" i="3"/>
  <c r="CQ2012" i="3"/>
  <c r="CP2012" i="3"/>
  <c r="CI2012" i="3"/>
  <c r="CG2054" i="3" s="1"/>
  <c r="CH2012" i="3"/>
  <c r="CG2012" i="3"/>
  <c r="BZ2012" i="3"/>
  <c r="BY2012" i="3"/>
  <c r="BX2012" i="3"/>
  <c r="BQ2012" i="3"/>
  <c r="BP2012" i="3"/>
  <c r="BO2012" i="3"/>
  <c r="BH2012" i="3"/>
  <c r="BG2012" i="3"/>
  <c r="BF2012" i="3"/>
  <c r="AY2012" i="3"/>
  <c r="AX2012" i="3"/>
  <c r="AW2012" i="3"/>
  <c r="AP2012" i="3"/>
  <c r="AO2012" i="3"/>
  <c r="AN2012" i="3"/>
  <c r="AG2012" i="3"/>
  <c r="AF2012" i="3"/>
  <c r="AE2012" i="3"/>
  <c r="X2012" i="3"/>
  <c r="W2012" i="3"/>
  <c r="V2012" i="3"/>
  <c r="O2012" i="3"/>
  <c r="N2012" i="3"/>
  <c r="M2012" i="3"/>
  <c r="F2012" i="3"/>
  <c r="E2012" i="3"/>
  <c r="D2012" i="3"/>
  <c r="FC2011" i="3"/>
  <c r="FB2058" i="3" s="1"/>
  <c r="FB2011" i="3"/>
  <c r="FA2011" i="3"/>
  <c r="ET2011" i="3"/>
  <c r="ES2011" i="3"/>
  <c r="ER2011" i="3"/>
  <c r="EK2011" i="3"/>
  <c r="EJ2011" i="3"/>
  <c r="EI2011" i="3"/>
  <c r="EB2011" i="3"/>
  <c r="EA2058" i="3" s="1"/>
  <c r="EA2011" i="3"/>
  <c r="DZ2011" i="3"/>
  <c r="DS2011" i="3"/>
  <c r="DR2058" i="3" s="1"/>
  <c r="DR2011" i="3"/>
  <c r="DQ2011" i="3"/>
  <c r="DJ2011" i="3"/>
  <c r="DI2011" i="3"/>
  <c r="DH2011" i="3"/>
  <c r="DA2011" i="3"/>
  <c r="CZ2058" i="3" s="1"/>
  <c r="CZ2011" i="3"/>
  <c r="CY2011" i="3"/>
  <c r="CR2011" i="3"/>
  <c r="CQ2011" i="3"/>
  <c r="CP2011" i="3"/>
  <c r="CI2011" i="3"/>
  <c r="CH2011" i="3"/>
  <c r="CG2011" i="3"/>
  <c r="BZ2011" i="3"/>
  <c r="BY2058" i="3" s="1"/>
  <c r="BY2011" i="3"/>
  <c r="BX2011" i="3"/>
  <c r="BQ2011" i="3"/>
  <c r="BP2011" i="3"/>
  <c r="BO2011" i="3"/>
  <c r="BH2011" i="3"/>
  <c r="BG2058" i="3" s="1"/>
  <c r="BG2011" i="3"/>
  <c r="BF2011" i="3"/>
  <c r="AY2011" i="3"/>
  <c r="AX2058" i="3" s="1"/>
  <c r="AX2011" i="3"/>
  <c r="AW2011" i="3"/>
  <c r="AP2011" i="3"/>
  <c r="AO2011" i="3"/>
  <c r="AN2011" i="3"/>
  <c r="AG2011" i="3"/>
  <c r="AF2058" i="3" s="1"/>
  <c r="AF2011" i="3"/>
  <c r="AE2011" i="3"/>
  <c r="X2011" i="3"/>
  <c r="W2011" i="3"/>
  <c r="V2011" i="3"/>
  <c r="O2011" i="3"/>
  <c r="N2058" i="3" s="1"/>
  <c r="N2011" i="3"/>
  <c r="M2011" i="3"/>
  <c r="F2011" i="3"/>
  <c r="E2058" i="3" s="1"/>
  <c r="E2011" i="3"/>
  <c r="D2011" i="3"/>
  <c r="FC2010" i="3"/>
  <c r="FB2010" i="3"/>
  <c r="FA2010" i="3"/>
  <c r="ET2010" i="3"/>
  <c r="ES2048" i="3" s="1"/>
  <c r="ES2010" i="3"/>
  <c r="ER2010" i="3"/>
  <c r="EK2010" i="3"/>
  <c r="EJ2010" i="3"/>
  <c r="EI2010" i="3"/>
  <c r="EB2010" i="3"/>
  <c r="EA2010" i="3"/>
  <c r="DZ2010" i="3"/>
  <c r="DS2010" i="3"/>
  <c r="DQ2054" i="3" s="1"/>
  <c r="DR2010" i="3"/>
  <c r="DQ2010" i="3"/>
  <c r="DJ2010" i="3"/>
  <c r="DI2010" i="3"/>
  <c r="DH2010" i="3"/>
  <c r="DA2010" i="3"/>
  <c r="CY2054" i="3" s="1"/>
  <c r="CZ2010" i="3"/>
  <c r="CY2010" i="3"/>
  <c r="CR2010" i="3"/>
  <c r="CQ2010" i="3"/>
  <c r="CP2010" i="3"/>
  <c r="CI2010" i="3"/>
  <c r="CH2057" i="3" s="1"/>
  <c r="CH2010" i="3"/>
  <c r="CG2010" i="3"/>
  <c r="BZ2010" i="3"/>
  <c r="BY2010" i="3"/>
  <c r="BX2010" i="3"/>
  <c r="BQ2010" i="3"/>
  <c r="BP2010" i="3"/>
  <c r="BO2010" i="3"/>
  <c r="BH2010" i="3"/>
  <c r="BG2057" i="3" s="1"/>
  <c r="BG2010" i="3"/>
  <c r="BF2010" i="3"/>
  <c r="AY2010" i="3"/>
  <c r="AX2010" i="3"/>
  <c r="AW2010" i="3"/>
  <c r="AP2010" i="3"/>
  <c r="AO2010" i="3"/>
  <c r="AN2010" i="3"/>
  <c r="AG2010" i="3"/>
  <c r="AF2010" i="3"/>
  <c r="AE2010" i="3"/>
  <c r="X2010" i="3"/>
  <c r="W2057" i="3" s="1"/>
  <c r="W2010" i="3"/>
  <c r="V2010" i="3"/>
  <c r="O2010" i="3"/>
  <c r="N2010" i="3"/>
  <c r="M2010" i="3"/>
  <c r="F2010" i="3"/>
  <c r="E2050" i="3" s="1"/>
  <c r="E2010" i="3"/>
  <c r="D2010" i="3"/>
  <c r="FC2009" i="3"/>
  <c r="FB2009" i="3"/>
  <c r="FA2009" i="3"/>
  <c r="ET2009" i="3"/>
  <c r="ES2009" i="3"/>
  <c r="ER2009" i="3"/>
  <c r="EK2009" i="3"/>
  <c r="EJ2046" i="3" s="1"/>
  <c r="EJ2009" i="3"/>
  <c r="EI2009" i="3"/>
  <c r="EB2009" i="3"/>
  <c r="EA2009" i="3"/>
  <c r="DZ2009" i="3"/>
  <c r="DS2009" i="3"/>
  <c r="DR2047" i="3" s="1"/>
  <c r="DR2009" i="3"/>
  <c r="DQ2009" i="3"/>
  <c r="DJ2009" i="3"/>
  <c r="DI2009" i="3"/>
  <c r="DH2009" i="3"/>
  <c r="DA2009" i="3"/>
  <c r="CZ2009" i="3"/>
  <c r="CY2009" i="3"/>
  <c r="CR2009" i="3"/>
  <c r="CQ2009" i="3"/>
  <c r="CP2009" i="3"/>
  <c r="CI2009" i="3"/>
  <c r="CH2009" i="3"/>
  <c r="CG2009" i="3"/>
  <c r="BZ2009" i="3"/>
  <c r="BY2009" i="3"/>
  <c r="BX2009" i="3"/>
  <c r="BQ2009" i="3"/>
  <c r="BP2048" i="3" s="1"/>
  <c r="BP2009" i="3"/>
  <c r="BO2009" i="3"/>
  <c r="BH2009" i="3"/>
  <c r="BG2009" i="3"/>
  <c r="BF2009" i="3"/>
  <c r="AY2009" i="3"/>
  <c r="AX2009" i="3"/>
  <c r="AW2009" i="3"/>
  <c r="AP2009" i="3"/>
  <c r="AO2009" i="3"/>
  <c r="AN2009" i="3"/>
  <c r="AG2009" i="3"/>
  <c r="AF2009" i="3"/>
  <c r="AE2009" i="3"/>
  <c r="X2009" i="3"/>
  <c r="W2009" i="3"/>
  <c r="V2009" i="3"/>
  <c r="O2009" i="3"/>
  <c r="N2009" i="3"/>
  <c r="M2009" i="3"/>
  <c r="F2009" i="3"/>
  <c r="E2009" i="3"/>
  <c r="D2009" i="3"/>
  <c r="FC2008" i="3"/>
  <c r="FB2008" i="3"/>
  <c r="FA2008" i="3"/>
  <c r="ET2008" i="3"/>
  <c r="ES2008" i="3"/>
  <c r="ER2008" i="3"/>
  <c r="EK2008" i="3"/>
  <c r="EJ2008" i="3"/>
  <c r="EI2008" i="3"/>
  <c r="EB2008" i="3"/>
  <c r="EA2008" i="3"/>
  <c r="DZ2008" i="3"/>
  <c r="DS2008" i="3"/>
  <c r="DR2008" i="3"/>
  <c r="DQ2008" i="3"/>
  <c r="DJ2008" i="3"/>
  <c r="DI2008" i="3"/>
  <c r="DH2008" i="3"/>
  <c r="DA2008" i="3"/>
  <c r="CZ2008" i="3"/>
  <c r="CY2008" i="3"/>
  <c r="CR2008" i="3"/>
  <c r="CQ2008" i="3"/>
  <c r="CP2008" i="3"/>
  <c r="CI2008" i="3"/>
  <c r="CH2047" i="3" s="1"/>
  <c r="CG2047" i="3" s="1"/>
  <c r="CH2008" i="3"/>
  <c r="CG2008" i="3"/>
  <c r="BZ2008" i="3"/>
  <c r="BY2008" i="3"/>
  <c r="BX2008" i="3"/>
  <c r="BQ2008" i="3"/>
  <c r="BP2050" i="3" s="1"/>
  <c r="BO2050" i="3" s="1"/>
  <c r="BP2008" i="3"/>
  <c r="BO2008" i="3"/>
  <c r="BH2008" i="3"/>
  <c r="BG2008" i="3"/>
  <c r="BF2008" i="3"/>
  <c r="AY2008" i="3"/>
  <c r="AX2008" i="3"/>
  <c r="AW2008" i="3"/>
  <c r="AP2008" i="3"/>
  <c r="AO2047" i="3" s="1"/>
  <c r="AO2008" i="3"/>
  <c r="AN2008" i="3"/>
  <c r="AG2008" i="3"/>
  <c r="AF2008" i="3"/>
  <c r="AE2008" i="3"/>
  <c r="X2008" i="3"/>
  <c r="W2008" i="3"/>
  <c r="V2008" i="3"/>
  <c r="O2008" i="3"/>
  <c r="N2056" i="3" s="1"/>
  <c r="N2060" i="3" s="1"/>
  <c r="N2008" i="3"/>
  <c r="M2008" i="3"/>
  <c r="F2008" i="3"/>
  <c r="E2008" i="3"/>
  <c r="D2008" i="3"/>
  <c r="FA13" i="3"/>
  <c r="ER13" i="3"/>
  <c r="EI13" i="3"/>
  <c r="DZ13" i="3"/>
  <c r="DQ13" i="3"/>
  <c r="DH13" i="3"/>
  <c r="CY13" i="3"/>
  <c r="CP13" i="3"/>
  <c r="CG13" i="3"/>
  <c r="BX13" i="3"/>
  <c r="BO13" i="3"/>
  <c r="BF13" i="3"/>
  <c r="AW13" i="3"/>
  <c r="AN13" i="3"/>
  <c r="AE13" i="3"/>
  <c r="V13" i="3"/>
  <c r="M13" i="3"/>
  <c r="D13" i="3"/>
  <c r="FA12" i="3"/>
  <c r="ER12" i="3"/>
  <c r="EI12" i="3"/>
  <c r="DZ12" i="3"/>
  <c r="DQ12" i="3"/>
  <c r="DH12" i="3"/>
  <c r="CY12" i="3"/>
  <c r="CP12" i="3"/>
  <c r="CG12" i="3"/>
  <c r="BX12" i="3"/>
  <c r="BO12" i="3"/>
  <c r="BF12" i="3"/>
  <c r="AW12" i="3"/>
  <c r="AN12" i="3"/>
  <c r="AE12" i="3"/>
  <c r="V12" i="3"/>
  <c r="M12" i="3"/>
  <c r="D12" i="3"/>
  <c r="FA11" i="3"/>
  <c r="ER11" i="3"/>
  <c r="EI11" i="3"/>
  <c r="DZ11" i="3"/>
  <c r="DQ11" i="3"/>
  <c r="DH11" i="3"/>
  <c r="CY11" i="3"/>
  <c r="CP11" i="3"/>
  <c r="CG11" i="3"/>
  <c r="BX11" i="3"/>
  <c r="BO11" i="3"/>
  <c r="BF11" i="3"/>
  <c r="AW11" i="3"/>
  <c r="AN11" i="3"/>
  <c r="AE11" i="3"/>
  <c r="V11" i="3"/>
  <c r="M11" i="3"/>
  <c r="D11" i="3"/>
  <c r="FA10" i="3"/>
  <c r="ER10" i="3"/>
  <c r="EI10" i="3"/>
  <c r="DZ10" i="3"/>
  <c r="DQ10" i="3"/>
  <c r="DH10" i="3"/>
  <c r="CY10" i="3"/>
  <c r="CP10" i="3"/>
  <c r="CG10" i="3"/>
  <c r="BX10" i="3"/>
  <c r="BO10" i="3"/>
  <c r="BF10" i="3"/>
  <c r="AW10" i="3"/>
  <c r="AN10" i="3"/>
  <c r="AE10" i="3"/>
  <c r="V10" i="3"/>
  <c r="M10" i="3"/>
  <c r="D10" i="3"/>
  <c r="FA9" i="3"/>
  <c r="ER9" i="3"/>
  <c r="EI9" i="3"/>
  <c r="DZ9" i="3"/>
  <c r="DQ9" i="3"/>
  <c r="DH9" i="3"/>
  <c r="CY9" i="3"/>
  <c r="CP9" i="3"/>
  <c r="CG9" i="3"/>
  <c r="BX9" i="3"/>
  <c r="BO9" i="3"/>
  <c r="BF9" i="3"/>
  <c r="AW9" i="3"/>
  <c r="AN9" i="3"/>
  <c r="AE9" i="3"/>
  <c r="V9" i="3"/>
  <c r="M9" i="3"/>
  <c r="D9" i="3"/>
  <c r="FA8" i="3"/>
  <c r="ER8" i="3"/>
  <c r="EI8" i="3"/>
  <c r="DZ8" i="3"/>
  <c r="DQ8" i="3"/>
  <c r="DH8" i="3"/>
  <c r="CY8" i="3"/>
  <c r="CP8" i="3"/>
  <c r="CG8" i="3"/>
  <c r="BX8" i="3"/>
  <c r="BO8" i="3"/>
  <c r="BF8" i="3"/>
  <c r="AW8" i="3"/>
  <c r="AN8" i="3"/>
  <c r="AE8" i="3"/>
  <c r="V8" i="3"/>
  <c r="M8" i="3"/>
  <c r="D8" i="3"/>
  <c r="AN2205" i="2"/>
  <c r="AM2205" i="2"/>
  <c r="AL2205" i="2"/>
  <c r="AB2205" i="2"/>
  <c r="AA2205" i="2"/>
  <c r="Z2205" i="2"/>
  <c r="P2205" i="2"/>
  <c r="O2205" i="2"/>
  <c r="N2205" i="2"/>
  <c r="AV2102" i="2"/>
  <c r="X2102" i="2"/>
  <c r="L2102" i="2"/>
  <c r="AV2101" i="2"/>
  <c r="AJ2101" i="2"/>
  <c r="X2101" i="2"/>
  <c r="L2101" i="2"/>
  <c r="Q2021" i="2"/>
  <c r="AN2019" i="2"/>
  <c r="AB2019" i="2"/>
  <c r="BE1120" i="2"/>
  <c r="AQ1021" i="2"/>
  <c r="AR1021" i="2" s="1"/>
  <c r="AK1021" i="2"/>
  <c r="AE1021" i="2"/>
  <c r="AF1021" i="2" s="1"/>
  <c r="Y1021" i="2"/>
  <c r="N1016" i="4" s="1"/>
  <c r="S1021" i="2"/>
  <c r="T1021" i="2" s="1"/>
  <c r="M1021" i="2"/>
  <c r="E1016" i="4" s="1"/>
  <c r="AQ1020" i="2"/>
  <c r="AR1020" i="2" s="1"/>
  <c r="AK1020" i="2"/>
  <c r="W1015" i="4" s="1"/>
  <c r="AE1020" i="2"/>
  <c r="AF1020" i="2" s="1"/>
  <c r="Y1020" i="2"/>
  <c r="S1020" i="2"/>
  <c r="T1020" i="2" s="1"/>
  <c r="M1020" i="2"/>
  <c r="E1015" i="4" s="1"/>
  <c r="AQ1019" i="2"/>
  <c r="AR1019" i="2" s="1"/>
  <c r="AK1019" i="2"/>
  <c r="W1014" i="4" s="1"/>
  <c r="AE1019" i="2"/>
  <c r="AF1019" i="2" s="1"/>
  <c r="Y1019" i="2"/>
  <c r="N1014" i="4" s="1"/>
  <c r="S1019" i="2"/>
  <c r="T1019" i="2" s="1"/>
  <c r="M1019" i="2"/>
  <c r="E1014" i="4" s="1"/>
  <c r="BG1018" i="2"/>
  <c r="BH1018" i="2" s="1"/>
  <c r="BE1018" i="2"/>
  <c r="BF1018" i="2" s="1"/>
  <c r="BC1018" i="2"/>
  <c r="BD1018" i="2" s="1"/>
  <c r="AQ1018" i="2"/>
  <c r="AR1018" i="2" s="1"/>
  <c r="AK1018" i="2"/>
  <c r="W1013" i="4" s="1"/>
  <c r="AE1018" i="2"/>
  <c r="AF1018" i="2" s="1"/>
  <c r="Y1018" i="2"/>
  <c r="S1018" i="2"/>
  <c r="T1018" i="2" s="1"/>
  <c r="M1018" i="2"/>
  <c r="E1013" i="4" s="1"/>
  <c r="BG1017" i="2"/>
  <c r="BH1017" i="2" s="1"/>
  <c r="BE1017" i="2"/>
  <c r="BF1017" i="2" s="1"/>
  <c r="BC1017" i="2"/>
  <c r="BD1017" i="2" s="1"/>
  <c r="AQ1017" i="2"/>
  <c r="AR1017" i="2" s="1"/>
  <c r="AK1017" i="2"/>
  <c r="AE1017" i="2"/>
  <c r="AF1017" i="2" s="1"/>
  <c r="Y1017" i="2"/>
  <c r="S1017" i="2"/>
  <c r="T1017" i="2" s="1"/>
  <c r="M1017" i="2"/>
  <c r="E1012" i="4" s="1"/>
  <c r="BG1016" i="2"/>
  <c r="BH1016" i="2" s="1"/>
  <c r="BE1016" i="2"/>
  <c r="BF1016" i="2" s="1"/>
  <c r="BC1016" i="2"/>
  <c r="BD1016" i="2" s="1"/>
  <c r="AQ1016" i="2"/>
  <c r="AR1016" i="2" s="1"/>
  <c r="AK1016" i="2"/>
  <c r="W1011" i="4" s="1"/>
  <c r="AE1016" i="2"/>
  <c r="AF1016" i="2" s="1"/>
  <c r="Y1016" i="2"/>
  <c r="N1011" i="4" s="1"/>
  <c r="S1016" i="2"/>
  <c r="T1016" i="2" s="1"/>
  <c r="M1016" i="2"/>
  <c r="AN1015" i="2"/>
  <c r="AM1015" i="2"/>
  <c r="AL1015" i="2"/>
  <c r="AB1015" i="2"/>
  <c r="AA1015" i="2"/>
  <c r="Z1015" i="2"/>
  <c r="P1015" i="2"/>
  <c r="O1015" i="2"/>
  <c r="N1015" i="2"/>
  <c r="AV902" i="2"/>
  <c r="L902" i="2"/>
  <c r="AV901" i="2"/>
  <c r="AJ901" i="2"/>
  <c r="X901" i="2"/>
  <c r="L901" i="2"/>
  <c r="F292" i="2"/>
  <c r="D292" i="2"/>
  <c r="B292" i="2"/>
  <c r="F291" i="2"/>
  <c r="D291" i="2"/>
  <c r="B291" i="2"/>
  <c r="F290" i="2"/>
  <c r="BF290" i="9" s="1"/>
  <c r="D290" i="2"/>
  <c r="B290" i="2"/>
  <c r="F289" i="2"/>
  <c r="D289" i="2"/>
  <c r="B289" i="2"/>
  <c r="F288" i="2"/>
  <c r="D288" i="2"/>
  <c r="B288" i="2"/>
  <c r="F287" i="2"/>
  <c r="D287" i="2"/>
  <c r="B287" i="2"/>
  <c r="F286" i="2"/>
  <c r="D286" i="2"/>
  <c r="B286" i="2"/>
  <c r="F285" i="2"/>
  <c r="BB285" i="10" s="1"/>
  <c r="D285" i="2"/>
  <c r="B285" i="2"/>
  <c r="F284" i="2"/>
  <c r="D284" i="2"/>
  <c r="B284" i="2"/>
  <c r="F283" i="2"/>
  <c r="BB283" i="10" s="1"/>
  <c r="D283" i="2"/>
  <c r="B283" i="2"/>
  <c r="F282" i="2"/>
  <c r="BB282" i="10" s="1"/>
  <c r="D282" i="2"/>
  <c r="B282" i="2"/>
  <c r="F281" i="2"/>
  <c r="D281" i="2"/>
  <c r="B281" i="2"/>
  <c r="F280" i="2"/>
  <c r="BB280" i="10" s="1"/>
  <c r="D280" i="2"/>
  <c r="AC280" i="10" s="1"/>
  <c r="B280" i="2"/>
  <c r="D280" i="10" s="1"/>
  <c r="F279" i="2"/>
  <c r="D279" i="2"/>
  <c r="B279" i="2"/>
  <c r="F278" i="2"/>
  <c r="D278" i="2"/>
  <c r="B278" i="2"/>
  <c r="F277" i="2"/>
  <c r="BB277" i="10" s="1"/>
  <c r="D277" i="2"/>
  <c r="B277" i="2"/>
  <c r="F276" i="2"/>
  <c r="D276" i="2"/>
  <c r="B276" i="2"/>
  <c r="F275" i="2"/>
  <c r="D275" i="2"/>
  <c r="B275" i="2"/>
  <c r="F274" i="2"/>
  <c r="BB274" i="10" s="1"/>
  <c r="D274" i="2"/>
  <c r="B274" i="2"/>
  <c r="F273" i="2"/>
  <c r="D273" i="2"/>
  <c r="B273" i="2"/>
  <c r="F272" i="2"/>
  <c r="D272" i="2"/>
  <c r="B272" i="2"/>
  <c r="F271" i="2"/>
  <c r="BB271" i="10" s="1"/>
  <c r="D271" i="2"/>
  <c r="B271" i="2"/>
  <c r="F270" i="2"/>
  <c r="D270" i="2"/>
  <c r="B270" i="2"/>
  <c r="F269" i="2"/>
  <c r="D269" i="2"/>
  <c r="B269" i="2"/>
  <c r="F268" i="2"/>
  <c r="D268" i="2"/>
  <c r="B268" i="2"/>
  <c r="F267" i="2"/>
  <c r="D267" i="2"/>
  <c r="B267" i="2"/>
  <c r="F266" i="2"/>
  <c r="D266" i="2"/>
  <c r="B266" i="2"/>
  <c r="F265" i="2"/>
  <c r="D265" i="2"/>
  <c r="B265" i="2"/>
  <c r="F264" i="2"/>
  <c r="D264" i="2"/>
  <c r="B264" i="2"/>
  <c r="F263" i="2"/>
  <c r="D263" i="2"/>
  <c r="B263" i="2"/>
  <c r="F262" i="2"/>
  <c r="BB262" i="10" s="1"/>
  <c r="D262" i="2"/>
  <c r="B262" i="2"/>
  <c r="F261" i="2"/>
  <c r="D261" i="2"/>
  <c r="B261" i="2"/>
  <c r="F260" i="2"/>
  <c r="D260" i="2"/>
  <c r="B260" i="2"/>
  <c r="F259" i="2"/>
  <c r="BF259" i="9" s="1"/>
  <c r="D259" i="2"/>
  <c r="AC259" i="10" s="1"/>
  <c r="B259" i="2"/>
  <c r="F258" i="2"/>
  <c r="D258" i="2"/>
  <c r="B258" i="2"/>
  <c r="F257" i="2"/>
  <c r="D257" i="2"/>
  <c r="B257" i="2"/>
  <c r="F256" i="2"/>
  <c r="D256" i="2"/>
  <c r="B256" i="2"/>
  <c r="F255" i="2"/>
  <c r="D255" i="2"/>
  <c r="B255" i="2"/>
  <c r="F254" i="2"/>
  <c r="D254" i="2"/>
  <c r="B254" i="2"/>
  <c r="F253" i="2"/>
  <c r="BF253" i="9" s="1"/>
  <c r="D253" i="2"/>
  <c r="B253" i="2"/>
  <c r="F252" i="2"/>
  <c r="D252" i="2"/>
  <c r="B252" i="2"/>
  <c r="F251" i="2"/>
  <c r="D251" i="2"/>
  <c r="B251" i="2"/>
  <c r="F250" i="2"/>
  <c r="BB250" i="10" s="1"/>
  <c r="D250" i="2"/>
  <c r="B250" i="2"/>
  <c r="F249" i="2"/>
  <c r="D249" i="2"/>
  <c r="B249" i="2"/>
  <c r="F248" i="2"/>
  <c r="D248" i="2"/>
  <c r="B248" i="2"/>
  <c r="F247" i="2"/>
  <c r="D247" i="2"/>
  <c r="B247" i="2"/>
  <c r="F246" i="2"/>
  <c r="D246" i="2"/>
  <c r="B246" i="2"/>
  <c r="F245" i="2"/>
  <c r="D245" i="2"/>
  <c r="B245" i="2"/>
  <c r="F244" i="2"/>
  <c r="BB244" i="10" s="1"/>
  <c r="D244" i="2"/>
  <c r="B244" i="2"/>
  <c r="F243" i="2"/>
  <c r="D243" i="2"/>
  <c r="AC243" i="10" s="1"/>
  <c r="B243" i="2"/>
  <c r="F242" i="2"/>
  <c r="D242" i="2"/>
  <c r="B242" i="2"/>
  <c r="F241" i="2"/>
  <c r="BB241" i="10" s="1"/>
  <c r="D241" i="2"/>
  <c r="B241" i="2"/>
  <c r="F240" i="2"/>
  <c r="D240" i="2"/>
  <c r="B240" i="2"/>
  <c r="F239" i="2"/>
  <c r="BB239" i="10" s="1"/>
  <c r="D239" i="2"/>
  <c r="B239" i="2"/>
  <c r="D239" i="9" s="1"/>
  <c r="F238" i="2"/>
  <c r="BB238" i="10" s="1"/>
  <c r="D238" i="2"/>
  <c r="B238" i="2"/>
  <c r="F237" i="2"/>
  <c r="D237" i="2"/>
  <c r="B237" i="2"/>
  <c r="F236" i="2"/>
  <c r="D236" i="2"/>
  <c r="AC236" i="10" s="1"/>
  <c r="B236" i="2"/>
  <c r="F235" i="2"/>
  <c r="BB235" i="10" s="1"/>
  <c r="D235" i="2"/>
  <c r="B235" i="2"/>
  <c r="F234" i="2"/>
  <c r="D234" i="2"/>
  <c r="B234" i="2"/>
  <c r="F233" i="2"/>
  <c r="D233" i="2"/>
  <c r="B233" i="2"/>
  <c r="F232" i="2"/>
  <c r="BF232" i="9" s="1"/>
  <c r="D232" i="2"/>
  <c r="B232" i="2"/>
  <c r="F231" i="2"/>
  <c r="D231" i="2"/>
  <c r="B231" i="2"/>
  <c r="F230" i="2"/>
  <c r="D230" i="2"/>
  <c r="B230" i="2"/>
  <c r="F229" i="2"/>
  <c r="D229" i="2"/>
  <c r="B229" i="2"/>
  <c r="F228" i="2"/>
  <c r="D228" i="2"/>
  <c r="B228" i="2"/>
  <c r="F227" i="2"/>
  <c r="D227" i="2"/>
  <c r="B227" i="2"/>
  <c r="F226" i="2"/>
  <c r="D226" i="2"/>
  <c r="B226" i="2"/>
  <c r="F225" i="2"/>
  <c r="D225" i="2"/>
  <c r="B225" i="2"/>
  <c r="F224" i="2"/>
  <c r="D224" i="2"/>
  <c r="B224" i="2"/>
  <c r="F223" i="2"/>
  <c r="BF223" i="9" s="1"/>
  <c r="D223" i="2"/>
  <c r="B223" i="2"/>
  <c r="F222" i="2"/>
  <c r="D222" i="2"/>
  <c r="B222" i="2"/>
  <c r="F221" i="2"/>
  <c r="D221" i="2"/>
  <c r="B221" i="2"/>
  <c r="F220" i="2"/>
  <c r="D220" i="2"/>
  <c r="AC220" i="10" s="1"/>
  <c r="B220" i="2"/>
  <c r="D220" i="10" s="1"/>
  <c r="F219" i="2"/>
  <c r="D219" i="2"/>
  <c r="B219" i="2"/>
  <c r="F218" i="2"/>
  <c r="D218" i="2"/>
  <c r="B218" i="2"/>
  <c r="F217" i="2"/>
  <c r="BB217" i="10" s="1"/>
  <c r="D217" i="2"/>
  <c r="B217" i="2"/>
  <c r="F216" i="2"/>
  <c r="D216" i="2"/>
  <c r="B216" i="2"/>
  <c r="F215" i="2"/>
  <c r="D215" i="2"/>
  <c r="B215" i="2"/>
  <c r="F214" i="2"/>
  <c r="BB214" i="10" s="1"/>
  <c r="D214" i="2"/>
  <c r="B214" i="2"/>
  <c r="F213" i="2"/>
  <c r="D213" i="2"/>
  <c r="B213" i="2"/>
  <c r="F212" i="2"/>
  <c r="D212" i="2"/>
  <c r="AE212" i="9" s="1"/>
  <c r="B212" i="2"/>
  <c r="F211" i="2"/>
  <c r="BB211" i="10" s="1"/>
  <c r="D211" i="2"/>
  <c r="B211" i="2"/>
  <c r="F210" i="2"/>
  <c r="D210" i="2"/>
  <c r="B210" i="2"/>
  <c r="F209" i="2"/>
  <c r="D209" i="2"/>
  <c r="B209" i="2"/>
  <c r="F208" i="2"/>
  <c r="BB208" i="10" s="1"/>
  <c r="D208" i="2"/>
  <c r="B208" i="2"/>
  <c r="F207" i="2"/>
  <c r="D207" i="2"/>
  <c r="B207" i="2"/>
  <c r="F206" i="2"/>
  <c r="D206" i="2"/>
  <c r="B206" i="2"/>
  <c r="F205" i="2"/>
  <c r="BF205" i="9" s="1"/>
  <c r="D205" i="2"/>
  <c r="B205" i="2"/>
  <c r="F204" i="2"/>
  <c r="D204" i="2"/>
  <c r="B204" i="2"/>
  <c r="F203" i="2"/>
  <c r="D203" i="2"/>
  <c r="B203" i="2"/>
  <c r="F202" i="2"/>
  <c r="D202" i="2"/>
  <c r="B202" i="2"/>
  <c r="D202" i="9" s="1"/>
  <c r="F201" i="2"/>
  <c r="D201" i="2"/>
  <c r="B201" i="2"/>
  <c r="F200" i="2"/>
  <c r="D200" i="2"/>
  <c r="B200" i="2"/>
  <c r="F199" i="2"/>
  <c r="BF199" i="9" s="1"/>
  <c r="D199" i="2"/>
  <c r="B199" i="2"/>
  <c r="F198" i="2"/>
  <c r="D198" i="2"/>
  <c r="B198" i="2"/>
  <c r="F197" i="2"/>
  <c r="D197" i="2"/>
  <c r="B197" i="2"/>
  <c r="F196" i="2"/>
  <c r="BF196" i="9" s="1"/>
  <c r="D196" i="2"/>
  <c r="B196" i="2"/>
  <c r="F195" i="2"/>
  <c r="D195" i="2"/>
  <c r="AC195" i="10" s="1"/>
  <c r="B195" i="2"/>
  <c r="F194" i="2"/>
  <c r="D194" i="2"/>
  <c r="B194" i="2"/>
  <c r="F193" i="2"/>
  <c r="D193" i="2"/>
  <c r="B193" i="2"/>
  <c r="F192" i="2"/>
  <c r="D192" i="2"/>
  <c r="B192" i="2"/>
  <c r="F191" i="2"/>
  <c r="D191" i="2"/>
  <c r="B191" i="2"/>
  <c r="F190" i="2"/>
  <c r="BF190" i="9" s="1"/>
  <c r="D190" i="2"/>
  <c r="B190" i="2"/>
  <c r="F189" i="2"/>
  <c r="D189" i="2"/>
  <c r="B189" i="2"/>
  <c r="F188" i="2"/>
  <c r="D188" i="2"/>
  <c r="B188" i="2"/>
  <c r="F187" i="2"/>
  <c r="BB187" i="10" s="1"/>
  <c r="D187" i="2"/>
  <c r="B187" i="2"/>
  <c r="F186" i="2"/>
  <c r="D186" i="2"/>
  <c r="B186" i="2"/>
  <c r="F185" i="2"/>
  <c r="D185" i="2"/>
  <c r="B185" i="2"/>
  <c r="F184" i="2"/>
  <c r="BB184" i="10" s="1"/>
  <c r="D184" i="2"/>
  <c r="B184" i="2"/>
  <c r="F183" i="2"/>
  <c r="D183" i="2"/>
  <c r="B183" i="2"/>
  <c r="F182" i="2"/>
  <c r="D182" i="2"/>
  <c r="B182" i="2"/>
  <c r="F181" i="2"/>
  <c r="D181" i="2"/>
  <c r="B181" i="2"/>
  <c r="D181" i="10" s="1"/>
  <c r="F180" i="2"/>
  <c r="D180" i="2"/>
  <c r="B180" i="2"/>
  <c r="F179" i="2"/>
  <c r="D179" i="2"/>
  <c r="B179" i="2"/>
  <c r="F178" i="2"/>
  <c r="BB178" i="10" s="1"/>
  <c r="D178" i="2"/>
  <c r="B178" i="2"/>
  <c r="F177" i="2"/>
  <c r="D177" i="2"/>
  <c r="AC177" i="10" s="1"/>
  <c r="B177" i="2"/>
  <c r="F176" i="2"/>
  <c r="D176" i="2"/>
  <c r="B176" i="2"/>
  <c r="F175" i="2"/>
  <c r="BB175" i="10" s="1"/>
  <c r="D175" i="2"/>
  <c r="B175" i="2"/>
  <c r="F174" i="2"/>
  <c r="D174" i="2"/>
  <c r="B174" i="2"/>
  <c r="F173" i="2"/>
  <c r="D173" i="2"/>
  <c r="B173" i="2"/>
  <c r="F172" i="2"/>
  <c r="BB172" i="10" s="1"/>
  <c r="D172" i="2"/>
  <c r="B172" i="2"/>
  <c r="F171" i="2"/>
  <c r="BF171" i="9" s="1"/>
  <c r="D171" i="2"/>
  <c r="B171" i="2"/>
  <c r="D171" i="10" s="1"/>
  <c r="F170" i="2"/>
  <c r="D170" i="2"/>
  <c r="B170" i="2"/>
  <c r="F169" i="2"/>
  <c r="D169" i="2"/>
  <c r="AE169" i="9" s="1"/>
  <c r="B169" i="2"/>
  <c r="F168" i="2"/>
  <c r="D168" i="2"/>
  <c r="B168" i="2"/>
  <c r="F167" i="2"/>
  <c r="D167" i="2"/>
  <c r="B167" i="2"/>
  <c r="F166" i="2"/>
  <c r="D166" i="2"/>
  <c r="B166" i="2"/>
  <c r="F165" i="2"/>
  <c r="D165" i="2"/>
  <c r="B165" i="2"/>
  <c r="F164" i="2"/>
  <c r="D164" i="2"/>
  <c r="B164" i="2"/>
  <c r="F163" i="2"/>
  <c r="BB163" i="10" s="1"/>
  <c r="D163" i="2"/>
  <c r="B163" i="2"/>
  <c r="F162" i="2"/>
  <c r="D162" i="2"/>
  <c r="B162" i="2"/>
  <c r="D162" i="10" s="1"/>
  <c r="F161" i="2"/>
  <c r="D161" i="2"/>
  <c r="B161" i="2"/>
  <c r="F160" i="2"/>
  <c r="D160" i="2"/>
  <c r="B160" i="2"/>
  <c r="F159" i="2"/>
  <c r="D159" i="2"/>
  <c r="B159" i="2"/>
  <c r="F158" i="2"/>
  <c r="D158" i="2"/>
  <c r="B158" i="2"/>
  <c r="F157" i="2"/>
  <c r="BB157" i="10" s="1"/>
  <c r="D157" i="2"/>
  <c r="B157" i="2"/>
  <c r="F156" i="2"/>
  <c r="D156" i="2"/>
  <c r="B156" i="2"/>
  <c r="F155" i="2"/>
  <c r="BF155" i="9" s="1"/>
  <c r="D155" i="2"/>
  <c r="B155" i="2"/>
  <c r="F154" i="2"/>
  <c r="BB154" i="10" s="1"/>
  <c r="D154" i="2"/>
  <c r="AC154" i="10" s="1"/>
  <c r="B154" i="2"/>
  <c r="F153" i="2"/>
  <c r="D153" i="2"/>
  <c r="B153" i="2"/>
  <c r="F152" i="2"/>
  <c r="D152" i="2"/>
  <c r="AE152" i="9" s="1"/>
  <c r="B152" i="2"/>
  <c r="F151" i="2"/>
  <c r="BB151" i="10" s="1"/>
  <c r="D151" i="2"/>
  <c r="B151" i="2"/>
  <c r="F150" i="2"/>
  <c r="D150" i="2"/>
  <c r="B150" i="2"/>
  <c r="F149" i="2"/>
  <c r="D149" i="2"/>
  <c r="B149" i="2"/>
  <c r="F148" i="2"/>
  <c r="BF148" i="9" s="1"/>
  <c r="D148" i="2"/>
  <c r="B148" i="2"/>
  <c r="F147" i="2"/>
  <c r="D147" i="2"/>
  <c r="B147" i="2"/>
  <c r="F146" i="2"/>
  <c r="D146" i="2"/>
  <c r="AE146" i="9" s="1"/>
  <c r="B146" i="2"/>
  <c r="F145" i="2"/>
  <c r="D145" i="2"/>
  <c r="B145" i="2"/>
  <c r="F144" i="2"/>
  <c r="D144" i="2"/>
  <c r="B144" i="2"/>
  <c r="F143" i="2"/>
  <c r="D143" i="2"/>
  <c r="B143" i="2"/>
  <c r="F142" i="2"/>
  <c r="D142" i="2"/>
  <c r="B142" i="2"/>
  <c r="D142" i="9" s="1"/>
  <c r="F141" i="2"/>
  <c r="D141" i="2"/>
  <c r="B141" i="2"/>
  <c r="F140" i="2"/>
  <c r="D140" i="2"/>
  <c r="B140" i="2"/>
  <c r="F139" i="2"/>
  <c r="D139" i="2"/>
  <c r="B139" i="2"/>
  <c r="F138" i="2"/>
  <c r="D138" i="2"/>
  <c r="AC138" i="10" s="1"/>
  <c r="B138" i="2"/>
  <c r="F137" i="2"/>
  <c r="D137" i="2"/>
  <c r="AE137" i="9" s="1"/>
  <c r="B137" i="2"/>
  <c r="F136" i="2"/>
  <c r="BB136" i="10" s="1"/>
  <c r="D136" i="2"/>
  <c r="B136" i="2"/>
  <c r="F135" i="2"/>
  <c r="D135" i="2"/>
  <c r="B135" i="2"/>
  <c r="F134" i="2"/>
  <c r="D134" i="2"/>
  <c r="B134" i="2"/>
  <c r="F133" i="2"/>
  <c r="BB133" i="10" s="1"/>
  <c r="D133" i="2"/>
  <c r="B133" i="2"/>
  <c r="F132" i="2"/>
  <c r="D132" i="2"/>
  <c r="B132" i="2"/>
  <c r="F131" i="2"/>
  <c r="D131" i="2"/>
  <c r="B131" i="2"/>
  <c r="F130" i="2"/>
  <c r="BB130" i="10" s="1"/>
  <c r="D130" i="2"/>
  <c r="AE130" i="9" s="1"/>
  <c r="B130" i="2"/>
  <c r="F129" i="2"/>
  <c r="BB129" i="10" s="1"/>
  <c r="D129" i="2"/>
  <c r="B129" i="2"/>
  <c r="F128" i="2"/>
  <c r="D128" i="2"/>
  <c r="AC128" i="10" s="1"/>
  <c r="B128" i="2"/>
  <c r="F127" i="2"/>
  <c r="BF127" i="9" s="1"/>
  <c r="D127" i="2"/>
  <c r="B127" i="2"/>
  <c r="F126" i="2"/>
  <c r="D126" i="2"/>
  <c r="B126" i="2"/>
  <c r="F125" i="2"/>
  <c r="D125" i="2"/>
  <c r="B125" i="2"/>
  <c r="F124" i="2"/>
  <c r="BB124" i="10" s="1"/>
  <c r="D124" i="2"/>
  <c r="B124" i="2"/>
  <c r="F123" i="2"/>
  <c r="D123" i="2"/>
  <c r="B123" i="2"/>
  <c r="F122" i="2"/>
  <c r="D122" i="2"/>
  <c r="B122" i="2"/>
  <c r="F121" i="2"/>
  <c r="D121" i="2"/>
  <c r="B121" i="2"/>
  <c r="F120" i="2"/>
  <c r="D120" i="2"/>
  <c r="B120" i="2"/>
  <c r="F119" i="2"/>
  <c r="D119" i="2"/>
  <c r="B119" i="2"/>
  <c r="D119" i="9" s="1"/>
  <c r="F118" i="2"/>
  <c r="D118" i="2"/>
  <c r="B118" i="2"/>
  <c r="F117" i="2"/>
  <c r="BF117" i="9" s="1"/>
  <c r="D117" i="2"/>
  <c r="AC117" i="10" s="1"/>
  <c r="B117" i="2"/>
  <c r="F116" i="2"/>
  <c r="D116" i="2"/>
  <c r="B116" i="2"/>
  <c r="F115" i="2"/>
  <c r="BF115" i="9" s="1"/>
  <c r="D115" i="2"/>
  <c r="AE115" i="9" s="1"/>
  <c r="B115" i="2"/>
  <c r="F114" i="2"/>
  <c r="D114" i="2"/>
  <c r="B114" i="2"/>
  <c r="F113" i="2"/>
  <c r="D113" i="2"/>
  <c r="B113" i="2"/>
  <c r="F112" i="2"/>
  <c r="D112" i="2"/>
  <c r="B112" i="2"/>
  <c r="F111" i="2"/>
  <c r="D111" i="2"/>
  <c r="B111" i="2"/>
  <c r="F110" i="2"/>
  <c r="D110" i="2"/>
  <c r="B110" i="2"/>
  <c r="F109" i="2"/>
  <c r="BB109" i="10" s="1"/>
  <c r="D109" i="2"/>
  <c r="AC109" i="10" s="1"/>
  <c r="B109" i="2"/>
  <c r="F108" i="2"/>
  <c r="D108" i="2"/>
  <c r="B108" i="2"/>
  <c r="F107" i="2"/>
  <c r="D107" i="2"/>
  <c r="B107" i="2"/>
  <c r="F106" i="2"/>
  <c r="BB106" i="10" s="1"/>
  <c r="D106" i="2"/>
  <c r="B106" i="2"/>
  <c r="F105" i="2"/>
  <c r="D105" i="2"/>
  <c r="B105" i="2"/>
  <c r="F104" i="2"/>
  <c r="D104" i="2"/>
  <c r="B104" i="2"/>
  <c r="F103" i="2"/>
  <c r="BF103" i="9" s="1"/>
  <c r="D103" i="2"/>
  <c r="B103" i="2"/>
  <c r="F102" i="2"/>
  <c r="D102" i="2"/>
  <c r="B102" i="2"/>
  <c r="D102" i="9" s="1"/>
  <c r="F101" i="2"/>
  <c r="D101" i="2"/>
  <c r="B101" i="2"/>
  <c r="F100" i="2"/>
  <c r="BB100" i="10" s="1"/>
  <c r="D100" i="2"/>
  <c r="B100" i="2"/>
  <c r="F99" i="2"/>
  <c r="D99" i="2"/>
  <c r="B99" i="2"/>
  <c r="F98" i="2"/>
  <c r="D98" i="2"/>
  <c r="B98" i="2"/>
  <c r="F97" i="2"/>
  <c r="BB97" i="10" s="1"/>
  <c r="D97" i="2"/>
  <c r="B97" i="2"/>
  <c r="F96" i="2"/>
  <c r="D96" i="2"/>
  <c r="B96" i="2"/>
  <c r="F95" i="2"/>
  <c r="D95" i="2"/>
  <c r="AC95" i="10" s="1"/>
  <c r="B95" i="2"/>
  <c r="D95" i="9" s="1"/>
  <c r="F94" i="2"/>
  <c r="BB94" i="10" s="1"/>
  <c r="D94" i="2"/>
  <c r="B94" i="2"/>
  <c r="D94" i="9" s="1"/>
  <c r="F93" i="2"/>
  <c r="D93" i="2"/>
  <c r="B93" i="2"/>
  <c r="F92" i="2"/>
  <c r="D92" i="2"/>
  <c r="B92" i="2"/>
  <c r="F91" i="2"/>
  <c r="BF91" i="9" s="1"/>
  <c r="D91" i="2"/>
  <c r="B91" i="2"/>
  <c r="F90" i="2"/>
  <c r="D90" i="2"/>
  <c r="B90" i="2"/>
  <c r="F89" i="2"/>
  <c r="D89" i="2"/>
  <c r="B89" i="2"/>
  <c r="F88" i="2"/>
  <c r="D88" i="2"/>
  <c r="B88" i="2"/>
  <c r="F87" i="2"/>
  <c r="D87" i="2"/>
  <c r="B87" i="2"/>
  <c r="F86" i="2"/>
  <c r="D86" i="2"/>
  <c r="AE86" i="9" s="1"/>
  <c r="B86" i="2"/>
  <c r="F85" i="2"/>
  <c r="D85" i="2"/>
  <c r="B85" i="2"/>
  <c r="F84" i="2"/>
  <c r="D84" i="2"/>
  <c r="B84" i="2"/>
  <c r="F83" i="2"/>
  <c r="D83" i="2"/>
  <c r="B83" i="2"/>
  <c r="F82" i="2"/>
  <c r="BB82" i="10" s="1"/>
  <c r="D82" i="2"/>
  <c r="B82" i="2"/>
  <c r="F81" i="2"/>
  <c r="D81" i="2"/>
  <c r="B81" i="2"/>
  <c r="F80" i="2"/>
  <c r="BF80" i="9" s="1"/>
  <c r="D80" i="2"/>
  <c r="B80" i="2"/>
  <c r="F79" i="2"/>
  <c r="BB79" i="10" s="1"/>
  <c r="D79" i="2"/>
  <c r="B79" i="2"/>
  <c r="F78" i="2"/>
  <c r="D78" i="2"/>
  <c r="B78" i="2"/>
  <c r="F77" i="2"/>
  <c r="D77" i="2"/>
  <c r="B77" i="2"/>
  <c r="F76" i="2"/>
  <c r="BB76" i="10" s="1"/>
  <c r="D76" i="2"/>
  <c r="B76" i="2"/>
  <c r="F75" i="2"/>
  <c r="D75" i="2"/>
  <c r="B75" i="2"/>
  <c r="F74" i="2"/>
  <c r="D74" i="2"/>
  <c r="B74" i="2"/>
  <c r="F73" i="2"/>
  <c r="BB73" i="10" s="1"/>
  <c r="D73" i="2"/>
  <c r="B73" i="2"/>
  <c r="F72" i="2"/>
  <c r="D72" i="2"/>
  <c r="B72" i="2"/>
  <c r="F71" i="2"/>
  <c r="BB71" i="10" s="1"/>
  <c r="D71" i="2"/>
  <c r="B71" i="2"/>
  <c r="F70" i="2"/>
  <c r="BB70" i="10" s="1"/>
  <c r="D70" i="2"/>
  <c r="B70" i="2"/>
  <c r="F69" i="2"/>
  <c r="D69" i="2"/>
  <c r="B69" i="2"/>
  <c r="F68" i="2"/>
  <c r="D68" i="2"/>
  <c r="B68" i="2"/>
  <c r="F67" i="2"/>
  <c r="BF67" i="9" s="1"/>
  <c r="D67" i="2"/>
  <c r="B67" i="2"/>
  <c r="F66" i="2"/>
  <c r="D66" i="2"/>
  <c r="B66" i="2"/>
  <c r="F65" i="2"/>
  <c r="D65" i="2"/>
  <c r="B65" i="2"/>
  <c r="F64" i="2"/>
  <c r="D64" i="2"/>
  <c r="AE64" i="9" s="1"/>
  <c r="B64" i="2"/>
  <c r="D64" i="9" s="1"/>
  <c r="F63" i="2"/>
  <c r="D63" i="2"/>
  <c r="B63" i="2"/>
  <c r="F62" i="2"/>
  <c r="D62" i="2"/>
  <c r="B62" i="2"/>
  <c r="F61" i="2"/>
  <c r="D61" i="2"/>
  <c r="B61" i="2"/>
  <c r="F60" i="2"/>
  <c r="D60" i="2"/>
  <c r="B60" i="2"/>
  <c r="F59" i="2"/>
  <c r="D59" i="2"/>
  <c r="B59" i="2"/>
  <c r="D59" i="10" s="1"/>
  <c r="F58" i="2"/>
  <c r="D58" i="2"/>
  <c r="B58" i="2"/>
  <c r="F57" i="2"/>
  <c r="D57" i="2"/>
  <c r="B57" i="2"/>
  <c r="F56" i="2"/>
  <c r="D56" i="2"/>
  <c r="B56" i="2"/>
  <c r="D56" i="9" s="1"/>
  <c r="F55" i="2"/>
  <c r="D55" i="2"/>
  <c r="B55" i="2"/>
  <c r="F54" i="2"/>
  <c r="D54" i="2"/>
  <c r="B54" i="2"/>
  <c r="F53" i="2"/>
  <c r="D53" i="2"/>
  <c r="B53" i="2"/>
  <c r="F52" i="2"/>
  <c r="D52" i="2"/>
  <c r="B52" i="2"/>
  <c r="F51" i="2"/>
  <c r="D51" i="2"/>
  <c r="B51" i="2"/>
  <c r="F50" i="2"/>
  <c r="D50" i="2"/>
  <c r="B50" i="2"/>
  <c r="F49" i="2"/>
  <c r="D49" i="2"/>
  <c r="B49" i="2"/>
  <c r="F48" i="2"/>
  <c r="D48" i="2"/>
  <c r="B48" i="2"/>
  <c r="F47" i="2"/>
  <c r="D47" i="2"/>
  <c r="B47" i="2"/>
  <c r="F46" i="2"/>
  <c r="D46" i="2"/>
  <c r="B46" i="2"/>
  <c r="F45" i="2"/>
  <c r="D45" i="2"/>
  <c r="AE45" i="9" s="1"/>
  <c r="B45" i="2"/>
  <c r="F44" i="2"/>
  <c r="D44" i="2"/>
  <c r="B44" i="2"/>
  <c r="F43" i="2"/>
  <c r="D43" i="2"/>
  <c r="B43" i="2"/>
  <c r="D43" i="10" s="1"/>
  <c r="F42" i="2"/>
  <c r="D42" i="2"/>
  <c r="AE42" i="9" s="1"/>
  <c r="B42" i="2"/>
  <c r="F41" i="2"/>
  <c r="D41" i="2"/>
  <c r="B41" i="2"/>
  <c r="F40" i="2"/>
  <c r="D40" i="2"/>
  <c r="B40" i="2"/>
  <c r="F39" i="2"/>
  <c r="D39" i="2"/>
  <c r="AE39" i="9" s="1"/>
  <c r="B39" i="2"/>
  <c r="F38" i="2"/>
  <c r="D38" i="2"/>
  <c r="B38" i="2"/>
  <c r="F37" i="2"/>
  <c r="D37" i="2"/>
  <c r="B37" i="2"/>
  <c r="F36" i="2"/>
  <c r="D36" i="2"/>
  <c r="B36" i="2"/>
  <c r="F35" i="2"/>
  <c r="D35" i="2"/>
  <c r="B35" i="2"/>
  <c r="F34" i="2"/>
  <c r="BB34" i="10" s="1"/>
  <c r="D34" i="2"/>
  <c r="B34" i="2"/>
  <c r="F33" i="2"/>
  <c r="D33" i="2"/>
  <c r="B33" i="2"/>
  <c r="F32" i="2"/>
  <c r="D32" i="2"/>
  <c r="B32" i="2"/>
  <c r="F31" i="2"/>
  <c r="BB31" i="10" s="1"/>
  <c r="D31" i="2"/>
  <c r="B31" i="2"/>
  <c r="F30" i="2"/>
  <c r="D30" i="2"/>
  <c r="B30" i="2"/>
  <c r="F29" i="2"/>
  <c r="D29" i="2"/>
  <c r="B29" i="2"/>
  <c r="F28" i="2"/>
  <c r="D28" i="2"/>
  <c r="B28" i="2"/>
  <c r="F27" i="2"/>
  <c r="D27" i="2"/>
  <c r="B27" i="2"/>
  <c r="F26" i="2"/>
  <c r="D26" i="2"/>
  <c r="B26" i="2"/>
  <c r="F25" i="2"/>
  <c r="BB25" i="10" s="1"/>
  <c r="D25" i="2"/>
  <c r="B25" i="2"/>
  <c r="F24" i="2"/>
  <c r="D24" i="2"/>
  <c r="AC24" i="10" s="1"/>
  <c r="B24" i="2"/>
  <c r="F23" i="2"/>
  <c r="D23" i="2"/>
  <c r="B23" i="2"/>
  <c r="F22" i="2"/>
  <c r="D22" i="2"/>
  <c r="B22" i="2"/>
  <c r="BA21" i="2"/>
  <c r="AC21" i="2"/>
  <c r="Q21" i="2"/>
  <c r="F21" i="2"/>
  <c r="D21" i="2"/>
  <c r="B21" i="2"/>
  <c r="F20" i="2"/>
  <c r="D20" i="2"/>
  <c r="B20" i="2"/>
  <c r="AB19" i="2"/>
  <c r="F19" i="2"/>
  <c r="D19" i="2"/>
  <c r="B19" i="2"/>
  <c r="F18" i="2"/>
  <c r="D18" i="2"/>
  <c r="B18" i="2"/>
  <c r="F17" i="2"/>
  <c r="D17" i="2"/>
  <c r="AE17" i="9" s="1"/>
  <c r="B17" i="2"/>
  <c r="AY16" i="2"/>
  <c r="AM16" i="2"/>
  <c r="AW1018" i="2" s="1"/>
  <c r="AA16" i="2"/>
  <c r="AW1017" i="2" s="1"/>
  <c r="O16" i="2"/>
  <c r="AW1016" i="2" s="1"/>
  <c r="F16" i="2"/>
  <c r="D16" i="2"/>
  <c r="B16" i="2"/>
  <c r="F15" i="2"/>
  <c r="D15" i="2"/>
  <c r="B15" i="2"/>
  <c r="F14" i="2"/>
  <c r="BB14" i="10" s="1"/>
  <c r="D14" i="2"/>
  <c r="B14" i="2"/>
  <c r="F13" i="2"/>
  <c r="D13" i="2"/>
  <c r="B13" i="2"/>
  <c r="F12" i="2"/>
  <c r="D12" i="2"/>
  <c r="B12" i="2"/>
  <c r="AX11" i="2"/>
  <c r="AZ19" i="2" s="1"/>
  <c r="AL11" i="2"/>
  <c r="AN19" i="2" s="1"/>
  <c r="Z11" i="2"/>
  <c r="N11" i="2"/>
  <c r="N12" i="2" s="1"/>
  <c r="N13" i="2" s="1"/>
  <c r="F11" i="2"/>
  <c r="D11" i="2"/>
  <c r="B11" i="2"/>
  <c r="AX10" i="2"/>
  <c r="BA2021" i="2" s="1"/>
  <c r="AL10" i="2"/>
  <c r="AO2021" i="2" s="1"/>
  <c r="Z10" i="2"/>
  <c r="AC2021" i="2" s="1"/>
  <c r="N10" i="2"/>
  <c r="F10" i="2"/>
  <c r="D10" i="2"/>
  <c r="AC10" i="10" s="1"/>
  <c r="B10" i="2"/>
  <c r="D10" i="10" s="1"/>
  <c r="F9" i="2"/>
  <c r="D9" i="2"/>
  <c r="B9" i="2"/>
  <c r="F8" i="2"/>
  <c r="BB8" i="10" s="1"/>
  <c r="D8" i="2"/>
  <c r="B8" i="2"/>
  <c r="F7" i="2"/>
  <c r="D7" i="2"/>
  <c r="B7" i="2"/>
  <c r="F6" i="2"/>
  <c r="D6" i="2"/>
  <c r="B6" i="2"/>
  <c r="AL5" i="2"/>
  <c r="Z5" i="2"/>
  <c r="X902" i="2" s="1"/>
  <c r="N5" i="2"/>
  <c r="F5" i="2"/>
  <c r="D5" i="2"/>
  <c r="B5" i="2"/>
  <c r="F4" i="2"/>
  <c r="D4" i="2"/>
  <c r="B4" i="2"/>
  <c r="D4" i="9" s="1"/>
  <c r="S1300" i="1"/>
  <c r="FC2013" i="3" s="1"/>
  <c r="R1300" i="1"/>
  <c r="ET2013" i="3" s="1"/>
  <c r="Q1300" i="1"/>
  <c r="EK2013" i="3" s="1"/>
  <c r="P1300" i="1"/>
  <c r="EB2013" i="3" s="1"/>
  <c r="O1300" i="1"/>
  <c r="DS2013" i="3" s="1"/>
  <c r="N1300" i="1"/>
  <c r="M1300" i="1"/>
  <c r="L1300" i="1"/>
  <c r="K1300" i="1"/>
  <c r="CI2013" i="3" s="1"/>
  <c r="J1300" i="1"/>
  <c r="BZ2013" i="3" s="1"/>
  <c r="I1300" i="1"/>
  <c r="BQ2013" i="3" s="1"/>
  <c r="H1300" i="1"/>
  <c r="G1300" i="1"/>
  <c r="F1300" i="1"/>
  <c r="AP2013" i="3" s="1"/>
  <c r="E1300" i="1"/>
  <c r="AG2013" i="3" s="1"/>
  <c r="D1300" i="1"/>
  <c r="X2013" i="3" s="1"/>
  <c r="C1300" i="1"/>
  <c r="B1300" i="1"/>
  <c r="F2013" i="3" s="1"/>
  <c r="S1294" i="1"/>
  <c r="FB2013" i="3" s="1"/>
  <c r="R1294" i="1"/>
  <c r="ES2013" i="3" s="1"/>
  <c r="Q1294" i="1"/>
  <c r="EJ2013" i="3" s="1"/>
  <c r="P1294" i="1"/>
  <c r="EA2013" i="3" s="1"/>
  <c r="O1294" i="1"/>
  <c r="DR2013" i="3" s="1"/>
  <c r="N1294" i="1"/>
  <c r="M1294" i="1"/>
  <c r="CZ2013" i="3" s="1"/>
  <c r="L1294" i="1"/>
  <c r="CQ2013" i="3" s="1"/>
  <c r="K1294" i="1"/>
  <c r="CH2013" i="3" s="1"/>
  <c r="J1294" i="1"/>
  <c r="BY2013" i="3" s="1"/>
  <c r="I1294" i="1"/>
  <c r="BP2013" i="3" s="1"/>
  <c r="H1294" i="1"/>
  <c r="BG2013" i="3" s="1"/>
  <c r="G1294" i="1"/>
  <c r="AX2013" i="3" s="1"/>
  <c r="F1294" i="1"/>
  <c r="E1294" i="1"/>
  <c r="AF2013" i="3" s="1"/>
  <c r="D1294" i="1"/>
  <c r="C1294" i="1"/>
  <c r="N2013" i="3" s="1"/>
  <c r="B1294" i="1"/>
  <c r="E2013" i="3" s="1"/>
  <c r="S304" i="1"/>
  <c r="R304" i="1"/>
  <c r="Q304" i="1"/>
  <c r="EJ12" i="3" s="1"/>
  <c r="P304" i="1"/>
  <c r="EA12" i="3" s="1"/>
  <c r="O304" i="1"/>
  <c r="DR12" i="3" s="1"/>
  <c r="N304" i="1"/>
  <c r="DI12" i="3" s="1"/>
  <c r="M304" i="1"/>
  <c r="CZ12" i="3" s="1"/>
  <c r="L304" i="1"/>
  <c r="CQ12" i="3" s="1"/>
  <c r="K304" i="1"/>
  <c r="J304" i="1"/>
  <c r="BY12" i="3" s="1"/>
  <c r="I304" i="1"/>
  <c r="BP12" i="3" s="1"/>
  <c r="H304" i="1"/>
  <c r="BG12" i="3" s="1"/>
  <c r="G304" i="1"/>
  <c r="AX12" i="3" s="1"/>
  <c r="F304" i="1"/>
  <c r="AO12" i="3" s="1"/>
  <c r="E304" i="1"/>
  <c r="AF12" i="3" s="1"/>
  <c r="D304" i="1"/>
  <c r="W12" i="3" s="1"/>
  <c r="C304" i="1"/>
  <c r="N12" i="3" s="1"/>
  <c r="B304" i="1"/>
  <c r="S303" i="1"/>
  <c r="FB11" i="3" s="1"/>
  <c r="R303" i="1"/>
  <c r="Q303" i="1"/>
  <c r="P303" i="1"/>
  <c r="O303" i="1"/>
  <c r="N303" i="1"/>
  <c r="M303" i="1"/>
  <c r="CZ11" i="3" s="1"/>
  <c r="L303" i="1"/>
  <c r="CQ11" i="3" s="1"/>
  <c r="K303" i="1"/>
  <c r="CH11" i="3" s="1"/>
  <c r="J303" i="1"/>
  <c r="I303" i="1"/>
  <c r="BP11" i="3" s="1"/>
  <c r="H303" i="1"/>
  <c r="BG11" i="3" s="1"/>
  <c r="G303" i="1"/>
  <c r="AX11" i="3" s="1"/>
  <c r="F303" i="1"/>
  <c r="AO11" i="3" s="1"/>
  <c r="E303" i="1"/>
  <c r="AF11" i="3" s="1"/>
  <c r="D303" i="1"/>
  <c r="W11" i="3" s="1"/>
  <c r="C303" i="1"/>
  <c r="B303" i="1"/>
  <c r="E11" i="3" s="1"/>
  <c r="S302" i="1"/>
  <c r="FB10" i="3" s="1"/>
  <c r="R302" i="1"/>
  <c r="ES10" i="3" s="1"/>
  <c r="Q302" i="1"/>
  <c r="EJ10" i="3" s="1"/>
  <c r="P302" i="1"/>
  <c r="EA10" i="3" s="1"/>
  <c r="O302" i="1"/>
  <c r="DR10" i="3" s="1"/>
  <c r="N302" i="1"/>
  <c r="M302" i="1"/>
  <c r="CZ10" i="3" s="1"/>
  <c r="L302" i="1"/>
  <c r="CQ10" i="3" s="1"/>
  <c r="K302" i="1"/>
  <c r="J302" i="1"/>
  <c r="I302" i="1"/>
  <c r="H302" i="1"/>
  <c r="G302" i="1"/>
  <c r="AX10" i="3" s="1"/>
  <c r="F302" i="1"/>
  <c r="AO10" i="3" s="1"/>
  <c r="E302" i="1"/>
  <c r="AF10" i="3" s="1"/>
  <c r="D302" i="1"/>
  <c r="W10" i="3" s="1"/>
  <c r="C302" i="1"/>
  <c r="B302" i="1"/>
  <c r="E10" i="3" s="1"/>
  <c r="S301" i="1"/>
  <c r="FB9" i="3" s="1"/>
  <c r="R301" i="1"/>
  <c r="ES9" i="3" s="1"/>
  <c r="Q301" i="1"/>
  <c r="EJ9" i="3" s="1"/>
  <c r="P301" i="1"/>
  <c r="EA9" i="3" s="1"/>
  <c r="O301" i="1"/>
  <c r="N301" i="1"/>
  <c r="M301" i="1"/>
  <c r="L301" i="1"/>
  <c r="CQ9" i="3" s="1"/>
  <c r="K301" i="1"/>
  <c r="CH9" i="3" s="1"/>
  <c r="J301" i="1"/>
  <c r="I301" i="1"/>
  <c r="BP9" i="3" s="1"/>
  <c r="H301" i="1"/>
  <c r="G301" i="1"/>
  <c r="AX9" i="3" s="1"/>
  <c r="F301" i="1"/>
  <c r="AO9" i="3" s="1"/>
  <c r="E301" i="1"/>
  <c r="D301" i="1"/>
  <c r="W9" i="3" s="1"/>
  <c r="C301" i="1"/>
  <c r="N9" i="3" s="1"/>
  <c r="B301" i="1"/>
  <c r="S300" i="1"/>
  <c r="FB8" i="3" s="1"/>
  <c r="R300" i="1"/>
  <c r="ES8" i="3" s="1"/>
  <c r="Q300" i="1"/>
  <c r="EJ8" i="3" s="1"/>
  <c r="P300" i="1"/>
  <c r="EA8" i="3" s="1"/>
  <c r="O300" i="1"/>
  <c r="DR8" i="3" s="1"/>
  <c r="N300" i="1"/>
  <c r="DI8" i="3" s="1"/>
  <c r="M300" i="1"/>
  <c r="CZ8" i="3" s="1"/>
  <c r="L300" i="1"/>
  <c r="K300" i="1"/>
  <c r="CH8" i="3" s="1"/>
  <c r="J300" i="1"/>
  <c r="BY8" i="3" s="1"/>
  <c r="I300" i="1"/>
  <c r="BP8" i="3" s="1"/>
  <c r="H300" i="1"/>
  <c r="BG8" i="3" s="1"/>
  <c r="G300" i="1"/>
  <c r="F300" i="1"/>
  <c r="E300" i="1"/>
  <c r="AF8" i="3" s="1"/>
  <c r="D300" i="1"/>
  <c r="C300" i="1"/>
  <c r="B300" i="1"/>
  <c r="T298" i="1"/>
  <c r="S298" i="1"/>
  <c r="R298" i="1"/>
  <c r="Q298" i="1"/>
  <c r="P298" i="1"/>
  <c r="O298" i="1"/>
  <c r="N298" i="1"/>
  <c r="M298" i="1"/>
  <c r="L298" i="1"/>
  <c r="K298" i="1"/>
  <c r="J298" i="1"/>
  <c r="I298" i="1"/>
  <c r="H298" i="1"/>
  <c r="G298" i="1"/>
  <c r="F298" i="1"/>
  <c r="E298" i="1"/>
  <c r="D298" i="1"/>
  <c r="C298" i="1"/>
  <c r="B298" i="1"/>
  <c r="T297" i="1"/>
  <c r="S297" i="1"/>
  <c r="R297" i="1"/>
  <c r="Q297" i="1"/>
  <c r="P297" i="1"/>
  <c r="O297" i="1"/>
  <c r="N297" i="1"/>
  <c r="M297" i="1"/>
  <c r="L297" i="1"/>
  <c r="K297" i="1"/>
  <c r="J297" i="1"/>
  <c r="I297" i="1"/>
  <c r="H297" i="1"/>
  <c r="G297" i="1"/>
  <c r="F297" i="1"/>
  <c r="E297" i="1"/>
  <c r="D297" i="1"/>
  <c r="C297" i="1"/>
  <c r="B297" i="1"/>
  <c r="T295" i="1"/>
  <c r="S295" i="1"/>
  <c r="R295" i="1"/>
  <c r="Q295" i="1"/>
  <c r="P295" i="1"/>
  <c r="O295" i="1"/>
  <c r="N295" i="1"/>
  <c r="M295" i="1"/>
  <c r="L295" i="1"/>
  <c r="K295" i="1"/>
  <c r="J295" i="1"/>
  <c r="I295" i="1"/>
  <c r="H295" i="1"/>
  <c r="G295" i="1"/>
  <c r="F295" i="1"/>
  <c r="E295" i="1"/>
  <c r="D295" i="1"/>
  <c r="C295" i="1"/>
  <c r="B295" i="1"/>
  <c r="T294" i="1"/>
  <c r="T296" i="1" s="1"/>
  <c r="S294" i="1"/>
  <c r="S296" i="1" s="1"/>
  <c r="R294" i="1"/>
  <c r="R296" i="1" s="1"/>
  <c r="Q294" i="1"/>
  <c r="Q296" i="1" s="1"/>
  <c r="P294" i="1"/>
  <c r="P296" i="1" s="1"/>
  <c r="O294" i="1"/>
  <c r="O296" i="1" s="1"/>
  <c r="N294" i="1"/>
  <c r="N296" i="1" s="1"/>
  <c r="M294" i="1"/>
  <c r="M296" i="1" s="1"/>
  <c r="L294" i="1"/>
  <c r="L296" i="1" s="1"/>
  <c r="K294" i="1"/>
  <c r="K296" i="1" s="1"/>
  <c r="J294" i="1"/>
  <c r="J296" i="1" s="1"/>
  <c r="I294" i="1"/>
  <c r="I296" i="1" s="1"/>
  <c r="H294" i="1"/>
  <c r="H296" i="1" s="1"/>
  <c r="G294" i="1"/>
  <c r="G296" i="1" s="1"/>
  <c r="F294" i="1"/>
  <c r="F296" i="1" s="1"/>
  <c r="E294" i="1"/>
  <c r="E296" i="1" s="1"/>
  <c r="D294" i="1"/>
  <c r="D296" i="1" s="1"/>
  <c r="C294" i="1"/>
  <c r="C296" i="1" s="1"/>
  <c r="B294" i="1"/>
  <c r="B296" i="1" s="1"/>
  <c r="D291" i="6" l="1"/>
  <c r="D290" i="6"/>
  <c r="D284" i="6"/>
  <c r="E284" i="11" s="1"/>
  <c r="D283" i="6"/>
  <c r="D280" i="6"/>
  <c r="AF280" i="9"/>
  <c r="E278" i="9"/>
  <c r="E271" i="9"/>
  <c r="D259" i="6"/>
  <c r="E259" i="6" s="1"/>
  <c r="AF259" i="9"/>
  <c r="CC259" i="10"/>
  <c r="D258" i="6"/>
  <c r="D255" i="6"/>
  <c r="D254" i="6"/>
  <c r="E254" i="6" s="1"/>
  <c r="D251" i="6"/>
  <c r="BG251" i="9"/>
  <c r="CC251" i="10"/>
  <c r="E251" i="9"/>
  <c r="D247" i="6"/>
  <c r="E247" i="9"/>
  <c r="BG238" i="9"/>
  <c r="D238" i="6"/>
  <c r="BC238" i="10" s="1"/>
  <c r="E235" i="9"/>
  <c r="AF235" i="9"/>
  <c r="D235" i="6"/>
  <c r="BG232" i="9"/>
  <c r="BG219" i="9"/>
  <c r="D219" i="6"/>
  <c r="E219" i="6" s="1"/>
  <c r="D218" i="6"/>
  <c r="AD218" i="10" s="1"/>
  <c r="E214" i="9"/>
  <c r="D213" i="6"/>
  <c r="D203" i="6"/>
  <c r="E203" i="9"/>
  <c r="AF203" i="9"/>
  <c r="BG202" i="9"/>
  <c r="CC194" i="10"/>
  <c r="D194" i="6"/>
  <c r="AF194" i="9"/>
  <c r="BG191" i="9"/>
  <c r="E191" i="9"/>
  <c r="AF190" i="9"/>
  <c r="D190" i="6"/>
  <c r="BC190" i="10" s="1"/>
  <c r="CC189" i="10"/>
  <c r="D189" i="6"/>
  <c r="D185" i="6"/>
  <c r="BG182" i="9"/>
  <c r="D179" i="6"/>
  <c r="BG179" i="9"/>
  <c r="D171" i="6"/>
  <c r="E171" i="11" s="1"/>
  <c r="CC171" i="10"/>
  <c r="AF171" i="9"/>
  <c r="D169" i="6"/>
  <c r="BG166" i="9"/>
  <c r="AF165" i="9"/>
  <c r="D158" i="6"/>
  <c r="AF158" i="9"/>
  <c r="BG158" i="9"/>
  <c r="D157" i="6"/>
  <c r="BG155" i="9"/>
  <c r="AF155" i="9"/>
  <c r="D155" i="6"/>
  <c r="BG150" i="9"/>
  <c r="D150" i="6"/>
  <c r="CC150" i="10"/>
  <c r="E150" i="9"/>
  <c r="AF148" i="9"/>
  <c r="E144" i="9"/>
  <c r="D143" i="6"/>
  <c r="E143" i="10" s="1"/>
  <c r="E143" i="9"/>
  <c r="BG143" i="9"/>
  <c r="E140" i="9"/>
  <c r="AF140" i="9"/>
  <c r="AF136" i="9"/>
  <c r="CC129" i="10"/>
  <c r="E126" i="9"/>
  <c r="D125" i="6"/>
  <c r="E125" i="9"/>
  <c r="AF125" i="9"/>
  <c r="BG125" i="9"/>
  <c r="CC123" i="10"/>
  <c r="BG121" i="9"/>
  <c r="E119" i="9"/>
  <c r="D119" i="6"/>
  <c r="E119" i="11" s="1"/>
  <c r="D117" i="6"/>
  <c r="E114" i="9"/>
  <c r="E111" i="6"/>
  <c r="E111" i="10"/>
  <c r="D108" i="6"/>
  <c r="E108" i="9"/>
  <c r="AF108" i="9"/>
  <c r="AF107" i="9"/>
  <c r="CC107" i="10"/>
  <c r="AF106" i="9"/>
  <c r="D104" i="6"/>
  <c r="AD104" i="10" s="1"/>
  <c r="D103" i="6"/>
  <c r="AD103" i="10" s="1"/>
  <c r="D100" i="6"/>
  <c r="D99" i="6"/>
  <c r="E95" i="9"/>
  <c r="D94" i="6"/>
  <c r="AD94" i="10" s="1"/>
  <c r="E94" i="9"/>
  <c r="D86" i="6"/>
  <c r="AF85" i="9"/>
  <c r="BG85" i="9"/>
  <c r="CC83" i="10"/>
  <c r="BG79" i="9"/>
  <c r="E79" i="9"/>
  <c r="D79" i="6"/>
  <c r="BC79" i="10" s="1"/>
  <c r="D78" i="6"/>
  <c r="E78" i="10" s="1"/>
  <c r="CC75" i="10"/>
  <c r="E75" i="9"/>
  <c r="D75" i="6"/>
  <c r="AF75" i="9"/>
  <c r="D73" i="6"/>
  <c r="D71" i="6"/>
  <c r="AD71" i="10" s="1"/>
  <c r="E69" i="9"/>
  <c r="D69" i="6"/>
  <c r="BG69" i="9"/>
  <c r="CC67" i="10"/>
  <c r="D67" i="6"/>
  <c r="E67" i="10" s="1"/>
  <c r="BG65" i="9"/>
  <c r="CC65" i="10"/>
  <c r="BG64" i="9"/>
  <c r="D64" i="6"/>
  <c r="E64" i="9"/>
  <c r="CC58" i="10"/>
  <c r="D58" i="6"/>
  <c r="AF58" i="9"/>
  <c r="D57" i="6"/>
  <c r="BG56" i="9"/>
  <c r="AF56" i="9"/>
  <c r="CC56" i="10"/>
  <c r="CC55" i="10"/>
  <c r="D55" i="6"/>
  <c r="E55" i="9"/>
  <c r="BG55" i="9"/>
  <c r="D50" i="6"/>
  <c r="CC47" i="10"/>
  <c r="BG44" i="9"/>
  <c r="D44" i="6"/>
  <c r="AD44" i="10" s="1"/>
  <c r="E44" i="9"/>
  <c r="AF44" i="9"/>
  <c r="D40" i="6"/>
  <c r="E40" i="9"/>
  <c r="BG40" i="9"/>
  <c r="D38" i="6"/>
  <c r="D35" i="6"/>
  <c r="BC35" i="10" s="1"/>
  <c r="AF35" i="9"/>
  <c r="E35" i="9"/>
  <c r="CC35" i="10"/>
  <c r="AD35" i="10"/>
  <c r="E28" i="9"/>
  <c r="BG23" i="9"/>
  <c r="E23" i="9"/>
  <c r="D21" i="6"/>
  <c r="D17" i="6"/>
  <c r="D16" i="6"/>
  <c r="AF16" i="9"/>
  <c r="D14" i="6"/>
  <c r="E14" i="9"/>
  <c r="AF12" i="9"/>
  <c r="D12" i="6"/>
  <c r="BG12" i="9"/>
  <c r="CC12" i="10"/>
  <c r="D10" i="6"/>
  <c r="E10" i="6" s="1"/>
  <c r="CC9" i="10"/>
  <c r="D9" i="6"/>
  <c r="BG9" i="9"/>
  <c r="E9" i="9"/>
  <c r="F299" i="5"/>
  <c r="BG8" i="9"/>
  <c r="AF7" i="9"/>
  <c r="G305" i="5"/>
  <c r="G307" i="5" s="1"/>
  <c r="L911" i="6" s="1"/>
  <c r="I299" i="5"/>
  <c r="H299" i="5"/>
  <c r="AX9" i="7"/>
  <c r="D305" i="5"/>
  <c r="D306" i="5" s="1"/>
  <c r="K908" i="6" s="1"/>
  <c r="J299" i="5"/>
  <c r="J305" i="5"/>
  <c r="J307" i="5" s="1"/>
  <c r="G299" i="5"/>
  <c r="E4" i="9"/>
  <c r="BG4" i="9"/>
  <c r="E299" i="5"/>
  <c r="D299" i="5"/>
  <c r="C299" i="5"/>
  <c r="B299" i="5"/>
  <c r="BF283" i="9"/>
  <c r="BF282" i="9"/>
  <c r="BF277" i="9"/>
  <c r="BF274" i="9"/>
  <c r="BF262" i="9"/>
  <c r="AE259" i="9"/>
  <c r="BB253" i="10"/>
  <c r="BF244" i="9"/>
  <c r="AE236" i="9"/>
  <c r="BB223" i="10"/>
  <c r="BF217" i="9"/>
  <c r="BF214" i="9"/>
  <c r="BF208" i="9"/>
  <c r="D202" i="10"/>
  <c r="BF184" i="9"/>
  <c r="BF178" i="9"/>
  <c r="BF175" i="9"/>
  <c r="BF172" i="9"/>
  <c r="D171" i="9"/>
  <c r="AC146" i="10"/>
  <c r="D142" i="10"/>
  <c r="AC137" i="10"/>
  <c r="BF136" i="9"/>
  <c r="BF130" i="9"/>
  <c r="BF124" i="9"/>
  <c r="BB115" i="10"/>
  <c r="AC115" i="10"/>
  <c r="AE109" i="9"/>
  <c r="BB103" i="10"/>
  <c r="AC86" i="10"/>
  <c r="BF82" i="9"/>
  <c r="BF73" i="9"/>
  <c r="BF70" i="9"/>
  <c r="BB67" i="10"/>
  <c r="D64" i="10"/>
  <c r="D43" i="9"/>
  <c r="AC42" i="10"/>
  <c r="BF34" i="9"/>
  <c r="BF31" i="9"/>
  <c r="BF25" i="9"/>
  <c r="BF14" i="9"/>
  <c r="N299" i="1"/>
  <c r="AE10" i="9"/>
  <c r="D10" i="9"/>
  <c r="D299" i="1"/>
  <c r="J299" i="1"/>
  <c r="C299" i="1"/>
  <c r="B299" i="1"/>
  <c r="S299" i="1"/>
  <c r="R299" i="1"/>
  <c r="P299" i="1"/>
  <c r="O299" i="1"/>
  <c r="K299" i="1"/>
  <c r="G299" i="1"/>
  <c r="F299" i="1"/>
  <c r="E299" i="1"/>
  <c r="S305" i="1"/>
  <c r="FB13" i="3" s="1"/>
  <c r="Q299" i="1"/>
  <c r="I299" i="1"/>
  <c r="H299" i="1"/>
  <c r="F305" i="1"/>
  <c r="AO13" i="3" s="1"/>
  <c r="D4" i="10"/>
  <c r="W1016" i="8"/>
  <c r="AF9" i="3"/>
  <c r="EJ11" i="3"/>
  <c r="BF13" i="9"/>
  <c r="BB13" i="10"/>
  <c r="D44" i="10"/>
  <c r="D44" i="9"/>
  <c r="D158" i="10"/>
  <c r="D158" i="9"/>
  <c r="D172" i="10"/>
  <c r="D172" i="9"/>
  <c r="D144" i="10"/>
  <c r="D144" i="9"/>
  <c r="D201" i="10"/>
  <c r="D201" i="9"/>
  <c r="BF215" i="9"/>
  <c r="BB215" i="10"/>
  <c r="CH10" i="3"/>
  <c r="K305" i="1"/>
  <c r="K310" i="1" s="1"/>
  <c r="E305" i="1"/>
  <c r="E306" i="1" s="1"/>
  <c r="AC93" i="10"/>
  <c r="AE93" i="9"/>
  <c r="AE23" i="9"/>
  <c r="AC23" i="10"/>
  <c r="AC172" i="10"/>
  <c r="AE172" i="9"/>
  <c r="D187" i="10"/>
  <c r="D187" i="9"/>
  <c r="AY2046" i="3"/>
  <c r="AZ2046" i="3" s="1"/>
  <c r="AW2046" i="3"/>
  <c r="N13" i="8"/>
  <c r="O10" i="8" s="1"/>
  <c r="N1006" i="8" s="1"/>
  <c r="AC4" i="10"/>
  <c r="AE4" i="9"/>
  <c r="AC66" i="10"/>
  <c r="AE66" i="9"/>
  <c r="AE116" i="9"/>
  <c r="AC116" i="10"/>
  <c r="AN2047" i="3"/>
  <c r="AP2047" i="3"/>
  <c r="AQ2047" i="3" s="1"/>
  <c r="D2050" i="3"/>
  <c r="F2050" i="3"/>
  <c r="G2050" i="3" s="1"/>
  <c r="ET2048" i="3"/>
  <c r="EU2048" i="3" s="1"/>
  <c r="ER2048" i="3"/>
  <c r="E9" i="3"/>
  <c r="BY10" i="3"/>
  <c r="J305" i="1"/>
  <c r="J309" i="1" s="1"/>
  <c r="AC88" i="10"/>
  <c r="AE88" i="9"/>
  <c r="BG10" i="3"/>
  <c r="H305" i="1"/>
  <c r="EA11" i="3"/>
  <c r="BB201" i="10"/>
  <c r="BF201" i="9"/>
  <c r="BF52" i="9"/>
  <c r="BB52" i="10"/>
  <c r="D275" i="10"/>
  <c r="D275" i="9"/>
  <c r="CC181" i="10"/>
  <c r="BG181" i="9"/>
  <c r="D181" i="6"/>
  <c r="AF181" i="9"/>
  <c r="E181" i="9"/>
  <c r="N305" i="1"/>
  <c r="N307" i="1" s="1"/>
  <c r="D40" i="10"/>
  <c r="D40" i="9"/>
  <c r="D125" i="9"/>
  <c r="D125" i="10"/>
  <c r="AC196" i="10"/>
  <c r="AE196" i="9"/>
  <c r="O305" i="1"/>
  <c r="AE40" i="9"/>
  <c r="AC40" i="10"/>
  <c r="AC182" i="10"/>
  <c r="AE182" i="9"/>
  <c r="BB225" i="10"/>
  <c r="BF225" i="9"/>
  <c r="D276" i="10"/>
  <c r="D276" i="9"/>
  <c r="D116" i="10"/>
  <c r="D116" i="9"/>
  <c r="AC31" i="10"/>
  <c r="AE31" i="9"/>
  <c r="D75" i="9"/>
  <c r="D75" i="10"/>
  <c r="AC240" i="10"/>
  <c r="AE240" i="9"/>
  <c r="L299" i="1"/>
  <c r="BB61" i="10"/>
  <c r="BF61" i="9"/>
  <c r="BB111" i="10"/>
  <c r="BF111" i="9"/>
  <c r="D168" i="10"/>
  <c r="D168" i="9"/>
  <c r="BB182" i="10"/>
  <c r="BF182" i="9"/>
  <c r="M299" i="1"/>
  <c r="AC11" i="10"/>
  <c r="AE11" i="9"/>
  <c r="AC97" i="10"/>
  <c r="AE97" i="9"/>
  <c r="D305" i="1"/>
  <c r="W13" i="3" s="1"/>
  <c r="D66" i="9"/>
  <c r="D66" i="10"/>
  <c r="AC144" i="10"/>
  <c r="AE144" i="9"/>
  <c r="AE27" i="9"/>
  <c r="AC27" i="10"/>
  <c r="D48" i="10"/>
  <c r="D48" i="9"/>
  <c r="D84" i="10"/>
  <c r="D84" i="9"/>
  <c r="DR11" i="3"/>
  <c r="D250" i="10"/>
  <c r="D250" i="9"/>
  <c r="BB57" i="10"/>
  <c r="BF57" i="9"/>
  <c r="BF176" i="9"/>
  <c r="BB176" i="10"/>
  <c r="BH2049" i="3"/>
  <c r="BI2049" i="3" s="1"/>
  <c r="BF2049" i="3"/>
  <c r="AC84" i="10"/>
  <c r="AE84" i="9"/>
  <c r="DI11" i="3"/>
  <c r="AE36" i="9"/>
  <c r="AC36" i="10"/>
  <c r="AF62" i="9"/>
  <c r="D62" i="6"/>
  <c r="CC62" i="10"/>
  <c r="E62" i="9"/>
  <c r="BG62" i="9"/>
  <c r="D11" i="10"/>
  <c r="D11" i="9"/>
  <c r="D112" i="10"/>
  <c r="D112" i="9"/>
  <c r="BB35" i="10"/>
  <c r="BF35" i="9"/>
  <c r="D206" i="10"/>
  <c r="D206" i="9"/>
  <c r="B305" i="1"/>
  <c r="B310" i="1" s="1"/>
  <c r="BB92" i="10"/>
  <c r="BF92" i="9"/>
  <c r="AE135" i="9"/>
  <c r="AC135" i="10"/>
  <c r="C305" i="1"/>
  <c r="N13" i="3" s="1"/>
  <c r="D245" i="10"/>
  <c r="D245" i="9"/>
  <c r="BF7" i="9"/>
  <c r="BB7" i="10"/>
  <c r="D135" i="9"/>
  <c r="D135" i="10"/>
  <c r="D163" i="9"/>
  <c r="D163" i="10"/>
  <c r="D221" i="10"/>
  <c r="D221" i="9"/>
  <c r="BP10" i="3"/>
  <c r="I305" i="1"/>
  <c r="I308" i="1" s="1"/>
  <c r="D107" i="10"/>
  <c r="D107" i="9"/>
  <c r="E48" i="10"/>
  <c r="E48" i="11"/>
  <c r="BC48" i="10"/>
  <c r="AD48" i="10"/>
  <c r="D36" i="10"/>
  <c r="D36" i="9"/>
  <c r="D121" i="10"/>
  <c r="D121" i="9"/>
  <c r="BO2048" i="3"/>
  <c r="BQ2048" i="3"/>
  <c r="BR2048" i="3" s="1"/>
  <c r="AF76" i="9"/>
  <c r="E76" i="9"/>
  <c r="CC76" i="10"/>
  <c r="D76" i="6"/>
  <c r="BG76" i="9"/>
  <c r="BF4" i="9"/>
  <c r="BB4" i="10"/>
  <c r="FB12" i="3"/>
  <c r="AC7" i="10"/>
  <c r="AE7" i="9"/>
  <c r="AC13" i="10"/>
  <c r="AE13" i="9"/>
  <c r="D31" i="10"/>
  <c r="D31" i="9"/>
  <c r="BF43" i="9"/>
  <c r="BB43" i="10"/>
  <c r="D52" i="10"/>
  <c r="D52" i="9"/>
  <c r="AC61" i="10"/>
  <c r="AE61" i="9"/>
  <c r="BB65" i="10"/>
  <c r="BF65" i="9"/>
  <c r="AC74" i="10"/>
  <c r="AE74" i="9"/>
  <c r="D88" i="10"/>
  <c r="D88" i="9"/>
  <c r="D111" i="9"/>
  <c r="D111" i="10"/>
  <c r="AC120" i="10"/>
  <c r="AE120" i="9"/>
  <c r="BF143" i="9"/>
  <c r="BB143" i="10"/>
  <c r="AE148" i="9"/>
  <c r="AC148" i="10"/>
  <c r="AC157" i="10"/>
  <c r="AE157" i="9"/>
  <c r="AE205" i="9"/>
  <c r="AC205" i="10"/>
  <c r="AE215" i="9"/>
  <c r="AC215" i="10"/>
  <c r="D260" i="9"/>
  <c r="D260" i="10"/>
  <c r="AO8" i="3"/>
  <c r="BG9" i="7"/>
  <c r="AF12" i="7"/>
  <c r="BG88" i="9"/>
  <c r="CC88" i="10"/>
  <c r="AF88" i="9"/>
  <c r="E88" i="9"/>
  <c r="D88" i="6"/>
  <c r="E180" i="11"/>
  <c r="AD180" i="10"/>
  <c r="E180" i="10"/>
  <c r="BC180" i="10"/>
  <c r="AE128" i="9"/>
  <c r="BY9" i="3"/>
  <c r="AC14" i="10"/>
  <c r="AE14" i="9"/>
  <c r="D41" i="9"/>
  <c r="D41" i="10"/>
  <c r="BF49" i="9"/>
  <c r="BB49" i="10"/>
  <c r="AE76" i="9"/>
  <c r="AC76" i="10"/>
  <c r="AC140" i="10"/>
  <c r="AE140" i="9"/>
  <c r="AC159" i="10"/>
  <c r="AE159" i="9"/>
  <c r="BB183" i="10"/>
  <c r="BF183" i="9"/>
  <c r="BB188" i="10"/>
  <c r="BF188" i="9"/>
  <c r="D203" i="10"/>
  <c r="D203" i="9"/>
  <c r="D222" i="10"/>
  <c r="D222" i="9"/>
  <c r="D282" i="9"/>
  <c r="D282" i="10"/>
  <c r="AC292" i="10"/>
  <c r="AE292" i="9"/>
  <c r="E12" i="3"/>
  <c r="W8" i="3"/>
  <c r="D37" i="9"/>
  <c r="D37" i="10"/>
  <c r="N13" i="4"/>
  <c r="O9" i="4" s="1"/>
  <c r="M305" i="1"/>
  <c r="M307" i="1" s="1"/>
  <c r="D5" i="9"/>
  <c r="D5" i="10"/>
  <c r="D18" i="10"/>
  <c r="D18" i="9"/>
  <c r="AO21" i="2"/>
  <c r="AC41" i="10"/>
  <c r="AE41" i="9"/>
  <c r="D45" i="10"/>
  <c r="D45" i="9"/>
  <c r="AE54" i="9"/>
  <c r="AC54" i="10"/>
  <c r="AC58" i="10"/>
  <c r="AE58" i="9"/>
  <c r="D63" i="10"/>
  <c r="D63" i="9"/>
  <c r="D81" i="10"/>
  <c r="D81" i="9"/>
  <c r="AC85" i="10"/>
  <c r="AE85" i="9"/>
  <c r="AC99" i="10"/>
  <c r="AE99" i="9"/>
  <c r="BB117" i="10"/>
  <c r="AE136" i="9"/>
  <c r="AC136" i="10"/>
  <c r="BF150" i="9"/>
  <c r="BB150" i="10"/>
  <c r="BB207" i="10"/>
  <c r="BF207" i="9"/>
  <c r="D212" i="10"/>
  <c r="D212" i="9"/>
  <c r="AE217" i="9"/>
  <c r="AC217" i="10"/>
  <c r="AC232" i="10"/>
  <c r="AE232" i="9"/>
  <c r="D257" i="10"/>
  <c r="D257" i="9"/>
  <c r="D262" i="10"/>
  <c r="D262" i="9"/>
  <c r="BB267" i="10"/>
  <c r="BF267" i="9"/>
  <c r="D272" i="10"/>
  <c r="D272" i="9"/>
  <c r="CZ2046" i="3"/>
  <c r="AF2048" i="3"/>
  <c r="DQ2053" i="3"/>
  <c r="DR2053" i="3" s="1"/>
  <c r="BG24" i="9"/>
  <c r="E24" i="9"/>
  <c r="CC24" i="10"/>
  <c r="AF24" i="9"/>
  <c r="D24" i="6"/>
  <c r="AD154" i="10"/>
  <c r="E154" i="11"/>
  <c r="BC154" i="10"/>
  <c r="E154" i="10"/>
  <c r="AD202" i="10"/>
  <c r="E202" i="11"/>
  <c r="E202" i="10"/>
  <c r="BC202" i="10"/>
  <c r="E265" i="9"/>
  <c r="BG265" i="9"/>
  <c r="AF265" i="9"/>
  <c r="D265" i="6"/>
  <c r="CC265" i="10"/>
  <c r="D9" i="10"/>
  <c r="D9" i="9"/>
  <c r="BB24" i="10"/>
  <c r="BF24" i="9"/>
  <c r="D33" i="9"/>
  <c r="D33" i="10"/>
  <c r="D90" i="10"/>
  <c r="D90" i="9"/>
  <c r="D95" i="10"/>
  <c r="AE108" i="9"/>
  <c r="AC108" i="10"/>
  <c r="D127" i="10"/>
  <c r="D127" i="9"/>
  <c r="BF131" i="9"/>
  <c r="BB131" i="10"/>
  <c r="BB159" i="10"/>
  <c r="BF159" i="9"/>
  <c r="D169" i="10"/>
  <c r="D169" i="9"/>
  <c r="D189" i="10"/>
  <c r="D189" i="9"/>
  <c r="AE193" i="9"/>
  <c r="AC203" i="10"/>
  <c r="AE203" i="9"/>
  <c r="BB222" i="10"/>
  <c r="BF222" i="9"/>
  <c r="D228" i="9"/>
  <c r="D228" i="10"/>
  <c r="AC257" i="10"/>
  <c r="AE257" i="9"/>
  <c r="EI2053" i="3"/>
  <c r="EJ2053" i="3" s="1"/>
  <c r="CC96" i="10"/>
  <c r="BG96" i="9"/>
  <c r="E96" i="9"/>
  <c r="AF96" i="9"/>
  <c r="BB11" i="10"/>
  <c r="BF11" i="9"/>
  <c r="D80" i="10"/>
  <c r="D80" i="9"/>
  <c r="E21" i="11"/>
  <c r="E21" i="10"/>
  <c r="AD21" i="10"/>
  <c r="BC21" i="10"/>
  <c r="D67" i="10"/>
  <c r="D67" i="9"/>
  <c r="AE89" i="9"/>
  <c r="AC89" i="10"/>
  <c r="D117" i="10"/>
  <c r="D117" i="9"/>
  <c r="AC188" i="10"/>
  <c r="AE188" i="9"/>
  <c r="AC241" i="10"/>
  <c r="AE241" i="9"/>
  <c r="BG2053" i="3"/>
  <c r="AX8" i="3"/>
  <c r="G305" i="1"/>
  <c r="G306" i="1" s="1"/>
  <c r="CZ9" i="3"/>
  <c r="AE5" i="9"/>
  <c r="AC5" i="10"/>
  <c r="AC18" i="10"/>
  <c r="AE18" i="9"/>
  <c r="D29" i="10"/>
  <c r="D29" i="9"/>
  <c r="AC33" i="10"/>
  <c r="AE33" i="9"/>
  <c r="D50" i="10"/>
  <c r="D50" i="9"/>
  <c r="BB54" i="10"/>
  <c r="BF54" i="9"/>
  <c r="BF72" i="9"/>
  <c r="BB72" i="10"/>
  <c r="AC81" i="10"/>
  <c r="AE81" i="9"/>
  <c r="AC90" i="10"/>
  <c r="AE90" i="9"/>
  <c r="D123" i="10"/>
  <c r="D123" i="9"/>
  <c r="D141" i="9"/>
  <c r="D141" i="10"/>
  <c r="BF164" i="9"/>
  <c r="BB164" i="10"/>
  <c r="BB174" i="10"/>
  <c r="BF174" i="9"/>
  <c r="AC189" i="10"/>
  <c r="AE189" i="9"/>
  <c r="D237" i="10"/>
  <c r="D237" i="9"/>
  <c r="E96" i="11"/>
  <c r="BC96" i="10"/>
  <c r="AD96" i="10"/>
  <c r="E96" i="10"/>
  <c r="E96" i="6"/>
  <c r="E282" i="9"/>
  <c r="BG282" i="9"/>
  <c r="CC282" i="10"/>
  <c r="AF282" i="9"/>
  <c r="T299" i="1"/>
  <c r="DI9" i="3"/>
  <c r="P305" i="1"/>
  <c r="BB5" i="10"/>
  <c r="BF5" i="9"/>
  <c r="BF18" i="9"/>
  <c r="BB18" i="10"/>
  <c r="BB37" i="10"/>
  <c r="BF37" i="9"/>
  <c r="D104" i="10"/>
  <c r="D104" i="9"/>
  <c r="AC113" i="10"/>
  <c r="AE113" i="9"/>
  <c r="AE127" i="9"/>
  <c r="AC127" i="10"/>
  <c r="D132" i="9"/>
  <c r="D132" i="10"/>
  <c r="D218" i="10"/>
  <c r="D218" i="9"/>
  <c r="AE228" i="9"/>
  <c r="AC228" i="10"/>
  <c r="D247" i="10"/>
  <c r="D247" i="9"/>
  <c r="BB257" i="10"/>
  <c r="BF257" i="9"/>
  <c r="AZ2019" i="2"/>
  <c r="BF2054" i="3"/>
  <c r="BC235" i="10"/>
  <c r="E235" i="11"/>
  <c r="E235" i="6"/>
  <c r="AD235" i="10"/>
  <c r="E235" i="10"/>
  <c r="AE80" i="9"/>
  <c r="AC80" i="10"/>
  <c r="BF158" i="9"/>
  <c r="BB158" i="10"/>
  <c r="E8" i="3"/>
  <c r="D236" i="10"/>
  <c r="D236" i="9"/>
  <c r="BF20" i="9"/>
  <c r="BB20" i="10"/>
  <c r="D58" i="10"/>
  <c r="D58" i="9"/>
  <c r="AC207" i="10"/>
  <c r="AE207" i="9"/>
  <c r="D246" i="10"/>
  <c r="D246" i="9"/>
  <c r="CC170" i="10"/>
  <c r="E170" i="9"/>
  <c r="AF170" i="9"/>
  <c r="BG170" i="9"/>
  <c r="D170" i="6"/>
  <c r="AC25" i="10"/>
  <c r="AE25" i="9"/>
  <c r="AC50" i="10"/>
  <c r="AE50" i="9"/>
  <c r="D59" i="9"/>
  <c r="AE68" i="9"/>
  <c r="AC68" i="10"/>
  <c r="D100" i="10"/>
  <c r="D100" i="9"/>
  <c r="EK2046" i="3"/>
  <c r="EL2046" i="3" s="1"/>
  <c r="EI2046" i="3"/>
  <c r="E81" i="9"/>
  <c r="BG81" i="9"/>
  <c r="D81" i="6"/>
  <c r="CC81" i="10"/>
  <c r="AF81" i="9"/>
  <c r="BF9" i="9"/>
  <c r="BB9" i="10"/>
  <c r="BB29" i="10"/>
  <c r="BF29" i="9"/>
  <c r="BB68" i="10"/>
  <c r="BF68" i="9"/>
  <c r="BF95" i="9"/>
  <c r="D109" i="9"/>
  <c r="D109" i="10"/>
  <c r="BB132" i="10"/>
  <c r="BF132" i="9"/>
  <c r="BB155" i="10"/>
  <c r="D175" i="10"/>
  <c r="D175" i="9"/>
  <c r="D204" i="9"/>
  <c r="D204" i="10"/>
  <c r="AC213" i="10"/>
  <c r="AE213" i="9"/>
  <c r="BB228" i="10"/>
  <c r="BF228" i="9"/>
  <c r="D263" i="10"/>
  <c r="D263" i="9"/>
  <c r="AC288" i="10"/>
  <c r="AE288" i="9"/>
  <c r="CC42" i="10"/>
  <c r="D42" i="6"/>
  <c r="BG42" i="9"/>
  <c r="E42" i="9"/>
  <c r="E82" i="9"/>
  <c r="BG82" i="9"/>
  <c r="AF82" i="9"/>
  <c r="CC82" i="10"/>
  <c r="CH12" i="3"/>
  <c r="BB15" i="10"/>
  <c r="BF15" i="9"/>
  <c r="D19" i="10"/>
  <c r="D19" i="9"/>
  <c r="BB50" i="10"/>
  <c r="BF50" i="9"/>
  <c r="D73" i="9"/>
  <c r="D73" i="10"/>
  <c r="AC77" i="10"/>
  <c r="AE77" i="9"/>
  <c r="AC91" i="10"/>
  <c r="AE91" i="9"/>
  <c r="AC100" i="10"/>
  <c r="AE100" i="9"/>
  <c r="BB104" i="10"/>
  <c r="BF104" i="9"/>
  <c r="BB123" i="10"/>
  <c r="BF123" i="9"/>
  <c r="D147" i="9"/>
  <c r="D147" i="10"/>
  <c r="AC151" i="10"/>
  <c r="AE151" i="9"/>
  <c r="AE165" i="9"/>
  <c r="AC165" i="10"/>
  <c r="AC179" i="10"/>
  <c r="AE179" i="9"/>
  <c r="D224" i="10"/>
  <c r="D224" i="9"/>
  <c r="D253" i="10"/>
  <c r="D253" i="9"/>
  <c r="AC258" i="10"/>
  <c r="AE258" i="9"/>
  <c r="AC263" i="10"/>
  <c r="AE263" i="9"/>
  <c r="AE278" i="9"/>
  <c r="AC278" i="10"/>
  <c r="BB288" i="10"/>
  <c r="BF288" i="9"/>
  <c r="CC29" i="10"/>
  <c r="BG29" i="9"/>
  <c r="E29" i="9"/>
  <c r="AF29" i="9"/>
  <c r="D29" i="6"/>
  <c r="D82" i="6"/>
  <c r="BF8" i="9"/>
  <c r="BB95" i="10"/>
  <c r="D98" i="9"/>
  <c r="D98" i="10"/>
  <c r="AC62" i="10"/>
  <c r="AE62" i="9"/>
  <c r="AC112" i="10"/>
  <c r="AE112" i="9"/>
  <c r="D217" i="10"/>
  <c r="D217" i="9"/>
  <c r="K294" i="5"/>
  <c r="K296" i="5" s="1"/>
  <c r="K297" i="5"/>
  <c r="K295" i="5"/>
  <c r="K298" i="5"/>
  <c r="AC19" i="10"/>
  <c r="AE19" i="9"/>
  <c r="AE147" i="9"/>
  <c r="AC147" i="10"/>
  <c r="AC175" i="10"/>
  <c r="AE175" i="9"/>
  <c r="AC224" i="10"/>
  <c r="AE224" i="9"/>
  <c r="AC253" i="10"/>
  <c r="AE253" i="9"/>
  <c r="D274" i="10"/>
  <c r="D274" i="9"/>
  <c r="BB10" i="10"/>
  <c r="BF10" i="9"/>
  <c r="AC38" i="10"/>
  <c r="AE38" i="9"/>
  <c r="D51" i="10"/>
  <c r="D51" i="9"/>
  <c r="AC185" i="10"/>
  <c r="AE185" i="9"/>
  <c r="BB258" i="10"/>
  <c r="BF258" i="9"/>
  <c r="D264" i="10"/>
  <c r="D264" i="9"/>
  <c r="E255" i="10"/>
  <c r="E255" i="11"/>
  <c r="AD255" i="10"/>
  <c r="E255" i="6"/>
  <c r="BC255" i="10"/>
  <c r="Z12" i="2"/>
  <c r="Z13" i="2" s="1"/>
  <c r="AC2019" i="2" s="1"/>
  <c r="BB19" i="10"/>
  <c r="BF19" i="9"/>
  <c r="D30" i="10"/>
  <c r="D30" i="9"/>
  <c r="D47" i="9"/>
  <c r="D47" i="10"/>
  <c r="D60" i="10"/>
  <c r="D60" i="9"/>
  <c r="BB147" i="10"/>
  <c r="BF147" i="9"/>
  <c r="AC166" i="10"/>
  <c r="AE166" i="9"/>
  <c r="AC171" i="10"/>
  <c r="AE171" i="9"/>
  <c r="D200" i="9"/>
  <c r="D200" i="10"/>
  <c r="D214" i="10"/>
  <c r="D214" i="9"/>
  <c r="BB224" i="10"/>
  <c r="D229" i="10"/>
  <c r="D229" i="9"/>
  <c r="AC238" i="10"/>
  <c r="AE238" i="9"/>
  <c r="BB248" i="10"/>
  <c r="BF248" i="9"/>
  <c r="AE264" i="9"/>
  <c r="AC264" i="10"/>
  <c r="AE274" i="9"/>
  <c r="AC274" i="10"/>
  <c r="D284" i="10"/>
  <c r="D284" i="9"/>
  <c r="E208" i="11"/>
  <c r="AD208" i="10"/>
  <c r="E208" i="10"/>
  <c r="BC208" i="10"/>
  <c r="E208" i="6"/>
  <c r="BG256" i="9"/>
  <c r="CC256" i="10"/>
  <c r="E256" i="9"/>
  <c r="D256" i="6"/>
  <c r="AF256" i="9"/>
  <c r="AE245" i="9"/>
  <c r="AC245" i="10"/>
  <c r="D8" i="10"/>
  <c r="D8" i="9"/>
  <c r="AC20" i="10"/>
  <c r="AE20" i="9"/>
  <c r="AC32" i="10"/>
  <c r="AE32" i="9"/>
  <c r="D183" i="10"/>
  <c r="D183" i="9"/>
  <c r="DI10" i="3"/>
  <c r="AC17" i="10"/>
  <c r="D28" i="10"/>
  <c r="D28" i="9"/>
  <c r="D267" i="10"/>
  <c r="D267" i="9"/>
  <c r="BQ2046" i="3"/>
  <c r="BR2046" i="3" s="1"/>
  <c r="BO2046" i="3"/>
  <c r="D85" i="9"/>
  <c r="D85" i="10"/>
  <c r="AC197" i="10"/>
  <c r="AE197" i="9"/>
  <c r="D251" i="10"/>
  <c r="D251" i="9"/>
  <c r="DS2047" i="3"/>
  <c r="DT2047" i="3" s="1"/>
  <c r="DQ2047" i="3"/>
  <c r="AC46" i="10"/>
  <c r="AE46" i="9"/>
  <c r="D179" i="10"/>
  <c r="D179" i="9"/>
  <c r="FB2048" i="3"/>
  <c r="FB2056" i="3"/>
  <c r="FB2060" i="3" s="1"/>
  <c r="FA2053" i="3"/>
  <c r="FB2053" i="3" s="1"/>
  <c r="FB2049" i="3"/>
  <c r="FB2047" i="3"/>
  <c r="FB2050" i="3"/>
  <c r="FB2046" i="3"/>
  <c r="AD282" i="10"/>
  <c r="E282" i="11"/>
  <c r="E282" i="10"/>
  <c r="BC282" i="10"/>
  <c r="E282" i="6"/>
  <c r="AE55" i="9"/>
  <c r="AC55" i="10"/>
  <c r="BB114" i="10"/>
  <c r="BF114" i="9"/>
  <c r="D133" i="9"/>
  <c r="D133" i="10"/>
  <c r="D156" i="9"/>
  <c r="D156" i="10"/>
  <c r="D185" i="10"/>
  <c r="D185" i="9"/>
  <c r="BB263" i="10"/>
  <c r="BF263" i="9"/>
  <c r="AF2050" i="3"/>
  <c r="AC34" i="10"/>
  <c r="AE34" i="9"/>
  <c r="BB55" i="10"/>
  <c r="BF55" i="9"/>
  <c r="AE69" i="9"/>
  <c r="AC69" i="10"/>
  <c r="BF77" i="9"/>
  <c r="BB77" i="10"/>
  <c r="D180" i="9"/>
  <c r="D180" i="10"/>
  <c r="AE219" i="9"/>
  <c r="AC219" i="10"/>
  <c r="AC6" i="10"/>
  <c r="AE6" i="9"/>
  <c r="AL12" i="2"/>
  <c r="AL13" i="2" s="1"/>
  <c r="AO2019" i="2" s="1"/>
  <c r="AC30" i="10"/>
  <c r="AE30" i="9"/>
  <c r="AE51" i="9"/>
  <c r="AC51" i="10"/>
  <c r="AC60" i="10"/>
  <c r="AE60" i="9"/>
  <c r="BB69" i="10"/>
  <c r="BF69" i="9"/>
  <c r="D78" i="10"/>
  <c r="D78" i="9"/>
  <c r="AC110" i="10"/>
  <c r="AE110" i="9"/>
  <c r="BF119" i="9"/>
  <c r="BB119" i="10"/>
  <c r="D143" i="10"/>
  <c r="D143" i="9"/>
  <c r="AC161" i="10"/>
  <c r="AE161" i="9"/>
  <c r="AC180" i="10"/>
  <c r="AE180" i="9"/>
  <c r="AC284" i="10"/>
  <c r="AE284" i="9"/>
  <c r="AF2046" i="3"/>
  <c r="AF2047" i="3"/>
  <c r="AF2056" i="3"/>
  <c r="AE2053" i="3"/>
  <c r="AF2049" i="3"/>
  <c r="CZ2056" i="3"/>
  <c r="CZ2060" i="3" s="1"/>
  <c r="CZ2047" i="3"/>
  <c r="CY2053" i="3"/>
  <c r="CZ2053" i="3" s="1"/>
  <c r="CZ2050" i="3"/>
  <c r="CZ2048" i="3"/>
  <c r="CZ2049" i="3"/>
  <c r="BP2057" i="3"/>
  <c r="BO2054" i="3"/>
  <c r="EI2054" i="3"/>
  <c r="EJ2057" i="3"/>
  <c r="BQ2050" i="3"/>
  <c r="BR2050" i="3" s="1"/>
  <c r="BG193" i="9"/>
  <c r="D193" i="6"/>
  <c r="AF193" i="9"/>
  <c r="CC193" i="10"/>
  <c r="E193" i="9"/>
  <c r="AC193" i="10"/>
  <c r="BF27" i="9"/>
  <c r="BB27" i="10"/>
  <c r="BB84" i="10"/>
  <c r="BF84" i="9"/>
  <c r="AC211" i="10"/>
  <c r="AE211" i="9"/>
  <c r="BB291" i="10"/>
  <c r="BF291" i="9"/>
  <c r="AF183" i="9"/>
  <c r="BG183" i="9"/>
  <c r="CC183" i="10"/>
  <c r="E183" i="9"/>
  <c r="D183" i="6"/>
  <c r="D173" i="10"/>
  <c r="D173" i="9"/>
  <c r="BG9" i="3"/>
  <c r="D140" i="10"/>
  <c r="D140" i="9"/>
  <c r="BZ2049" i="3"/>
  <c r="CA2049" i="3" s="1"/>
  <c r="N8" i="3"/>
  <c r="D54" i="10"/>
  <c r="D54" i="9"/>
  <c r="BB107" i="10"/>
  <c r="BF107" i="9"/>
  <c r="AX10" i="7"/>
  <c r="AC15" i="10"/>
  <c r="AE15" i="9"/>
  <c r="BB33" i="10"/>
  <c r="BF33" i="9"/>
  <c r="D213" i="10"/>
  <c r="D213" i="9"/>
  <c r="AC242" i="10"/>
  <c r="AE242" i="9"/>
  <c r="D278" i="10"/>
  <c r="D278" i="9"/>
  <c r="M2053" i="3"/>
  <c r="N2050" i="3"/>
  <c r="N2048" i="3"/>
  <c r="N2049" i="3"/>
  <c r="N2046" i="3"/>
  <c r="N2047" i="3"/>
  <c r="CG2053" i="3"/>
  <c r="CH2053" i="3" s="1"/>
  <c r="CH2049" i="3"/>
  <c r="CH2046" i="3"/>
  <c r="CH2056" i="3"/>
  <c r="CH2060" i="3" s="1"/>
  <c r="CH2050" i="3"/>
  <c r="CH2048" i="3"/>
  <c r="AX2057" i="3"/>
  <c r="AX2060" i="3" s="1"/>
  <c r="AW2054" i="3"/>
  <c r="AX2050" i="3"/>
  <c r="AX2048" i="3"/>
  <c r="D96" i="9"/>
  <c r="D96" i="10"/>
  <c r="AC248" i="10"/>
  <c r="AE248" i="9"/>
  <c r="AP2050" i="3"/>
  <c r="AQ2050" i="3" s="1"/>
  <c r="AN2050" i="3"/>
  <c r="BY11" i="3"/>
  <c r="AX12" i="2"/>
  <c r="AX13" i="2" s="1"/>
  <c r="BA2019" i="2" s="1"/>
  <c r="AC16" i="10"/>
  <c r="AE16" i="9"/>
  <c r="AC26" i="10"/>
  <c r="AE26" i="9"/>
  <c r="AC47" i="10"/>
  <c r="AE47" i="9"/>
  <c r="AC78" i="10"/>
  <c r="AE78" i="9"/>
  <c r="BB105" i="10"/>
  <c r="BF105" i="9"/>
  <c r="BB138" i="10"/>
  <c r="BF138" i="9"/>
  <c r="D191" i="10"/>
  <c r="D191" i="9"/>
  <c r="D225" i="10"/>
  <c r="D225" i="9"/>
  <c r="D249" i="10"/>
  <c r="D249" i="9"/>
  <c r="AE279" i="9"/>
  <c r="AC279" i="10"/>
  <c r="D290" i="10"/>
  <c r="D290" i="9"/>
  <c r="DR9" i="3"/>
  <c r="EJ2056" i="3"/>
  <c r="EJ2060" i="3" s="1"/>
  <c r="AF9" i="7"/>
  <c r="E305" i="5"/>
  <c r="E310" i="5" s="1"/>
  <c r="E12" i="7"/>
  <c r="E224" i="11"/>
  <c r="E224" i="10"/>
  <c r="BC224" i="10"/>
  <c r="AD224" i="10"/>
  <c r="E224" i="6"/>
  <c r="AD286" i="10"/>
  <c r="E286" i="11"/>
  <c r="BC286" i="10"/>
  <c r="E286" i="10"/>
  <c r="E286" i="6"/>
  <c r="ES11" i="3"/>
  <c r="D20" i="10"/>
  <c r="D20" i="9"/>
  <c r="AE44" i="9"/>
  <c r="AC44" i="10"/>
  <c r="BB93" i="10"/>
  <c r="BF93" i="9"/>
  <c r="BB192" i="10"/>
  <c r="BF192" i="9"/>
  <c r="AE221" i="9"/>
  <c r="AC221" i="10"/>
  <c r="BB240" i="10"/>
  <c r="BF240" i="9"/>
  <c r="BB266" i="10"/>
  <c r="BF266" i="9"/>
  <c r="AC286" i="10"/>
  <c r="AE286" i="9"/>
  <c r="AF215" i="9"/>
  <c r="E215" i="9"/>
  <c r="D215" i="6"/>
  <c r="BG215" i="9"/>
  <c r="BF23" i="9"/>
  <c r="BB23" i="10"/>
  <c r="BF48" i="9"/>
  <c r="BB48" i="10"/>
  <c r="D71" i="9"/>
  <c r="D71" i="10"/>
  <c r="D89" i="10"/>
  <c r="D89" i="9"/>
  <c r="AC107" i="10"/>
  <c r="AE107" i="9"/>
  <c r="AC8" i="10"/>
  <c r="AE8" i="9"/>
  <c r="AE173" i="9"/>
  <c r="AC173" i="10"/>
  <c r="BB281" i="10"/>
  <c r="BF281" i="9"/>
  <c r="P2019" i="2"/>
  <c r="P19" i="2"/>
  <c r="BF62" i="9"/>
  <c r="BB62" i="10"/>
  <c r="D99" i="10"/>
  <c r="D99" i="9"/>
  <c r="D232" i="10"/>
  <c r="D232" i="9"/>
  <c r="CC139" i="10"/>
  <c r="E139" i="9"/>
  <c r="AF139" i="9"/>
  <c r="BG139" i="9"/>
  <c r="D139" i="6"/>
  <c r="BF81" i="9"/>
  <c r="BB81" i="10"/>
  <c r="AC123" i="10"/>
  <c r="AE123" i="9"/>
  <c r="BB146" i="10"/>
  <c r="BF146" i="9"/>
  <c r="AC160" i="10"/>
  <c r="AE160" i="9"/>
  <c r="AC199" i="10"/>
  <c r="AE199" i="9"/>
  <c r="AC208" i="10"/>
  <c r="AE208" i="9"/>
  <c r="AE237" i="9"/>
  <c r="AC237" i="10"/>
  <c r="D283" i="10"/>
  <c r="D283" i="9"/>
  <c r="CC113" i="10"/>
  <c r="E113" i="9"/>
  <c r="BG113" i="9"/>
  <c r="AF113" i="9"/>
  <c r="D113" i="6"/>
  <c r="L305" i="1"/>
  <c r="L306" i="1" s="1"/>
  <c r="CQ8" i="3"/>
  <c r="BB22" i="10"/>
  <c r="BF22" i="9"/>
  <c r="AC142" i="10"/>
  <c r="AE142" i="9"/>
  <c r="AC204" i="10"/>
  <c r="AE204" i="9"/>
  <c r="AJ902" i="2"/>
  <c r="AJ2102" i="2"/>
  <c r="Q305" i="1"/>
  <c r="Q309" i="1" s="1"/>
  <c r="D7" i="9"/>
  <c r="D7" i="10"/>
  <c r="AC56" i="10"/>
  <c r="AE56" i="9"/>
  <c r="D61" i="9"/>
  <c r="D61" i="10"/>
  <c r="D65" i="9"/>
  <c r="D65" i="10"/>
  <c r="BF78" i="9"/>
  <c r="BB78" i="10"/>
  <c r="BB110" i="10"/>
  <c r="BF110" i="9"/>
  <c r="D120" i="10"/>
  <c r="D120" i="9"/>
  <c r="AE143" i="9"/>
  <c r="AC143" i="10"/>
  <c r="D148" i="10"/>
  <c r="D148" i="9"/>
  <c r="AC152" i="10"/>
  <c r="AC191" i="10"/>
  <c r="AE191" i="9"/>
  <c r="D215" i="10"/>
  <c r="D215" i="9"/>
  <c r="AE249" i="9"/>
  <c r="AC249" i="10"/>
  <c r="AE290" i="9"/>
  <c r="AC290" i="10"/>
  <c r="AO9" i="7"/>
  <c r="N12" i="7"/>
  <c r="AD194" i="10"/>
  <c r="E194" i="10"/>
  <c r="E194" i="11"/>
  <c r="BC194" i="10"/>
  <c r="E194" i="6"/>
  <c r="BF224" i="9"/>
  <c r="CC215" i="10"/>
  <c r="BB255" i="10"/>
  <c r="BF255" i="9"/>
  <c r="BB36" i="10"/>
  <c r="BF36" i="9"/>
  <c r="BB53" i="10"/>
  <c r="BF53" i="9"/>
  <c r="D103" i="10"/>
  <c r="D103" i="9"/>
  <c r="BC138" i="10"/>
  <c r="E138" i="10"/>
  <c r="E138" i="11"/>
  <c r="AD138" i="10"/>
  <c r="AC178" i="10"/>
  <c r="AE178" i="9"/>
  <c r="D195" i="10"/>
  <c r="D195" i="9"/>
  <c r="AE119" i="9"/>
  <c r="AC119" i="10"/>
  <c r="R305" i="1"/>
  <c r="R309" i="1" s="1"/>
  <c r="ES12" i="3"/>
  <c r="BF16" i="9"/>
  <c r="BB16" i="10"/>
  <c r="BB21" i="10"/>
  <c r="BF21" i="9"/>
  <c r="BB26" i="10"/>
  <c r="BF26" i="9"/>
  <c r="BB39" i="10"/>
  <c r="BF39" i="9"/>
  <c r="BF47" i="9"/>
  <c r="BB47" i="10"/>
  <c r="D70" i="10"/>
  <c r="D70" i="9"/>
  <c r="D74" i="10"/>
  <c r="D74" i="9"/>
  <c r="AC92" i="10"/>
  <c r="AE92" i="9"/>
  <c r="BB152" i="10"/>
  <c r="BF152" i="9"/>
  <c r="AC162" i="10"/>
  <c r="AE162" i="9"/>
  <c r="D196" i="10"/>
  <c r="D196" i="9"/>
  <c r="BB200" i="10"/>
  <c r="BF200" i="9"/>
  <c r="AC225" i="10"/>
  <c r="AE225" i="9"/>
  <c r="AC254" i="10"/>
  <c r="AE254" i="9"/>
  <c r="AC270" i="10"/>
  <c r="AE270" i="9"/>
  <c r="AN2053" i="3"/>
  <c r="AO2049" i="3"/>
  <c r="AO2048" i="3"/>
  <c r="DI2050" i="3"/>
  <c r="DH2053" i="3"/>
  <c r="DI2047" i="3"/>
  <c r="DI2056" i="3"/>
  <c r="DI2046" i="3"/>
  <c r="DI2049" i="3"/>
  <c r="DI2048" i="3"/>
  <c r="CQ2050" i="3"/>
  <c r="CQ2049" i="3"/>
  <c r="CQ2048" i="3"/>
  <c r="CP2053" i="3"/>
  <c r="CQ2046" i="3"/>
  <c r="E2049" i="3"/>
  <c r="D2054" i="3"/>
  <c r="E2046" i="3"/>
  <c r="E2057" i="3"/>
  <c r="D2053" i="3"/>
  <c r="E2053" i="3" s="1"/>
  <c r="E2047" i="3"/>
  <c r="BX2054" i="3"/>
  <c r="BY2047" i="3"/>
  <c r="BY2046" i="3"/>
  <c r="ER2054" i="3"/>
  <c r="ES2049" i="3"/>
  <c r="ER2053" i="3"/>
  <c r="ES2053" i="3" s="1"/>
  <c r="ES2057" i="3"/>
  <c r="ES2060" i="3" s="1"/>
  <c r="E13" i="4"/>
  <c r="F10" i="4" s="1"/>
  <c r="E1006" i="4" s="1"/>
  <c r="E17" i="11"/>
  <c r="E17" i="10"/>
  <c r="AD17" i="10"/>
  <c r="E17" i="6"/>
  <c r="BC17" i="10"/>
  <c r="CC195" i="10"/>
  <c r="AF195" i="9"/>
  <c r="E195" i="9"/>
  <c r="D195" i="6"/>
  <c r="BG195" i="9"/>
  <c r="E274" i="9"/>
  <c r="CC274" i="10"/>
  <c r="BG274" i="9"/>
  <c r="D274" i="6"/>
  <c r="AF274" i="9"/>
  <c r="AC261" i="10"/>
  <c r="AE261" i="9"/>
  <c r="AC265" i="10"/>
  <c r="AE265" i="9"/>
  <c r="AC281" i="10"/>
  <c r="AE281" i="9"/>
  <c r="E100" i="6"/>
  <c r="E272" i="6"/>
  <c r="E266" i="6"/>
  <c r="E12" i="6"/>
  <c r="E271" i="6"/>
  <c r="X20" i="6"/>
  <c r="Y20" i="6" s="1"/>
  <c r="E199" i="6" s="1"/>
  <c r="E83" i="6"/>
  <c r="E260" i="6"/>
  <c r="E203" i="6"/>
  <c r="E122" i="6"/>
  <c r="E54" i="6"/>
  <c r="E291" i="6"/>
  <c r="E94" i="6"/>
  <c r="E70" i="6"/>
  <c r="E30" i="6"/>
  <c r="E191" i="6"/>
  <c r="E216" i="6"/>
  <c r="E77" i="6"/>
  <c r="E148" i="6"/>
  <c r="E238" i="6"/>
  <c r="E72" i="6"/>
  <c r="BC59" i="10"/>
  <c r="E59" i="11"/>
  <c r="E59" i="10"/>
  <c r="E59" i="6"/>
  <c r="AD142" i="10"/>
  <c r="BC142" i="10"/>
  <c r="E142" i="11"/>
  <c r="E142" i="10"/>
  <c r="AF184" i="9"/>
  <c r="E184" i="9"/>
  <c r="CC184" i="10"/>
  <c r="BG184" i="9"/>
  <c r="D184" i="6"/>
  <c r="BB233" i="10"/>
  <c r="BF233" i="9"/>
  <c r="BF245" i="9"/>
  <c r="BB245" i="10"/>
  <c r="BB254" i="10"/>
  <c r="BF254" i="9"/>
  <c r="D271" i="10"/>
  <c r="D271" i="9"/>
  <c r="BB287" i="10"/>
  <c r="BF287" i="9"/>
  <c r="W2050" i="3"/>
  <c r="BC226" i="10"/>
  <c r="AD226" i="10"/>
  <c r="E226" i="11"/>
  <c r="E226" i="10"/>
  <c r="D27" i="10"/>
  <c r="D27" i="9"/>
  <c r="BB44" i="10"/>
  <c r="BF44" i="9"/>
  <c r="BB51" i="10"/>
  <c r="BF51" i="9"/>
  <c r="AC59" i="10"/>
  <c r="AE59" i="9"/>
  <c r="AE63" i="9"/>
  <c r="AC63" i="10"/>
  <c r="D82" i="10"/>
  <c r="D82" i="9"/>
  <c r="D97" i="9"/>
  <c r="D97" i="10"/>
  <c r="D101" i="10"/>
  <c r="D101" i="9"/>
  <c r="BB116" i="10"/>
  <c r="BF116" i="9"/>
  <c r="BB120" i="10"/>
  <c r="BF120" i="9"/>
  <c r="BB140" i="10"/>
  <c r="BF140" i="9"/>
  <c r="AC156" i="10"/>
  <c r="AE156" i="9"/>
  <c r="BB168" i="10"/>
  <c r="BF168" i="9"/>
  <c r="AC176" i="10"/>
  <c r="AE176" i="9"/>
  <c r="D205" i="10"/>
  <c r="D205" i="9"/>
  <c r="AC209" i="10"/>
  <c r="BB221" i="10"/>
  <c r="BF221" i="9"/>
  <c r="D238" i="9"/>
  <c r="D238" i="10"/>
  <c r="D242" i="9"/>
  <c r="D242" i="10"/>
  <c r="D255" i="10"/>
  <c r="D255" i="9"/>
  <c r="AC271" i="10"/>
  <c r="AE271" i="9"/>
  <c r="D288" i="10"/>
  <c r="D288" i="9"/>
  <c r="E86" i="6"/>
  <c r="BC128" i="10"/>
  <c r="E128" i="11"/>
  <c r="AD128" i="10"/>
  <c r="AE209" i="9"/>
  <c r="AE9" i="9"/>
  <c r="AC9" i="10"/>
  <c r="D14" i="9"/>
  <c r="D14" i="10"/>
  <c r="D24" i="10"/>
  <c r="D24" i="9"/>
  <c r="D38" i="10"/>
  <c r="D38" i="9"/>
  <c r="BF41" i="9"/>
  <c r="BB41" i="10"/>
  <c r="AC52" i="10"/>
  <c r="AE52" i="9"/>
  <c r="D56" i="10"/>
  <c r="AC67" i="10"/>
  <c r="AE67" i="9"/>
  <c r="BB74" i="10"/>
  <c r="BF74" i="9"/>
  <c r="BB101" i="10"/>
  <c r="BF101" i="9"/>
  <c r="D113" i="10"/>
  <c r="D113" i="9"/>
  <c r="AC121" i="10"/>
  <c r="AE121" i="9"/>
  <c r="AE133" i="9"/>
  <c r="AC133" i="10"/>
  <c r="D137" i="10"/>
  <c r="D137" i="9"/>
  <c r="D149" i="10"/>
  <c r="D149" i="9"/>
  <c r="D161" i="10"/>
  <c r="D161" i="9"/>
  <c r="D177" i="10"/>
  <c r="D177" i="9"/>
  <c r="BF189" i="9"/>
  <c r="BB189" i="10"/>
  <c r="D210" i="9"/>
  <c r="D210" i="10"/>
  <c r="AE226" i="9"/>
  <c r="AC226" i="10"/>
  <c r="AC230" i="10"/>
  <c r="AE230" i="9"/>
  <c r="BB242" i="10"/>
  <c r="BF242" i="9"/>
  <c r="D268" i="9"/>
  <c r="D268" i="10"/>
  <c r="E145" i="10"/>
  <c r="E145" i="11"/>
  <c r="AD145" i="10"/>
  <c r="BC145" i="10"/>
  <c r="BG288" i="9"/>
  <c r="D288" i="6"/>
  <c r="E288" i="9"/>
  <c r="AF288" i="9"/>
  <c r="CC288" i="10"/>
  <c r="D162" i="9"/>
  <c r="N11" i="3"/>
  <c r="D6" i="10"/>
  <c r="D6" i="9"/>
  <c r="D12" i="9"/>
  <c r="D12" i="10"/>
  <c r="AC71" i="10"/>
  <c r="AE71" i="9"/>
  <c r="AC75" i="10"/>
  <c r="AE75" i="9"/>
  <c r="BB86" i="10"/>
  <c r="BB90" i="10"/>
  <c r="BF90" i="9"/>
  <c r="D126" i="9"/>
  <c r="D126" i="10"/>
  <c r="BF137" i="9"/>
  <c r="BB137" i="10"/>
  <c r="BF185" i="9"/>
  <c r="BB185" i="10"/>
  <c r="D190" i="9"/>
  <c r="D190" i="10"/>
  <c r="D194" i="10"/>
  <c r="D194" i="9"/>
  <c r="AC206" i="10"/>
  <c r="AE206" i="9"/>
  <c r="AC218" i="10"/>
  <c r="AE218" i="9"/>
  <c r="AC231" i="10"/>
  <c r="AE231" i="9"/>
  <c r="BB251" i="10"/>
  <c r="BF251" i="9"/>
  <c r="AC256" i="10"/>
  <c r="AE256" i="9"/>
  <c r="AC260" i="10"/>
  <c r="AE260" i="9"/>
  <c r="BB264" i="10"/>
  <c r="BF264" i="9"/>
  <c r="BF284" i="9"/>
  <c r="BB284" i="10"/>
  <c r="D289" i="10"/>
  <c r="D289" i="9"/>
  <c r="BG120" i="9"/>
  <c r="CC120" i="10"/>
  <c r="E120" i="9"/>
  <c r="AF120" i="9"/>
  <c r="CC248" i="10"/>
  <c r="AF248" i="9"/>
  <c r="BG248" i="9"/>
  <c r="D248" i="6"/>
  <c r="E248" i="9"/>
  <c r="AD261" i="10"/>
  <c r="E261" i="11"/>
  <c r="BC261" i="10"/>
  <c r="E261" i="10"/>
  <c r="E276" i="6"/>
  <c r="AC64" i="10"/>
  <c r="BB17" i="10"/>
  <c r="BF17" i="9"/>
  <c r="AC28" i="10"/>
  <c r="AE28" i="9"/>
  <c r="D35" i="10"/>
  <c r="BF38" i="9"/>
  <c r="BB38" i="10"/>
  <c r="D42" i="10"/>
  <c r="D42" i="9"/>
  <c r="BB60" i="10"/>
  <c r="BF60" i="9"/>
  <c r="AE79" i="9"/>
  <c r="AC79" i="10"/>
  <c r="AE94" i="9"/>
  <c r="AC94" i="10"/>
  <c r="AC98" i="10"/>
  <c r="AE98" i="9"/>
  <c r="AC102" i="10"/>
  <c r="AE102" i="9"/>
  <c r="D122" i="10"/>
  <c r="D122" i="9"/>
  <c r="BB165" i="10"/>
  <c r="BF165" i="9"/>
  <c r="AC198" i="10"/>
  <c r="AE198" i="9"/>
  <c r="BB210" i="10"/>
  <c r="BF210" i="9"/>
  <c r="D235" i="10"/>
  <c r="D235" i="9"/>
  <c r="D252" i="10"/>
  <c r="D252" i="9"/>
  <c r="BB260" i="10"/>
  <c r="BF260" i="9"/>
  <c r="BB272" i="10"/>
  <c r="BF272" i="9"/>
  <c r="E38" i="10"/>
  <c r="E38" i="6"/>
  <c r="AD38" i="10"/>
  <c r="BC38" i="10"/>
  <c r="E38" i="11"/>
  <c r="AD175" i="10"/>
  <c r="E175" i="10"/>
  <c r="BC175" i="10"/>
  <c r="E175" i="11"/>
  <c r="E189" i="10"/>
  <c r="E189" i="11"/>
  <c r="AD189" i="10"/>
  <c r="BC189" i="10"/>
  <c r="E189" i="6"/>
  <c r="AF249" i="9"/>
  <c r="BG249" i="9"/>
  <c r="CC249" i="10"/>
  <c r="D249" i="6"/>
  <c r="E249" i="9"/>
  <c r="E261" i="6"/>
  <c r="CC277" i="10"/>
  <c r="D277" i="6"/>
  <c r="BG277" i="9"/>
  <c r="AF277" i="9"/>
  <c r="E277" i="9"/>
  <c r="D35" i="9"/>
  <c r="AD59" i="10"/>
  <c r="D49" i="10"/>
  <c r="D49" i="9"/>
  <c r="D53" i="10"/>
  <c r="D53" i="9"/>
  <c r="D57" i="9"/>
  <c r="D57" i="10"/>
  <c r="BF71" i="9"/>
  <c r="BB75" i="10"/>
  <c r="BF75" i="9"/>
  <c r="D87" i="10"/>
  <c r="D87" i="9"/>
  <c r="D114" i="10"/>
  <c r="D114" i="9"/>
  <c r="D118" i="9"/>
  <c r="D118" i="10"/>
  <c r="AC126" i="10"/>
  <c r="AE126" i="9"/>
  <c r="D130" i="10"/>
  <c r="D130" i="9"/>
  <c r="D134" i="10"/>
  <c r="D134" i="9"/>
  <c r="D186" i="10"/>
  <c r="D186" i="9"/>
  <c r="AC190" i="10"/>
  <c r="AE190" i="9"/>
  <c r="BF206" i="9"/>
  <c r="BB206" i="10"/>
  <c r="D223" i="10"/>
  <c r="D223" i="9"/>
  <c r="AC227" i="10"/>
  <c r="AE227" i="9"/>
  <c r="BB231" i="10"/>
  <c r="BF231" i="9"/>
  <c r="D239" i="10"/>
  <c r="AC277" i="10"/>
  <c r="AE277" i="9"/>
  <c r="D285" i="10"/>
  <c r="D285" i="9"/>
  <c r="AC289" i="10"/>
  <c r="AE289" i="9"/>
  <c r="CC39" i="10"/>
  <c r="E39" i="9"/>
  <c r="AF39" i="9"/>
  <c r="D39" i="6"/>
  <c r="E53" i="10"/>
  <c r="E53" i="11"/>
  <c r="AD53" i="10"/>
  <c r="BC53" i="10"/>
  <c r="E65" i="11"/>
  <c r="E65" i="10"/>
  <c r="E65" i="6"/>
  <c r="BC65" i="10"/>
  <c r="AD65" i="10"/>
  <c r="BC120" i="10"/>
  <c r="AD120" i="10"/>
  <c r="E120" i="11"/>
  <c r="E120" i="10"/>
  <c r="E120" i="6"/>
  <c r="BG161" i="9"/>
  <c r="E161" i="9"/>
  <c r="CC161" i="10"/>
  <c r="D161" i="6"/>
  <c r="E175" i="6"/>
  <c r="BF12" i="9"/>
  <c r="BB12" i="10"/>
  <c r="AC21" i="10"/>
  <c r="AE21" i="9"/>
  <c r="D25" i="10"/>
  <c r="D25" i="9"/>
  <c r="BB28" i="10"/>
  <c r="BF28" i="9"/>
  <c r="AC35" i="10"/>
  <c r="AE35" i="9"/>
  <c r="BB42" i="10"/>
  <c r="BF42" i="9"/>
  <c r="AE53" i="9"/>
  <c r="AC53" i="10"/>
  <c r="D68" i="10"/>
  <c r="D68" i="9"/>
  <c r="D72" i="10"/>
  <c r="D72" i="9"/>
  <c r="AC83" i="10"/>
  <c r="AE83" i="9"/>
  <c r="AC87" i="10"/>
  <c r="AE87" i="9"/>
  <c r="BB102" i="10"/>
  <c r="BF102" i="9"/>
  <c r="D154" i="10"/>
  <c r="D154" i="9"/>
  <c r="D166" i="10"/>
  <c r="D166" i="9"/>
  <c r="D182" i="10"/>
  <c r="D182" i="9"/>
  <c r="BB198" i="10"/>
  <c r="BF198" i="9"/>
  <c r="D219" i="10"/>
  <c r="D219" i="9"/>
  <c r="AC235" i="10"/>
  <c r="AE235" i="9"/>
  <c r="AC239" i="10"/>
  <c r="AE239" i="9"/>
  <c r="AC252" i="10"/>
  <c r="AE252" i="9"/>
  <c r="D261" i="10"/>
  <c r="D261" i="9"/>
  <c r="AC273" i="10"/>
  <c r="AE273" i="9"/>
  <c r="D281" i="10"/>
  <c r="D281" i="9"/>
  <c r="E53" i="6"/>
  <c r="AF66" i="9"/>
  <c r="BG66" i="9"/>
  <c r="CC66" i="10"/>
  <c r="E66" i="9"/>
  <c r="D66" i="6"/>
  <c r="E234" i="9"/>
  <c r="AF234" i="9"/>
  <c r="BG234" i="9"/>
  <c r="CC234" i="10"/>
  <c r="D234" i="6"/>
  <c r="BF86" i="9"/>
  <c r="AC130" i="10"/>
  <c r="BF6" i="9"/>
  <c r="BB6" i="10"/>
  <c r="D15" i="9"/>
  <c r="D15" i="10"/>
  <c r="D32" i="10"/>
  <c r="D32" i="9"/>
  <c r="D46" i="10"/>
  <c r="D46" i="9"/>
  <c r="AC49" i="10"/>
  <c r="AE49" i="9"/>
  <c r="AC57" i="10"/>
  <c r="AE57" i="9"/>
  <c r="BF64" i="9"/>
  <c r="BB64" i="10"/>
  <c r="D76" i="10"/>
  <c r="D76" i="9"/>
  <c r="AC106" i="10"/>
  <c r="AE106" i="9"/>
  <c r="AE114" i="9"/>
  <c r="AC114" i="10"/>
  <c r="BB122" i="10"/>
  <c r="BF122" i="9"/>
  <c r="BB126" i="10"/>
  <c r="BF126" i="9"/>
  <c r="AC134" i="10"/>
  <c r="AE134" i="9"/>
  <c r="AC150" i="10"/>
  <c r="AE150" i="9"/>
  <c r="D170" i="10"/>
  <c r="D170" i="9"/>
  <c r="AC186" i="10"/>
  <c r="AE186" i="9"/>
  <c r="D199" i="10"/>
  <c r="D199" i="9"/>
  <c r="D248" i="10"/>
  <c r="D248" i="9"/>
  <c r="BB252" i="10"/>
  <c r="BF252" i="9"/>
  <c r="BB273" i="10"/>
  <c r="BF273" i="9"/>
  <c r="AC285" i="10"/>
  <c r="AE285" i="9"/>
  <c r="BG2050" i="3"/>
  <c r="BG2056" i="3"/>
  <c r="BG2060" i="3" s="1"/>
  <c r="BG2047" i="3"/>
  <c r="BG2048" i="3"/>
  <c r="DZ2053" i="3"/>
  <c r="EA2053" i="3" s="1"/>
  <c r="EA2056" i="3"/>
  <c r="EA2060" i="3" s="1"/>
  <c r="EA2046" i="3"/>
  <c r="EA2050" i="3"/>
  <c r="EA2049" i="3"/>
  <c r="EA2048" i="3"/>
  <c r="EA2047" i="3"/>
  <c r="CP2054" i="3"/>
  <c r="CQ2057" i="3"/>
  <c r="AF5" i="9"/>
  <c r="CC5" i="10"/>
  <c r="BG5" i="9"/>
  <c r="D5" i="6"/>
  <c r="E107" i="11"/>
  <c r="AD107" i="10"/>
  <c r="BC107" i="10"/>
  <c r="E107" i="6"/>
  <c r="E107" i="10"/>
  <c r="BC219" i="10"/>
  <c r="AD219" i="10"/>
  <c r="E219" i="10"/>
  <c r="E219" i="11"/>
  <c r="E47" i="11"/>
  <c r="E47" i="10"/>
  <c r="AD47" i="10"/>
  <c r="BC47" i="10"/>
  <c r="E154" i="9"/>
  <c r="BG154" i="9"/>
  <c r="AF154" i="9"/>
  <c r="CC154" i="10"/>
  <c r="AF205" i="9"/>
  <c r="BG205" i="9"/>
  <c r="D205" i="6"/>
  <c r="E205" i="9"/>
  <c r="CC205" i="10"/>
  <c r="CC231" i="10"/>
  <c r="AF231" i="9"/>
  <c r="BG231" i="9"/>
  <c r="E231" i="9"/>
  <c r="D231" i="6"/>
  <c r="C231" i="6"/>
  <c r="E285" i="9"/>
  <c r="AF285" i="9"/>
  <c r="D285" i="6"/>
  <c r="CC285" i="10"/>
  <c r="BG285" i="9"/>
  <c r="BC60" i="10"/>
  <c r="AD60" i="10"/>
  <c r="E60" i="10"/>
  <c r="E60" i="6"/>
  <c r="E60" i="11"/>
  <c r="E133" i="9"/>
  <c r="CC133" i="10"/>
  <c r="AF133" i="9"/>
  <c r="BG133" i="9"/>
  <c r="CC146" i="10"/>
  <c r="E146" i="9"/>
  <c r="AF146" i="9"/>
  <c r="BG146" i="9"/>
  <c r="D146" i="6"/>
  <c r="E157" i="11"/>
  <c r="AD157" i="10"/>
  <c r="E157" i="10"/>
  <c r="BC157" i="10"/>
  <c r="E236" i="11"/>
  <c r="AD236" i="10"/>
  <c r="E236" i="10"/>
  <c r="BC236" i="10"/>
  <c r="E236" i="6"/>
  <c r="AF61" i="9"/>
  <c r="D61" i="6"/>
  <c r="CC61" i="10"/>
  <c r="BG61" i="9"/>
  <c r="E61" i="9"/>
  <c r="E121" i="11"/>
  <c r="E121" i="10"/>
  <c r="AD121" i="10"/>
  <c r="BC121" i="10"/>
  <c r="D133" i="6"/>
  <c r="E198" i="11"/>
  <c r="AD198" i="10"/>
  <c r="E198" i="10"/>
  <c r="BC198" i="10"/>
  <c r="E210" i="11"/>
  <c r="AD210" i="10"/>
  <c r="E210" i="10"/>
  <c r="BC210" i="10"/>
  <c r="E210" i="6"/>
  <c r="CC264" i="10"/>
  <c r="AF264" i="9"/>
  <c r="D264" i="6"/>
  <c r="E264" i="9"/>
  <c r="BG264" i="9"/>
  <c r="BC278" i="10"/>
  <c r="E278" i="10"/>
  <c r="E278" i="11"/>
  <c r="E278" i="6"/>
  <c r="AD278" i="10"/>
  <c r="BI298" i="9"/>
  <c r="BT12" i="9"/>
  <c r="BW16" i="9"/>
  <c r="BQ16" i="9"/>
  <c r="BI9" i="9"/>
  <c r="BG298" i="9"/>
  <c r="BZ12" i="9"/>
  <c r="D17" i="10"/>
  <c r="D17" i="9"/>
  <c r="D26" i="10"/>
  <c r="D26" i="9"/>
  <c r="AC29" i="10"/>
  <c r="AE29" i="9"/>
  <c r="AC48" i="10"/>
  <c r="AE48" i="9"/>
  <c r="D55" i="10"/>
  <c r="D55" i="9"/>
  <c r="AC65" i="10"/>
  <c r="AE65" i="9"/>
  <c r="AE72" i="9"/>
  <c r="AC72" i="10"/>
  <c r="AC103" i="10"/>
  <c r="AE103" i="9"/>
  <c r="D110" i="9"/>
  <c r="D110" i="10"/>
  <c r="BF113" i="9"/>
  <c r="BB113" i="10"/>
  <c r="D124" i="10"/>
  <c r="D124" i="9"/>
  <c r="D131" i="9"/>
  <c r="D131" i="10"/>
  <c r="BB141" i="10"/>
  <c r="BF141" i="9"/>
  <c r="AC155" i="10"/>
  <c r="AE155" i="9"/>
  <c r="D176" i="9"/>
  <c r="D176" i="10"/>
  <c r="BF197" i="9"/>
  <c r="BB197" i="10"/>
  <c r="D208" i="10"/>
  <c r="D208" i="9"/>
  <c r="BB218" i="10"/>
  <c r="BF218" i="9"/>
  <c r="AC222" i="10"/>
  <c r="AE222" i="9"/>
  <c r="AC250" i="10"/>
  <c r="AE250" i="9"/>
  <c r="D254" i="9"/>
  <c r="D254" i="10"/>
  <c r="AC268" i="10"/>
  <c r="AE268" i="9"/>
  <c r="BB278" i="10"/>
  <c r="BF278" i="9"/>
  <c r="BG63" i="9"/>
  <c r="CC63" i="10"/>
  <c r="AF63" i="9"/>
  <c r="E63" i="9"/>
  <c r="D63" i="6"/>
  <c r="CC98" i="10"/>
  <c r="BG98" i="9"/>
  <c r="AF98" i="9"/>
  <c r="E98" i="9"/>
  <c r="AF159" i="9"/>
  <c r="CC159" i="10"/>
  <c r="BG159" i="9"/>
  <c r="E159" i="9"/>
  <c r="D159" i="6"/>
  <c r="AC169" i="10"/>
  <c r="AE12" i="9"/>
  <c r="AC12" i="10"/>
  <c r="D23" i="10"/>
  <c r="D23" i="9"/>
  <c r="BB32" i="10"/>
  <c r="BF32" i="9"/>
  <c r="D39" i="10"/>
  <c r="D39" i="9"/>
  <c r="BB45" i="10"/>
  <c r="BF45" i="9"/>
  <c r="BF58" i="9"/>
  <c r="BB58" i="10"/>
  <c r="D62" i="9"/>
  <c r="D62" i="10"/>
  <c r="D69" i="9"/>
  <c r="D69" i="10"/>
  <c r="D86" i="9"/>
  <c r="D86" i="10"/>
  <c r="BB96" i="10"/>
  <c r="BF96" i="9"/>
  <c r="AC124" i="10"/>
  <c r="AE124" i="9"/>
  <c r="D145" i="10"/>
  <c r="D145" i="9"/>
  <c r="D152" i="9"/>
  <c r="D152" i="10"/>
  <c r="D159" i="10"/>
  <c r="D159" i="9"/>
  <c r="BB162" i="10"/>
  <c r="BF162" i="9"/>
  <c r="BB179" i="10"/>
  <c r="BF179" i="9"/>
  <c r="AC194" i="10"/>
  <c r="AE194" i="9"/>
  <c r="BB243" i="10"/>
  <c r="BF243" i="9"/>
  <c r="D258" i="10"/>
  <c r="D258" i="9"/>
  <c r="BB261" i="10"/>
  <c r="BF261" i="9"/>
  <c r="D265" i="10"/>
  <c r="D265" i="9"/>
  <c r="AC275" i="10"/>
  <c r="AE275" i="9"/>
  <c r="AX2049" i="3"/>
  <c r="AW2053" i="3"/>
  <c r="AX2053" i="3" s="1"/>
  <c r="AX2047" i="3"/>
  <c r="DR2050" i="3"/>
  <c r="DR2048" i="3"/>
  <c r="DR2049" i="3"/>
  <c r="DR2046" i="3"/>
  <c r="M2054" i="3"/>
  <c r="FA2054" i="3"/>
  <c r="EJ2058" i="3"/>
  <c r="M19" i="6"/>
  <c r="D98" i="6"/>
  <c r="CC225" i="10"/>
  <c r="D225" i="6"/>
  <c r="BG225" i="9"/>
  <c r="AF225" i="9"/>
  <c r="E225" i="9"/>
  <c r="BB298" i="10"/>
  <c r="BS13" i="10"/>
  <c r="BM13" i="10"/>
  <c r="BU12" i="10"/>
  <c r="BO12" i="10"/>
  <c r="BE8" i="10"/>
  <c r="BD298" i="10" s="1"/>
  <c r="S299" i="10"/>
  <c r="S300" i="10"/>
  <c r="BY11" i="7"/>
  <c r="E20" i="9"/>
  <c r="D20" i="6"/>
  <c r="CC20" i="10"/>
  <c r="AF20" i="9"/>
  <c r="C20" i="6"/>
  <c r="D31" i="6"/>
  <c r="BG31" i="9"/>
  <c r="CC31" i="10"/>
  <c r="E31" i="9"/>
  <c r="AF31" i="9"/>
  <c r="CC53" i="10"/>
  <c r="E53" i="9"/>
  <c r="AF53" i="9"/>
  <c r="BG53" i="9"/>
  <c r="AD188" i="10"/>
  <c r="BC188" i="10"/>
  <c r="E188" i="10"/>
  <c r="E188" i="11"/>
  <c r="CC239" i="10"/>
  <c r="AF239" i="9"/>
  <c r="D239" i="6"/>
  <c r="E239" i="9"/>
  <c r="C239" i="6"/>
  <c r="D280" i="9"/>
  <c r="N299" i="11"/>
  <c r="N300" i="11"/>
  <c r="AC111" i="10"/>
  <c r="AE111" i="9"/>
  <c r="BB128" i="10"/>
  <c r="BF128" i="9"/>
  <c r="D139" i="10"/>
  <c r="D139" i="9"/>
  <c r="AC149" i="10"/>
  <c r="AE149" i="9"/>
  <c r="D153" i="10"/>
  <c r="D153" i="9"/>
  <c r="AE163" i="9"/>
  <c r="AC163" i="10"/>
  <c r="BF173" i="9"/>
  <c r="BB173" i="10"/>
  <c r="AC184" i="10"/>
  <c r="AE184" i="9"/>
  <c r="BB191" i="10"/>
  <c r="BF191" i="9"/>
  <c r="D234" i="10"/>
  <c r="D234" i="9"/>
  <c r="AE244" i="9"/>
  <c r="AC244" i="10"/>
  <c r="AE269" i="9"/>
  <c r="AC269" i="10"/>
  <c r="AC283" i="10"/>
  <c r="AE283" i="9"/>
  <c r="BB290" i="10"/>
  <c r="BP2049" i="3"/>
  <c r="EJ2050" i="3"/>
  <c r="EJ2049" i="3"/>
  <c r="EJ2048" i="3"/>
  <c r="EJ2047" i="3"/>
  <c r="AF2057" i="3"/>
  <c r="AE2054" i="3"/>
  <c r="CH2058" i="3"/>
  <c r="BP2056" i="3"/>
  <c r="BG13" i="9"/>
  <c r="D13" i="6"/>
  <c r="E13" i="9"/>
  <c r="AF22" i="9"/>
  <c r="BG22" i="9"/>
  <c r="CC22" i="10"/>
  <c r="E22" i="9"/>
  <c r="D22" i="6"/>
  <c r="AF45" i="9"/>
  <c r="E45" i="9"/>
  <c r="CC45" i="10"/>
  <c r="D45" i="6"/>
  <c r="BG45" i="9"/>
  <c r="CC164" i="10"/>
  <c r="BG164" i="9"/>
  <c r="D164" i="6"/>
  <c r="AF164" i="9"/>
  <c r="E164" i="9"/>
  <c r="BG177" i="9"/>
  <c r="E177" i="9"/>
  <c r="D177" i="6"/>
  <c r="AF177" i="9"/>
  <c r="CC216" i="10"/>
  <c r="E216" i="9"/>
  <c r="C216" i="6"/>
  <c r="BG216" i="9"/>
  <c r="AF216" i="9"/>
  <c r="AE43" i="9"/>
  <c r="AC43" i="10"/>
  <c r="BF46" i="9"/>
  <c r="BB46" i="10"/>
  <c r="BB59" i="10"/>
  <c r="BB66" i="10"/>
  <c r="BF66" i="9"/>
  <c r="AC73" i="10"/>
  <c r="AE73" i="9"/>
  <c r="BB83" i="10"/>
  <c r="AE104" i="9"/>
  <c r="AC104" i="10"/>
  <c r="D108" i="10"/>
  <c r="D108" i="9"/>
  <c r="AE125" i="9"/>
  <c r="AC125" i="10"/>
  <c r="BB156" i="10"/>
  <c r="BF156" i="9"/>
  <c r="AC170" i="10"/>
  <c r="AE170" i="9"/>
  <c r="D188" i="10"/>
  <c r="D188" i="9"/>
  <c r="D209" i="10"/>
  <c r="D209" i="9"/>
  <c r="D216" i="9"/>
  <c r="D216" i="10"/>
  <c r="D227" i="10"/>
  <c r="D227" i="9"/>
  <c r="BB230" i="10"/>
  <c r="D241" i="10"/>
  <c r="D241" i="9"/>
  <c r="AE251" i="9"/>
  <c r="AC251" i="10"/>
  <c r="AC255" i="10"/>
  <c r="AE255" i="9"/>
  <c r="D266" i="10"/>
  <c r="BB276" i="10"/>
  <c r="BF276" i="9"/>
  <c r="BO2053" i="3"/>
  <c r="BP2053" i="3" s="1"/>
  <c r="W13" i="4"/>
  <c r="X9" i="4" s="1"/>
  <c r="AF102" i="9"/>
  <c r="BG102" i="9"/>
  <c r="E102" i="9"/>
  <c r="CC102" i="10"/>
  <c r="D102" i="6"/>
  <c r="CC114" i="10"/>
  <c r="BG114" i="9"/>
  <c r="D114" i="6"/>
  <c r="E216" i="11"/>
  <c r="BC216" i="10"/>
  <c r="E216" i="10"/>
  <c r="AD216" i="10"/>
  <c r="CC244" i="10"/>
  <c r="BG244" i="9"/>
  <c r="D244" i="6"/>
  <c r="E244" i="9"/>
  <c r="AF244" i="9"/>
  <c r="BG20" i="9"/>
  <c r="AC139" i="10"/>
  <c r="AE139" i="9"/>
  <c r="D146" i="9"/>
  <c r="D146" i="10"/>
  <c r="BF149" i="9"/>
  <c r="BB149" i="10"/>
  <c r="AC153" i="10"/>
  <c r="AE153" i="9"/>
  <c r="D160" i="10"/>
  <c r="D160" i="9"/>
  <c r="D167" i="10"/>
  <c r="D167" i="9"/>
  <c r="D192" i="10"/>
  <c r="D192" i="9"/>
  <c r="BF195" i="9"/>
  <c r="BB195" i="10"/>
  <c r="AC202" i="10"/>
  <c r="AE202" i="9"/>
  <c r="BB212" i="10"/>
  <c r="BF212" i="9"/>
  <c r="AC216" i="10"/>
  <c r="AE216" i="9"/>
  <c r="D287" i="10"/>
  <c r="D291" i="10"/>
  <c r="D291" i="9"/>
  <c r="E89" i="11"/>
  <c r="E89" i="6"/>
  <c r="BC89" i="10"/>
  <c r="E89" i="10"/>
  <c r="E229" i="9"/>
  <c r="CC229" i="10"/>
  <c r="BG229" i="9"/>
  <c r="AF229" i="9"/>
  <c r="D229" i="6"/>
  <c r="C229" i="6"/>
  <c r="BG245" i="9"/>
  <c r="AF245" i="9"/>
  <c r="CC245" i="10"/>
  <c r="D245" i="6"/>
  <c r="E283" i="11"/>
  <c r="BC283" i="10"/>
  <c r="AD283" i="10"/>
  <c r="E283" i="6"/>
  <c r="E283" i="10"/>
  <c r="BG239" i="9"/>
  <c r="D287" i="9"/>
  <c r="D94" i="10"/>
  <c r="AF13" i="4"/>
  <c r="AG10" i="4" s="1"/>
  <c r="AF1006" i="4" s="1"/>
  <c r="X1005" i="4"/>
  <c r="CC68" i="10"/>
  <c r="C68" i="6"/>
  <c r="BG68" i="9"/>
  <c r="AF68" i="9"/>
  <c r="E68" i="9"/>
  <c r="E127" i="10"/>
  <c r="AD127" i="10"/>
  <c r="BC127" i="10"/>
  <c r="BF59" i="9"/>
  <c r="N10" i="3"/>
  <c r="D13" i="10"/>
  <c r="D13" i="9"/>
  <c r="D21" i="10"/>
  <c r="D21" i="9"/>
  <c r="AC22" i="10"/>
  <c r="AE22" i="9"/>
  <c r="D34" i="10"/>
  <c r="D34" i="9"/>
  <c r="AC37" i="10"/>
  <c r="AE37" i="9"/>
  <c r="BF40" i="9"/>
  <c r="BB40" i="10"/>
  <c r="BF56" i="9"/>
  <c r="BB56" i="10"/>
  <c r="BF63" i="9"/>
  <c r="BB63" i="10"/>
  <c r="AC70" i="10"/>
  <c r="AE70" i="9"/>
  <c r="D77" i="10"/>
  <c r="BB80" i="10"/>
  <c r="BF87" i="9"/>
  <c r="BB87" i="10"/>
  <c r="D91" i="10"/>
  <c r="D91" i="9"/>
  <c r="AE101" i="9"/>
  <c r="AC101" i="10"/>
  <c r="D105" i="10"/>
  <c r="D105" i="9"/>
  <c r="AC129" i="10"/>
  <c r="AE129" i="9"/>
  <c r="D136" i="10"/>
  <c r="D136" i="9"/>
  <c r="D150" i="9"/>
  <c r="D150" i="10"/>
  <c r="BF153" i="9"/>
  <c r="BB153" i="10"/>
  <c r="D157" i="9"/>
  <c r="D157" i="10"/>
  <c r="AC181" i="10"/>
  <c r="AE181" i="9"/>
  <c r="AC192" i="10"/>
  <c r="AE192" i="9"/>
  <c r="BF209" i="9"/>
  <c r="BB209" i="10"/>
  <c r="BB216" i="10"/>
  <c r="BF216" i="9"/>
  <c r="BB227" i="10"/>
  <c r="BF227" i="9"/>
  <c r="BB234" i="10"/>
  <c r="BF234" i="9"/>
  <c r="D270" i="10"/>
  <c r="D270" i="9"/>
  <c r="AE287" i="9"/>
  <c r="AC287" i="10"/>
  <c r="AC291" i="10"/>
  <c r="AE291" i="9"/>
  <c r="BP2047" i="3"/>
  <c r="DR2056" i="3"/>
  <c r="DR2060" i="3" s="1"/>
  <c r="CC6" i="10"/>
  <c r="D6" i="6"/>
  <c r="BG6" i="9"/>
  <c r="AF6" i="9"/>
  <c r="E6" i="9"/>
  <c r="E14" i="11"/>
  <c r="AD14" i="10"/>
  <c r="E14" i="10"/>
  <c r="BC14" i="10"/>
  <c r="E14" i="6"/>
  <c r="E47" i="9"/>
  <c r="BG47" i="9"/>
  <c r="AF47" i="9"/>
  <c r="D68" i="6"/>
  <c r="E103" i="11"/>
  <c r="E103" i="10"/>
  <c r="BC103" i="10"/>
  <c r="E127" i="6"/>
  <c r="BG141" i="9"/>
  <c r="E141" i="9"/>
  <c r="CC141" i="10"/>
  <c r="C141" i="6"/>
  <c r="AF141" i="9"/>
  <c r="D141" i="6"/>
  <c r="E217" i="10"/>
  <c r="E217" i="11"/>
  <c r="AD217" i="10"/>
  <c r="BC217" i="10"/>
  <c r="E217" i="6"/>
  <c r="E230" i="11"/>
  <c r="AD230" i="10"/>
  <c r="E230" i="10"/>
  <c r="BC230" i="10"/>
  <c r="E230" i="6"/>
  <c r="CC273" i="10"/>
  <c r="AF273" i="9"/>
  <c r="E273" i="9"/>
  <c r="D273" i="6"/>
  <c r="C273" i="6"/>
  <c r="BG273" i="9"/>
  <c r="D77" i="9"/>
  <c r="AE117" i="9"/>
  <c r="AD89" i="10"/>
  <c r="E298" i="11"/>
  <c r="U16" i="11"/>
  <c r="O16" i="11"/>
  <c r="X12" i="11"/>
  <c r="R12" i="11"/>
  <c r="G298" i="11"/>
  <c r="BC69" i="10"/>
  <c r="E69" i="11"/>
  <c r="AD69" i="10"/>
  <c r="E69" i="10"/>
  <c r="E69" i="6"/>
  <c r="CC89" i="10"/>
  <c r="E89" i="9"/>
  <c r="AF89" i="9"/>
  <c r="AF110" i="9"/>
  <c r="C110" i="6"/>
  <c r="CC110" i="10"/>
  <c r="BG110" i="9"/>
  <c r="CC130" i="10"/>
  <c r="AF130" i="9"/>
  <c r="E130" i="9"/>
  <c r="D130" i="6"/>
  <c r="BG142" i="9"/>
  <c r="AF142" i="9"/>
  <c r="E142" i="9"/>
  <c r="CC142" i="10"/>
  <c r="E151" i="10"/>
  <c r="E151" i="11"/>
  <c r="AD151" i="10"/>
  <c r="BC151" i="10"/>
  <c r="AF173" i="9"/>
  <c r="CC173" i="10"/>
  <c r="BG173" i="9"/>
  <c r="E173" i="9"/>
  <c r="D173" i="6"/>
  <c r="BG217" i="9"/>
  <c r="CC217" i="10"/>
  <c r="AF217" i="9"/>
  <c r="E217" i="9"/>
  <c r="AF262" i="9"/>
  <c r="E262" i="9"/>
  <c r="BG262" i="9"/>
  <c r="C262" i="6"/>
  <c r="CC262" i="10"/>
  <c r="CC286" i="10"/>
  <c r="AF286" i="9"/>
  <c r="AE24" i="9"/>
  <c r="E7" i="11"/>
  <c r="BC7" i="10"/>
  <c r="E7" i="10"/>
  <c r="E50" i="10"/>
  <c r="E50" i="11"/>
  <c r="AD50" i="10"/>
  <c r="BC50" i="10"/>
  <c r="BC78" i="10"/>
  <c r="E78" i="11"/>
  <c r="AD78" i="10"/>
  <c r="E78" i="6"/>
  <c r="D110" i="6"/>
  <c r="E121" i="9"/>
  <c r="CC121" i="10"/>
  <c r="AF121" i="9"/>
  <c r="CC197" i="10"/>
  <c r="BG197" i="9"/>
  <c r="AF197" i="9"/>
  <c r="E197" i="9"/>
  <c r="C217" i="6"/>
  <c r="E240" i="9"/>
  <c r="CC240" i="10"/>
  <c r="BG240" i="9"/>
  <c r="AF240" i="9"/>
  <c r="D240" i="6"/>
  <c r="D262" i="6"/>
  <c r="C286" i="6"/>
  <c r="AE154" i="9"/>
  <c r="D16" i="9"/>
  <c r="D16" i="10"/>
  <c r="D22" i="10"/>
  <c r="D22" i="9"/>
  <c r="BF30" i="9"/>
  <c r="BB30" i="10"/>
  <c r="AC183" i="10"/>
  <c r="AE183" i="9"/>
  <c r="BF186" i="9"/>
  <c r="BB186" i="10"/>
  <c r="D193" i="10"/>
  <c r="D193" i="9"/>
  <c r="BB219" i="10"/>
  <c r="BF219" i="9"/>
  <c r="D226" i="10"/>
  <c r="D226" i="9"/>
  <c r="AC229" i="10"/>
  <c r="AE229" i="9"/>
  <c r="D259" i="10"/>
  <c r="D259" i="9"/>
  <c r="AE262" i="9"/>
  <c r="AC262" i="10"/>
  <c r="CC8" i="10"/>
  <c r="E8" i="9"/>
  <c r="D8" i="6"/>
  <c r="E41" i="9"/>
  <c r="AF41" i="9"/>
  <c r="CC41" i="10"/>
  <c r="D41" i="6"/>
  <c r="BG41" i="9"/>
  <c r="BC70" i="10"/>
  <c r="E70" i="10"/>
  <c r="E70" i="11"/>
  <c r="AF90" i="9"/>
  <c r="CC90" i="10"/>
  <c r="BG90" i="9"/>
  <c r="E90" i="9"/>
  <c r="E153" i="10"/>
  <c r="AD153" i="10"/>
  <c r="E153" i="11"/>
  <c r="BC153" i="10"/>
  <c r="CC163" i="10"/>
  <c r="E163" i="9"/>
  <c r="AF163" i="9"/>
  <c r="C163" i="6"/>
  <c r="D163" i="6"/>
  <c r="BG163" i="9"/>
  <c r="BC185" i="10"/>
  <c r="E185" i="10"/>
  <c r="E185" i="6"/>
  <c r="E185" i="11"/>
  <c r="AD185" i="10"/>
  <c r="D197" i="6"/>
  <c r="CC208" i="10"/>
  <c r="AF208" i="9"/>
  <c r="E208" i="9"/>
  <c r="BG208" i="9"/>
  <c r="BG276" i="9"/>
  <c r="E276" i="9"/>
  <c r="AF276" i="9"/>
  <c r="CC276" i="10"/>
  <c r="C276" i="6"/>
  <c r="AE177" i="9"/>
  <c r="N9" i="7"/>
  <c r="BP11" i="7"/>
  <c r="AF60" i="9"/>
  <c r="CC60" i="10"/>
  <c r="E90" i="11"/>
  <c r="BC90" i="10"/>
  <c r="AD90" i="10"/>
  <c r="E90" i="10"/>
  <c r="E90" i="6"/>
  <c r="BC111" i="10"/>
  <c r="AD111" i="10"/>
  <c r="E111" i="11"/>
  <c r="AF198" i="9"/>
  <c r="E198" i="9"/>
  <c r="E218" i="11"/>
  <c r="BC218" i="10"/>
  <c r="E218" i="6"/>
  <c r="E218" i="10"/>
  <c r="C230" i="6"/>
  <c r="BG230" i="9"/>
  <c r="E230" i="9"/>
  <c r="CC230" i="10"/>
  <c r="AF230" i="9"/>
  <c r="BC263" i="10"/>
  <c r="AD263" i="10"/>
  <c r="E263" i="11"/>
  <c r="E263" i="6"/>
  <c r="E263" i="10"/>
  <c r="E276" i="10"/>
  <c r="AD276" i="10"/>
  <c r="E276" i="11"/>
  <c r="BC276" i="10"/>
  <c r="D79" i="10"/>
  <c r="D79" i="9"/>
  <c r="AC82" i="10"/>
  <c r="AE82" i="9"/>
  <c r="D92" i="10"/>
  <c r="D92" i="9"/>
  <c r="BB98" i="10"/>
  <c r="BF98" i="9"/>
  <c r="AC105" i="10"/>
  <c r="AE105" i="9"/>
  <c r="BB108" i="10"/>
  <c r="BF108" i="9"/>
  <c r="D115" i="10"/>
  <c r="D115" i="9"/>
  <c r="AC118" i="10"/>
  <c r="AE118" i="9"/>
  <c r="D128" i="10"/>
  <c r="D128" i="9"/>
  <c r="AC131" i="10"/>
  <c r="AE131" i="9"/>
  <c r="BB134" i="10"/>
  <c r="BF134" i="9"/>
  <c r="D138" i="10"/>
  <c r="D138" i="9"/>
  <c r="AC141" i="10"/>
  <c r="AE141" i="9"/>
  <c r="BB144" i="10"/>
  <c r="BF144" i="9"/>
  <c r="D151" i="10"/>
  <c r="D151" i="9"/>
  <c r="D164" i="10"/>
  <c r="D164" i="9"/>
  <c r="AC167" i="10"/>
  <c r="AE167" i="9"/>
  <c r="BF170" i="9"/>
  <c r="BB170" i="10"/>
  <c r="D174" i="9"/>
  <c r="D174" i="10"/>
  <c r="BF180" i="9"/>
  <c r="BB180" i="10"/>
  <c r="D230" i="10"/>
  <c r="D230" i="9"/>
  <c r="AC233" i="10"/>
  <c r="AE233" i="9"/>
  <c r="BB236" i="10"/>
  <c r="BF236" i="9"/>
  <c r="D240" i="10"/>
  <c r="D240" i="9"/>
  <c r="BB246" i="10"/>
  <c r="BF246" i="9"/>
  <c r="AC266" i="10"/>
  <c r="AE266" i="9"/>
  <c r="BF269" i="9"/>
  <c r="BB269" i="10"/>
  <c r="D273" i="10"/>
  <c r="D273" i="9"/>
  <c r="AC276" i="10"/>
  <c r="AE276" i="9"/>
  <c r="BF279" i="9"/>
  <c r="BB279" i="10"/>
  <c r="D286" i="9"/>
  <c r="D286" i="10"/>
  <c r="E2056" i="3"/>
  <c r="E2060" i="3" s="1"/>
  <c r="E2048" i="3"/>
  <c r="BY2050" i="3"/>
  <c r="BY2048" i="3"/>
  <c r="BX2053" i="3"/>
  <c r="BY2053" i="3" s="1"/>
  <c r="ES2047" i="3"/>
  <c r="ES2050" i="3"/>
  <c r="ES2046" i="3"/>
  <c r="AN2054" i="3"/>
  <c r="DH2054" i="3"/>
  <c r="BG34" i="9"/>
  <c r="E34" i="9"/>
  <c r="AF34" i="9"/>
  <c r="CC34" i="10"/>
  <c r="D34" i="6"/>
  <c r="AF189" i="9"/>
  <c r="BG189" i="9"/>
  <c r="E199" i="11"/>
  <c r="E199" i="10"/>
  <c r="AD199" i="10"/>
  <c r="BC199" i="10"/>
  <c r="E210" i="9"/>
  <c r="CC210" i="10"/>
  <c r="BG210" i="9"/>
  <c r="AF210" i="9"/>
  <c r="BG220" i="9"/>
  <c r="E220" i="9"/>
  <c r="D220" i="6"/>
  <c r="AF220" i="9"/>
  <c r="CC220" i="10"/>
  <c r="E13" i="8"/>
  <c r="F11" i="8" s="1"/>
  <c r="AE95" i="9"/>
  <c r="AE280" i="9"/>
  <c r="E73" i="9"/>
  <c r="BG73" i="9"/>
  <c r="CC73" i="10"/>
  <c r="BC94" i="10"/>
  <c r="E94" i="10"/>
  <c r="E94" i="11"/>
  <c r="CC104" i="10"/>
  <c r="E104" i="9"/>
  <c r="CC137" i="10"/>
  <c r="BG137" i="9"/>
  <c r="D137" i="6"/>
  <c r="E137" i="9"/>
  <c r="AF137" i="9"/>
  <c r="AF167" i="9"/>
  <c r="CC167" i="10"/>
  <c r="BG167" i="9"/>
  <c r="D167" i="6"/>
  <c r="E291" i="11"/>
  <c r="E291" i="10"/>
  <c r="BC291" i="10"/>
  <c r="AD291" i="10"/>
  <c r="BC298" i="10"/>
  <c r="BE9" i="10"/>
  <c r="BP12" i="10"/>
  <c r="BM16" i="10"/>
  <c r="BE298" i="10"/>
  <c r="BS16" i="10"/>
  <c r="B305" i="5"/>
  <c r="B308" i="5" s="1"/>
  <c r="BG12" i="7"/>
  <c r="E18" i="9"/>
  <c r="CC18" i="10"/>
  <c r="AF18" i="9"/>
  <c r="D18" i="6"/>
  <c r="BG18" i="9"/>
  <c r="C18" i="6"/>
  <c r="E104" i="11"/>
  <c r="BC104" i="10"/>
  <c r="E104" i="10"/>
  <c r="E104" i="6"/>
  <c r="BG246" i="9"/>
  <c r="E246" i="9"/>
  <c r="CC246" i="10"/>
  <c r="AF246" i="9"/>
  <c r="C246" i="6"/>
  <c r="BG268" i="9"/>
  <c r="E268" i="9"/>
  <c r="CC268" i="10"/>
  <c r="AF268" i="9"/>
  <c r="D268" i="6"/>
  <c r="CP12" i="10"/>
  <c r="CC298" i="10"/>
  <c r="CN13" i="10"/>
  <c r="CV12" i="10"/>
  <c r="CF8" i="10"/>
  <c r="CE298" i="10" s="1"/>
  <c r="D102" i="10"/>
  <c r="AF46" i="9"/>
  <c r="BG46" i="9"/>
  <c r="D46" i="6"/>
  <c r="CC46" i="10"/>
  <c r="E73" i="11"/>
  <c r="BC73" i="10"/>
  <c r="AD73" i="10"/>
  <c r="E73" i="10"/>
  <c r="E73" i="6"/>
  <c r="BG84" i="9"/>
  <c r="AF84" i="9"/>
  <c r="CC84" i="10"/>
  <c r="E84" i="9"/>
  <c r="AF95" i="9"/>
  <c r="D95" i="6"/>
  <c r="BG95" i="9"/>
  <c r="E105" i="9"/>
  <c r="AF105" i="9"/>
  <c r="D105" i="6"/>
  <c r="BG105" i="9"/>
  <c r="CC105" i="10"/>
  <c r="E115" i="11"/>
  <c r="AD115" i="10"/>
  <c r="E115" i="6"/>
  <c r="E115" i="10"/>
  <c r="E138" i="9"/>
  <c r="CC138" i="10"/>
  <c r="AF138" i="9"/>
  <c r="BG138" i="9"/>
  <c r="CC147" i="10"/>
  <c r="AF147" i="9"/>
  <c r="D147" i="6"/>
  <c r="BG147" i="9"/>
  <c r="E179" i="11"/>
  <c r="AD179" i="10"/>
  <c r="E179" i="6"/>
  <c r="D246" i="6"/>
  <c r="C268" i="6"/>
  <c r="E286" i="9"/>
  <c r="CW12" i="10"/>
  <c r="CF298" i="10"/>
  <c r="CQ12" i="10"/>
  <c r="CD298" i="10"/>
  <c r="CT16" i="10"/>
  <c r="CF9" i="10"/>
  <c r="CN16" i="10"/>
  <c r="D83" i="10"/>
  <c r="D83" i="9"/>
  <c r="BB89" i="10"/>
  <c r="BF89" i="9"/>
  <c r="D93" i="10"/>
  <c r="D93" i="9"/>
  <c r="AC96" i="10"/>
  <c r="AE96" i="9"/>
  <c r="BF99" i="9"/>
  <c r="BB99" i="10"/>
  <c r="D106" i="9"/>
  <c r="D106" i="10"/>
  <c r="D119" i="10"/>
  <c r="AE122" i="9"/>
  <c r="AC122" i="10"/>
  <c r="BF125" i="9"/>
  <c r="BB125" i="10"/>
  <c r="D129" i="10"/>
  <c r="D129" i="9"/>
  <c r="AE132" i="9"/>
  <c r="AC132" i="10"/>
  <c r="BB135" i="10"/>
  <c r="BF135" i="9"/>
  <c r="AC145" i="10"/>
  <c r="AE145" i="9"/>
  <c r="D155" i="9"/>
  <c r="D155" i="10"/>
  <c r="AC158" i="10"/>
  <c r="AE158" i="9"/>
  <c r="BB161" i="10"/>
  <c r="BF161" i="9"/>
  <c r="D165" i="10"/>
  <c r="D165" i="9"/>
  <c r="AC168" i="10"/>
  <c r="AE168" i="9"/>
  <c r="D178" i="10"/>
  <c r="D178" i="9"/>
  <c r="BF194" i="9"/>
  <c r="BB194" i="10"/>
  <c r="D198" i="10"/>
  <c r="D198" i="9"/>
  <c r="AC201" i="10"/>
  <c r="AE201" i="9"/>
  <c r="BB204" i="10"/>
  <c r="BF204" i="9"/>
  <c r="D211" i="10"/>
  <c r="D211" i="9"/>
  <c r="AE214" i="9"/>
  <c r="AC214" i="10"/>
  <c r="D231" i="10"/>
  <c r="D231" i="9"/>
  <c r="AE234" i="9"/>
  <c r="AC234" i="10"/>
  <c r="BB237" i="10"/>
  <c r="BF237" i="9"/>
  <c r="D244" i="9"/>
  <c r="D244" i="10"/>
  <c r="AE247" i="9"/>
  <c r="AC247" i="10"/>
  <c r="AC267" i="10"/>
  <c r="AE267" i="9"/>
  <c r="BB270" i="10"/>
  <c r="BF270" i="9"/>
  <c r="D277" i="10"/>
  <c r="D277" i="9"/>
  <c r="V2053" i="3"/>
  <c r="W2053" i="3" s="1"/>
  <c r="W2048" i="3"/>
  <c r="W2046" i="3"/>
  <c r="W2049" i="3"/>
  <c r="CQ2047" i="3"/>
  <c r="CQ2056" i="3"/>
  <c r="CQ2060" i="3" s="1"/>
  <c r="AO2058" i="3"/>
  <c r="AO2060" i="3" s="1"/>
  <c r="DI2058" i="3"/>
  <c r="W10" i="7"/>
  <c r="BY12" i="7"/>
  <c r="E11" i="11"/>
  <c r="E11" i="10"/>
  <c r="E11" i="6"/>
  <c r="BC11" i="10"/>
  <c r="AD11" i="10"/>
  <c r="BG19" i="9"/>
  <c r="E19" i="9"/>
  <c r="D19" i="6"/>
  <c r="CC19" i="10"/>
  <c r="AF19" i="9"/>
  <c r="AF26" i="9"/>
  <c r="D26" i="6"/>
  <c r="E26" i="9"/>
  <c r="CC26" i="10"/>
  <c r="BG26" i="9"/>
  <c r="E36" i="10"/>
  <c r="BC36" i="10"/>
  <c r="AD36" i="10"/>
  <c r="E36" i="11"/>
  <c r="BG74" i="9"/>
  <c r="CC74" i="10"/>
  <c r="AF74" i="9"/>
  <c r="E74" i="9"/>
  <c r="D74" i="6"/>
  <c r="D84" i="6"/>
  <c r="BG116" i="9"/>
  <c r="D116" i="6"/>
  <c r="AF116" i="9"/>
  <c r="E116" i="9"/>
  <c r="C147" i="6"/>
  <c r="BG180" i="9"/>
  <c r="CC180" i="10"/>
  <c r="AF180" i="9"/>
  <c r="CC202" i="10"/>
  <c r="E202" i="9"/>
  <c r="AF202" i="9"/>
  <c r="C224" i="6"/>
  <c r="BG224" i="9"/>
  <c r="E224" i="9"/>
  <c r="CC224" i="10"/>
  <c r="AF224" i="9"/>
  <c r="E258" i="11"/>
  <c r="E258" i="10"/>
  <c r="BC258" i="10"/>
  <c r="AD258" i="10"/>
  <c r="E258" i="6"/>
  <c r="E281" i="10"/>
  <c r="BC281" i="10"/>
  <c r="E281" i="11"/>
  <c r="E281" i="6"/>
  <c r="AD281" i="10"/>
  <c r="BG227" i="9"/>
  <c r="E227" i="9"/>
  <c r="D227" i="6"/>
  <c r="CC227" i="10"/>
  <c r="AF237" i="9"/>
  <c r="E237" i="9"/>
  <c r="C237" i="6"/>
  <c r="E247" i="11"/>
  <c r="AD247" i="10"/>
  <c r="BC247" i="10"/>
  <c r="E247" i="10"/>
  <c r="BC284" i="10"/>
  <c r="E284" i="10"/>
  <c r="AD284" i="10"/>
  <c r="AF32" i="9"/>
  <c r="BG32" i="9"/>
  <c r="CC32" i="10"/>
  <c r="E32" i="9"/>
  <c r="E71" i="11"/>
  <c r="E71" i="10"/>
  <c r="BC71" i="10"/>
  <c r="E71" i="6"/>
  <c r="E79" i="11"/>
  <c r="E79" i="10"/>
  <c r="AD79" i="10"/>
  <c r="CC97" i="10"/>
  <c r="E97" i="9"/>
  <c r="BG97" i="9"/>
  <c r="AF97" i="9"/>
  <c r="E140" i="11"/>
  <c r="BC140" i="10"/>
  <c r="E140" i="10"/>
  <c r="E140" i="6"/>
  <c r="AD148" i="10"/>
  <c r="E148" i="11"/>
  <c r="BC148" i="10"/>
  <c r="E148" i="10"/>
  <c r="E165" i="9"/>
  <c r="CC165" i="10"/>
  <c r="D165" i="6"/>
  <c r="E191" i="11"/>
  <c r="AD191" i="10"/>
  <c r="BC191" i="10"/>
  <c r="E191" i="10"/>
  <c r="E201" i="9"/>
  <c r="AF201" i="9"/>
  <c r="CC201" i="10"/>
  <c r="BG201" i="9"/>
  <c r="CC209" i="10"/>
  <c r="AF209" i="9"/>
  <c r="E209" i="9"/>
  <c r="BG209" i="9"/>
  <c r="CC218" i="10"/>
  <c r="E218" i="9"/>
  <c r="C218" i="6"/>
  <c r="AF218" i="9"/>
  <c r="C227" i="6"/>
  <c r="D237" i="6"/>
  <c r="E247" i="6"/>
  <c r="E275" i="11"/>
  <c r="E275" i="6"/>
  <c r="BC275" i="10"/>
  <c r="AD275" i="10"/>
  <c r="E284" i="6"/>
  <c r="BF285" i="9"/>
  <c r="D32" i="6"/>
  <c r="E55" i="10"/>
  <c r="E55" i="11"/>
  <c r="BC55" i="10"/>
  <c r="AD55" i="10"/>
  <c r="BC80" i="10"/>
  <c r="E80" i="10"/>
  <c r="E80" i="11"/>
  <c r="AD80" i="10"/>
  <c r="D97" i="6"/>
  <c r="D106" i="6"/>
  <c r="C106" i="6"/>
  <c r="E106" i="9"/>
  <c r="CC149" i="10"/>
  <c r="AF149" i="9"/>
  <c r="E149" i="9"/>
  <c r="D149" i="6"/>
  <c r="BG149" i="9"/>
  <c r="E174" i="11"/>
  <c r="AD174" i="10"/>
  <c r="BC174" i="10"/>
  <c r="E174" i="10"/>
  <c r="BG192" i="9"/>
  <c r="D192" i="6"/>
  <c r="AF192" i="9"/>
  <c r="D201" i="6"/>
  <c r="D209" i="6"/>
  <c r="BG228" i="9"/>
  <c r="CC228" i="10"/>
  <c r="AF228" i="9"/>
  <c r="D228" i="6"/>
  <c r="E228" i="9"/>
  <c r="AD238" i="10"/>
  <c r="E238" i="11"/>
  <c r="E238" i="10"/>
  <c r="CC267" i="10"/>
  <c r="D267" i="6"/>
  <c r="BG267" i="9"/>
  <c r="BG106" i="9"/>
  <c r="E25" i="9"/>
  <c r="D25" i="6"/>
  <c r="C25" i="6"/>
  <c r="BG25" i="9"/>
  <c r="E57" i="11"/>
  <c r="AD57" i="10"/>
  <c r="BC57" i="10"/>
  <c r="E57" i="10"/>
  <c r="E57" i="6"/>
  <c r="CC117" i="10"/>
  <c r="E117" i="9"/>
  <c r="E124" i="11"/>
  <c r="BC124" i="10"/>
  <c r="AD124" i="10"/>
  <c r="E124" i="10"/>
  <c r="E176" i="9"/>
  <c r="CC176" i="10"/>
  <c r="BG176" i="9"/>
  <c r="D176" i="6"/>
  <c r="BG185" i="9"/>
  <c r="AF185" i="9"/>
  <c r="AF211" i="9"/>
  <c r="CC211" i="10"/>
  <c r="E211" i="9"/>
  <c r="D211" i="6"/>
  <c r="BG211" i="9"/>
  <c r="CC241" i="10"/>
  <c r="BG241" i="9"/>
  <c r="E241" i="9"/>
  <c r="AF241" i="9"/>
  <c r="AD259" i="10"/>
  <c r="E259" i="11"/>
  <c r="E259" i="10"/>
  <c r="BC259" i="10"/>
  <c r="CC287" i="10"/>
  <c r="AF287" i="9"/>
  <c r="BG287" i="9"/>
  <c r="E287" i="9"/>
  <c r="D287" i="6"/>
  <c r="AF152" i="9"/>
  <c r="AF267" i="9"/>
  <c r="F305" i="5"/>
  <c r="F306" i="5" s="1"/>
  <c r="BG91" i="9"/>
  <c r="AF91" i="9"/>
  <c r="CC91" i="10"/>
  <c r="AD117" i="10"/>
  <c r="E117" i="10"/>
  <c r="BC117" i="10"/>
  <c r="AF134" i="9"/>
  <c r="BG134" i="9"/>
  <c r="CC134" i="10"/>
  <c r="E134" i="9"/>
  <c r="D134" i="6"/>
  <c r="CC168" i="10"/>
  <c r="AF168" i="9"/>
  <c r="CC186" i="10"/>
  <c r="E186" i="9"/>
  <c r="AF186" i="9"/>
  <c r="D186" i="6"/>
  <c r="BG212" i="9"/>
  <c r="CC212" i="10"/>
  <c r="C212" i="6"/>
  <c r="E212" i="9"/>
  <c r="D212" i="6"/>
  <c r="AF212" i="9"/>
  <c r="AF222" i="9"/>
  <c r="CC222" i="10"/>
  <c r="E222" i="9"/>
  <c r="E241" i="11"/>
  <c r="E241" i="10"/>
  <c r="AD241" i="10"/>
  <c r="BC241" i="10"/>
  <c r="BG252" i="9"/>
  <c r="AF252" i="9"/>
  <c r="E252" i="9"/>
  <c r="CC252" i="10"/>
  <c r="CC269" i="10"/>
  <c r="E269" i="9"/>
  <c r="AF269" i="9"/>
  <c r="BG269" i="9"/>
  <c r="CC279" i="10"/>
  <c r="AF279" i="9"/>
  <c r="E279" i="9"/>
  <c r="BG279" i="9"/>
  <c r="CC289" i="10"/>
  <c r="BG289" i="9"/>
  <c r="AF289" i="9"/>
  <c r="E289" i="9"/>
  <c r="C289" i="6"/>
  <c r="BG117" i="9"/>
  <c r="BG168" i="9"/>
  <c r="W11" i="7"/>
  <c r="AD9" i="10"/>
  <c r="E9" i="6"/>
  <c r="E9" i="11"/>
  <c r="BC9" i="10"/>
  <c r="E9" i="10"/>
  <c r="CC15" i="10"/>
  <c r="BG15" i="9"/>
  <c r="E15" i="9"/>
  <c r="BG27" i="9"/>
  <c r="CC27" i="10"/>
  <c r="AF27" i="9"/>
  <c r="E27" i="9"/>
  <c r="BG43" i="9"/>
  <c r="E43" i="9"/>
  <c r="AF43" i="9"/>
  <c r="D43" i="6"/>
  <c r="BC58" i="10"/>
  <c r="E58" i="10"/>
  <c r="E58" i="11"/>
  <c r="AD58" i="10"/>
  <c r="BG67" i="9"/>
  <c r="AF67" i="9"/>
  <c r="E117" i="6"/>
  <c r="E125" i="11"/>
  <c r="AD125" i="10"/>
  <c r="E125" i="6"/>
  <c r="BC125" i="10"/>
  <c r="E125" i="10"/>
  <c r="AF135" i="9"/>
  <c r="CC135" i="10"/>
  <c r="BG135" i="9"/>
  <c r="E135" i="9"/>
  <c r="D135" i="6"/>
  <c r="CC152" i="10"/>
  <c r="E152" i="9"/>
  <c r="D152" i="6"/>
  <c r="C222" i="6"/>
  <c r="E241" i="6"/>
  <c r="C252" i="6"/>
  <c r="C269" i="6"/>
  <c r="C279" i="6"/>
  <c r="D289" i="6"/>
  <c r="CC237" i="10"/>
  <c r="H305" i="5"/>
  <c r="E51" i="10"/>
  <c r="E51" i="11"/>
  <c r="AD51" i="10"/>
  <c r="D91" i="6"/>
  <c r="CC101" i="10"/>
  <c r="AF101" i="9"/>
  <c r="BG101" i="9"/>
  <c r="E101" i="9"/>
  <c r="E109" i="9"/>
  <c r="D109" i="6"/>
  <c r="AF109" i="9"/>
  <c r="AF118" i="9"/>
  <c r="CC118" i="10"/>
  <c r="BG118" i="9"/>
  <c r="D118" i="6"/>
  <c r="AF126" i="9"/>
  <c r="CC126" i="10"/>
  <c r="D126" i="6"/>
  <c r="C126" i="6"/>
  <c r="AD144" i="10"/>
  <c r="E144" i="11"/>
  <c r="BC144" i="10"/>
  <c r="CC160" i="10"/>
  <c r="BG160" i="9"/>
  <c r="E160" i="9"/>
  <c r="D168" i="6"/>
  <c r="BG187" i="9"/>
  <c r="D187" i="6"/>
  <c r="AF187" i="9"/>
  <c r="CC187" i="10"/>
  <c r="D222" i="6"/>
  <c r="E232" i="10"/>
  <c r="E232" i="11"/>
  <c r="AD232" i="10"/>
  <c r="E232" i="6"/>
  <c r="BC232" i="10"/>
  <c r="E242" i="9"/>
  <c r="C242" i="6"/>
  <c r="CC242" i="10"/>
  <c r="AF242" i="9"/>
  <c r="D242" i="6"/>
  <c r="BG242" i="9"/>
  <c r="D252" i="6"/>
  <c r="D269" i="6"/>
  <c r="D279" i="6"/>
  <c r="E118" i="9"/>
  <c r="AD140" i="10"/>
  <c r="E117" i="11"/>
  <c r="BP8" i="7"/>
  <c r="I305" i="5"/>
  <c r="I306" i="5" s="1"/>
  <c r="D15" i="6"/>
  <c r="E27" i="11"/>
  <c r="BC27" i="10"/>
  <c r="AD27" i="10"/>
  <c r="E27" i="6"/>
  <c r="E27" i="10"/>
  <c r="CC36" i="10"/>
  <c r="BG36" i="9"/>
  <c r="AF36" i="9"/>
  <c r="E51" i="6"/>
  <c r="BC67" i="10"/>
  <c r="E67" i="11"/>
  <c r="AD67" i="10"/>
  <c r="E75" i="11"/>
  <c r="AD75" i="10"/>
  <c r="E75" i="10"/>
  <c r="BC75" i="10"/>
  <c r="C92" i="6"/>
  <c r="BG92" i="9"/>
  <c r="D92" i="6"/>
  <c r="AF92" i="9"/>
  <c r="E92" i="9"/>
  <c r="BG127" i="9"/>
  <c r="E127" i="9"/>
  <c r="AF127" i="9"/>
  <c r="CC127" i="10"/>
  <c r="E144" i="6"/>
  <c r="E153" i="9"/>
  <c r="BG153" i="9"/>
  <c r="AF153" i="9"/>
  <c r="C160" i="6"/>
  <c r="E178" i="9"/>
  <c r="CC178" i="10"/>
  <c r="AF178" i="9"/>
  <c r="AD213" i="10"/>
  <c r="E213" i="11"/>
  <c r="BC213" i="10"/>
  <c r="E213" i="6"/>
  <c r="E213" i="10"/>
  <c r="CC223" i="10"/>
  <c r="AF223" i="9"/>
  <c r="E223" i="9"/>
  <c r="BG223" i="9"/>
  <c r="D223" i="6"/>
  <c r="AF233" i="9"/>
  <c r="BG233" i="9"/>
  <c r="E233" i="9"/>
  <c r="C233" i="6"/>
  <c r="AF261" i="9"/>
  <c r="CC261" i="10"/>
  <c r="BG261" i="9"/>
  <c r="E261" i="9"/>
  <c r="BG270" i="9"/>
  <c r="E270" i="9"/>
  <c r="CC270" i="10"/>
  <c r="D270" i="6"/>
  <c r="E290" i="6"/>
  <c r="BG237" i="9"/>
  <c r="BC51" i="10"/>
  <c r="CC109" i="10"/>
  <c r="CC185" i="10"/>
  <c r="AC164" i="10"/>
  <c r="AE164" i="9"/>
  <c r="BF167" i="9"/>
  <c r="BB167" i="10"/>
  <c r="AC174" i="10"/>
  <c r="AE174" i="9"/>
  <c r="BB177" i="10"/>
  <c r="BF177" i="9"/>
  <c r="D184" i="9"/>
  <c r="D184" i="10"/>
  <c r="AE187" i="9"/>
  <c r="AC187" i="10"/>
  <c r="D197" i="10"/>
  <c r="AC200" i="10"/>
  <c r="AE200" i="9"/>
  <c r="BB203" i="10"/>
  <c r="BF203" i="9"/>
  <c r="D207" i="10"/>
  <c r="D207" i="9"/>
  <c r="AC210" i="10"/>
  <c r="AE210" i="9"/>
  <c r="BB213" i="10"/>
  <c r="BF213" i="9"/>
  <c r="AE223" i="9"/>
  <c r="AC223" i="10"/>
  <c r="D233" i="10"/>
  <c r="D233" i="9"/>
  <c r="BF239" i="9"/>
  <c r="D243" i="10"/>
  <c r="D243" i="9"/>
  <c r="AC246" i="10"/>
  <c r="AE246" i="9"/>
  <c r="BF249" i="9"/>
  <c r="BB249" i="10"/>
  <c r="D256" i="10"/>
  <c r="D256" i="9"/>
  <c r="D269" i="10"/>
  <c r="D269" i="9"/>
  <c r="AC272" i="10"/>
  <c r="AE272" i="9"/>
  <c r="BF275" i="9"/>
  <c r="BB275" i="10"/>
  <c r="D279" i="10"/>
  <c r="D279" i="9"/>
  <c r="AC282" i="10"/>
  <c r="AE282" i="9"/>
  <c r="D292" i="10"/>
  <c r="D292" i="9"/>
  <c r="E10" i="11"/>
  <c r="AD10" i="10"/>
  <c r="E10" i="10"/>
  <c r="BC10" i="10"/>
  <c r="E21" i="9"/>
  <c r="BG21" i="9"/>
  <c r="CC21" i="10"/>
  <c r="CC28" i="10"/>
  <c r="AF28" i="9"/>
  <c r="D28" i="6"/>
  <c r="CC52" i="10"/>
  <c r="D52" i="6"/>
  <c r="E52" i="9"/>
  <c r="BG52" i="9"/>
  <c r="AF52" i="9"/>
  <c r="E75" i="6"/>
  <c r="D101" i="6"/>
  <c r="C127" i="6"/>
  <c r="CC136" i="10"/>
  <c r="E136" i="9"/>
  <c r="C136" i="6"/>
  <c r="D136" i="6"/>
  <c r="BG145" i="9"/>
  <c r="AF145" i="9"/>
  <c r="E145" i="9"/>
  <c r="D160" i="6"/>
  <c r="BC169" i="10"/>
  <c r="AD169" i="10"/>
  <c r="E169" i="11"/>
  <c r="E169" i="6"/>
  <c r="E169" i="10"/>
  <c r="D178" i="6"/>
  <c r="AD204" i="10"/>
  <c r="E204" i="11"/>
  <c r="BC204" i="10"/>
  <c r="AF214" i="9"/>
  <c r="D214" i="6"/>
  <c r="CC214" i="10"/>
  <c r="C223" i="6"/>
  <c r="D233" i="6"/>
  <c r="CC243" i="10"/>
  <c r="BG243" i="9"/>
  <c r="AF243" i="9"/>
  <c r="D243" i="6"/>
  <c r="C243" i="6"/>
  <c r="E243" i="9"/>
  <c r="AF253" i="9"/>
  <c r="D253" i="6"/>
  <c r="CC253" i="10"/>
  <c r="BG253" i="9"/>
  <c r="C270" i="6"/>
  <c r="CC291" i="10"/>
  <c r="BG291" i="9"/>
  <c r="AF291" i="9"/>
  <c r="E16" i="11"/>
  <c r="BC16" i="10"/>
  <c r="AD16" i="10"/>
  <c r="E33" i="9"/>
  <c r="D33" i="6"/>
  <c r="BG33" i="9"/>
  <c r="CC33" i="10"/>
  <c r="AF54" i="9"/>
  <c r="CC54" i="10"/>
  <c r="BG77" i="9"/>
  <c r="AF77" i="9"/>
  <c r="BC123" i="10"/>
  <c r="E123" i="10"/>
  <c r="E123" i="11"/>
  <c r="AD123" i="10"/>
  <c r="BG131" i="9"/>
  <c r="CC131" i="10"/>
  <c r="D131" i="6"/>
  <c r="AF131" i="9"/>
  <c r="E131" i="9"/>
  <c r="BG140" i="9"/>
  <c r="CC140" i="10"/>
  <c r="E171" i="9"/>
  <c r="BG188" i="9"/>
  <c r="CC188" i="10"/>
  <c r="AF188" i="9"/>
  <c r="E188" i="9"/>
  <c r="BG196" i="9"/>
  <c r="CC196" i="10"/>
  <c r="E196" i="9"/>
  <c r="D196" i="6"/>
  <c r="E203" i="11"/>
  <c r="E203" i="10"/>
  <c r="AD203" i="10"/>
  <c r="AD254" i="10"/>
  <c r="E254" i="11"/>
  <c r="BC254" i="10"/>
  <c r="E254" i="10"/>
  <c r="BS300" i="9"/>
  <c r="AF11" i="9"/>
  <c r="CC11" i="10"/>
  <c r="E40" i="11"/>
  <c r="E40" i="10"/>
  <c r="E54" i="11"/>
  <c r="E54" i="10"/>
  <c r="BC54" i="10"/>
  <c r="AD54" i="10"/>
  <c r="CC70" i="10"/>
  <c r="AF70" i="9"/>
  <c r="BG70" i="9"/>
  <c r="E77" i="10"/>
  <c r="AD77" i="10"/>
  <c r="E77" i="11"/>
  <c r="CC93" i="10"/>
  <c r="BG93" i="9"/>
  <c r="D93" i="6"/>
  <c r="E93" i="9"/>
  <c r="BC108" i="10"/>
  <c r="E108" i="11"/>
  <c r="AD108" i="10"/>
  <c r="E108" i="10"/>
  <c r="CC124" i="10"/>
  <c r="E124" i="9"/>
  <c r="D132" i="6"/>
  <c r="E132" i="9"/>
  <c r="E155" i="11"/>
  <c r="E155" i="10"/>
  <c r="BC155" i="10"/>
  <c r="AD155" i="10"/>
  <c r="BG204" i="9"/>
  <c r="CC204" i="10"/>
  <c r="AF204" i="9"/>
  <c r="E204" i="9"/>
  <c r="CC221" i="10"/>
  <c r="BG221" i="9"/>
  <c r="D221" i="6"/>
  <c r="C221" i="6"/>
  <c r="AF221" i="9"/>
  <c r="E221" i="9"/>
  <c r="AF247" i="9"/>
  <c r="BG247" i="9"/>
  <c r="CC255" i="10"/>
  <c r="AF255" i="9"/>
  <c r="E255" i="9"/>
  <c r="AF263" i="9"/>
  <c r="E263" i="9"/>
  <c r="CC263" i="10"/>
  <c r="BG263" i="9"/>
  <c r="E280" i="10"/>
  <c r="E280" i="11"/>
  <c r="AD280" i="10"/>
  <c r="BC280" i="10"/>
  <c r="E280" i="6"/>
  <c r="E11" i="9"/>
  <c r="V300" i="9"/>
  <c r="BC203" i="10"/>
  <c r="AP303" i="9"/>
  <c r="AP299" i="9"/>
  <c r="AP300" i="9"/>
  <c r="BC12" i="10"/>
  <c r="E12" i="10"/>
  <c r="E35" i="10"/>
  <c r="E35" i="11"/>
  <c r="E49" i="9"/>
  <c r="CC49" i="10"/>
  <c r="BG49" i="9"/>
  <c r="D49" i="6"/>
  <c r="BG87" i="9"/>
  <c r="D87" i="6"/>
  <c r="E87" i="9"/>
  <c r="AF87" i="9"/>
  <c r="AD150" i="10"/>
  <c r="E150" i="11"/>
  <c r="E150" i="6"/>
  <c r="BC150" i="10"/>
  <c r="E150" i="10"/>
  <c r="AF174" i="9"/>
  <c r="E174" i="9"/>
  <c r="BG174" i="9"/>
  <c r="E182" i="9"/>
  <c r="C182" i="6"/>
  <c r="AF182" i="9"/>
  <c r="AD190" i="10"/>
  <c r="E190" i="11"/>
  <c r="E190" i="10"/>
  <c r="E190" i="6"/>
  <c r="AF207" i="9"/>
  <c r="CC207" i="10"/>
  <c r="D207" i="6"/>
  <c r="BG207" i="9"/>
  <c r="CC232" i="10"/>
  <c r="E232" i="9"/>
  <c r="AF232" i="9"/>
  <c r="D257" i="6"/>
  <c r="CC257" i="10"/>
  <c r="AF257" i="9"/>
  <c r="C257" i="6"/>
  <c r="BG257" i="9"/>
  <c r="BG283" i="9"/>
  <c r="CC283" i="10"/>
  <c r="AF283" i="9"/>
  <c r="CC292" i="10"/>
  <c r="BG292" i="9"/>
  <c r="C292" i="6"/>
  <c r="AF292" i="9"/>
  <c r="G298" i="9"/>
  <c r="X12" i="9"/>
  <c r="E298" i="9"/>
  <c r="R12" i="9"/>
  <c r="U16" i="9"/>
  <c r="T303" i="9" s="1"/>
  <c r="G9" i="9"/>
  <c r="E54" i="9"/>
  <c r="AU303" i="9"/>
  <c r="AW300" i="9"/>
  <c r="AT300" i="9"/>
  <c r="E7" i="9"/>
  <c r="CC7" i="10"/>
  <c r="BG7" i="9"/>
  <c r="E35" i="6"/>
  <c r="BC64" i="10"/>
  <c r="AD64" i="10"/>
  <c r="E64" i="10"/>
  <c r="E64" i="11"/>
  <c r="E64" i="6"/>
  <c r="BC72" i="10"/>
  <c r="E72" i="11"/>
  <c r="E72" i="10"/>
  <c r="AD72" i="10"/>
  <c r="AF80" i="9"/>
  <c r="CC103" i="10"/>
  <c r="BG103" i="9"/>
  <c r="CC111" i="10"/>
  <c r="E111" i="9"/>
  <c r="BG111" i="9"/>
  <c r="E158" i="11"/>
  <c r="AD158" i="10"/>
  <c r="BC158" i="10"/>
  <c r="E158" i="10"/>
  <c r="E166" i="11"/>
  <c r="AD166" i="10"/>
  <c r="E166" i="10"/>
  <c r="BC166" i="10"/>
  <c r="D182" i="6"/>
  <c r="AF191" i="9"/>
  <c r="CC191" i="10"/>
  <c r="C207" i="6"/>
  <c r="C232" i="6"/>
  <c r="BG275" i="9"/>
  <c r="E275" i="9"/>
  <c r="CC275" i="10"/>
  <c r="AF275" i="9"/>
  <c r="C283" i="6"/>
  <c r="D292" i="6"/>
  <c r="E80" i="9"/>
  <c r="CC77" i="10"/>
  <c r="CC174" i="10"/>
  <c r="BF94" i="9"/>
  <c r="U300" i="9"/>
  <c r="T300" i="9"/>
  <c r="T299" i="9"/>
  <c r="D298" i="9"/>
  <c r="G8" i="9"/>
  <c r="F298" i="9" s="1"/>
  <c r="BB190" i="10"/>
  <c r="P300" i="10"/>
  <c r="O300" i="10"/>
  <c r="O299" i="10"/>
  <c r="O303" i="10" s="1"/>
  <c r="AF64" i="9"/>
  <c r="BB232" i="10"/>
  <c r="BR303" i="10"/>
  <c r="BT300" i="10"/>
  <c r="BB85" i="10"/>
  <c r="BF85" i="9"/>
  <c r="BB88" i="10"/>
  <c r="BF88" i="9"/>
  <c r="BB112" i="10"/>
  <c r="BF112" i="9"/>
  <c r="BB118" i="10"/>
  <c r="BF118" i="9"/>
  <c r="BB121" i="10"/>
  <c r="BF121" i="9"/>
  <c r="BB142" i="10"/>
  <c r="BF142" i="9"/>
  <c r="BB145" i="10"/>
  <c r="BF145" i="9"/>
  <c r="BF160" i="9"/>
  <c r="BB160" i="10"/>
  <c r="BF166" i="9"/>
  <c r="BB166" i="10"/>
  <c r="BB169" i="10"/>
  <c r="BF169" i="9"/>
  <c r="BF181" i="9"/>
  <c r="BB181" i="10"/>
  <c r="BB193" i="10"/>
  <c r="BF193" i="9"/>
  <c r="BB202" i="10"/>
  <c r="BF202" i="9"/>
  <c r="BF220" i="9"/>
  <c r="BB220" i="10"/>
  <c r="BB226" i="10"/>
  <c r="BF226" i="9"/>
  <c r="BB229" i="10"/>
  <c r="BF229" i="9"/>
  <c r="BB247" i="10"/>
  <c r="BF247" i="9"/>
  <c r="BF256" i="9"/>
  <c r="BB256" i="10"/>
  <c r="BB265" i="10"/>
  <c r="BF265" i="9"/>
  <c r="BB268" i="10"/>
  <c r="BF268" i="9"/>
  <c r="BB286" i="10"/>
  <c r="BF286" i="9"/>
  <c r="BB289" i="10"/>
  <c r="BF289" i="9"/>
  <c r="BB292" i="10"/>
  <c r="BF292" i="9"/>
  <c r="BP9" i="7"/>
  <c r="AO12" i="7"/>
  <c r="CC48" i="10"/>
  <c r="BG48" i="9"/>
  <c r="E83" i="11"/>
  <c r="AD83" i="10"/>
  <c r="BC83" i="10"/>
  <c r="D112" i="6"/>
  <c r="E112" i="9"/>
  <c r="CC148" i="10"/>
  <c r="BG148" i="9"/>
  <c r="E148" i="9"/>
  <c r="E162" i="9"/>
  <c r="D162" i="6"/>
  <c r="BS12" i="9"/>
  <c r="BQ303" i="9" s="1"/>
  <c r="BF298" i="9"/>
  <c r="BY12" i="9"/>
  <c r="BW13" i="9"/>
  <c r="BV303" i="9" s="1"/>
  <c r="O13" i="9"/>
  <c r="E71" i="9"/>
  <c r="BF157" i="9"/>
  <c r="BF100" i="9"/>
  <c r="E280" i="9"/>
  <c r="AC45" i="10"/>
  <c r="BB205" i="10"/>
  <c r="AN300" i="10"/>
  <c r="AN299" i="10"/>
  <c r="AO300" i="10"/>
  <c r="E57" i="9"/>
  <c r="AF57" i="9"/>
  <c r="CC57" i="10"/>
  <c r="CC78" i="10"/>
  <c r="AF78" i="9"/>
  <c r="E78" i="9"/>
  <c r="CC85" i="10"/>
  <c r="D85" i="6"/>
  <c r="E99" i="11"/>
  <c r="E99" i="10"/>
  <c r="BC99" i="10"/>
  <c r="AD99" i="10"/>
  <c r="BG107" i="9"/>
  <c r="E107" i="9"/>
  <c r="BG128" i="9"/>
  <c r="AF128" i="9"/>
  <c r="CC128" i="10"/>
  <c r="CC157" i="10"/>
  <c r="AF157" i="9"/>
  <c r="BG206" i="9"/>
  <c r="C206" i="6"/>
  <c r="D206" i="6"/>
  <c r="CC206" i="10"/>
  <c r="CC250" i="10"/>
  <c r="E250" i="9"/>
  <c r="AF250" i="9"/>
  <c r="D250" i="6"/>
  <c r="E272" i="11"/>
  <c r="AD272" i="10"/>
  <c r="E272" i="10"/>
  <c r="BC272" i="10"/>
  <c r="AC39" i="10"/>
  <c r="CC280" i="10"/>
  <c r="Q12" i="9"/>
  <c r="O303" i="9" s="1"/>
  <c r="BF154" i="9"/>
  <c r="BF97" i="9"/>
  <c r="BB259" i="10"/>
  <c r="C305" i="5"/>
  <c r="C307" i="5" s="1"/>
  <c r="BC4" i="10"/>
  <c r="AD4" i="10"/>
  <c r="E4" i="11"/>
  <c r="AF30" i="9"/>
  <c r="E30" i="9"/>
  <c r="CC30" i="10"/>
  <c r="BG30" i="9"/>
  <c r="BG51" i="9"/>
  <c r="AF51" i="9"/>
  <c r="CC51" i="10"/>
  <c r="AF86" i="9"/>
  <c r="C86" i="6"/>
  <c r="E86" i="9"/>
  <c r="BC100" i="10"/>
  <c r="E100" i="11"/>
  <c r="BG115" i="9"/>
  <c r="CC115" i="10"/>
  <c r="AF115" i="9"/>
  <c r="E115" i="9"/>
  <c r="CC122" i="10"/>
  <c r="C122" i="6"/>
  <c r="E122" i="9"/>
  <c r="BG122" i="9"/>
  <c r="E129" i="9"/>
  <c r="AF129" i="9"/>
  <c r="D129" i="6"/>
  <c r="AD143" i="10"/>
  <c r="E143" i="6"/>
  <c r="BC143" i="10"/>
  <c r="E143" i="11"/>
  <c r="BG172" i="9"/>
  <c r="E172" i="9"/>
  <c r="D172" i="6"/>
  <c r="AF172" i="9"/>
  <c r="W12" i="9"/>
  <c r="AF23" i="9"/>
  <c r="BG162" i="9"/>
  <c r="D298" i="10"/>
  <c r="W12" i="10"/>
  <c r="O13" i="10"/>
  <c r="G8" i="10"/>
  <c r="F298" i="10" s="1"/>
  <c r="CM300" i="10"/>
  <c r="CM299" i="10"/>
  <c r="BG16" i="9"/>
  <c r="C16" i="6"/>
  <c r="E16" i="9"/>
  <c r="E23" i="10"/>
  <c r="BC23" i="10"/>
  <c r="E23" i="11"/>
  <c r="E30" i="11"/>
  <c r="E30" i="10"/>
  <c r="AD30" i="10"/>
  <c r="E37" i="11"/>
  <c r="E37" i="10"/>
  <c r="E37" i="6"/>
  <c r="AD37" i="10"/>
  <c r="E44" i="10"/>
  <c r="E44" i="6"/>
  <c r="E65" i="9"/>
  <c r="AF65" i="9"/>
  <c r="CC72" i="10"/>
  <c r="E72" i="9"/>
  <c r="C72" i="6"/>
  <c r="BC86" i="10"/>
  <c r="E86" i="11"/>
  <c r="BC122" i="10"/>
  <c r="E122" i="10"/>
  <c r="E122" i="11"/>
  <c r="AD122" i="10"/>
  <c r="AF151" i="9"/>
  <c r="E151" i="9"/>
  <c r="CC151" i="10"/>
  <c r="BG151" i="9"/>
  <c r="E158" i="9"/>
  <c r="BG236" i="9"/>
  <c r="C236" i="6"/>
  <c r="E236" i="9"/>
  <c r="CC236" i="10"/>
  <c r="E251" i="10"/>
  <c r="E251" i="6"/>
  <c r="BC251" i="10"/>
  <c r="E266" i="11"/>
  <c r="E266" i="10"/>
  <c r="BC266" i="10"/>
  <c r="BG281" i="9"/>
  <c r="C281" i="6"/>
  <c r="AF281" i="9"/>
  <c r="CC281" i="10"/>
  <c r="E48" i="9"/>
  <c r="BF79" i="9"/>
  <c r="BG112" i="9"/>
  <c r="E206" i="9"/>
  <c r="BF238" i="9"/>
  <c r="E281" i="9"/>
  <c r="CC23" i="10"/>
  <c r="BB148" i="10"/>
  <c r="BB199" i="10"/>
  <c r="CO300" i="10"/>
  <c r="CN300" i="10"/>
  <c r="CC37" i="10"/>
  <c r="BG37" i="9"/>
  <c r="BG83" i="9"/>
  <c r="E83" i="9"/>
  <c r="AF83" i="9"/>
  <c r="BG156" i="9"/>
  <c r="E156" i="9"/>
  <c r="D156" i="6"/>
  <c r="E190" i="9"/>
  <c r="BG190" i="9"/>
  <c r="E271" i="10"/>
  <c r="E271" i="11"/>
  <c r="AD271" i="10"/>
  <c r="BC271" i="10"/>
  <c r="BG203" i="9"/>
  <c r="P300" i="11"/>
  <c r="O299" i="11"/>
  <c r="O300" i="11"/>
  <c r="AF17" i="9"/>
  <c r="AF156" i="9"/>
  <c r="BG59" i="9"/>
  <c r="CC59" i="10"/>
  <c r="E59" i="9"/>
  <c r="CC166" i="10"/>
  <c r="AF166" i="9"/>
  <c r="E166" i="9"/>
  <c r="CC179" i="10"/>
  <c r="E179" i="9"/>
  <c r="AF199" i="9"/>
  <c r="CC199" i="10"/>
  <c r="BG199" i="9"/>
  <c r="E199" i="9"/>
  <c r="E226" i="9"/>
  <c r="CC226" i="10"/>
  <c r="BC260" i="10"/>
  <c r="AD260" i="10"/>
  <c r="E260" i="11"/>
  <c r="E260" i="10"/>
  <c r="AF298" i="9"/>
  <c r="AH298" i="9"/>
  <c r="AH9" i="9"/>
  <c r="E37" i="9"/>
  <c r="AF99" i="9"/>
  <c r="AF226" i="9"/>
  <c r="I298" i="10"/>
  <c r="H298" i="10"/>
  <c r="BG119" i="9"/>
  <c r="E169" i="9"/>
  <c r="AM300" i="10"/>
  <c r="AM299" i="10"/>
  <c r="BC290" i="10"/>
  <c r="Q300" i="10"/>
  <c r="CC14" i="10"/>
  <c r="AF14" i="9"/>
  <c r="C56" i="6"/>
  <c r="AF175" i="9"/>
  <c r="CC175" i="10"/>
  <c r="CC200" i="10"/>
  <c r="CC219" i="10"/>
  <c r="E219" i="9"/>
  <c r="AF69" i="9"/>
  <c r="E298" i="10"/>
  <c r="R12" i="10"/>
  <c r="CC4" i="10"/>
  <c r="AF4" i="9"/>
  <c r="C14" i="6"/>
  <c r="AF38" i="9"/>
  <c r="BG38" i="9"/>
  <c r="D56" i="6"/>
  <c r="AF94" i="9"/>
  <c r="CC94" i="10"/>
  <c r="C100" i="6"/>
  <c r="C125" i="6"/>
  <c r="CC144" i="10"/>
  <c r="BG144" i="9"/>
  <c r="E194" i="9"/>
  <c r="C194" i="6"/>
  <c r="D200" i="6"/>
  <c r="C238" i="6"/>
  <c r="C251" i="6"/>
  <c r="E258" i="9"/>
  <c r="CC258" i="10"/>
  <c r="AF258" i="9"/>
  <c r="CC271" i="10"/>
  <c r="AF271" i="9"/>
  <c r="AF254" i="9"/>
  <c r="E272" i="9"/>
  <c r="CR299" i="10"/>
  <c r="S300" i="11"/>
  <c r="S299" i="11"/>
  <c r="CC260" i="10"/>
  <c r="BG260" i="9"/>
  <c r="CC266" i="10"/>
  <c r="E266" i="9"/>
  <c r="BG284" i="9"/>
  <c r="CC284" i="10"/>
  <c r="CC290" i="10"/>
  <c r="E290" i="9"/>
  <c r="BG290" i="9"/>
  <c r="C254" i="6"/>
  <c r="C260" i="6"/>
  <c r="C278" i="6"/>
  <c r="C284" i="6"/>
  <c r="C290" i="6"/>
  <c r="AF298" i="10"/>
  <c r="AT16" i="10"/>
  <c r="AQ12" i="10"/>
  <c r="AF9" i="10"/>
  <c r="BN300" i="10"/>
  <c r="BM300" i="10"/>
  <c r="AR300" i="10"/>
  <c r="AR299" i="10"/>
  <c r="AS299" i="10"/>
  <c r="T299" i="11"/>
  <c r="T300" i="11"/>
  <c r="G8" i="11"/>
  <c r="D298" i="11"/>
  <c r="U13" i="11"/>
  <c r="E290" i="11" l="1"/>
  <c r="AD290" i="10"/>
  <c r="E290" i="10"/>
  <c r="AD251" i="10"/>
  <c r="E251" i="11"/>
  <c r="BC179" i="10"/>
  <c r="E179" i="10"/>
  <c r="BC171" i="10"/>
  <c r="E171" i="10"/>
  <c r="AD171" i="10"/>
  <c r="E119" i="10"/>
  <c r="BC119" i="10"/>
  <c r="AD119" i="10"/>
  <c r="AD100" i="10"/>
  <c r="E100" i="10"/>
  <c r="AD86" i="10"/>
  <c r="E86" i="10"/>
  <c r="E44" i="11"/>
  <c r="BC44" i="10"/>
  <c r="AD40" i="10"/>
  <c r="BC40" i="10"/>
  <c r="I307" i="5"/>
  <c r="BQ9" i="7" s="1"/>
  <c r="AY9" i="7"/>
  <c r="D310" i="5"/>
  <c r="X12" i="7" s="1"/>
  <c r="W13" i="7"/>
  <c r="X8" i="7"/>
  <c r="G308" i="5"/>
  <c r="M911" i="6" s="1"/>
  <c r="K1021" i="6" s="1"/>
  <c r="D307" i="5"/>
  <c r="X9" i="7" s="1"/>
  <c r="E16" i="10"/>
  <c r="E16" i="6"/>
  <c r="J309" i="5"/>
  <c r="N914" i="6" s="1"/>
  <c r="J308" i="5"/>
  <c r="BZ10" i="7" s="1"/>
  <c r="G309" i="5"/>
  <c r="N911" i="6" s="1"/>
  <c r="G310" i="5"/>
  <c r="O911" i="6" s="1"/>
  <c r="AX13" i="7"/>
  <c r="E12" i="11"/>
  <c r="AD12" i="10"/>
  <c r="D309" i="5"/>
  <c r="N908" i="6" s="1"/>
  <c r="D308" i="5"/>
  <c r="X10" i="7" s="1"/>
  <c r="BY13" i="7"/>
  <c r="J306" i="5"/>
  <c r="J310" i="5"/>
  <c r="BZ12" i="7" s="1"/>
  <c r="G306" i="5"/>
  <c r="E306" i="5"/>
  <c r="AG8" i="7" s="1"/>
  <c r="F310" i="5"/>
  <c r="O910" i="6" s="1"/>
  <c r="F10" i="8"/>
  <c r="E1006" i="8" s="1"/>
  <c r="N1016" i="8" s="1"/>
  <c r="BZ9" i="7"/>
  <c r="L914" i="6"/>
  <c r="C309" i="5"/>
  <c r="N907" i="6" s="1"/>
  <c r="O11" i="8"/>
  <c r="O8" i="8"/>
  <c r="O12" i="8"/>
  <c r="S307" i="1"/>
  <c r="N308" i="1"/>
  <c r="DJ10" i="3" s="1"/>
  <c r="G309" i="1"/>
  <c r="C309" i="1"/>
  <c r="B306" i="1"/>
  <c r="F8" i="3" s="1"/>
  <c r="M306" i="1"/>
  <c r="O10" i="4"/>
  <c r="N1006" i="4" s="1"/>
  <c r="AF1017" i="4" s="1"/>
  <c r="O11" i="4"/>
  <c r="F310" i="1"/>
  <c r="AP12" i="3" s="1"/>
  <c r="C308" i="1"/>
  <c r="Q907" i="2" s="1"/>
  <c r="O1017" i="2" s="1"/>
  <c r="C310" i="1"/>
  <c r="O12" i="3" s="1"/>
  <c r="S309" i="1"/>
  <c r="FC11" i="3" s="1"/>
  <c r="F307" i="1"/>
  <c r="P910" i="2" s="1"/>
  <c r="F309" i="1"/>
  <c r="AP11" i="3" s="1"/>
  <c r="S308" i="1"/>
  <c r="AO911" i="2" s="1"/>
  <c r="AM1021" i="2" s="1"/>
  <c r="L308" i="1"/>
  <c r="CR10" i="3" s="1"/>
  <c r="B309" i="1"/>
  <c r="F11" i="3" s="1"/>
  <c r="S310" i="1"/>
  <c r="FC12" i="3" s="1"/>
  <c r="R310" i="1"/>
  <c r="AQ910" i="2" s="1"/>
  <c r="F308" i="1"/>
  <c r="Q910" i="2" s="1"/>
  <c r="O1020" i="2" s="1"/>
  <c r="D309" i="1"/>
  <c r="X11" i="3" s="1"/>
  <c r="B307" i="1"/>
  <c r="P906" i="2" s="1"/>
  <c r="FC10" i="3"/>
  <c r="FB1057" i="3" s="1"/>
  <c r="S306" i="1"/>
  <c r="Q310" i="1"/>
  <c r="AQ909" i="2" s="1"/>
  <c r="X8" i="4"/>
  <c r="V1006" i="4" s="1"/>
  <c r="X11" i="4"/>
  <c r="X12" i="4"/>
  <c r="X10" i="4"/>
  <c r="W1006" i="4" s="1"/>
  <c r="AF1018" i="4" s="1"/>
  <c r="N309" i="1"/>
  <c r="AP906" i="2" s="1"/>
  <c r="L309" i="1"/>
  <c r="CR11" i="3" s="1"/>
  <c r="I306" i="1"/>
  <c r="AA907" i="2" s="1"/>
  <c r="AG8" i="4"/>
  <c r="I307" i="1"/>
  <c r="BQ9" i="3" s="1"/>
  <c r="G310" i="1"/>
  <c r="S911" i="2" s="1"/>
  <c r="F306" i="1"/>
  <c r="D310" i="1"/>
  <c r="X12" i="3" s="1"/>
  <c r="D306" i="1"/>
  <c r="X8" i="3" s="1"/>
  <c r="F11" i="4"/>
  <c r="C306" i="1"/>
  <c r="O8" i="3" s="1"/>
  <c r="C307" i="1"/>
  <c r="P907" i="2" s="1"/>
  <c r="F8" i="4"/>
  <c r="O909" i="6"/>
  <c r="AG12" i="7"/>
  <c r="AP909" i="2"/>
  <c r="EK11" i="3"/>
  <c r="O911" i="2"/>
  <c r="AY8" i="3"/>
  <c r="M906" i="6"/>
  <c r="K1016" i="6" s="1"/>
  <c r="F10" i="7"/>
  <c r="BC134" i="10"/>
  <c r="AD134" i="10"/>
  <c r="E134" i="11"/>
  <c r="E134" i="6"/>
  <c r="E134" i="10"/>
  <c r="AD209" i="10"/>
  <c r="E209" i="10"/>
  <c r="E209" i="11"/>
  <c r="BC209" i="10"/>
  <c r="E209" i="6"/>
  <c r="E116" i="11"/>
  <c r="BC116" i="10"/>
  <c r="E116" i="10"/>
  <c r="AD116" i="10"/>
  <c r="E116" i="6"/>
  <c r="E19" i="11"/>
  <c r="E19" i="10"/>
  <c r="E19" i="6"/>
  <c r="AD19" i="10"/>
  <c r="BC19" i="10"/>
  <c r="BZ2048" i="3"/>
  <c r="CA2048" i="3" s="1"/>
  <c r="BX2048" i="3"/>
  <c r="BC292" i="10"/>
  <c r="E292" i="11"/>
  <c r="E292" i="10"/>
  <c r="AD292" i="10"/>
  <c r="E292" i="6"/>
  <c r="E222" i="11"/>
  <c r="AD222" i="10"/>
  <c r="E222" i="10"/>
  <c r="E222" i="6"/>
  <c r="BC222" i="10"/>
  <c r="E201" i="11"/>
  <c r="BC201" i="10"/>
  <c r="AD201" i="10"/>
  <c r="E201" i="10"/>
  <c r="E201" i="6"/>
  <c r="BZ2050" i="3"/>
  <c r="CA2050" i="3" s="1"/>
  <c r="BX2050" i="3"/>
  <c r="BC114" i="10"/>
  <c r="E114" i="11"/>
  <c r="AD114" i="10"/>
  <c r="E114" i="10"/>
  <c r="E114" i="6"/>
  <c r="C225" i="6"/>
  <c r="E121" i="6"/>
  <c r="BH2047" i="3"/>
  <c r="BI2047" i="3" s="1"/>
  <c r="BF2047" i="3"/>
  <c r="E99" i="6"/>
  <c r="CR2048" i="3"/>
  <c r="CS2048" i="3" s="1"/>
  <c r="CP2048" i="3"/>
  <c r="Q2019" i="2"/>
  <c r="Q19" i="2"/>
  <c r="AW2048" i="3"/>
  <c r="AY2048" i="3"/>
  <c r="AZ2048" i="3" s="1"/>
  <c r="C265" i="6"/>
  <c r="D308" i="1"/>
  <c r="AD206" i="10"/>
  <c r="E206" i="10"/>
  <c r="E206" i="11"/>
  <c r="E206" i="6"/>
  <c r="BC206" i="10"/>
  <c r="E93" i="11"/>
  <c r="E93" i="6"/>
  <c r="AD93" i="10"/>
  <c r="E93" i="10"/>
  <c r="BC93" i="10"/>
  <c r="AY2050" i="3"/>
  <c r="AZ2050" i="3" s="1"/>
  <c r="AW2050" i="3"/>
  <c r="AD265" i="10"/>
  <c r="E265" i="11"/>
  <c r="E265" i="10"/>
  <c r="E265" i="6"/>
  <c r="BC265" i="10"/>
  <c r="S906" i="2"/>
  <c r="F12" i="3"/>
  <c r="AD910" i="2"/>
  <c r="BG13" i="3"/>
  <c r="H309" i="1"/>
  <c r="H306" i="1"/>
  <c r="D2048" i="3"/>
  <c r="F2048" i="3"/>
  <c r="G2048" i="3" s="1"/>
  <c r="BC136" i="10"/>
  <c r="E136" i="11"/>
  <c r="E136" i="10"/>
  <c r="E136" i="6"/>
  <c r="AD136" i="10"/>
  <c r="E32" i="11"/>
  <c r="E32" i="10"/>
  <c r="BC32" i="10"/>
  <c r="E32" i="6"/>
  <c r="AD32" i="10"/>
  <c r="BC84" i="10"/>
  <c r="AD84" i="10"/>
  <c r="E84" i="10"/>
  <c r="E84" i="11"/>
  <c r="E84" i="6"/>
  <c r="E146" i="11"/>
  <c r="AD146" i="10"/>
  <c r="BC146" i="10"/>
  <c r="E146" i="6"/>
  <c r="E146" i="10"/>
  <c r="AD231" i="10"/>
  <c r="E231" i="11"/>
  <c r="BC231" i="10"/>
  <c r="E231" i="6"/>
  <c r="E231" i="10"/>
  <c r="CP2050" i="3"/>
  <c r="CR2050" i="3"/>
  <c r="CS2050" i="3" s="1"/>
  <c r="H308" i="1"/>
  <c r="E207" i="10"/>
  <c r="E207" i="11"/>
  <c r="AD207" i="10"/>
  <c r="E207" i="6"/>
  <c r="BC207" i="10"/>
  <c r="AD253" i="10"/>
  <c r="E253" i="11"/>
  <c r="E253" i="10"/>
  <c r="BC253" i="10"/>
  <c r="E253" i="6"/>
  <c r="CR2049" i="3"/>
  <c r="CS2049" i="3" s="1"/>
  <c r="CP2049" i="3"/>
  <c r="E223" i="11"/>
  <c r="E223" i="10"/>
  <c r="AD223" i="10"/>
  <c r="BC223" i="10"/>
  <c r="E223" i="6"/>
  <c r="E15" i="11"/>
  <c r="E15" i="10"/>
  <c r="E15" i="6"/>
  <c r="AD15" i="10"/>
  <c r="BC15" i="10"/>
  <c r="E187" i="11"/>
  <c r="BC187" i="10"/>
  <c r="E187" i="6"/>
  <c r="E187" i="10"/>
  <c r="AD187" i="10"/>
  <c r="E91" i="11"/>
  <c r="AD91" i="10"/>
  <c r="BC91" i="10"/>
  <c r="E91" i="6"/>
  <c r="E91" i="10"/>
  <c r="E74" i="11"/>
  <c r="BC74" i="10"/>
  <c r="E74" i="6"/>
  <c r="E74" i="10"/>
  <c r="AD74" i="10"/>
  <c r="E46" i="11"/>
  <c r="E46" i="10"/>
  <c r="BC46" i="10"/>
  <c r="AD46" i="10"/>
  <c r="E46" i="6"/>
  <c r="E137" i="10"/>
  <c r="E137" i="11"/>
  <c r="E137" i="6"/>
  <c r="AD137" i="10"/>
  <c r="BC137" i="10"/>
  <c r="E8" i="11"/>
  <c r="BC8" i="10"/>
  <c r="E8" i="10"/>
  <c r="E8" i="6"/>
  <c r="AD8" i="10"/>
  <c r="BC110" i="10"/>
  <c r="E110" i="11"/>
  <c r="AD110" i="10"/>
  <c r="E110" i="6"/>
  <c r="E110" i="10"/>
  <c r="E31" i="11"/>
  <c r="E31" i="6"/>
  <c r="AD31" i="10"/>
  <c r="BC31" i="10"/>
  <c r="E31" i="10"/>
  <c r="BC98" i="10"/>
  <c r="E98" i="11"/>
  <c r="AD98" i="10"/>
  <c r="E98" i="10"/>
  <c r="E98" i="6"/>
  <c r="BF2050" i="3"/>
  <c r="BH2050" i="3"/>
  <c r="BI2050" i="3" s="1"/>
  <c r="BC161" i="10"/>
  <c r="E161" i="11"/>
  <c r="E161" i="10"/>
  <c r="AD161" i="10"/>
  <c r="E161" i="6"/>
  <c r="AD184" i="10"/>
  <c r="BC184" i="10"/>
  <c r="E184" i="11"/>
  <c r="E184" i="6"/>
  <c r="E184" i="10"/>
  <c r="E55" i="6"/>
  <c r="DH2048" i="3"/>
  <c r="DJ2048" i="3"/>
  <c r="DK2048" i="3" s="1"/>
  <c r="F12" i="4"/>
  <c r="E119" i="6"/>
  <c r="BC76" i="10"/>
  <c r="AD76" i="10"/>
  <c r="E76" i="10"/>
  <c r="E76" i="11"/>
  <c r="E76" i="6"/>
  <c r="E273" i="11"/>
  <c r="E273" i="10"/>
  <c r="BC273" i="10"/>
  <c r="AD273" i="10"/>
  <c r="E273" i="6"/>
  <c r="BC243" i="10"/>
  <c r="E243" i="11"/>
  <c r="AD243" i="10"/>
  <c r="E243" i="6"/>
  <c r="E243" i="10"/>
  <c r="AD192" i="10"/>
  <c r="E192" i="11"/>
  <c r="E192" i="10"/>
  <c r="BC192" i="10"/>
  <c r="E192" i="6"/>
  <c r="BC221" i="10"/>
  <c r="E221" i="11"/>
  <c r="AD221" i="10"/>
  <c r="E221" i="10"/>
  <c r="E221" i="6"/>
  <c r="E196" i="11"/>
  <c r="AD196" i="10"/>
  <c r="BC196" i="10"/>
  <c r="E196" i="10"/>
  <c r="E196" i="6"/>
  <c r="BP13" i="7"/>
  <c r="I310" i="5"/>
  <c r="I308" i="5"/>
  <c r="E18" i="10"/>
  <c r="E18" i="11"/>
  <c r="AD18" i="10"/>
  <c r="BC18" i="10"/>
  <c r="E18" i="6"/>
  <c r="BC102" i="10"/>
  <c r="AD102" i="10"/>
  <c r="E102" i="11"/>
  <c r="E102" i="10"/>
  <c r="E102" i="6"/>
  <c r="E13" i="11"/>
  <c r="BC13" i="10"/>
  <c r="E13" i="10"/>
  <c r="AD13" i="10"/>
  <c r="E13" i="6"/>
  <c r="Q300" i="11"/>
  <c r="O303" i="11" s="1"/>
  <c r="C119" i="6"/>
  <c r="C179" i="6"/>
  <c r="C115" i="6"/>
  <c r="C79" i="6"/>
  <c r="C37" i="6"/>
  <c r="C280" i="6"/>
  <c r="C258" i="6"/>
  <c r="C250" i="6"/>
  <c r="C143" i="6"/>
  <c r="C271" i="6"/>
  <c r="C162" i="6"/>
  <c r="C196" i="6"/>
  <c r="C59" i="6"/>
  <c r="C10" i="6"/>
  <c r="C213" i="6"/>
  <c r="C135" i="6"/>
  <c r="C83" i="6"/>
  <c r="C67" i="6"/>
  <c r="C27" i="6"/>
  <c r="C15" i="6"/>
  <c r="C144" i="6"/>
  <c r="C203" i="6"/>
  <c r="C58" i="6"/>
  <c r="C9" i="6"/>
  <c r="C151" i="6"/>
  <c r="C275" i="6"/>
  <c r="C191" i="6"/>
  <c r="C148" i="6"/>
  <c r="C211" i="6"/>
  <c r="C190" i="6"/>
  <c r="C11" i="6"/>
  <c r="C167" i="6"/>
  <c r="C137" i="6"/>
  <c r="C73" i="6"/>
  <c r="C255" i="6"/>
  <c r="C145" i="6"/>
  <c r="C103" i="6"/>
  <c r="C208" i="6"/>
  <c r="C132" i="6"/>
  <c r="C41" i="6"/>
  <c r="C8" i="6"/>
  <c r="C263" i="6"/>
  <c r="C241" i="6"/>
  <c r="C111" i="6"/>
  <c r="C78" i="6"/>
  <c r="C259" i="6"/>
  <c r="C102" i="6"/>
  <c r="C55" i="6"/>
  <c r="C45" i="6"/>
  <c r="C34" i="6"/>
  <c r="C13" i="6"/>
  <c r="C77" i="6"/>
  <c r="C253" i="6"/>
  <c r="C85" i="6"/>
  <c r="C52" i="6"/>
  <c r="C108" i="6"/>
  <c r="C291" i="6"/>
  <c r="C210" i="6"/>
  <c r="C198" i="6"/>
  <c r="C180" i="6"/>
  <c r="C107" i="6"/>
  <c r="C4" i="6"/>
  <c r="C120" i="6"/>
  <c r="C214" i="6"/>
  <c r="C48" i="6"/>
  <c r="C226" i="6"/>
  <c r="C235" i="6"/>
  <c r="C94" i="6"/>
  <c r="C60" i="6"/>
  <c r="C247" i="6"/>
  <c r="C32" i="6"/>
  <c r="C17" i="6"/>
  <c r="C209" i="6"/>
  <c r="C267" i="6"/>
  <c r="C117" i="6"/>
  <c r="C97" i="6"/>
  <c r="L20" i="6"/>
  <c r="M20" i="6" s="1"/>
  <c r="C149" i="6" s="1"/>
  <c r="C57" i="6"/>
  <c r="C157" i="6"/>
  <c r="C70" i="6"/>
  <c r="C12" i="6"/>
  <c r="E63" i="11"/>
  <c r="BC63" i="10"/>
  <c r="AD63" i="10"/>
  <c r="E63" i="6"/>
  <c r="E63" i="10"/>
  <c r="DH2049" i="3"/>
  <c r="DJ2049" i="3"/>
  <c r="DK2049" i="3" s="1"/>
  <c r="CI2048" i="3"/>
  <c r="CJ2048" i="3" s="1"/>
  <c r="CG2048" i="3"/>
  <c r="E183" i="11"/>
  <c r="BC183" i="10"/>
  <c r="AD183" i="10"/>
  <c r="E183" i="6"/>
  <c r="E183" i="10"/>
  <c r="BC193" i="10"/>
  <c r="E193" i="10"/>
  <c r="E193" i="6"/>
  <c r="E193" i="11"/>
  <c r="AD193" i="10"/>
  <c r="CR8" i="3"/>
  <c r="AA910" i="2"/>
  <c r="AF13" i="3"/>
  <c r="E310" i="1"/>
  <c r="E308" i="1"/>
  <c r="E309" i="1"/>
  <c r="AU300" i="10"/>
  <c r="AS303" i="10" s="1"/>
  <c r="BC56" i="10"/>
  <c r="E56" i="10"/>
  <c r="E56" i="11"/>
  <c r="AD56" i="10"/>
  <c r="E56" i="6"/>
  <c r="BC68" i="10"/>
  <c r="E68" i="11"/>
  <c r="E68" i="6"/>
  <c r="AD68" i="10"/>
  <c r="E68" i="10"/>
  <c r="E225" i="10"/>
  <c r="E225" i="11"/>
  <c r="AD225" i="10"/>
  <c r="BC225" i="10"/>
  <c r="E225" i="6"/>
  <c r="BJ298" i="9"/>
  <c r="BI12" i="9" s="1"/>
  <c r="BK298" i="9"/>
  <c r="AG298" i="10"/>
  <c r="AH298" i="10"/>
  <c r="E129" i="11"/>
  <c r="E129" i="10"/>
  <c r="BC129" i="10"/>
  <c r="AD129" i="10"/>
  <c r="E129" i="6"/>
  <c r="I298" i="9"/>
  <c r="G12" i="9" s="1"/>
  <c r="H298" i="9"/>
  <c r="AD168" i="10"/>
  <c r="BC168" i="10"/>
  <c r="E168" i="11"/>
  <c r="E168" i="6"/>
  <c r="E168" i="10"/>
  <c r="BC165" i="10"/>
  <c r="E165" i="11"/>
  <c r="AD165" i="10"/>
  <c r="E165" i="10"/>
  <c r="E165" i="6"/>
  <c r="E163" i="10"/>
  <c r="E163" i="11"/>
  <c r="BC163" i="10"/>
  <c r="AD163" i="10"/>
  <c r="E163" i="6"/>
  <c r="C146" i="6"/>
  <c r="E204" i="6"/>
  <c r="E4" i="6"/>
  <c r="DJ2046" i="3"/>
  <c r="DK2046" i="3" s="1"/>
  <c r="DH2046" i="3"/>
  <c r="ES13" i="3"/>
  <c r="R306" i="1"/>
  <c r="R308" i="1"/>
  <c r="L310" i="1"/>
  <c r="CQ13" i="3"/>
  <c r="AG11" i="4"/>
  <c r="CI2050" i="3"/>
  <c r="CJ2050" i="3" s="1"/>
  <c r="CG2050" i="3"/>
  <c r="CH13" i="3"/>
  <c r="K307" i="1"/>
  <c r="K309" i="1"/>
  <c r="DI2060" i="3"/>
  <c r="E113" i="11"/>
  <c r="BC113" i="10"/>
  <c r="E113" i="10"/>
  <c r="E113" i="6"/>
  <c r="AD113" i="10"/>
  <c r="AP910" i="2"/>
  <c r="ET11" i="3"/>
  <c r="C183" i="6"/>
  <c r="E202" i="6"/>
  <c r="C76" i="6"/>
  <c r="K308" i="1"/>
  <c r="E173" i="11"/>
  <c r="E173" i="10"/>
  <c r="AD173" i="10"/>
  <c r="BC173" i="10"/>
  <c r="E173" i="6"/>
  <c r="BC177" i="10"/>
  <c r="E177" i="10"/>
  <c r="E177" i="11"/>
  <c r="AD177" i="10"/>
  <c r="E177" i="6"/>
  <c r="E20" i="10"/>
  <c r="BC20" i="10"/>
  <c r="E20" i="6"/>
  <c r="AD20" i="10"/>
  <c r="E20" i="11"/>
  <c r="DH2047" i="3"/>
  <c r="DJ2047" i="3"/>
  <c r="DK2047" i="3" s="1"/>
  <c r="CG2046" i="3"/>
  <c r="CI2046" i="3"/>
  <c r="CJ2046" i="3" s="1"/>
  <c r="E21" i="6"/>
  <c r="BC88" i="10"/>
  <c r="E88" i="10"/>
  <c r="E88" i="11"/>
  <c r="AD88" i="10"/>
  <c r="E88" i="6"/>
  <c r="O310" i="1"/>
  <c r="O306" i="1"/>
  <c r="DR13" i="3"/>
  <c r="O308" i="1"/>
  <c r="BC112" i="10"/>
  <c r="E112" i="6"/>
  <c r="E112" i="10"/>
  <c r="E112" i="11"/>
  <c r="AD112" i="10"/>
  <c r="BG13" i="7"/>
  <c r="H309" i="5"/>
  <c r="H308" i="5"/>
  <c r="E25" i="11"/>
  <c r="BC25" i="10"/>
  <c r="AD25" i="10"/>
  <c r="E25" i="6"/>
  <c r="E25" i="10"/>
  <c r="BP2060" i="3"/>
  <c r="DS2046" i="3"/>
  <c r="DT2046" i="3" s="1"/>
  <c r="DQ2135" i="3" s="1"/>
  <c r="DQ2046" i="3"/>
  <c r="BQ10" i="3"/>
  <c r="AC907" i="2"/>
  <c r="AA1017" i="2" s="1"/>
  <c r="E233" i="11"/>
  <c r="E233" i="10"/>
  <c r="AD233" i="10"/>
  <c r="E233" i="6"/>
  <c r="BC233" i="10"/>
  <c r="AD101" i="10"/>
  <c r="BC101" i="10"/>
  <c r="E101" i="11"/>
  <c r="E101" i="6"/>
  <c r="E101" i="10"/>
  <c r="AD211" i="10"/>
  <c r="BC211" i="10"/>
  <c r="E211" i="10"/>
  <c r="E211" i="11"/>
  <c r="E211" i="6"/>
  <c r="BC92" i="10"/>
  <c r="AD92" i="10"/>
  <c r="E92" i="11"/>
  <c r="E92" i="10"/>
  <c r="E92" i="6"/>
  <c r="H310" i="5"/>
  <c r="BC262" i="10"/>
  <c r="E262" i="11"/>
  <c r="E262" i="10"/>
  <c r="AD262" i="10"/>
  <c r="E262" i="6"/>
  <c r="C5" i="6"/>
  <c r="C184" i="6"/>
  <c r="E142" i="6"/>
  <c r="E153" i="6"/>
  <c r="AF1016" i="4"/>
  <c r="DI2053" i="3"/>
  <c r="C266" i="6"/>
  <c r="C219" i="6"/>
  <c r="C306" i="5"/>
  <c r="N13" i="7"/>
  <c r="C308" i="5"/>
  <c r="C128" i="6"/>
  <c r="E67" i="6"/>
  <c r="BC289" i="10"/>
  <c r="AD289" i="10"/>
  <c r="E289" i="10"/>
  <c r="E289" i="6"/>
  <c r="E289" i="11"/>
  <c r="C46" i="6"/>
  <c r="E105" i="10"/>
  <c r="AD105" i="10"/>
  <c r="E105" i="11"/>
  <c r="BC105" i="10"/>
  <c r="E105" i="6"/>
  <c r="I309" i="5"/>
  <c r="C240" i="6"/>
  <c r="E50" i="6"/>
  <c r="BC239" i="10"/>
  <c r="E239" i="11"/>
  <c r="AD239" i="10"/>
  <c r="E239" i="6"/>
  <c r="E239" i="10"/>
  <c r="DS2049" i="3"/>
  <c r="DT2049" i="3" s="1"/>
  <c r="DQ2049" i="3"/>
  <c r="C264" i="6"/>
  <c r="AD61" i="10"/>
  <c r="E61" i="10"/>
  <c r="E61" i="11"/>
  <c r="E61" i="6"/>
  <c r="BC61" i="10"/>
  <c r="C133" i="6"/>
  <c r="E205" i="11"/>
  <c r="E205" i="10"/>
  <c r="AD205" i="10"/>
  <c r="E205" i="6"/>
  <c r="BC205" i="10"/>
  <c r="E5" i="11"/>
  <c r="BC5" i="10"/>
  <c r="AD5" i="10"/>
  <c r="E5" i="10"/>
  <c r="E5" i="6"/>
  <c r="O11" i="3"/>
  <c r="R907" i="2"/>
  <c r="AG12" i="4"/>
  <c r="E174" i="6"/>
  <c r="DJ2050" i="3"/>
  <c r="DK2050" i="3" s="1"/>
  <c r="DH2050" i="3"/>
  <c r="BC215" i="10"/>
  <c r="AD215" i="10"/>
  <c r="E215" i="10"/>
  <c r="E215" i="11"/>
  <c r="E215" i="6"/>
  <c r="CI2049" i="3"/>
  <c r="CJ2049" i="3" s="1"/>
  <c r="CG2049" i="3"/>
  <c r="AE2050" i="3"/>
  <c r="AG2050" i="3"/>
  <c r="AH2050" i="3" s="1"/>
  <c r="FC2046" i="3"/>
  <c r="FD2046" i="3" s="1"/>
  <c r="FA2046" i="3"/>
  <c r="BP13" i="3"/>
  <c r="I310" i="1"/>
  <c r="I309" i="1"/>
  <c r="E149" i="11"/>
  <c r="E149" i="6"/>
  <c r="AD149" i="10"/>
  <c r="E149" i="10"/>
  <c r="BC149" i="10"/>
  <c r="BC237" i="10"/>
  <c r="E237" i="11"/>
  <c r="E237" i="10"/>
  <c r="AD237" i="10"/>
  <c r="E237" i="6"/>
  <c r="CH298" i="10"/>
  <c r="CG298" i="10"/>
  <c r="CF12" i="10" s="1"/>
  <c r="B306" i="5"/>
  <c r="B307" i="5"/>
  <c r="E13" i="7"/>
  <c r="O9" i="7"/>
  <c r="L907" i="6"/>
  <c r="BC240" i="10"/>
  <c r="AD240" i="10"/>
  <c r="E240" i="11"/>
  <c r="E240" i="10"/>
  <c r="E240" i="6"/>
  <c r="DS2048" i="3"/>
  <c r="DT2048" i="3" s="1"/>
  <c r="DQ2048" i="3"/>
  <c r="BC264" i="10"/>
  <c r="AD264" i="10"/>
  <c r="E264" i="6"/>
  <c r="E264" i="11"/>
  <c r="E264" i="10"/>
  <c r="X2050" i="3"/>
  <c r="Y2050" i="3" s="1"/>
  <c r="V2050" i="3"/>
  <c r="E123" i="6"/>
  <c r="AP2048" i="3"/>
  <c r="AQ2048" i="3" s="1"/>
  <c r="AN2135" i="3" s="1"/>
  <c r="AN2048" i="3"/>
  <c r="E139" i="11"/>
  <c r="AD139" i="10"/>
  <c r="E139" i="10"/>
  <c r="BC139" i="10"/>
  <c r="E139" i="6"/>
  <c r="FC2050" i="3"/>
  <c r="FD2050" i="3" s="1"/>
  <c r="FA2050" i="3"/>
  <c r="O906" i="2"/>
  <c r="AB911" i="2"/>
  <c r="DA9" i="3"/>
  <c r="E154" i="6"/>
  <c r="AD200" i="10"/>
  <c r="E200" i="11"/>
  <c r="BC200" i="10"/>
  <c r="E200" i="6"/>
  <c r="E200" i="10"/>
  <c r="E34" i="10"/>
  <c r="E34" i="11"/>
  <c r="BC34" i="10"/>
  <c r="AD34" i="10"/>
  <c r="E34" i="6"/>
  <c r="O909" i="2"/>
  <c r="AG8" i="3"/>
  <c r="DS2050" i="3"/>
  <c r="DT2050" i="3" s="1"/>
  <c r="DQ2050" i="3"/>
  <c r="ET2049" i="3"/>
  <c r="EU2049" i="3" s="1"/>
  <c r="ER2049" i="3"/>
  <c r="AP2049" i="3"/>
  <c r="AQ2049" i="3" s="1"/>
  <c r="AN2049" i="3"/>
  <c r="O2047" i="3"/>
  <c r="P2047" i="3" s="1"/>
  <c r="M2047" i="3"/>
  <c r="FC2047" i="3"/>
  <c r="FD2047" i="3" s="1"/>
  <c r="FA2047" i="3"/>
  <c r="CI12" i="3"/>
  <c r="AE909" i="2"/>
  <c r="AN911" i="2"/>
  <c r="FC9" i="3"/>
  <c r="AO19" i="2"/>
  <c r="E62" i="11"/>
  <c r="BC62" i="10"/>
  <c r="AD62" i="10"/>
  <c r="E62" i="6"/>
  <c r="E62" i="10"/>
  <c r="J310" i="1"/>
  <c r="BY13" i="3"/>
  <c r="O9" i="8"/>
  <c r="AD220" i="10"/>
  <c r="E220" i="11"/>
  <c r="E220" i="10"/>
  <c r="BC220" i="10"/>
  <c r="E220" i="6"/>
  <c r="CN303" i="10"/>
  <c r="CP300" i="10"/>
  <c r="E252" i="10"/>
  <c r="BC252" i="10"/>
  <c r="E252" i="11"/>
  <c r="E252" i="6"/>
  <c r="AD252" i="10"/>
  <c r="F308" i="5"/>
  <c r="AO13" i="7"/>
  <c r="F309" i="5"/>
  <c r="BC267" i="10"/>
  <c r="E267" i="11"/>
  <c r="E267" i="10"/>
  <c r="E267" i="6"/>
  <c r="AD267" i="10"/>
  <c r="E268" i="11"/>
  <c r="BC268" i="10"/>
  <c r="E268" i="10"/>
  <c r="AD268" i="10"/>
  <c r="E268" i="6"/>
  <c r="BG298" i="10"/>
  <c r="BF298" i="10"/>
  <c r="BE12" i="10" s="1"/>
  <c r="E151" i="6"/>
  <c r="C272" i="6"/>
  <c r="AD164" i="10"/>
  <c r="BC164" i="10"/>
  <c r="E164" i="10"/>
  <c r="E164" i="11"/>
  <c r="E164" i="6"/>
  <c r="EI2047" i="3"/>
  <c r="EK2047" i="3"/>
  <c r="EL2047" i="3" s="1"/>
  <c r="E188" i="6"/>
  <c r="AW2047" i="3"/>
  <c r="AY2047" i="3"/>
  <c r="AZ2047" i="3" s="1"/>
  <c r="E124" i="6"/>
  <c r="AO2053" i="3"/>
  <c r="H310" i="1"/>
  <c r="FA2049" i="3"/>
  <c r="FC2049" i="3"/>
  <c r="FD2049" i="3" s="1"/>
  <c r="O307" i="1"/>
  <c r="AX13" i="3"/>
  <c r="G307" i="1"/>
  <c r="F9" i="4"/>
  <c r="C62" i="6"/>
  <c r="J308" i="1"/>
  <c r="E182" i="11"/>
  <c r="AD182" i="10"/>
  <c r="E182" i="10"/>
  <c r="E182" i="6"/>
  <c r="BC182" i="10"/>
  <c r="BC269" i="10"/>
  <c r="E269" i="10"/>
  <c r="AD269" i="10"/>
  <c r="E269" i="6"/>
  <c r="E269" i="11"/>
  <c r="H306" i="5"/>
  <c r="EK2048" i="3"/>
  <c r="EL2048" i="3" s="1"/>
  <c r="EI2048" i="3"/>
  <c r="DA8" i="3"/>
  <c r="AA911" i="2"/>
  <c r="AD908" i="2"/>
  <c r="BZ11" i="3"/>
  <c r="O2046" i="3"/>
  <c r="P2046" i="3" s="1"/>
  <c r="M2046" i="3"/>
  <c r="DA2049" i="3"/>
  <c r="DB2049" i="3" s="1"/>
  <c r="CY2049" i="3"/>
  <c r="AD170" i="10"/>
  <c r="E170" i="10"/>
  <c r="BC170" i="10"/>
  <c r="E170" i="11"/>
  <c r="E170" i="6"/>
  <c r="E13" i="3"/>
  <c r="B308" i="1"/>
  <c r="AW2135" i="3"/>
  <c r="BC126" i="10"/>
  <c r="AD126" i="10"/>
  <c r="E126" i="11"/>
  <c r="E126" i="6"/>
  <c r="E126" i="10"/>
  <c r="C139" i="6"/>
  <c r="O2049" i="3"/>
  <c r="P2049" i="3" s="1"/>
  <c r="M2049" i="3"/>
  <c r="CY2048" i="3"/>
  <c r="DA2048" i="3"/>
  <c r="DB2048" i="3" s="1"/>
  <c r="BZ2046" i="3"/>
  <c r="CA2046" i="3" s="1"/>
  <c r="BX2046" i="3"/>
  <c r="CP2047" i="3"/>
  <c r="CR2047" i="3"/>
  <c r="CS2047" i="3" s="1"/>
  <c r="BC6" i="10"/>
  <c r="E6" i="11"/>
  <c r="AD6" i="10"/>
  <c r="E6" i="10"/>
  <c r="E6" i="6"/>
  <c r="EK2049" i="3"/>
  <c r="EL2049" i="3" s="1"/>
  <c r="EI2049" i="3"/>
  <c r="AY2049" i="3"/>
  <c r="AZ2049" i="3" s="1"/>
  <c r="AW2049" i="3"/>
  <c r="AD162" i="10"/>
  <c r="E162" i="11"/>
  <c r="BC162" i="10"/>
  <c r="E162" i="6"/>
  <c r="E162" i="10"/>
  <c r="AD178" i="10"/>
  <c r="E178" i="11"/>
  <c r="BC178" i="10"/>
  <c r="E178" i="10"/>
  <c r="E178" i="6"/>
  <c r="C234" i="6"/>
  <c r="BC288" i="10"/>
  <c r="AD288" i="10"/>
  <c r="E288" i="11"/>
  <c r="E288" i="10"/>
  <c r="E288" i="6"/>
  <c r="E155" i="6"/>
  <c r="E274" i="11"/>
  <c r="AD274" i="10"/>
  <c r="BC274" i="10"/>
  <c r="E274" i="6"/>
  <c r="E274" i="10"/>
  <c r="C310" i="5"/>
  <c r="EJ13" i="3"/>
  <c r="Q307" i="1"/>
  <c r="Q306" i="1"/>
  <c r="Q308" i="1"/>
  <c r="M2048" i="3"/>
  <c r="O2048" i="3"/>
  <c r="P2048" i="3" s="1"/>
  <c r="CY2050" i="3"/>
  <c r="DA2050" i="3"/>
  <c r="DB2050" i="3" s="1"/>
  <c r="E82" i="11"/>
  <c r="BC82" i="10"/>
  <c r="E82" i="6"/>
  <c r="E82" i="10"/>
  <c r="AD82" i="10"/>
  <c r="C170" i="6"/>
  <c r="C24" i="6"/>
  <c r="AC19" i="2"/>
  <c r="AJ298" i="9"/>
  <c r="AI298" i="9"/>
  <c r="AH12" i="9" s="1"/>
  <c r="AD279" i="10"/>
  <c r="E279" i="11"/>
  <c r="E279" i="10"/>
  <c r="BC279" i="10"/>
  <c r="E279" i="6"/>
  <c r="AD242" i="10"/>
  <c r="BC242" i="10"/>
  <c r="E242" i="11"/>
  <c r="E242" i="10"/>
  <c r="E242" i="6"/>
  <c r="E43" i="10"/>
  <c r="E43" i="11"/>
  <c r="BC43" i="10"/>
  <c r="AD43" i="10"/>
  <c r="E43" i="6"/>
  <c r="AD176" i="10"/>
  <c r="E176" i="11"/>
  <c r="E176" i="10"/>
  <c r="BC176" i="10"/>
  <c r="E176" i="6"/>
  <c r="BC246" i="10"/>
  <c r="E246" i="11"/>
  <c r="E246" i="10"/>
  <c r="E246" i="6"/>
  <c r="AD246" i="10"/>
  <c r="E95" i="11"/>
  <c r="AD95" i="10"/>
  <c r="BC95" i="10"/>
  <c r="E95" i="10"/>
  <c r="E95" i="6"/>
  <c r="H298" i="11"/>
  <c r="I298" i="11"/>
  <c r="BX2047" i="3"/>
  <c r="BZ2047" i="3"/>
  <c r="CA2047" i="3" s="1"/>
  <c r="E270" i="11"/>
  <c r="BC270" i="10"/>
  <c r="E270" i="6"/>
  <c r="E270" i="10"/>
  <c r="AD270" i="10"/>
  <c r="X2049" i="3"/>
  <c r="Y2049" i="3" s="1"/>
  <c r="V2049" i="3"/>
  <c r="E141" i="11"/>
  <c r="BC141" i="10"/>
  <c r="AD141" i="10"/>
  <c r="E141" i="10"/>
  <c r="E141" i="6"/>
  <c r="C6" i="6"/>
  <c r="C245" i="6"/>
  <c r="C244" i="6"/>
  <c r="C156" i="6"/>
  <c r="E85" i="11"/>
  <c r="AD85" i="10"/>
  <c r="BC85" i="10"/>
  <c r="E85" i="10"/>
  <c r="E85" i="6"/>
  <c r="C140" i="6"/>
  <c r="C28" i="6"/>
  <c r="C178" i="6"/>
  <c r="BC118" i="10"/>
  <c r="E118" i="10"/>
  <c r="AD118" i="10"/>
  <c r="E118" i="6"/>
  <c r="E118" i="11"/>
  <c r="AD152" i="10"/>
  <c r="E152" i="10"/>
  <c r="E152" i="11"/>
  <c r="BC152" i="10"/>
  <c r="E152" i="6"/>
  <c r="C186" i="6"/>
  <c r="C287" i="6"/>
  <c r="E106" i="11"/>
  <c r="BC106" i="10"/>
  <c r="E106" i="10"/>
  <c r="AD106" i="10"/>
  <c r="E106" i="6"/>
  <c r="X2046" i="3"/>
  <c r="Y2046" i="3" s="1"/>
  <c r="V2135" i="3" s="1"/>
  <c r="V2046" i="3"/>
  <c r="C84" i="6"/>
  <c r="EK2050" i="3"/>
  <c r="EL2050" i="3" s="1"/>
  <c r="EI2050" i="3"/>
  <c r="E47" i="6"/>
  <c r="DZ2047" i="3"/>
  <c r="EB2047" i="3"/>
  <c r="EC2047" i="3" s="1"/>
  <c r="AD234" i="10"/>
  <c r="E234" i="10"/>
  <c r="BC234" i="10"/>
  <c r="E234" i="11"/>
  <c r="E234" i="6"/>
  <c r="C277" i="6"/>
  <c r="D2047" i="3"/>
  <c r="F2047" i="3"/>
  <c r="G2047" i="3" s="1"/>
  <c r="C215" i="6"/>
  <c r="O2050" i="3"/>
  <c r="P2050" i="3" s="1"/>
  <c r="M2050" i="3"/>
  <c r="FA2048" i="3"/>
  <c r="FC2048" i="3"/>
  <c r="FD2048" i="3" s="1"/>
  <c r="C29" i="6"/>
  <c r="C282" i="6"/>
  <c r="E24" i="11"/>
  <c r="E24" i="10"/>
  <c r="AD24" i="10"/>
  <c r="BC24" i="10"/>
  <c r="E24" i="6"/>
  <c r="L307" i="1"/>
  <c r="H307" i="5"/>
  <c r="E307" i="1"/>
  <c r="E33" i="11"/>
  <c r="E33" i="10"/>
  <c r="AD33" i="10"/>
  <c r="BC33" i="10"/>
  <c r="E33" i="6"/>
  <c r="V300" i="10"/>
  <c r="T303" i="10" s="1"/>
  <c r="G12" i="10"/>
  <c r="AD257" i="10"/>
  <c r="E257" i="11"/>
  <c r="E257" i="10"/>
  <c r="BC257" i="10"/>
  <c r="E257" i="6"/>
  <c r="E132" i="11"/>
  <c r="BC132" i="10"/>
  <c r="AD132" i="10"/>
  <c r="E132" i="10"/>
  <c r="E132" i="6"/>
  <c r="E28" i="10"/>
  <c r="BC28" i="10"/>
  <c r="E28" i="11"/>
  <c r="AD28" i="10"/>
  <c r="E28" i="6"/>
  <c r="AD186" i="10"/>
  <c r="E186" i="10"/>
  <c r="E186" i="11"/>
  <c r="BC186" i="10"/>
  <c r="E186" i="6"/>
  <c r="E287" i="10"/>
  <c r="E287" i="6"/>
  <c r="BC287" i="10"/>
  <c r="E287" i="11"/>
  <c r="AD287" i="10"/>
  <c r="E97" i="11"/>
  <c r="AD97" i="10"/>
  <c r="E97" i="10"/>
  <c r="E97" i="6"/>
  <c r="BC97" i="10"/>
  <c r="V2048" i="3"/>
  <c r="X2048" i="3"/>
  <c r="Y2048" i="3" s="1"/>
  <c r="BC244" i="10"/>
  <c r="E244" i="6"/>
  <c r="E244" i="11"/>
  <c r="AD244" i="10"/>
  <c r="E244" i="10"/>
  <c r="E45" i="10"/>
  <c r="BC45" i="10"/>
  <c r="E45" i="11"/>
  <c r="AD45" i="10"/>
  <c r="E45" i="6"/>
  <c r="BO2049" i="3"/>
  <c r="BQ2049" i="3"/>
  <c r="BR2049" i="3" s="1"/>
  <c r="C53" i="6"/>
  <c r="BM303" i="10"/>
  <c r="E159" i="10"/>
  <c r="BC159" i="10"/>
  <c r="E159" i="6"/>
  <c r="E159" i="11"/>
  <c r="AD159" i="10"/>
  <c r="DZ2048" i="3"/>
  <c r="EB2048" i="3"/>
  <c r="EC2048" i="3" s="1"/>
  <c r="AD277" i="10"/>
  <c r="E277" i="10"/>
  <c r="E277" i="11"/>
  <c r="E277" i="6"/>
  <c r="BC277" i="10"/>
  <c r="C288" i="6"/>
  <c r="E23" i="6"/>
  <c r="E158" i="6"/>
  <c r="C274" i="6"/>
  <c r="F307" i="5"/>
  <c r="N2053" i="3"/>
  <c r="CY2047" i="3"/>
  <c r="DA2047" i="3"/>
  <c r="DB2047" i="3" s="1"/>
  <c r="C256" i="6"/>
  <c r="E29" i="11"/>
  <c r="AD29" i="10"/>
  <c r="E29" i="10"/>
  <c r="BC29" i="10"/>
  <c r="E29" i="6"/>
  <c r="C81" i="6"/>
  <c r="CZ13" i="3"/>
  <c r="M309" i="1"/>
  <c r="M310" i="1"/>
  <c r="M308" i="1"/>
  <c r="O309" i="1"/>
  <c r="AD172" i="10"/>
  <c r="E172" i="11"/>
  <c r="E172" i="10"/>
  <c r="BC172" i="10"/>
  <c r="E172" i="6"/>
  <c r="E197" i="11"/>
  <c r="E197" i="10"/>
  <c r="AD197" i="10"/>
  <c r="E197" i="6"/>
  <c r="BC197" i="10"/>
  <c r="E52" i="11"/>
  <c r="E52" i="10"/>
  <c r="AD52" i="10"/>
  <c r="E52" i="6"/>
  <c r="BC52" i="10"/>
  <c r="E245" i="11"/>
  <c r="E245" i="10"/>
  <c r="E245" i="6"/>
  <c r="BC245" i="10"/>
  <c r="AD245" i="10"/>
  <c r="E156" i="11"/>
  <c r="AD156" i="10"/>
  <c r="BC156" i="10"/>
  <c r="E156" i="10"/>
  <c r="E156" i="6"/>
  <c r="BQ8" i="7"/>
  <c r="K913" i="6"/>
  <c r="F298" i="11"/>
  <c r="G12" i="11" s="1"/>
  <c r="B309" i="5"/>
  <c r="BC87" i="10"/>
  <c r="E87" i="10"/>
  <c r="E87" i="6"/>
  <c r="AD87" i="10"/>
  <c r="E87" i="11"/>
  <c r="C176" i="6"/>
  <c r="C228" i="6"/>
  <c r="E26" i="10"/>
  <c r="BC26" i="10"/>
  <c r="E26" i="6"/>
  <c r="E26" i="11"/>
  <c r="AD26" i="10"/>
  <c r="F12" i="8"/>
  <c r="F1006" i="8" s="1"/>
  <c r="F8" i="8"/>
  <c r="AF12" i="10"/>
  <c r="BO2047" i="3"/>
  <c r="BQ2047" i="3"/>
  <c r="BR2047" i="3" s="1"/>
  <c r="BO2135" i="3" s="1"/>
  <c r="AD229" i="10"/>
  <c r="E229" i="11"/>
  <c r="E229" i="10"/>
  <c r="BC229" i="10"/>
  <c r="E229" i="6"/>
  <c r="E198" i="6"/>
  <c r="E171" i="6"/>
  <c r="EB2049" i="3"/>
  <c r="EC2049" i="3" s="1"/>
  <c r="DZ2049" i="3"/>
  <c r="E103" i="6"/>
  <c r="E108" i="6"/>
  <c r="R911" i="2"/>
  <c r="AY11" i="3"/>
  <c r="AD256" i="10"/>
  <c r="E256" i="11"/>
  <c r="BC256" i="10"/>
  <c r="E256" i="10"/>
  <c r="E256" i="6"/>
  <c r="E81" i="11"/>
  <c r="E81" i="10"/>
  <c r="AD81" i="10"/>
  <c r="E81" i="6"/>
  <c r="BC81" i="10"/>
  <c r="O8" i="4"/>
  <c r="O12" i="4"/>
  <c r="D307" i="1"/>
  <c r="CU300" i="10"/>
  <c r="CS303" i="10"/>
  <c r="BC214" i="10"/>
  <c r="E214" i="10"/>
  <c r="AD214" i="10"/>
  <c r="E214" i="6"/>
  <c r="E214" i="11"/>
  <c r="BC212" i="10"/>
  <c r="E212" i="11"/>
  <c r="E212" i="10"/>
  <c r="E212" i="6"/>
  <c r="AD212" i="10"/>
  <c r="E166" i="6"/>
  <c r="E58" i="6"/>
  <c r="D2046" i="3"/>
  <c r="F2046" i="3"/>
  <c r="G2046" i="3" s="1"/>
  <c r="B310" i="5"/>
  <c r="AE2049" i="3"/>
  <c r="AG2049" i="3"/>
  <c r="AH2049" i="3" s="1"/>
  <c r="C42" i="6"/>
  <c r="BA19" i="2"/>
  <c r="J307" i="1"/>
  <c r="G308" i="1"/>
  <c r="E138" i="6"/>
  <c r="N306" i="1"/>
  <c r="N310" i="1"/>
  <c r="DI13" i="3"/>
  <c r="K910" i="6"/>
  <c r="AP8" i="7"/>
  <c r="E228" i="10"/>
  <c r="E228" i="11"/>
  <c r="AD228" i="10"/>
  <c r="BC228" i="10"/>
  <c r="E228" i="6"/>
  <c r="AD227" i="10"/>
  <c r="E227" i="11"/>
  <c r="E227" i="10"/>
  <c r="BC227" i="10"/>
  <c r="E227" i="6"/>
  <c r="BC147" i="10"/>
  <c r="E147" i="10"/>
  <c r="E147" i="11"/>
  <c r="E147" i="6"/>
  <c r="AD147" i="10"/>
  <c r="ER2046" i="3"/>
  <c r="ET2046" i="3"/>
  <c r="EU2046" i="3" s="1"/>
  <c r="ER2135" i="3" s="1"/>
  <c r="EB2050" i="3"/>
  <c r="EC2050" i="3" s="1"/>
  <c r="DZ2050" i="3"/>
  <c r="AP300" i="10"/>
  <c r="AN303" i="10" s="1"/>
  <c r="E250" i="10"/>
  <c r="E250" i="11"/>
  <c r="BC250" i="10"/>
  <c r="AD250" i="10"/>
  <c r="E250" i="6"/>
  <c r="E49" i="11"/>
  <c r="E49" i="10"/>
  <c r="E49" i="6"/>
  <c r="AD49" i="10"/>
  <c r="BC49" i="10"/>
  <c r="C131" i="6"/>
  <c r="C261" i="6"/>
  <c r="E135" i="11"/>
  <c r="BC135" i="10"/>
  <c r="E135" i="6"/>
  <c r="AD135" i="10"/>
  <c r="E135" i="10"/>
  <c r="E79" i="6"/>
  <c r="C138" i="6"/>
  <c r="C19" i="6"/>
  <c r="C220" i="6"/>
  <c r="ER2050" i="3"/>
  <c r="ET2050" i="3"/>
  <c r="EU2050" i="3" s="1"/>
  <c r="C173" i="6"/>
  <c r="F9" i="8"/>
  <c r="C159" i="6"/>
  <c r="C285" i="6"/>
  <c r="DZ2046" i="3"/>
  <c r="EB2046" i="3"/>
  <c r="EC2046" i="3" s="1"/>
  <c r="DZ2135" i="3" s="1"/>
  <c r="E248" i="11"/>
  <c r="E248" i="10"/>
  <c r="AD248" i="10"/>
  <c r="BC248" i="10"/>
  <c r="E248" i="6"/>
  <c r="E145" i="6"/>
  <c r="AF13" i="7"/>
  <c r="E309" i="5"/>
  <c r="E308" i="5"/>
  <c r="E307" i="5"/>
  <c r="AF2053" i="3"/>
  <c r="E42" i="11"/>
  <c r="E42" i="10"/>
  <c r="AD42" i="10"/>
  <c r="BC42" i="10"/>
  <c r="E42" i="6"/>
  <c r="R307" i="1"/>
  <c r="C96" i="6"/>
  <c r="T303" i="11"/>
  <c r="V300" i="11"/>
  <c r="E131" i="11"/>
  <c r="AD131" i="10"/>
  <c r="BC131" i="10"/>
  <c r="E131" i="10"/>
  <c r="E131" i="6"/>
  <c r="AD160" i="10"/>
  <c r="E160" i="10"/>
  <c r="BC160" i="10"/>
  <c r="E160" i="11"/>
  <c r="E160" i="6"/>
  <c r="E109" i="11"/>
  <c r="BC109" i="10"/>
  <c r="E109" i="10"/>
  <c r="AD109" i="10"/>
  <c r="E109" i="6"/>
  <c r="E167" i="11"/>
  <c r="AD167" i="10"/>
  <c r="E167" i="10"/>
  <c r="BC167" i="10"/>
  <c r="E167" i="6"/>
  <c r="ET2047" i="3"/>
  <c r="EU2047" i="3" s="1"/>
  <c r="ER2047" i="3"/>
  <c r="C142" i="6"/>
  <c r="BC130" i="10"/>
  <c r="E130" i="11"/>
  <c r="E130" i="10"/>
  <c r="AD130" i="10"/>
  <c r="E130" i="6"/>
  <c r="C22" i="6"/>
  <c r="E157" i="6"/>
  <c r="C161" i="6"/>
  <c r="C39" i="6"/>
  <c r="C249" i="6"/>
  <c r="E40" i="6"/>
  <c r="C195" i="6"/>
  <c r="D2049" i="3"/>
  <c r="F2049" i="3"/>
  <c r="G2049" i="3" s="1"/>
  <c r="AF2060" i="3"/>
  <c r="K299" i="5"/>
  <c r="EA13" i="3"/>
  <c r="P307" i="1"/>
  <c r="P306" i="1"/>
  <c r="P310" i="1"/>
  <c r="P308" i="1"/>
  <c r="J306" i="1"/>
  <c r="K306" i="1"/>
  <c r="E22" i="11"/>
  <c r="E22" i="10"/>
  <c r="AD22" i="10"/>
  <c r="BC22" i="10"/>
  <c r="E22" i="6"/>
  <c r="BC285" i="10"/>
  <c r="E285" i="11"/>
  <c r="AD285" i="10"/>
  <c r="E285" i="10"/>
  <c r="E285" i="6"/>
  <c r="E66" i="11"/>
  <c r="BC66" i="10"/>
  <c r="AD66" i="10"/>
  <c r="E66" i="10"/>
  <c r="E66" i="6"/>
  <c r="E39" i="10"/>
  <c r="BC39" i="10"/>
  <c r="AD39" i="10"/>
  <c r="E39" i="6"/>
  <c r="E39" i="11"/>
  <c r="E249" i="11"/>
  <c r="AD249" i="10"/>
  <c r="E249" i="10"/>
  <c r="BC249" i="10"/>
  <c r="E249" i="6"/>
  <c r="C248" i="6"/>
  <c r="AD195" i="10"/>
  <c r="E195" i="11"/>
  <c r="BC195" i="10"/>
  <c r="E195" i="10"/>
  <c r="E195" i="6"/>
  <c r="CP2046" i="3"/>
  <c r="CR2046" i="3"/>
  <c r="CS2046" i="3" s="1"/>
  <c r="AG2047" i="3"/>
  <c r="AH2047" i="3" s="1"/>
  <c r="AE2047" i="3"/>
  <c r="AE2048" i="3"/>
  <c r="AG2048" i="3"/>
  <c r="AH2048" i="3" s="1"/>
  <c r="C181" i="6"/>
  <c r="E41" i="11"/>
  <c r="E41" i="10"/>
  <c r="AD41" i="10"/>
  <c r="BC41" i="10"/>
  <c r="E41" i="6"/>
  <c r="E133" i="11"/>
  <c r="BC133" i="10"/>
  <c r="AD133" i="10"/>
  <c r="E133" i="10"/>
  <c r="E133" i="6"/>
  <c r="BH2048" i="3"/>
  <c r="BI2048" i="3" s="1"/>
  <c r="BF2048" i="3"/>
  <c r="X21" i="6"/>
  <c r="E36" i="6"/>
  <c r="E7" i="6"/>
  <c r="E128" i="6"/>
  <c r="E80" i="6"/>
  <c r="E180" i="6"/>
  <c r="CQ2053" i="3"/>
  <c r="AG9" i="4"/>
  <c r="H307" i="1"/>
  <c r="AE2046" i="3"/>
  <c r="AG2046" i="3"/>
  <c r="AH2046" i="3" s="1"/>
  <c r="AE2135" i="3" s="1"/>
  <c r="DJ9" i="3"/>
  <c r="AN906" i="2"/>
  <c r="CY2046" i="3"/>
  <c r="DA2046" i="3"/>
  <c r="DB2046" i="3" s="1"/>
  <c r="E48" i="6"/>
  <c r="E181" i="11"/>
  <c r="AD181" i="10"/>
  <c r="BC181" i="10"/>
  <c r="E181" i="10"/>
  <c r="E181" i="6"/>
  <c r="P309" i="1"/>
  <c r="L908" i="6" l="1"/>
  <c r="J1018" i="6" s="1"/>
  <c r="AY10" i="7"/>
  <c r="O908" i="6"/>
  <c r="L913" i="6"/>
  <c r="J1023" i="6" s="1"/>
  <c r="G311" i="5"/>
  <c r="AY13" i="7" s="1"/>
  <c r="M914" i="6"/>
  <c r="K1024" i="6" s="1"/>
  <c r="AY11" i="7"/>
  <c r="AY12" i="7"/>
  <c r="AY8" i="7"/>
  <c r="M908" i="6"/>
  <c r="K1018" i="6" s="1"/>
  <c r="BZ11" i="7"/>
  <c r="BY1058" i="7" s="1"/>
  <c r="K911" i="6"/>
  <c r="J1021" i="6" s="1"/>
  <c r="J311" i="5"/>
  <c r="BZ13" i="7" s="1"/>
  <c r="K914" i="6"/>
  <c r="BZ8" i="7"/>
  <c r="O914" i="6"/>
  <c r="AP12" i="7"/>
  <c r="X11" i="7"/>
  <c r="W1049" i="7" s="1"/>
  <c r="V1049" i="7" s="1"/>
  <c r="K909" i="6"/>
  <c r="D311" i="5"/>
  <c r="X13" i="7" s="1"/>
  <c r="J1024" i="6"/>
  <c r="O11" i="7"/>
  <c r="W1047" i="7"/>
  <c r="X1047" i="7" s="1"/>
  <c r="L1021" i="6"/>
  <c r="O1006" i="8"/>
  <c r="N1007" i="8" s="1"/>
  <c r="M1006" i="8"/>
  <c r="M1007" i="8" s="1"/>
  <c r="W1056" i="7"/>
  <c r="F311" i="5"/>
  <c r="AP13" i="7" s="1"/>
  <c r="E311" i="5"/>
  <c r="AG13" i="7" s="1"/>
  <c r="V1053" i="7"/>
  <c r="AC910" i="2"/>
  <c r="AA1020" i="2" s="1"/>
  <c r="AO906" i="2"/>
  <c r="AM1016" i="2" s="1"/>
  <c r="O1006" i="4"/>
  <c r="N1007" i="4" s="1"/>
  <c r="O10" i="3"/>
  <c r="S910" i="2"/>
  <c r="C311" i="1"/>
  <c r="O13" i="3" s="1"/>
  <c r="O907" i="2"/>
  <c r="R906" i="2"/>
  <c r="P1016" i="2" s="1"/>
  <c r="R910" i="2"/>
  <c r="P1020" i="2" s="1"/>
  <c r="F9" i="3"/>
  <c r="E1056" i="3" s="1"/>
  <c r="AP10" i="3"/>
  <c r="AN1054" i="3" s="1"/>
  <c r="AQ911" i="2"/>
  <c r="AP911" i="2"/>
  <c r="S907" i="2"/>
  <c r="P1017" i="2" s="1"/>
  <c r="AP9" i="3"/>
  <c r="R908" i="2"/>
  <c r="O9" i="3"/>
  <c r="N1046" i="3" s="1"/>
  <c r="BQ8" i="3"/>
  <c r="BP1056" i="3" s="1"/>
  <c r="F311" i="1"/>
  <c r="AP13" i="3" s="1"/>
  <c r="X1006" i="4"/>
  <c r="AG1018" i="4" s="1"/>
  <c r="E311" i="1"/>
  <c r="AG13" i="3" s="1"/>
  <c r="N1017" i="2"/>
  <c r="ET12" i="3"/>
  <c r="ES1058" i="3" s="1"/>
  <c r="X13" i="4"/>
  <c r="E1058" i="3"/>
  <c r="EK12" i="3"/>
  <c r="EJ1058" i="3" s="1"/>
  <c r="DJ11" i="3"/>
  <c r="Z1021" i="2"/>
  <c r="I311" i="1"/>
  <c r="BQ13" i="3" s="1"/>
  <c r="O908" i="2"/>
  <c r="F1006" i="4"/>
  <c r="E1007" i="4" s="1"/>
  <c r="AN1020" i="2"/>
  <c r="AB907" i="2"/>
  <c r="Z1017" i="2" s="1"/>
  <c r="P1021" i="2"/>
  <c r="AY12" i="3"/>
  <c r="AX1058" i="3" s="1"/>
  <c r="AO1058" i="3"/>
  <c r="D311" i="1"/>
  <c r="X13" i="3" s="1"/>
  <c r="S908" i="2"/>
  <c r="D1006" i="4"/>
  <c r="D1007" i="4" s="1"/>
  <c r="AM911" i="2"/>
  <c r="AL1021" i="2" s="1"/>
  <c r="FC8" i="3"/>
  <c r="FB1048" i="3" s="1"/>
  <c r="FC1048" i="3" s="1"/>
  <c r="S311" i="1"/>
  <c r="FC13" i="3" s="1"/>
  <c r="G311" i="1"/>
  <c r="AY13" i="3" s="1"/>
  <c r="AP8" i="3"/>
  <c r="AO1048" i="3" s="1"/>
  <c r="O910" i="2"/>
  <c r="N1020" i="2" s="1"/>
  <c r="AG13" i="4"/>
  <c r="W1058" i="3"/>
  <c r="N1058" i="3"/>
  <c r="F13" i="4"/>
  <c r="O1016" i="8"/>
  <c r="E1007" i="8"/>
  <c r="N913" i="6"/>
  <c r="BQ11" i="7"/>
  <c r="AP908" i="2"/>
  <c r="EB11" i="3"/>
  <c r="Q911" i="2"/>
  <c r="O1021" i="2" s="1"/>
  <c r="AY10" i="3"/>
  <c r="DA10" i="3"/>
  <c r="AC911" i="2"/>
  <c r="AA1021" i="2" s="1"/>
  <c r="C124" i="6"/>
  <c r="C65" i="6"/>
  <c r="C99" i="6"/>
  <c r="C199" i="6"/>
  <c r="BH11" i="3"/>
  <c r="AD906" i="2"/>
  <c r="AE911" i="2"/>
  <c r="DA12" i="3"/>
  <c r="O10" i="7"/>
  <c r="M907" i="6"/>
  <c r="K1017" i="6" s="1"/>
  <c r="DS8" i="3"/>
  <c r="AM907" i="2"/>
  <c r="O311" i="1"/>
  <c r="DS13" i="3" s="1"/>
  <c r="Q908" i="2"/>
  <c r="O1018" i="2" s="1"/>
  <c r="X10" i="3"/>
  <c r="D1006" i="8"/>
  <c r="F13" i="8"/>
  <c r="DA11" i="3"/>
  <c r="AD911" i="2"/>
  <c r="M311" i="1"/>
  <c r="DA13" i="3" s="1"/>
  <c r="AE906" i="2"/>
  <c r="BH12" i="3"/>
  <c r="AE908" i="2"/>
  <c r="AB1018" i="2" s="1"/>
  <c r="BZ12" i="3"/>
  <c r="BY1058" i="3" s="1"/>
  <c r="DS12" i="3"/>
  <c r="AQ907" i="2"/>
  <c r="AO909" i="2"/>
  <c r="AM1019" i="2" s="1"/>
  <c r="EK10" i="3"/>
  <c r="L1024" i="6"/>
  <c r="M1024" i="6" s="1"/>
  <c r="K907" i="6"/>
  <c r="J1017" i="6" s="1"/>
  <c r="O8" i="7"/>
  <c r="C311" i="5"/>
  <c r="O13" i="7" s="1"/>
  <c r="AD909" i="2"/>
  <c r="AB1019" i="2" s="1"/>
  <c r="CI11" i="3"/>
  <c r="CH1058" i="3" s="1"/>
  <c r="BZ8" i="3"/>
  <c r="AA908" i="2"/>
  <c r="J311" i="1"/>
  <c r="BZ13" i="3" s="1"/>
  <c r="EK8" i="3"/>
  <c r="AM909" i="2"/>
  <c r="Q311" i="1"/>
  <c r="EK13" i="3" s="1"/>
  <c r="CZ1056" i="3"/>
  <c r="AB909" i="2"/>
  <c r="CI9" i="3"/>
  <c r="AE1006" i="4"/>
  <c r="AE1007" i="4" s="1"/>
  <c r="C71" i="6"/>
  <c r="BH9" i="3"/>
  <c r="AB906" i="2"/>
  <c r="CI8" i="3"/>
  <c r="AA909" i="2"/>
  <c r="K311" i="1"/>
  <c r="CI13" i="3" s="1"/>
  <c r="EB10" i="3"/>
  <c r="AO908" i="2"/>
  <c r="AM1018" i="2" s="1"/>
  <c r="AN909" i="2"/>
  <c r="EK9" i="3"/>
  <c r="L21" i="6"/>
  <c r="C66" i="6"/>
  <c r="C31" i="6"/>
  <c r="C112" i="6"/>
  <c r="C75" i="6"/>
  <c r="C153" i="6"/>
  <c r="C152" i="6"/>
  <c r="C95" i="6"/>
  <c r="C187" i="6"/>
  <c r="C90" i="6"/>
  <c r="C26" i="6"/>
  <c r="C130" i="6"/>
  <c r="C168" i="6"/>
  <c r="C36" i="6"/>
  <c r="C171" i="6"/>
  <c r="C150" i="6"/>
  <c r="C164" i="6"/>
  <c r="C185" i="6"/>
  <c r="C50" i="6"/>
  <c r="C49" i="6"/>
  <c r="C174" i="6"/>
  <c r="C82" i="6"/>
  <c r="C175" i="6"/>
  <c r="C188" i="6"/>
  <c r="C200" i="6"/>
  <c r="C204" i="6"/>
  <c r="C104" i="6"/>
  <c r="C74" i="6"/>
  <c r="C91" i="6"/>
  <c r="C113" i="6"/>
  <c r="C61" i="6"/>
  <c r="C63" i="6"/>
  <c r="C177" i="6"/>
  <c r="C105" i="6"/>
  <c r="C101" i="6"/>
  <c r="C121" i="6"/>
  <c r="C89" i="6"/>
  <c r="C165" i="6"/>
  <c r="C109" i="6"/>
  <c r="C87" i="6"/>
  <c r="C47" i="6"/>
  <c r="C134" i="6"/>
  <c r="C118" i="6"/>
  <c r="C158" i="6"/>
  <c r="C98" i="6"/>
  <c r="C114" i="6"/>
  <c r="C192" i="6"/>
  <c r="C80" i="6"/>
  <c r="C116" i="6"/>
  <c r="C30" i="6"/>
  <c r="C44" i="6"/>
  <c r="C205" i="6"/>
  <c r="C93" i="6"/>
  <c r="C35" i="6"/>
  <c r="C51" i="6"/>
  <c r="C220" i="2"/>
  <c r="C231" i="2"/>
  <c r="C273" i="2"/>
  <c r="C266" i="2"/>
  <c r="C241" i="2"/>
  <c r="C227" i="2"/>
  <c r="C209" i="2"/>
  <c r="C269" i="2"/>
  <c r="C265" i="2"/>
  <c r="C178" i="2"/>
  <c r="C106" i="2"/>
  <c r="C252" i="2"/>
  <c r="C235" i="2"/>
  <c r="C83" i="2"/>
  <c r="C289" i="2"/>
  <c r="H289" i="2" s="1"/>
  <c r="C277" i="2"/>
  <c r="C126" i="2"/>
  <c r="C64" i="2"/>
  <c r="C243" i="2"/>
  <c r="C102" i="2"/>
  <c r="C86" i="2"/>
  <c r="C34" i="2"/>
  <c r="C259" i="2"/>
  <c r="C215" i="2"/>
  <c r="C148" i="2"/>
  <c r="C61" i="2"/>
  <c r="C13" i="2"/>
  <c r="C7" i="2"/>
  <c r="C256" i="2"/>
  <c r="C271" i="2"/>
  <c r="H271" i="2" s="1"/>
  <c r="C270" i="2"/>
  <c r="C244" i="2"/>
  <c r="C92" i="2"/>
  <c r="C143" i="2"/>
  <c r="C288" i="2"/>
  <c r="C229" i="2"/>
  <c r="C115" i="2"/>
  <c r="C268" i="2"/>
  <c r="H268" i="2" s="1"/>
  <c r="C292" i="2"/>
  <c r="C14" i="2"/>
  <c r="C207" i="2"/>
  <c r="H207" i="2" s="1"/>
  <c r="C238" i="2"/>
  <c r="P2020" i="2"/>
  <c r="C258" i="2"/>
  <c r="C233" i="2"/>
  <c r="C218" i="2"/>
  <c r="C242" i="2"/>
  <c r="P20" i="2"/>
  <c r="C76" i="2"/>
  <c r="C262" i="2"/>
  <c r="C212" i="2"/>
  <c r="C287" i="2"/>
  <c r="C136" i="2"/>
  <c r="C280" i="2"/>
  <c r="C210" i="2"/>
  <c r="H210" i="2" s="1"/>
  <c r="C196" i="2"/>
  <c r="C221" i="2"/>
  <c r="C286" i="2"/>
  <c r="C226" i="2"/>
  <c r="H226" i="2" s="1"/>
  <c r="C291" i="2"/>
  <c r="C240" i="2"/>
  <c r="H240" i="2" s="1"/>
  <c r="C211" i="2"/>
  <c r="C260" i="2"/>
  <c r="H260" i="2" s="1"/>
  <c r="C230" i="2"/>
  <c r="C100" i="2"/>
  <c r="C30" i="2"/>
  <c r="C225" i="2"/>
  <c r="C160" i="2"/>
  <c r="C255" i="2"/>
  <c r="C245" i="2"/>
  <c r="C199" i="2"/>
  <c r="C11" i="2"/>
  <c r="C276" i="2"/>
  <c r="C278" i="2"/>
  <c r="C219" i="2"/>
  <c r="C46" i="2"/>
  <c r="C246" i="2"/>
  <c r="C228" i="2"/>
  <c r="C78" i="2"/>
  <c r="C56" i="2"/>
  <c r="C133" i="2"/>
  <c r="C217" i="2"/>
  <c r="C132" i="2"/>
  <c r="C250" i="2"/>
  <c r="C206" i="2"/>
  <c r="C163" i="2"/>
  <c r="C224" i="2"/>
  <c r="C264" i="2"/>
  <c r="C191" i="2"/>
  <c r="C248" i="2"/>
  <c r="C111" i="2"/>
  <c r="H111" i="2" s="1"/>
  <c r="C274" i="2"/>
  <c r="C222" i="2"/>
  <c r="C125" i="2"/>
  <c r="C232" i="2"/>
  <c r="C261" i="2"/>
  <c r="C275" i="2"/>
  <c r="C257" i="2"/>
  <c r="C239" i="2"/>
  <c r="C68" i="2"/>
  <c r="C122" i="2"/>
  <c r="C57" i="2"/>
  <c r="C72" i="2"/>
  <c r="C166" i="2"/>
  <c r="C281" i="2"/>
  <c r="C127" i="2"/>
  <c r="C208" i="2"/>
  <c r="C282" i="2"/>
  <c r="C37" i="2"/>
  <c r="C237" i="2"/>
  <c r="C249" i="2"/>
  <c r="C216" i="2"/>
  <c r="H216" i="2" s="1"/>
  <c r="C236" i="2"/>
  <c r="C285" i="2"/>
  <c r="H285" i="2" s="1"/>
  <c r="C59" i="2"/>
  <c r="C19" i="2"/>
  <c r="C234" i="2"/>
  <c r="C147" i="2"/>
  <c r="C284" i="2"/>
  <c r="C194" i="2"/>
  <c r="C170" i="2"/>
  <c r="C39" i="2"/>
  <c r="C263" i="2"/>
  <c r="C283" i="2"/>
  <c r="C247" i="2"/>
  <c r="C20" i="2"/>
  <c r="C12" i="2"/>
  <c r="C25" i="2"/>
  <c r="C254" i="2"/>
  <c r="C267" i="2"/>
  <c r="H267" i="2" s="1"/>
  <c r="C213" i="2"/>
  <c r="C27" i="2"/>
  <c r="C251" i="2"/>
  <c r="H251" i="2" s="1"/>
  <c r="C42" i="2"/>
  <c r="C179" i="2"/>
  <c r="H179" i="2" s="1"/>
  <c r="C203" i="2"/>
  <c r="C272" i="2"/>
  <c r="C214" i="2"/>
  <c r="C173" i="2"/>
  <c r="H173" i="2" s="1"/>
  <c r="C290" i="2"/>
  <c r="C223" i="2"/>
  <c r="BQ10" i="7"/>
  <c r="BO1053" i="7" s="1"/>
  <c r="M913" i="6"/>
  <c r="K1023" i="6" s="1"/>
  <c r="EB8" i="3"/>
  <c r="P311" i="1"/>
  <c r="EB13" i="3" s="1"/>
  <c r="AM908" i="2"/>
  <c r="O907" i="6"/>
  <c r="L1017" i="6" s="1"/>
  <c r="O12" i="7"/>
  <c r="BH8" i="7"/>
  <c r="K912" i="6"/>
  <c r="H311" i="5"/>
  <c r="BH13" i="7" s="1"/>
  <c r="AC909" i="2"/>
  <c r="AA1019" i="2" s="1"/>
  <c r="CI10" i="3"/>
  <c r="BQ12" i="7"/>
  <c r="O913" i="6"/>
  <c r="BH10" i="3"/>
  <c r="AC906" i="2"/>
  <c r="AA1016" i="2" s="1"/>
  <c r="EB9" i="3"/>
  <c r="AN908" i="2"/>
  <c r="ET9" i="3"/>
  <c r="AN910" i="2"/>
  <c r="AN2020" i="2"/>
  <c r="G217" i="2"/>
  <c r="G292" i="2"/>
  <c r="G259" i="2"/>
  <c r="G226" i="2"/>
  <c r="G232" i="2"/>
  <c r="G199" i="2"/>
  <c r="G166" i="2"/>
  <c r="G276" i="2"/>
  <c r="G237" i="2"/>
  <c r="G223" i="2"/>
  <c r="G163" i="2"/>
  <c r="G76" i="2"/>
  <c r="G286" i="2"/>
  <c r="G247" i="2"/>
  <c r="G219" i="2"/>
  <c r="G121" i="2"/>
  <c r="G289" i="2"/>
  <c r="G271" i="2"/>
  <c r="G127" i="2"/>
  <c r="G106" i="2"/>
  <c r="G214" i="2"/>
  <c r="G243" i="2"/>
  <c r="G256" i="2"/>
  <c r="G210" i="2"/>
  <c r="G268" i="2"/>
  <c r="G264" i="2"/>
  <c r="G14" i="2"/>
  <c r="G280" i="2"/>
  <c r="G133" i="2"/>
  <c r="G283" i="2"/>
  <c r="G279" i="2"/>
  <c r="G148" i="2"/>
  <c r="G136" i="2"/>
  <c r="G277" i="2"/>
  <c r="G273" i="2"/>
  <c r="G229" i="2"/>
  <c r="G274" i="2"/>
  <c r="G213" i="2"/>
  <c r="G46" i="2"/>
  <c r="G252" i="2"/>
  <c r="G261" i="2"/>
  <c r="G216" i="2"/>
  <c r="G66" i="2"/>
  <c r="G238" i="2"/>
  <c r="G34" i="2"/>
  <c r="G25" i="2"/>
  <c r="G262" i="2"/>
  <c r="G250" i="2"/>
  <c r="G253" i="2"/>
  <c r="G147" i="2"/>
  <c r="G19" i="2"/>
  <c r="G208" i="2"/>
  <c r="AN20" i="2"/>
  <c r="G15" i="2"/>
  <c r="G151" i="2"/>
  <c r="G100" i="2"/>
  <c r="G64" i="2"/>
  <c r="G211" i="2"/>
  <c r="G235" i="2"/>
  <c r="G160" i="2"/>
  <c r="G40" i="2"/>
  <c r="G246" i="2"/>
  <c r="G126" i="2"/>
  <c r="G207" i="2"/>
  <c r="G241" i="2"/>
  <c r="G154" i="2"/>
  <c r="G234" i="2"/>
  <c r="G115" i="2"/>
  <c r="G39" i="2"/>
  <c r="G21" i="2"/>
  <c r="G249" i="2"/>
  <c r="G285" i="2"/>
  <c r="G220" i="2"/>
  <c r="G270" i="2"/>
  <c r="G225" i="2"/>
  <c r="G196" i="2"/>
  <c r="G244" i="2"/>
  <c r="G265" i="2"/>
  <c r="G288" i="2"/>
  <c r="G77" i="2"/>
  <c r="G233" i="2"/>
  <c r="G231" i="2"/>
  <c r="G224" i="2"/>
  <c r="G140" i="2"/>
  <c r="G42" i="2"/>
  <c r="G86" i="2"/>
  <c r="G122" i="2"/>
  <c r="G111" i="2"/>
  <c r="G78" i="2"/>
  <c r="G245" i="2"/>
  <c r="G260" i="2"/>
  <c r="G206" i="2"/>
  <c r="G236" i="2"/>
  <c r="G56" i="2"/>
  <c r="G251" i="2"/>
  <c r="G290" i="2"/>
  <c r="G59" i="2"/>
  <c r="G27" i="2"/>
  <c r="G254" i="2"/>
  <c r="G132" i="2"/>
  <c r="G272" i="2"/>
  <c r="G266" i="2"/>
  <c r="G240" i="2"/>
  <c r="G203" i="2"/>
  <c r="G275" i="2"/>
  <c r="G282" i="2"/>
  <c r="G248" i="2"/>
  <c r="G269" i="2"/>
  <c r="G8" i="2"/>
  <c r="G228" i="2"/>
  <c r="G258" i="2"/>
  <c r="G287" i="2"/>
  <c r="G278" i="2"/>
  <c r="G179" i="2"/>
  <c r="G83" i="2"/>
  <c r="G263" i="2"/>
  <c r="G173" i="2"/>
  <c r="G212" i="2"/>
  <c r="G215" i="2"/>
  <c r="G92" i="2"/>
  <c r="G291" i="2"/>
  <c r="G209" i="2"/>
  <c r="G182" i="2"/>
  <c r="G143" i="2"/>
  <c r="G37" i="2"/>
  <c r="G11" i="2"/>
  <c r="G12" i="2"/>
  <c r="G281" i="2"/>
  <c r="G221" i="2"/>
  <c r="G284" i="2"/>
  <c r="G20" i="2"/>
  <c r="G72" i="2"/>
  <c r="G191" i="2"/>
  <c r="G125" i="2"/>
  <c r="G222" i="2"/>
  <c r="G255" i="2"/>
  <c r="G242" i="2"/>
  <c r="G239" i="2"/>
  <c r="G267" i="2"/>
  <c r="G116" i="2"/>
  <c r="G102" i="2"/>
  <c r="G227" i="2"/>
  <c r="G159" i="2"/>
  <c r="G68" i="2"/>
  <c r="G28" i="2"/>
  <c r="G230" i="2"/>
  <c r="G141" i="2"/>
  <c r="G257" i="2"/>
  <c r="G194" i="2"/>
  <c r="G13" i="2"/>
  <c r="G218" i="2"/>
  <c r="AG1006" i="4"/>
  <c r="AF1007" i="4" s="1"/>
  <c r="C129" i="6"/>
  <c r="F9" i="7"/>
  <c r="L906" i="6"/>
  <c r="BQ11" i="3"/>
  <c r="AD907" i="2"/>
  <c r="AB1017" i="2" s="1"/>
  <c r="L1018" i="6"/>
  <c r="CG2135" i="3"/>
  <c r="C54" i="6"/>
  <c r="C43" i="6"/>
  <c r="C172" i="6"/>
  <c r="N910" i="6"/>
  <c r="L1020" i="6" s="1"/>
  <c r="AP11" i="7"/>
  <c r="AO1058" i="7" s="1"/>
  <c r="CP2135" i="3"/>
  <c r="AQ906" i="2"/>
  <c r="AN1016" i="2" s="1"/>
  <c r="DJ12" i="3"/>
  <c r="EI2135" i="3"/>
  <c r="K906" i="6"/>
  <c r="F8" i="7"/>
  <c r="B311" i="5"/>
  <c r="F13" i="7" s="1"/>
  <c r="AE907" i="2"/>
  <c r="BQ12" i="3"/>
  <c r="CR12" i="3"/>
  <c r="CQ1058" i="3" s="1"/>
  <c r="AE910" i="2"/>
  <c r="AB1020" i="2" s="1"/>
  <c r="EB12" i="3"/>
  <c r="AQ908" i="2"/>
  <c r="ET10" i="3"/>
  <c r="AO910" i="2"/>
  <c r="AM1020" i="2" s="1"/>
  <c r="BF2135" i="3"/>
  <c r="DJ8" i="3"/>
  <c r="N311" i="1"/>
  <c r="DJ13" i="3" s="1"/>
  <c r="AM906" i="2"/>
  <c r="AL1016" i="2" s="1"/>
  <c r="BY1057" i="7"/>
  <c r="ET8" i="3"/>
  <c r="AM910" i="2"/>
  <c r="R311" i="1"/>
  <c r="ET13" i="3" s="1"/>
  <c r="DI1057" i="3"/>
  <c r="E1057" i="7"/>
  <c r="Q906" i="2"/>
  <c r="O1016" i="2" s="1"/>
  <c r="F10" i="3"/>
  <c r="D1053" i="3" s="1"/>
  <c r="FA2135" i="3"/>
  <c r="BH10" i="7"/>
  <c r="M912" i="6"/>
  <c r="K1022" i="6" s="1"/>
  <c r="C21" i="6"/>
  <c r="C201" i="6"/>
  <c r="L910" i="6"/>
  <c r="J1020" i="6" s="1"/>
  <c r="AP9" i="7"/>
  <c r="AO1056" i="7" s="1"/>
  <c r="W1057" i="7"/>
  <c r="BH11" i="7"/>
  <c r="N912" i="6"/>
  <c r="CQ1057" i="3"/>
  <c r="P908" i="2"/>
  <c r="X9" i="3"/>
  <c r="E223" i="2"/>
  <c r="E266" i="2"/>
  <c r="E255" i="2"/>
  <c r="E251" i="2"/>
  <c r="E132" i="2"/>
  <c r="E262" i="2"/>
  <c r="AB2020" i="2"/>
  <c r="E276" i="2"/>
  <c r="E282" i="2"/>
  <c r="E236" i="2"/>
  <c r="E42" i="2"/>
  <c r="E243" i="2"/>
  <c r="E229" i="2"/>
  <c r="AB20" i="2"/>
  <c r="E122" i="2"/>
  <c r="E247" i="2"/>
  <c r="E214" i="2"/>
  <c r="E194" i="2"/>
  <c r="E102" i="2"/>
  <c r="E231" i="2"/>
  <c r="E218" i="2"/>
  <c r="E206" i="2"/>
  <c r="E272" i="2"/>
  <c r="E210" i="2"/>
  <c r="E82" i="2"/>
  <c r="E259" i="2"/>
  <c r="E267" i="2"/>
  <c r="E287" i="2"/>
  <c r="E290" i="2"/>
  <c r="E249" i="2"/>
  <c r="E220" i="2"/>
  <c r="E191" i="2"/>
  <c r="E143" i="2"/>
  <c r="E56" i="2"/>
  <c r="E234" i="2"/>
  <c r="E115" i="2"/>
  <c r="E39" i="2"/>
  <c r="E258" i="2"/>
  <c r="E228" i="2"/>
  <c r="E281" i="2"/>
  <c r="E284" i="2"/>
  <c r="E141" i="2"/>
  <c r="E274" i="2"/>
  <c r="E264" i="2"/>
  <c r="E133" i="2"/>
  <c r="E278" i="2"/>
  <c r="E233" i="2"/>
  <c r="E100" i="2"/>
  <c r="E12" i="2"/>
  <c r="E226" i="2"/>
  <c r="E59" i="2"/>
  <c r="E216" i="2"/>
  <c r="E86" i="2"/>
  <c r="E271" i="2"/>
  <c r="E37" i="2"/>
  <c r="E136" i="2"/>
  <c r="E54" i="2"/>
  <c r="E246" i="2"/>
  <c r="E270" i="2"/>
  <c r="E265" i="2"/>
  <c r="E254" i="2"/>
  <c r="E225" i="2"/>
  <c r="E92" i="2"/>
  <c r="E106" i="2"/>
  <c r="E291" i="2"/>
  <c r="E125" i="2"/>
  <c r="E187" i="2"/>
  <c r="E280" i="2"/>
  <c r="E215" i="2"/>
  <c r="E113" i="2"/>
  <c r="E288" i="2"/>
  <c r="E160" i="2"/>
  <c r="E244" i="2"/>
  <c r="E242" i="2"/>
  <c r="E286" i="2"/>
  <c r="E34" i="2"/>
  <c r="E126" i="2"/>
  <c r="E235" i="2"/>
  <c r="E268" i="2"/>
  <c r="E203" i="2"/>
  <c r="E179" i="2"/>
  <c r="E147" i="2"/>
  <c r="E127" i="2"/>
  <c r="E239" i="2"/>
  <c r="E13" i="2"/>
  <c r="E224" i="2"/>
  <c r="E72" i="2"/>
  <c r="E163" i="2"/>
  <c r="E178" i="2"/>
  <c r="E217" i="2"/>
  <c r="E91" i="2"/>
  <c r="E238" i="2"/>
  <c r="E221" i="2"/>
  <c r="E252" i="2"/>
  <c r="E275" i="2"/>
  <c r="E269" i="2"/>
  <c r="E14" i="2"/>
  <c r="E76" i="2"/>
  <c r="E241" i="2"/>
  <c r="E257" i="2"/>
  <c r="E237" i="2"/>
  <c r="E20" i="2"/>
  <c r="E256" i="2"/>
  <c r="E227" i="2"/>
  <c r="E211" i="2"/>
  <c r="E208" i="2"/>
  <c r="E260" i="2"/>
  <c r="E283" i="2"/>
  <c r="E253" i="2"/>
  <c r="E261" i="2"/>
  <c r="E273" i="2"/>
  <c r="E212" i="2"/>
  <c r="E25" i="2"/>
  <c r="E209" i="2"/>
  <c r="E277" i="2"/>
  <c r="E15" i="2"/>
  <c r="E173" i="2"/>
  <c r="E104" i="2"/>
  <c r="E196" i="2"/>
  <c r="E19" i="2"/>
  <c r="E46" i="2"/>
  <c r="E219" i="2"/>
  <c r="E207" i="2"/>
  <c r="E213" i="2"/>
  <c r="E103" i="2"/>
  <c r="E222" i="2"/>
  <c r="E240" i="2"/>
  <c r="E83" i="2"/>
  <c r="E111" i="2"/>
  <c r="E27" i="2"/>
  <c r="E148" i="2"/>
  <c r="E285" i="2"/>
  <c r="E245" i="2"/>
  <c r="E292" i="2"/>
  <c r="E263" i="2"/>
  <c r="E279" i="2"/>
  <c r="E230" i="2"/>
  <c r="E21" i="2"/>
  <c r="E250" i="2"/>
  <c r="E248" i="2"/>
  <c r="E11" i="2"/>
  <c r="E68" i="2"/>
  <c r="E289" i="2"/>
  <c r="E116" i="2"/>
  <c r="E78" i="2"/>
  <c r="DH2135" i="3"/>
  <c r="AX1057" i="7"/>
  <c r="Z21" i="6"/>
  <c r="Z20" i="6"/>
  <c r="Z19" i="6"/>
  <c r="AG9" i="7"/>
  <c r="L909" i="6"/>
  <c r="BH9" i="7"/>
  <c r="L912" i="6"/>
  <c r="O13" i="8"/>
  <c r="AZ2020" i="2"/>
  <c r="AZ20" i="2"/>
  <c r="N906" i="6"/>
  <c r="F11" i="7"/>
  <c r="P909" i="2"/>
  <c r="N1019" i="2" s="1"/>
  <c r="AG9" i="3"/>
  <c r="AF1056" i="3" s="1"/>
  <c r="AB910" i="2"/>
  <c r="Z1020" i="2" s="1"/>
  <c r="CR9" i="3"/>
  <c r="AC908" i="2"/>
  <c r="AA1018" i="2" s="1"/>
  <c r="BZ10" i="3"/>
  <c r="M1054" i="3"/>
  <c r="N1057" i="3"/>
  <c r="BH12" i="7"/>
  <c r="O912" i="6"/>
  <c r="AG11" i="3"/>
  <c r="R909" i="2"/>
  <c r="AN1019" i="2"/>
  <c r="M909" i="6"/>
  <c r="K1019" i="6" s="1"/>
  <c r="AG10" i="7"/>
  <c r="AG11" i="7"/>
  <c r="AF1058" i="7" s="1"/>
  <c r="N909" i="6"/>
  <c r="L1019" i="6" s="1"/>
  <c r="I311" i="5"/>
  <c r="BQ13" i="7" s="1"/>
  <c r="BX2135" i="3"/>
  <c r="AG10" i="3"/>
  <c r="Q909" i="2"/>
  <c r="O1019" i="2" s="1"/>
  <c r="C155" i="6"/>
  <c r="C64" i="6"/>
  <c r="AP10" i="7"/>
  <c r="M910" i="6"/>
  <c r="K1020" i="6" s="1"/>
  <c r="AG12" i="3"/>
  <c r="S909" i="2"/>
  <c r="C197" i="6"/>
  <c r="C7" i="6"/>
  <c r="C166" i="6"/>
  <c r="BZ9" i="3"/>
  <c r="AB908" i="2"/>
  <c r="BP1057" i="3"/>
  <c r="C33" i="6"/>
  <c r="C202" i="6"/>
  <c r="C23" i="6"/>
  <c r="CY2135" i="3"/>
  <c r="O906" i="6"/>
  <c r="F12" i="7"/>
  <c r="M1006" i="4"/>
  <c r="O13" i="4"/>
  <c r="BP1056" i="7"/>
  <c r="FB1058" i="3"/>
  <c r="FA1054" i="3"/>
  <c r="P911" i="2"/>
  <c r="N1021" i="2" s="1"/>
  <c r="AY9" i="3"/>
  <c r="AX1056" i="3" s="1"/>
  <c r="B311" i="1"/>
  <c r="F13" i="3" s="1"/>
  <c r="D2135" i="3"/>
  <c r="N1016" i="2"/>
  <c r="C88" i="6"/>
  <c r="L311" i="1"/>
  <c r="CR13" i="3" s="1"/>
  <c r="C154" i="6"/>
  <c r="C38" i="6"/>
  <c r="C40" i="6"/>
  <c r="C69" i="6"/>
  <c r="C193" i="6"/>
  <c r="AP907" i="2"/>
  <c r="DS11" i="3"/>
  <c r="DR1058" i="3" s="1"/>
  <c r="M2135" i="3"/>
  <c r="AN907" i="2"/>
  <c r="DS9" i="3"/>
  <c r="AE1018" i="4"/>
  <c r="V1007" i="4"/>
  <c r="AO907" i="2"/>
  <c r="AM1017" i="2" s="1"/>
  <c r="DS10" i="3"/>
  <c r="C189" i="6"/>
  <c r="C123" i="6"/>
  <c r="C169" i="6"/>
  <c r="H311" i="1"/>
  <c r="BH13" i="3" s="1"/>
  <c r="BH8" i="3"/>
  <c r="AA906" i="2"/>
  <c r="M1021" i="6" l="1"/>
  <c r="M1018" i="6"/>
  <c r="AX1049" i="7"/>
  <c r="BX1054" i="7"/>
  <c r="BY1050" i="7"/>
  <c r="W1046" i="7"/>
  <c r="V1046" i="7" s="1"/>
  <c r="AW1054" i="7"/>
  <c r="AX1058" i="7"/>
  <c r="V1054" i="7"/>
  <c r="W1053" i="7" s="1"/>
  <c r="AX1050" i="7"/>
  <c r="AX1048" i="7"/>
  <c r="AX1046" i="7"/>
  <c r="AW1046" i="7" s="1"/>
  <c r="AW1053" i="7"/>
  <c r="AX1053" i="7" s="1"/>
  <c r="AX1047" i="7"/>
  <c r="AW1047" i="7" s="1"/>
  <c r="AX1056" i="7"/>
  <c r="X1046" i="7"/>
  <c r="W1050" i="7"/>
  <c r="X1050" i="7" s="1"/>
  <c r="W1048" i="7"/>
  <c r="V1048" i="7" s="1"/>
  <c r="BY1047" i="7"/>
  <c r="BX1047" i="7" s="1"/>
  <c r="BY1046" i="7"/>
  <c r="BX1046" i="7" s="1"/>
  <c r="BX1053" i="7"/>
  <c r="BY1053" i="7" s="1"/>
  <c r="BY1056" i="7"/>
  <c r="BY1060" i="7" s="1"/>
  <c r="BY1048" i="7"/>
  <c r="BX1048" i="7" s="1"/>
  <c r="BY1049" i="7"/>
  <c r="BX1049" i="7" s="1"/>
  <c r="N20" i="6"/>
  <c r="O1007" i="8"/>
  <c r="N1008" i="8" s="1"/>
  <c r="J1019" i="6"/>
  <c r="M1019" i="6" s="1"/>
  <c r="N1019" i="6" s="1"/>
  <c r="Q1019" i="6" s="1"/>
  <c r="D1014" i="8" s="1"/>
  <c r="W1058" i="7"/>
  <c r="W1060" i="7" s="1"/>
  <c r="N1058" i="7"/>
  <c r="P1007" i="8"/>
  <c r="V1047" i="7"/>
  <c r="Y1047" i="7" s="1"/>
  <c r="AO1050" i="7"/>
  <c r="AP1050" i="7" s="1"/>
  <c r="E1058" i="7"/>
  <c r="X1049" i="7"/>
  <c r="Y1049" i="7" s="1"/>
  <c r="BP1049" i="7"/>
  <c r="BQ1049" i="7" s="1"/>
  <c r="AF1047" i="7"/>
  <c r="AE1047" i="7" s="1"/>
  <c r="J1016" i="6"/>
  <c r="H291" i="2"/>
  <c r="H290" i="2"/>
  <c r="H283" i="2"/>
  <c r="H278" i="2"/>
  <c r="H274" i="2"/>
  <c r="H266" i="2"/>
  <c r="H231" i="2"/>
  <c r="H230" i="2"/>
  <c r="H229" i="2"/>
  <c r="H227" i="2"/>
  <c r="H220" i="2"/>
  <c r="H219" i="2"/>
  <c r="H212" i="2"/>
  <c r="H178" i="2"/>
  <c r="H147" i="2"/>
  <c r="AG1017" i="4"/>
  <c r="H122" i="2"/>
  <c r="AN1017" i="2"/>
  <c r="BO1053" i="3"/>
  <c r="Q1017" i="2"/>
  <c r="R1017" i="2" s="1"/>
  <c r="U1017" i="2" s="1"/>
  <c r="D1012" i="4" s="1"/>
  <c r="AN1021" i="2"/>
  <c r="AO1021" i="2" s="1"/>
  <c r="AP1021" i="2" s="1"/>
  <c r="AS1021" i="2" s="1"/>
  <c r="V1016" i="4" s="1"/>
  <c r="P1018" i="2"/>
  <c r="AO1057" i="3"/>
  <c r="Z1016" i="2"/>
  <c r="H76" i="2"/>
  <c r="H68" i="2"/>
  <c r="H39" i="2"/>
  <c r="M1053" i="3"/>
  <c r="N1053" i="3" s="1"/>
  <c r="N1050" i="3"/>
  <c r="M1050" i="3" s="1"/>
  <c r="AO1050" i="3"/>
  <c r="AN1050" i="3" s="1"/>
  <c r="AN1053" i="3"/>
  <c r="AO1053" i="3" s="1"/>
  <c r="AO1046" i="3"/>
  <c r="AN1046" i="3" s="1"/>
  <c r="N1049" i="3"/>
  <c r="O1049" i="3" s="1"/>
  <c r="N1048" i="3"/>
  <c r="M1048" i="3" s="1"/>
  <c r="N1047" i="3"/>
  <c r="M1047" i="3" s="1"/>
  <c r="AH1018" i="4"/>
  <c r="AI1018" i="4" s="1"/>
  <c r="AP1018" i="4" s="1"/>
  <c r="H20" i="2"/>
  <c r="N1056" i="3"/>
  <c r="N1060" i="3" s="1"/>
  <c r="FA1048" i="3"/>
  <c r="FD1048" i="3" s="1"/>
  <c r="BO1054" i="3"/>
  <c r="W1007" i="4"/>
  <c r="X1007" i="4" s="1"/>
  <c r="W1008" i="4" s="1"/>
  <c r="DI1058" i="3"/>
  <c r="N1018" i="2"/>
  <c r="FB1046" i="3"/>
  <c r="FA1046" i="3" s="1"/>
  <c r="FB1047" i="3"/>
  <c r="FC1047" i="3" s="1"/>
  <c r="AL1018" i="2"/>
  <c r="CQ1048" i="3"/>
  <c r="CP1048" i="3" s="1"/>
  <c r="Z1019" i="2"/>
  <c r="AC1019" i="2" s="1"/>
  <c r="AB1016" i="2"/>
  <c r="Q1020" i="2"/>
  <c r="R1020" i="2" s="1"/>
  <c r="U1020" i="2" s="1"/>
  <c r="D1015" i="4" s="1"/>
  <c r="AG1016" i="4"/>
  <c r="AE1016" i="4"/>
  <c r="AO1047" i="3"/>
  <c r="AP1047" i="3" s="1"/>
  <c r="AO1049" i="3"/>
  <c r="AP1049" i="3" s="1"/>
  <c r="AO1056" i="3"/>
  <c r="W1047" i="3"/>
  <c r="V1047" i="3" s="1"/>
  <c r="F1007" i="4"/>
  <c r="E1008" i="4" s="1"/>
  <c r="E1049" i="3"/>
  <c r="F1049" i="3" s="1"/>
  <c r="E1048" i="3"/>
  <c r="D1048" i="3" s="1"/>
  <c r="E1050" i="3"/>
  <c r="D1050" i="3" s="1"/>
  <c r="E1046" i="3"/>
  <c r="D1046" i="3" s="1"/>
  <c r="E1047" i="3"/>
  <c r="D1047" i="3" s="1"/>
  <c r="FB1049" i="3"/>
  <c r="FA1049" i="3" s="1"/>
  <c r="FB1050" i="3"/>
  <c r="FC1050" i="3" s="1"/>
  <c r="FB1056" i="3"/>
  <c r="FB1060" i="3" s="1"/>
  <c r="AL1020" i="2"/>
  <c r="AO1020" i="2" s="1"/>
  <c r="AP1020" i="2" s="1"/>
  <c r="AS1020" i="2" s="1"/>
  <c r="V1015" i="4" s="1"/>
  <c r="AB1021" i="2"/>
  <c r="AC1021" i="2" s="1"/>
  <c r="AD1021" i="2" s="1"/>
  <c r="AG1021" i="2" s="1"/>
  <c r="M1016" i="4" s="1"/>
  <c r="Z1018" i="2"/>
  <c r="AC1018" i="2" s="1"/>
  <c r="AD1018" i="2" s="1"/>
  <c r="AG1018" i="2" s="1"/>
  <c r="M1013" i="4" s="1"/>
  <c r="FA1053" i="3"/>
  <c r="FB1053" i="3" s="1"/>
  <c r="CZ1046" i="3"/>
  <c r="CY1046" i="3" s="1"/>
  <c r="CP1054" i="3"/>
  <c r="CQ1047" i="3"/>
  <c r="CP1047" i="3" s="1"/>
  <c r="CQ1046" i="3"/>
  <c r="CP1046" i="3" s="1"/>
  <c r="BP1049" i="3"/>
  <c r="BQ1049" i="3" s="1"/>
  <c r="BP1048" i="3"/>
  <c r="BO1048" i="3" s="1"/>
  <c r="BP1047" i="3"/>
  <c r="BQ1047" i="3" s="1"/>
  <c r="BP1050" i="3"/>
  <c r="BQ1050" i="3" s="1"/>
  <c r="Q1021" i="2"/>
  <c r="R1021" i="2" s="1"/>
  <c r="U1021" i="2" s="1"/>
  <c r="D1016" i="4" s="1"/>
  <c r="AF1048" i="3"/>
  <c r="AG1048" i="3" s="1"/>
  <c r="AF1049" i="3"/>
  <c r="AE1049" i="3" s="1"/>
  <c r="AF1046" i="3"/>
  <c r="AG1046" i="3" s="1"/>
  <c r="P1019" i="2"/>
  <c r="Q1019" i="2" s="1"/>
  <c r="R1019" i="2" s="1"/>
  <c r="U1019" i="2" s="1"/>
  <c r="D1014" i="4" s="1"/>
  <c r="W1049" i="3"/>
  <c r="X1049" i="3" s="1"/>
  <c r="Q1016" i="2"/>
  <c r="R1016" i="2" s="1"/>
  <c r="U1016" i="2" s="1"/>
  <c r="D1011" i="4" s="1"/>
  <c r="N1018" i="6"/>
  <c r="Q1018" i="6" s="1"/>
  <c r="D1013" i="8" s="1"/>
  <c r="CD220" i="10"/>
  <c r="D220" i="11"/>
  <c r="I220" i="2"/>
  <c r="AE1054" i="3"/>
  <c r="AF1057" i="3"/>
  <c r="AF1057" i="7"/>
  <c r="AE1054" i="7"/>
  <c r="AX1049" i="3"/>
  <c r="DH1054" i="3"/>
  <c r="H25" i="2"/>
  <c r="H46" i="2"/>
  <c r="H244" i="2"/>
  <c r="H209" i="2"/>
  <c r="AO1049" i="7"/>
  <c r="W1048" i="3"/>
  <c r="CQ1050" i="3"/>
  <c r="AY1050" i="7"/>
  <c r="AW1050" i="7"/>
  <c r="H12" i="2"/>
  <c r="CD122" i="10"/>
  <c r="D122" i="11"/>
  <c r="I122" i="2"/>
  <c r="D274" i="11"/>
  <c r="CD274" i="10"/>
  <c r="I274" i="2"/>
  <c r="D219" i="11"/>
  <c r="CD219" i="10"/>
  <c r="I219" i="2"/>
  <c r="D230" i="11"/>
  <c r="I230" i="2"/>
  <c r="CD230" i="10"/>
  <c r="D207" i="11"/>
  <c r="CD207" i="10"/>
  <c r="I207" i="2"/>
  <c r="H270" i="2"/>
  <c r="CD227" i="10"/>
  <c r="D227" i="11"/>
  <c r="I227" i="2"/>
  <c r="AO1046" i="7"/>
  <c r="AC1020" i="2"/>
  <c r="AW1053" i="3"/>
  <c r="AW1048" i="7"/>
  <c r="AY1048" i="7"/>
  <c r="N1021" i="6"/>
  <c r="Q1021" i="6" s="1"/>
  <c r="D1016" i="8" s="1"/>
  <c r="BF1054" i="3"/>
  <c r="BG1057" i="3"/>
  <c r="D285" i="11"/>
  <c r="CD285" i="10"/>
  <c r="I285" i="2"/>
  <c r="H217" i="2"/>
  <c r="D260" i="11"/>
  <c r="CD260" i="10"/>
  <c r="I260" i="2"/>
  <c r="H14" i="2"/>
  <c r="D271" i="11"/>
  <c r="CD271" i="10"/>
  <c r="I271" i="2"/>
  <c r="H126" i="2"/>
  <c r="H241" i="2"/>
  <c r="AO1048" i="7"/>
  <c r="AL1019" i="2"/>
  <c r="AO1019" i="2" s="1"/>
  <c r="AF1047" i="3"/>
  <c r="W1050" i="3"/>
  <c r="CQ1056" i="3"/>
  <c r="CQ1060" i="3" s="1"/>
  <c r="DQ1054" i="3"/>
  <c r="DR1057" i="3"/>
  <c r="ER1053" i="3"/>
  <c r="ES1047" i="3"/>
  <c r="ES1050" i="3"/>
  <c r="ES1048" i="3"/>
  <c r="ES1056" i="3"/>
  <c r="ES1049" i="3"/>
  <c r="ES1046" i="3"/>
  <c r="BO1054" i="7"/>
  <c r="BP1053" i="7" s="1"/>
  <c r="BP1057" i="7"/>
  <c r="CD20" i="10"/>
  <c r="D20" i="11"/>
  <c r="I20" i="2"/>
  <c r="H236" i="2"/>
  <c r="CD278" i="10"/>
  <c r="D278" i="11"/>
  <c r="I278" i="2"/>
  <c r="D212" i="11"/>
  <c r="CD212" i="10"/>
  <c r="I212" i="2"/>
  <c r="D266" i="11"/>
  <c r="CD266" i="10"/>
  <c r="I266" i="2"/>
  <c r="EJ1049" i="3"/>
  <c r="EJ1047" i="3"/>
  <c r="EI1053" i="3"/>
  <c r="EJ1046" i="3"/>
  <c r="EJ1056" i="3"/>
  <c r="EJ1048" i="3"/>
  <c r="EJ1050" i="3"/>
  <c r="AF1058" i="3"/>
  <c r="Z22" i="6"/>
  <c r="AA19" i="6" s="1"/>
  <c r="H223" i="2"/>
  <c r="H247" i="2"/>
  <c r="H133" i="2"/>
  <c r="H276" i="2"/>
  <c r="H211" i="2"/>
  <c r="H262" i="2"/>
  <c r="H292" i="2"/>
  <c r="H256" i="2"/>
  <c r="H277" i="2"/>
  <c r="H273" i="2"/>
  <c r="AE1053" i="3"/>
  <c r="V1054" i="3"/>
  <c r="W1057" i="3"/>
  <c r="CY1054" i="3"/>
  <c r="CZ1057" i="3"/>
  <c r="H214" i="2"/>
  <c r="H263" i="2"/>
  <c r="H248" i="2"/>
  <c r="H56" i="2"/>
  <c r="H13" i="2"/>
  <c r="H83" i="2"/>
  <c r="AF1050" i="3"/>
  <c r="AL1017" i="2"/>
  <c r="AO1017" i="2" s="1"/>
  <c r="AX1057" i="3"/>
  <c r="AX1060" i="3" s="1"/>
  <c r="AW1054" i="3"/>
  <c r="DR1046" i="3"/>
  <c r="DR1049" i="3"/>
  <c r="DR1048" i="3"/>
  <c r="DR1047" i="3"/>
  <c r="DR1050" i="3"/>
  <c r="DR1056" i="3"/>
  <c r="DQ1053" i="3"/>
  <c r="DH1053" i="3"/>
  <c r="DI1056" i="3"/>
  <c r="DI1046" i="3"/>
  <c r="DI1048" i="3"/>
  <c r="DI1047" i="3"/>
  <c r="DI1050" i="3"/>
  <c r="DI1049" i="3"/>
  <c r="CD39" i="10"/>
  <c r="D39" i="11"/>
  <c r="I39" i="2"/>
  <c r="CD68" i="10"/>
  <c r="D68" i="11"/>
  <c r="I68" i="2"/>
  <c r="D226" i="11"/>
  <c r="CD226" i="10"/>
  <c r="I226" i="2"/>
  <c r="H235" i="2"/>
  <c r="BY1057" i="3"/>
  <c r="BX1054" i="3"/>
  <c r="BP1058" i="3"/>
  <c r="BP1060" i="3" s="1"/>
  <c r="J1022" i="6"/>
  <c r="H203" i="2"/>
  <c r="H239" i="2"/>
  <c r="H191" i="2"/>
  <c r="H252" i="2"/>
  <c r="CH1050" i="3"/>
  <c r="CH1046" i="3"/>
  <c r="CH1049" i="3"/>
  <c r="CH1056" i="3"/>
  <c r="CH1048" i="3"/>
  <c r="CG1053" i="3"/>
  <c r="CH1047" i="3"/>
  <c r="L1022" i="6"/>
  <c r="AW1049" i="7"/>
  <c r="AY1049" i="7"/>
  <c r="H272" i="2"/>
  <c r="D216" i="11"/>
  <c r="CD216" i="10"/>
  <c r="I216" i="2"/>
  <c r="BG1048" i="7"/>
  <c r="BG1050" i="7"/>
  <c r="BG1056" i="7"/>
  <c r="BG1047" i="7"/>
  <c r="BG1049" i="7"/>
  <c r="BF1053" i="7"/>
  <c r="BG1046" i="7"/>
  <c r="H249" i="2"/>
  <c r="H264" i="2"/>
  <c r="H115" i="2"/>
  <c r="H148" i="2"/>
  <c r="H106" i="2"/>
  <c r="M1054" i="7"/>
  <c r="N1057" i="7"/>
  <c r="ER1054" i="3"/>
  <c r="ES1057" i="3"/>
  <c r="AC1017" i="2"/>
  <c r="H194" i="2"/>
  <c r="H237" i="2"/>
  <c r="H224" i="2"/>
  <c r="H245" i="2"/>
  <c r="H286" i="2"/>
  <c r="H242" i="2"/>
  <c r="N1049" i="7"/>
  <c r="N1047" i="7"/>
  <c r="N1056" i="7"/>
  <c r="N1048" i="7"/>
  <c r="N1046" i="7"/>
  <c r="N1050" i="7"/>
  <c r="M1053" i="7"/>
  <c r="N1024" i="6"/>
  <c r="Q1024" i="6" s="1"/>
  <c r="D1019" i="8" s="1"/>
  <c r="CH1057" i="3"/>
  <c r="CG1054" i="3"/>
  <c r="D240" i="11"/>
  <c r="CD240" i="10"/>
  <c r="I240" i="2"/>
  <c r="D173" i="11"/>
  <c r="CD173" i="10"/>
  <c r="I173" i="2"/>
  <c r="EA1057" i="3"/>
  <c r="DZ1054" i="3"/>
  <c r="H284" i="2"/>
  <c r="H37" i="2"/>
  <c r="H257" i="2"/>
  <c r="H163" i="2"/>
  <c r="H218" i="2"/>
  <c r="D229" i="11"/>
  <c r="CD229" i="10"/>
  <c r="I229" i="2"/>
  <c r="M1017" i="6"/>
  <c r="EA1058" i="3"/>
  <c r="BG1058" i="7"/>
  <c r="AN1048" i="3"/>
  <c r="AP1048" i="3"/>
  <c r="D179" i="11"/>
  <c r="CD179" i="10"/>
  <c r="I179" i="2"/>
  <c r="D147" i="11"/>
  <c r="CD147" i="10"/>
  <c r="I147" i="2"/>
  <c r="H282" i="2"/>
  <c r="H275" i="2"/>
  <c r="H206" i="2"/>
  <c r="H255" i="2"/>
  <c r="H221" i="2"/>
  <c r="AN1018" i="2"/>
  <c r="D290" i="11"/>
  <c r="CD290" i="10"/>
  <c r="I290" i="2"/>
  <c r="BX1050" i="7"/>
  <c r="BZ1050" i="7"/>
  <c r="H42" i="2"/>
  <c r="H208" i="2"/>
  <c r="H261" i="2"/>
  <c r="H78" i="2"/>
  <c r="H288" i="2"/>
  <c r="H215" i="2"/>
  <c r="AH1007" i="4"/>
  <c r="AG1007" i="4"/>
  <c r="AF1008" i="4" s="1"/>
  <c r="BP1058" i="7"/>
  <c r="EA1050" i="3"/>
  <c r="EA1049" i="3"/>
  <c r="EA1048" i="3"/>
  <c r="EA1047" i="3"/>
  <c r="EA1046" i="3"/>
  <c r="EA1056" i="3"/>
  <c r="DZ1053" i="3"/>
  <c r="H250" i="2"/>
  <c r="H196" i="2"/>
  <c r="H259" i="2"/>
  <c r="BG1058" i="3"/>
  <c r="L1023" i="6"/>
  <c r="M1023" i="6" s="1"/>
  <c r="CZ1058" i="3"/>
  <c r="D231" i="11"/>
  <c r="CD231" i="10"/>
  <c r="I231" i="2"/>
  <c r="D291" i="11"/>
  <c r="CD291" i="10"/>
  <c r="I291" i="2"/>
  <c r="E1047" i="7"/>
  <c r="E1050" i="7"/>
  <c r="E1049" i="7"/>
  <c r="E1056" i="7"/>
  <c r="E1060" i="7" s="1"/>
  <c r="E1048" i="7"/>
  <c r="E1046" i="7"/>
  <c r="D1053" i="7"/>
  <c r="AF1049" i="7"/>
  <c r="BA20" i="2"/>
  <c r="BA2020" i="2"/>
  <c r="H280" i="2"/>
  <c r="H258" i="2"/>
  <c r="H143" i="2"/>
  <c r="H86" i="2"/>
  <c r="H265" i="2"/>
  <c r="EJ1057" i="3"/>
  <c r="EI1054" i="3"/>
  <c r="AO2020" i="2"/>
  <c r="AO20" i="2"/>
  <c r="L1016" i="6"/>
  <c r="BF1054" i="7"/>
  <c r="BG1057" i="7"/>
  <c r="D251" i="11"/>
  <c r="CD251" i="10"/>
  <c r="I251" i="2"/>
  <c r="H127" i="2"/>
  <c r="H160" i="2"/>
  <c r="D210" i="11"/>
  <c r="CD210" i="10"/>
  <c r="I210" i="2"/>
  <c r="H233" i="2"/>
  <c r="H34" i="2"/>
  <c r="D178" i="11"/>
  <c r="CD178" i="10"/>
  <c r="I178" i="2"/>
  <c r="BP1046" i="7"/>
  <c r="BP1046" i="3"/>
  <c r="E1057" i="3"/>
  <c r="E1060" i="3" s="1"/>
  <c r="D1054" i="3"/>
  <c r="E1053" i="3" s="1"/>
  <c r="AF1048" i="7"/>
  <c r="H27" i="2"/>
  <c r="H234" i="2"/>
  <c r="H281" i="2"/>
  <c r="H125" i="2"/>
  <c r="H228" i="2"/>
  <c r="H225" i="2"/>
  <c r="H136" i="2"/>
  <c r="H269" i="2"/>
  <c r="M1016" i="8"/>
  <c r="D1007" i="8"/>
  <c r="F1007" i="8" s="1"/>
  <c r="E1008" i="8" s="1"/>
  <c r="H213" i="2"/>
  <c r="H287" i="2"/>
  <c r="CZ1050" i="3"/>
  <c r="W1056" i="3"/>
  <c r="D111" i="11"/>
  <c r="CD111" i="10"/>
  <c r="I111" i="2"/>
  <c r="AF1056" i="7"/>
  <c r="AX1046" i="3"/>
  <c r="BP1050" i="7"/>
  <c r="AC2020" i="2"/>
  <c r="AC20" i="2"/>
  <c r="AF1046" i="7"/>
  <c r="O1046" i="3"/>
  <c r="M1046" i="3"/>
  <c r="CD267" i="10"/>
  <c r="D267" i="11"/>
  <c r="I267" i="2"/>
  <c r="H19" i="2"/>
  <c r="CZ1049" i="3"/>
  <c r="N19" i="6"/>
  <c r="H11" i="2"/>
  <c r="D76" i="11"/>
  <c r="CD76" i="10"/>
  <c r="I76" i="2"/>
  <c r="CD268" i="10"/>
  <c r="D268" i="11"/>
  <c r="I268" i="2"/>
  <c r="AX1050" i="3"/>
  <c r="BG1046" i="3"/>
  <c r="BG1049" i="3"/>
  <c r="BF1053" i="3"/>
  <c r="BG1048" i="3"/>
  <c r="BG1050" i="3"/>
  <c r="BG1056" i="3"/>
  <c r="BG1047" i="3"/>
  <c r="BP1048" i="7"/>
  <c r="AX1047" i="3"/>
  <c r="D1054" i="7"/>
  <c r="AF1050" i="7"/>
  <c r="H59" i="2"/>
  <c r="H132" i="2"/>
  <c r="H100" i="2"/>
  <c r="H102" i="2"/>
  <c r="AN1053" i="7"/>
  <c r="CZ1048" i="3"/>
  <c r="N21" i="6"/>
  <c r="V1053" i="3"/>
  <c r="CP1053" i="3"/>
  <c r="AE1017" i="4"/>
  <c r="AH1017" i="4" s="1"/>
  <c r="M1007" i="4"/>
  <c r="O1007" i="4" s="1"/>
  <c r="N1008" i="4" s="1"/>
  <c r="D289" i="11"/>
  <c r="CD289" i="10"/>
  <c r="I289" i="2"/>
  <c r="D283" i="11"/>
  <c r="CD283" i="10"/>
  <c r="I283" i="2"/>
  <c r="BY1050" i="3"/>
  <c r="BY1049" i="3"/>
  <c r="BY1048" i="3"/>
  <c r="BY1047" i="3"/>
  <c r="BY1046" i="3"/>
  <c r="BY1056" i="3"/>
  <c r="BX1053" i="3"/>
  <c r="AE1053" i="7"/>
  <c r="AX1048" i="3"/>
  <c r="H254" i="2"/>
  <c r="H222" i="2"/>
  <c r="H246" i="2"/>
  <c r="H238" i="2"/>
  <c r="H92" i="2"/>
  <c r="AO1047" i="7"/>
  <c r="CZ1047" i="3"/>
  <c r="W1046" i="3"/>
  <c r="CQ1049" i="3"/>
  <c r="AO1016" i="2"/>
  <c r="Q2020" i="2"/>
  <c r="Q20" i="2"/>
  <c r="AN1054" i="7"/>
  <c r="AO1057" i="7"/>
  <c r="AO1060" i="7" s="1"/>
  <c r="M1020" i="6"/>
  <c r="BP1047" i="7"/>
  <c r="H72" i="2"/>
  <c r="H243" i="2"/>
  <c r="CY1053" i="3"/>
  <c r="AF1060" i="7" l="1"/>
  <c r="Y1046" i="7"/>
  <c r="AX1060" i="7"/>
  <c r="BP1060" i="7"/>
  <c r="M1016" i="6"/>
  <c r="X1048" i="7"/>
  <c r="Y1048" i="7" s="1"/>
  <c r="N1060" i="7"/>
  <c r="BG1060" i="7"/>
  <c r="BZ1048" i="7"/>
  <c r="CA1048" i="7" s="1"/>
  <c r="BZ1049" i="7"/>
  <c r="BZ1047" i="7"/>
  <c r="CA1047" i="7" s="1"/>
  <c r="BZ1046" i="7"/>
  <c r="CA1046" i="7" s="1"/>
  <c r="AY1047" i="7"/>
  <c r="AZ1047" i="7" s="1"/>
  <c r="V1050" i="7"/>
  <c r="Y1050" i="7" s="1"/>
  <c r="AY1046" i="7"/>
  <c r="AZ1046" i="7" s="1"/>
  <c r="AF1053" i="7"/>
  <c r="M1022" i="6"/>
  <c r="N1022" i="6" s="1"/>
  <c r="Q1022" i="6" s="1"/>
  <c r="D1017" i="8" s="1"/>
  <c r="AO1053" i="7"/>
  <c r="AG1047" i="7"/>
  <c r="AH1047" i="7" s="1"/>
  <c r="AN1050" i="7"/>
  <c r="AQ1050" i="7" s="1"/>
  <c r="CA1050" i="7"/>
  <c r="BO1049" i="7"/>
  <c r="BR1049" i="7" s="1"/>
  <c r="AZ1048" i="7"/>
  <c r="AA21" i="6"/>
  <c r="E1053" i="7"/>
  <c r="BG1053" i="7"/>
  <c r="AZ1050" i="7"/>
  <c r="AO1060" i="3"/>
  <c r="ES1060" i="3"/>
  <c r="DI1060" i="3"/>
  <c r="O1050" i="3"/>
  <c r="BY1060" i="3"/>
  <c r="M1049" i="3"/>
  <c r="P1049" i="3" s="1"/>
  <c r="AP1050" i="3"/>
  <c r="BP1053" i="3"/>
  <c r="AP1046" i="3"/>
  <c r="AQ1046" i="3" s="1"/>
  <c r="AN1047" i="3"/>
  <c r="AQ1047" i="3" s="1"/>
  <c r="DR1060" i="3"/>
  <c r="Q1018" i="2"/>
  <c r="R1018" i="2" s="1"/>
  <c r="U1018" i="2" s="1"/>
  <c r="D1013" i="4" s="1"/>
  <c r="D36" i="4" s="1"/>
  <c r="CZ1060" i="3"/>
  <c r="AC1016" i="2"/>
  <c r="AD1016" i="2" s="1"/>
  <c r="AG1016" i="2" s="1"/>
  <c r="M1011" i="4" s="1"/>
  <c r="CH1060" i="3"/>
  <c r="FC1046" i="3"/>
  <c r="FD1046" i="3" s="1"/>
  <c r="EA1060" i="3"/>
  <c r="AF1060" i="3"/>
  <c r="FA1050" i="3"/>
  <c r="FD1050" i="3" s="1"/>
  <c r="O1048" i="3"/>
  <c r="P1048" i="3" s="1"/>
  <c r="EJ1060" i="3"/>
  <c r="AO1018" i="2"/>
  <c r="AP1018" i="2" s="1"/>
  <c r="AS1018" i="2" s="1"/>
  <c r="V1013" i="4" s="1"/>
  <c r="O1047" i="3"/>
  <c r="P1047" i="3" s="1"/>
  <c r="FA1047" i="3"/>
  <c r="FD1047" i="3" s="1"/>
  <c r="W1060" i="3"/>
  <c r="CR1046" i="3"/>
  <c r="CS1046" i="3" s="1"/>
  <c r="BG1060" i="3"/>
  <c r="CQ1053" i="3"/>
  <c r="CR1048" i="3"/>
  <c r="CS1048" i="3" s="1"/>
  <c r="AE1048" i="3"/>
  <c r="AH1048" i="3" s="1"/>
  <c r="BQ1048" i="3"/>
  <c r="BR1048" i="3" s="1"/>
  <c r="AG1049" i="3"/>
  <c r="AH1049" i="3" s="1"/>
  <c r="D1049" i="3"/>
  <c r="G1049" i="3" s="1"/>
  <c r="AN1049" i="3"/>
  <c r="AQ1049" i="3" s="1"/>
  <c r="AF1053" i="3"/>
  <c r="AH1016" i="4"/>
  <c r="AI1016" i="4" s="1"/>
  <c r="AP1016" i="4" s="1"/>
  <c r="CR1047" i="3"/>
  <c r="CS1047" i="3" s="1"/>
  <c r="X1047" i="3"/>
  <c r="Y1047" i="3" s="1"/>
  <c r="F1048" i="3"/>
  <c r="G1048" i="3" s="1"/>
  <c r="FC1049" i="3"/>
  <c r="FD1049" i="3" s="1"/>
  <c r="BO1050" i="3"/>
  <c r="BR1050" i="3" s="1"/>
  <c r="F1047" i="3"/>
  <c r="G1047" i="3" s="1"/>
  <c r="F1046" i="3"/>
  <c r="G1046" i="3" s="1"/>
  <c r="DI1053" i="3"/>
  <c r="BY1053" i="3"/>
  <c r="BO1047" i="3"/>
  <c r="BR1047" i="3" s="1"/>
  <c r="BG1053" i="3"/>
  <c r="F1050" i="3"/>
  <c r="G1050" i="3" s="1"/>
  <c r="DA1046" i="3"/>
  <c r="DB1046" i="3" s="1"/>
  <c r="CZ1053" i="3"/>
  <c r="V1049" i="3"/>
  <c r="Y1049" i="3" s="1"/>
  <c r="ES1053" i="3"/>
  <c r="CH1053" i="3"/>
  <c r="BO1049" i="3"/>
  <c r="BR1049" i="3" s="1"/>
  <c r="AE1046" i="3"/>
  <c r="AH1046" i="3" s="1"/>
  <c r="P1050" i="3"/>
  <c r="EA1053" i="3"/>
  <c r="AE1076" i="4"/>
  <c r="AD1076" i="4" s="1"/>
  <c r="W1053" i="3"/>
  <c r="N1016" i="6"/>
  <c r="Q1016" i="6" s="1"/>
  <c r="D1011" i="8" s="1"/>
  <c r="CD100" i="10"/>
  <c r="D100" i="11"/>
  <c r="I100" i="2"/>
  <c r="D275" i="11"/>
  <c r="CD275" i="10"/>
  <c r="I275" i="2"/>
  <c r="CI1050" i="3"/>
  <c r="CG1050" i="3"/>
  <c r="M1050" i="7"/>
  <c r="O1050" i="7"/>
  <c r="D213" i="11"/>
  <c r="CD213" i="10"/>
  <c r="I213" i="2"/>
  <c r="CR1049" i="3"/>
  <c r="CP1049" i="3"/>
  <c r="CD136" i="10"/>
  <c r="D136" i="11"/>
  <c r="I136" i="2"/>
  <c r="X1046" i="3"/>
  <c r="V1046" i="3"/>
  <c r="AB2021" i="2"/>
  <c r="AB21" i="2"/>
  <c r="E105" i="2"/>
  <c r="E60" i="2"/>
  <c r="E112" i="2"/>
  <c r="E47" i="2"/>
  <c r="E152" i="2"/>
  <c r="E156" i="2"/>
  <c r="E117" i="2"/>
  <c r="E9" i="2"/>
  <c r="E23" i="2"/>
  <c r="E195" i="2"/>
  <c r="E89" i="2"/>
  <c r="E90" i="2"/>
  <c r="E96" i="2"/>
  <c r="E154" i="2"/>
  <c r="E168" i="2"/>
  <c r="E190" i="2"/>
  <c r="E49" i="2"/>
  <c r="E29" i="2"/>
  <c r="E87" i="2"/>
  <c r="E149" i="2"/>
  <c r="E41" i="2"/>
  <c r="E123" i="2"/>
  <c r="E26" i="2"/>
  <c r="E181" i="2"/>
  <c r="E45" i="2"/>
  <c r="E192" i="2"/>
  <c r="E35" i="2"/>
  <c r="E65" i="2"/>
  <c r="E4" i="2"/>
  <c r="E93" i="2"/>
  <c r="E120" i="2"/>
  <c r="E8" i="2"/>
  <c r="E138" i="2"/>
  <c r="E201" i="2"/>
  <c r="E121" i="2"/>
  <c r="E114" i="2"/>
  <c r="E164" i="2"/>
  <c r="E70" i="2"/>
  <c r="E130" i="2"/>
  <c r="E184" i="2"/>
  <c r="E128" i="2"/>
  <c r="E110" i="2"/>
  <c r="E7" i="2"/>
  <c r="H7" i="2" s="1"/>
  <c r="E107" i="2"/>
  <c r="E144" i="2"/>
  <c r="E38" i="2"/>
  <c r="E198" i="2"/>
  <c r="E30" i="2"/>
  <c r="H30" i="2" s="1"/>
  <c r="E63" i="2"/>
  <c r="E57" i="2"/>
  <c r="H57" i="2" s="1"/>
  <c r="E84" i="2"/>
  <c r="E108" i="2"/>
  <c r="E140" i="2"/>
  <c r="E51" i="2"/>
  <c r="E146" i="2"/>
  <c r="E61" i="2"/>
  <c r="H61" i="2" s="1"/>
  <c r="E172" i="2"/>
  <c r="E36" i="2"/>
  <c r="E150" i="2"/>
  <c r="E135" i="2"/>
  <c r="E55" i="2"/>
  <c r="E5" i="2"/>
  <c r="E64" i="2"/>
  <c r="H64" i="2" s="1"/>
  <c r="E131" i="2"/>
  <c r="E10" i="2"/>
  <c r="E24" i="2"/>
  <c r="E232" i="2"/>
  <c r="H232" i="2" s="1"/>
  <c r="E142" i="2"/>
  <c r="E193" i="2"/>
  <c r="E185" i="2"/>
  <c r="E48" i="2"/>
  <c r="E88" i="2"/>
  <c r="E71" i="2"/>
  <c r="E98" i="2"/>
  <c r="E95" i="2"/>
  <c r="E174" i="2"/>
  <c r="E182" i="2"/>
  <c r="E197" i="2"/>
  <c r="E80" i="2"/>
  <c r="E118" i="2"/>
  <c r="E134" i="2"/>
  <c r="E200" i="2"/>
  <c r="E79" i="2"/>
  <c r="E186" i="2"/>
  <c r="E44" i="2"/>
  <c r="E16" i="2"/>
  <c r="E6" i="2"/>
  <c r="E32" i="2"/>
  <c r="E202" i="2"/>
  <c r="E50" i="2"/>
  <c r="E170" i="2"/>
  <c r="H170" i="2" s="1"/>
  <c r="E28" i="2"/>
  <c r="E99" i="2"/>
  <c r="E40" i="2"/>
  <c r="E97" i="2"/>
  <c r="E62" i="2"/>
  <c r="E161" i="2"/>
  <c r="E180" i="2"/>
  <c r="E101" i="2"/>
  <c r="E171" i="2"/>
  <c r="E85" i="2"/>
  <c r="E153" i="2"/>
  <c r="E17" i="2"/>
  <c r="E175" i="2"/>
  <c r="E167" i="2"/>
  <c r="E94" i="2"/>
  <c r="E53" i="2"/>
  <c r="E69" i="2"/>
  <c r="E166" i="2"/>
  <c r="H166" i="2" s="1"/>
  <c r="E67" i="2"/>
  <c r="E139" i="2"/>
  <c r="E177" i="2"/>
  <c r="E43" i="2"/>
  <c r="E158" i="2"/>
  <c r="E74" i="2"/>
  <c r="E22" i="2"/>
  <c r="E124" i="2"/>
  <c r="E77" i="2"/>
  <c r="E145" i="2"/>
  <c r="E52" i="2"/>
  <c r="E176" i="2"/>
  <c r="E162" i="2"/>
  <c r="E189" i="2"/>
  <c r="E183" i="2"/>
  <c r="E204" i="2"/>
  <c r="E157" i="2"/>
  <c r="E169" i="2"/>
  <c r="E73" i="2"/>
  <c r="E205" i="2"/>
  <c r="E31" i="2"/>
  <c r="E119" i="2"/>
  <c r="E18" i="2"/>
  <c r="E159" i="2"/>
  <c r="E129" i="2"/>
  <c r="E151" i="2"/>
  <c r="E109" i="2"/>
  <c r="E165" i="2"/>
  <c r="E58" i="2"/>
  <c r="E33" i="2"/>
  <c r="E81" i="2"/>
  <c r="E155" i="2"/>
  <c r="E66" i="2"/>
  <c r="E137" i="2"/>
  <c r="E188" i="2"/>
  <c r="E199" i="2"/>
  <c r="H199" i="2" s="1"/>
  <c r="E75" i="2"/>
  <c r="AI1017" i="4"/>
  <c r="AP1017" i="4" s="1"/>
  <c r="BQ1050" i="7"/>
  <c r="BO1050" i="7"/>
  <c r="CD281" i="10"/>
  <c r="D281" i="11"/>
  <c r="I281" i="2"/>
  <c r="D196" i="11"/>
  <c r="CD196" i="10"/>
  <c r="I196" i="2"/>
  <c r="AA20" i="6"/>
  <c r="DS1050" i="3"/>
  <c r="DQ1050" i="3"/>
  <c r="EK1046" i="3"/>
  <c r="EI1046" i="3"/>
  <c r="EB1048" i="3"/>
  <c r="DZ1048" i="3"/>
  <c r="D264" i="11"/>
  <c r="CD264" i="10"/>
  <c r="I264" i="2"/>
  <c r="EB1049" i="3"/>
  <c r="DZ1049" i="3"/>
  <c r="BZ1046" i="3"/>
  <c r="BX1046" i="3"/>
  <c r="P2021" i="2"/>
  <c r="P21" i="2"/>
  <c r="C188" i="2"/>
  <c r="H188" i="2" s="1"/>
  <c r="C129" i="2"/>
  <c r="C105" i="2"/>
  <c r="H105" i="2" s="1"/>
  <c r="C62" i="2"/>
  <c r="H62" i="2" s="1"/>
  <c r="C23" i="2"/>
  <c r="H23" i="2" s="1"/>
  <c r="C140" i="2"/>
  <c r="H140" i="2" s="1"/>
  <c r="C183" i="2"/>
  <c r="H183" i="2" s="1"/>
  <c r="C41" i="2"/>
  <c r="C54" i="2"/>
  <c r="H54" i="2" s="1"/>
  <c r="C182" i="2"/>
  <c r="H182" i="2" s="1"/>
  <c r="C138" i="2"/>
  <c r="H138" i="2" s="1"/>
  <c r="C198" i="2"/>
  <c r="C193" i="2"/>
  <c r="C44" i="2"/>
  <c r="C187" i="2"/>
  <c r="H187" i="2" s="1"/>
  <c r="C162" i="2"/>
  <c r="C180" i="2"/>
  <c r="C93" i="2"/>
  <c r="C73" i="2"/>
  <c r="C171" i="2"/>
  <c r="C164" i="2"/>
  <c r="C109" i="2"/>
  <c r="C189" i="2"/>
  <c r="C26" i="2"/>
  <c r="C139" i="2"/>
  <c r="C69" i="2"/>
  <c r="C89" i="2"/>
  <c r="C79" i="2"/>
  <c r="C94" i="2"/>
  <c r="C104" i="2"/>
  <c r="H104" i="2" s="1"/>
  <c r="C128" i="2"/>
  <c r="C108" i="2"/>
  <c r="H108" i="2" s="1"/>
  <c r="C51" i="2"/>
  <c r="C10" i="2"/>
  <c r="C49" i="2"/>
  <c r="C186" i="2"/>
  <c r="C4" i="2"/>
  <c r="C181" i="2"/>
  <c r="C32" i="2"/>
  <c r="C149" i="2"/>
  <c r="C65" i="2"/>
  <c r="C158" i="2"/>
  <c r="C202" i="2"/>
  <c r="C17" i="2"/>
  <c r="C153" i="2"/>
  <c r="C145" i="2"/>
  <c r="H145" i="2" s="1"/>
  <c r="C152" i="2"/>
  <c r="C176" i="2"/>
  <c r="H176" i="2" s="1"/>
  <c r="C43" i="2"/>
  <c r="C28" i="2"/>
  <c r="C67" i="2"/>
  <c r="C107" i="2"/>
  <c r="C55" i="2"/>
  <c r="C204" i="2"/>
  <c r="H204" i="2" s="1"/>
  <c r="C201" i="2"/>
  <c r="H201" i="2" s="1"/>
  <c r="C31" i="2"/>
  <c r="C116" i="2"/>
  <c r="H116" i="2" s="1"/>
  <c r="C22" i="2"/>
  <c r="C75" i="2"/>
  <c r="H75" i="2" s="1"/>
  <c r="C142" i="2"/>
  <c r="C119" i="2"/>
  <c r="H119" i="2" s="1"/>
  <c r="C165" i="2"/>
  <c r="H165" i="2" s="1"/>
  <c r="C84" i="2"/>
  <c r="H84" i="2" s="1"/>
  <c r="C156" i="2"/>
  <c r="C95" i="2"/>
  <c r="H95" i="2" s="1"/>
  <c r="C50" i="2"/>
  <c r="C45" i="2"/>
  <c r="H45" i="2" s="1"/>
  <c r="C131" i="2"/>
  <c r="C91" i="2"/>
  <c r="H91" i="2" s="1"/>
  <c r="C151" i="2"/>
  <c r="C70" i="2"/>
  <c r="C175" i="2"/>
  <c r="C71" i="2"/>
  <c r="H71" i="2" s="1"/>
  <c r="C141" i="2"/>
  <c r="H141" i="2" s="1"/>
  <c r="C38" i="2"/>
  <c r="C134" i="2"/>
  <c r="C168" i="2"/>
  <c r="C52" i="2"/>
  <c r="H52" i="2" s="1"/>
  <c r="C174" i="2"/>
  <c r="H174" i="2" s="1"/>
  <c r="C205" i="2"/>
  <c r="H205" i="2" s="1"/>
  <c r="C279" i="2"/>
  <c r="H279" i="2" s="1"/>
  <c r="C77" i="2"/>
  <c r="C87" i="2"/>
  <c r="C124" i="2"/>
  <c r="H124" i="2" s="1"/>
  <c r="C150" i="2"/>
  <c r="C167" i="2"/>
  <c r="C135" i="2"/>
  <c r="C137" i="2"/>
  <c r="C130" i="2"/>
  <c r="C48" i="2"/>
  <c r="C85" i="2"/>
  <c r="C146" i="2"/>
  <c r="C157" i="2"/>
  <c r="C200" i="2"/>
  <c r="C172" i="2"/>
  <c r="C90" i="2"/>
  <c r="C195" i="2"/>
  <c r="C184" i="2"/>
  <c r="C192" i="2"/>
  <c r="H192" i="2" s="1"/>
  <c r="C99" i="2"/>
  <c r="C40" i="2"/>
  <c r="C8" i="2"/>
  <c r="C53" i="2"/>
  <c r="H53" i="2" s="1"/>
  <c r="C112" i="2"/>
  <c r="H112" i="2" s="1"/>
  <c r="C15" i="2"/>
  <c r="H15" i="2" s="1"/>
  <c r="C35" i="2"/>
  <c r="H35" i="2" s="1"/>
  <c r="C66" i="2"/>
  <c r="C120" i="2"/>
  <c r="H120" i="2" s="1"/>
  <c r="C47" i="2"/>
  <c r="H47" i="2" s="1"/>
  <c r="C155" i="2"/>
  <c r="C177" i="2"/>
  <c r="C117" i="2"/>
  <c r="C88" i="2"/>
  <c r="H88" i="2" s="1"/>
  <c r="C101" i="2"/>
  <c r="C16" i="2"/>
  <c r="H16" i="2" s="1"/>
  <c r="C123" i="2"/>
  <c r="C169" i="2"/>
  <c r="C103" i="2"/>
  <c r="H103" i="2" s="1"/>
  <c r="C58" i="2"/>
  <c r="C82" i="2"/>
  <c r="H82" i="2" s="1"/>
  <c r="C113" i="2"/>
  <c r="H113" i="2" s="1"/>
  <c r="C97" i="2"/>
  <c r="H97" i="2" s="1"/>
  <c r="C114" i="2"/>
  <c r="C154" i="2"/>
  <c r="C96" i="2"/>
  <c r="C33" i="2"/>
  <c r="C253" i="2"/>
  <c r="H253" i="2" s="1"/>
  <c r="C9" i="2"/>
  <c r="H9" i="2" s="1"/>
  <c r="C190" i="2"/>
  <c r="C197" i="2"/>
  <c r="H197" i="2" s="1"/>
  <c r="C159" i="2"/>
  <c r="H159" i="2" s="1"/>
  <c r="C121" i="2"/>
  <c r="H121" i="2" s="1"/>
  <c r="C36" i="2"/>
  <c r="H36" i="2" s="1"/>
  <c r="C80" i="2"/>
  <c r="H80" i="2" s="1"/>
  <c r="C98" i="2"/>
  <c r="H98" i="2" s="1"/>
  <c r="C81" i="2"/>
  <c r="C118" i="2"/>
  <c r="C29" i="2"/>
  <c r="C74" i="2"/>
  <c r="C24" i="2"/>
  <c r="C18" i="2"/>
  <c r="C63" i="2"/>
  <c r="H63" i="2" s="1"/>
  <c r="C110" i="2"/>
  <c r="C6" i="2"/>
  <c r="C161" i="2"/>
  <c r="H161" i="2" s="1"/>
  <c r="C5" i="2"/>
  <c r="H5" i="2" s="1"/>
  <c r="C144" i="2"/>
  <c r="C60" i="2"/>
  <c r="H60" i="2" s="1"/>
  <c r="C185" i="2"/>
  <c r="H185" i="2" s="1"/>
  <c r="C21" i="2"/>
  <c r="H21" i="2" s="1"/>
  <c r="BZ1050" i="3"/>
  <c r="BX1050" i="3"/>
  <c r="P1046" i="3"/>
  <c r="D280" i="11"/>
  <c r="CD280" i="10"/>
  <c r="I280" i="2"/>
  <c r="D286" i="11"/>
  <c r="CD286" i="10"/>
  <c r="I286" i="2"/>
  <c r="BF1050" i="3"/>
  <c r="BH1050" i="3"/>
  <c r="N1023" i="6"/>
  <c r="Q1023" i="6" s="1"/>
  <c r="D1018" i="8" s="1"/>
  <c r="D92" i="11"/>
  <c r="CD92" i="10"/>
  <c r="I92" i="2"/>
  <c r="D238" i="11"/>
  <c r="CD238" i="10"/>
  <c r="I238" i="2"/>
  <c r="AW1046" i="3"/>
  <c r="AY1046" i="3"/>
  <c r="CD234" i="10"/>
  <c r="D234" i="11"/>
  <c r="I234" i="2"/>
  <c r="D250" i="11"/>
  <c r="CD250" i="10"/>
  <c r="I250" i="2"/>
  <c r="DS1047" i="3"/>
  <c r="DQ1047" i="3"/>
  <c r="EJ1053" i="3"/>
  <c r="ET1048" i="3"/>
  <c r="ER1048" i="3"/>
  <c r="D25" i="11"/>
  <c r="CD25" i="10"/>
  <c r="I25" i="2"/>
  <c r="CD246" i="10"/>
  <c r="D246" i="11"/>
  <c r="I246" i="2"/>
  <c r="D27" i="11"/>
  <c r="CD27" i="10"/>
  <c r="I27" i="2"/>
  <c r="CI1047" i="3"/>
  <c r="CG1047" i="3"/>
  <c r="DQ1048" i="3"/>
  <c r="DS1048" i="3"/>
  <c r="CD273" i="10"/>
  <c r="D273" i="11"/>
  <c r="I273" i="2"/>
  <c r="EK1047" i="3"/>
  <c r="EI1047" i="3"/>
  <c r="ER1050" i="3"/>
  <c r="ET1050" i="3"/>
  <c r="D277" i="11"/>
  <c r="CD277" i="10"/>
  <c r="I277" i="2"/>
  <c r="EI1049" i="3"/>
  <c r="EK1049" i="3"/>
  <c r="ET1047" i="3"/>
  <c r="ER1047" i="3"/>
  <c r="D222" i="11"/>
  <c r="CD222" i="10"/>
  <c r="I222" i="2"/>
  <c r="CD254" i="10"/>
  <c r="D254" i="11"/>
  <c r="I254" i="2"/>
  <c r="DA1048" i="3"/>
  <c r="CY1048" i="3"/>
  <c r="AN2021" i="2"/>
  <c r="AN21" i="2"/>
  <c r="G156" i="2"/>
  <c r="G165" i="2"/>
  <c r="G85" i="2"/>
  <c r="G118" i="2"/>
  <c r="G178" i="2"/>
  <c r="G200" i="2"/>
  <c r="G38" i="2"/>
  <c r="G187" i="2"/>
  <c r="G33" i="2"/>
  <c r="G18" i="2"/>
  <c r="G142" i="2"/>
  <c r="G157" i="2"/>
  <c r="G30" i="2"/>
  <c r="G150" i="2"/>
  <c r="G88" i="2"/>
  <c r="G98" i="2"/>
  <c r="G107" i="2"/>
  <c r="G101" i="2"/>
  <c r="G135" i="2"/>
  <c r="G60" i="2"/>
  <c r="G75" i="2"/>
  <c r="G24" i="2"/>
  <c r="G170" i="2"/>
  <c r="G61" i="2"/>
  <c r="G73" i="2"/>
  <c r="G96" i="2"/>
  <c r="G175" i="2"/>
  <c r="G103" i="2"/>
  <c r="G55" i="2"/>
  <c r="G65" i="2"/>
  <c r="G186" i="2"/>
  <c r="G110" i="2"/>
  <c r="G117" i="2"/>
  <c r="G49" i="2"/>
  <c r="G44" i="2"/>
  <c r="G168" i="2"/>
  <c r="G129" i="2"/>
  <c r="G54" i="2"/>
  <c r="G152" i="2"/>
  <c r="G164" i="2"/>
  <c r="G177" i="2"/>
  <c r="G91" i="2"/>
  <c r="G201" i="2"/>
  <c r="G161" i="2"/>
  <c r="G80" i="2"/>
  <c r="G50" i="2"/>
  <c r="G180" i="2"/>
  <c r="G145" i="2"/>
  <c r="G171" i="2"/>
  <c r="G17" i="2"/>
  <c r="G131" i="2"/>
  <c r="G51" i="2"/>
  <c r="G52" i="2"/>
  <c r="G158" i="2"/>
  <c r="G71" i="2"/>
  <c r="G184" i="2"/>
  <c r="G119" i="2"/>
  <c r="G104" i="2"/>
  <c r="G57" i="2"/>
  <c r="G105" i="2"/>
  <c r="G45" i="2"/>
  <c r="G123" i="2"/>
  <c r="G4" i="2"/>
  <c r="G63" i="2"/>
  <c r="G204" i="2"/>
  <c r="G31" i="2"/>
  <c r="G47" i="2"/>
  <c r="G58" i="2"/>
  <c r="G138" i="2"/>
  <c r="G189" i="2"/>
  <c r="G7" i="2"/>
  <c r="G188" i="2"/>
  <c r="G146" i="2"/>
  <c r="G23" i="2"/>
  <c r="G190" i="2"/>
  <c r="G16" i="2"/>
  <c r="G185" i="2"/>
  <c r="G81" i="2"/>
  <c r="G95" i="2"/>
  <c r="G108" i="2"/>
  <c r="G193" i="2"/>
  <c r="G172" i="2"/>
  <c r="G32" i="2"/>
  <c r="G26" i="2"/>
  <c r="G137" i="2"/>
  <c r="G6" i="2"/>
  <c r="G53" i="2"/>
  <c r="G82" i="2"/>
  <c r="G181" i="2"/>
  <c r="G35" i="2"/>
  <c r="G74" i="2"/>
  <c r="G149" i="2"/>
  <c r="G89" i="2"/>
  <c r="G48" i="2"/>
  <c r="G94" i="2"/>
  <c r="G195" i="2"/>
  <c r="G174" i="2"/>
  <c r="G10" i="2"/>
  <c r="G93" i="2"/>
  <c r="G29" i="2"/>
  <c r="G67" i="2"/>
  <c r="G70" i="2"/>
  <c r="G84" i="2"/>
  <c r="G176" i="2"/>
  <c r="G79" i="2"/>
  <c r="G130" i="2"/>
  <c r="G87" i="2"/>
  <c r="G99" i="2"/>
  <c r="G97" i="2"/>
  <c r="G90" i="2"/>
  <c r="G22" i="2"/>
  <c r="G202" i="2"/>
  <c r="G144" i="2"/>
  <c r="G69" i="2"/>
  <c r="G41" i="2"/>
  <c r="G113" i="2"/>
  <c r="G153" i="2"/>
  <c r="G198" i="2"/>
  <c r="G162" i="2"/>
  <c r="G128" i="2"/>
  <c r="G36" i="2"/>
  <c r="G43" i="2"/>
  <c r="G197" i="2"/>
  <c r="G134" i="2"/>
  <c r="G205" i="2"/>
  <c r="G124" i="2"/>
  <c r="G139" i="2"/>
  <c r="G114" i="2"/>
  <c r="G5" i="2"/>
  <c r="G167" i="2"/>
  <c r="G183" i="2"/>
  <c r="G169" i="2"/>
  <c r="G112" i="2"/>
  <c r="G62" i="2"/>
  <c r="G192" i="2"/>
  <c r="G9" i="2"/>
  <c r="G120" i="2"/>
  <c r="G109" i="2"/>
  <c r="G155" i="2"/>
  <c r="D106" i="11"/>
  <c r="CD106" i="10"/>
  <c r="I106" i="2"/>
  <c r="CG1048" i="3"/>
  <c r="CI1048" i="3"/>
  <c r="DQ1049" i="3"/>
  <c r="DS1049" i="3"/>
  <c r="CD256" i="10"/>
  <c r="D256" i="11"/>
  <c r="I256" i="2"/>
  <c r="CD292" i="10"/>
  <c r="D292" i="11"/>
  <c r="I292" i="2"/>
  <c r="AW1049" i="3"/>
  <c r="AY1049" i="3"/>
  <c r="CD243" i="10"/>
  <c r="D243" i="11"/>
  <c r="I243" i="2"/>
  <c r="AG1048" i="7"/>
  <c r="AE1048" i="7"/>
  <c r="EB1046" i="3"/>
  <c r="DZ1046" i="3"/>
  <c r="D221" i="11"/>
  <c r="CD221" i="10"/>
  <c r="I221" i="2"/>
  <c r="D148" i="11"/>
  <c r="CD148" i="10"/>
  <c r="I148" i="2"/>
  <c r="DQ1046" i="3"/>
  <c r="DS1046" i="3"/>
  <c r="CD72" i="10"/>
  <c r="D72" i="11"/>
  <c r="I72" i="2"/>
  <c r="D102" i="11"/>
  <c r="I102" i="2"/>
  <c r="CD102" i="10"/>
  <c r="F1046" i="7"/>
  <c r="D1046" i="7"/>
  <c r="EB1047" i="3"/>
  <c r="DZ1047" i="3"/>
  <c r="D255" i="11"/>
  <c r="CD255" i="10"/>
  <c r="I255" i="2"/>
  <c r="N1017" i="6"/>
  <c r="Q1017" i="6" s="1"/>
  <c r="D1012" i="8" s="1"/>
  <c r="D115" i="11"/>
  <c r="CD115" i="10"/>
  <c r="I115" i="2"/>
  <c r="CI1049" i="3"/>
  <c r="CG1049" i="3"/>
  <c r="AD1019" i="2"/>
  <c r="AG1019" i="2" s="1"/>
  <c r="M1014" i="4" s="1"/>
  <c r="D262" i="11"/>
  <c r="CD262" i="10"/>
  <c r="I262" i="2"/>
  <c r="X1050" i="3"/>
  <c r="V1050" i="3"/>
  <c r="AW1048" i="3"/>
  <c r="AY1048" i="3"/>
  <c r="CD59" i="10"/>
  <c r="D59" i="11"/>
  <c r="I59" i="2"/>
  <c r="N22" i="6"/>
  <c r="O20" i="6" s="1"/>
  <c r="W1016" i="6" s="1"/>
  <c r="CY1050" i="3"/>
  <c r="DA1050" i="3"/>
  <c r="BQ1046" i="7"/>
  <c r="BO1046" i="7"/>
  <c r="F1049" i="7"/>
  <c r="D1049" i="7"/>
  <c r="EB1050" i="3"/>
  <c r="DZ1050" i="3"/>
  <c r="CD282" i="10"/>
  <c r="D282" i="11"/>
  <c r="I282" i="2"/>
  <c r="N1053" i="7"/>
  <c r="BH1046" i="7"/>
  <c r="BF1046" i="7"/>
  <c r="CD252" i="10"/>
  <c r="D252" i="11"/>
  <c r="I252" i="2"/>
  <c r="D133" i="11"/>
  <c r="I133" i="2"/>
  <c r="CD133" i="10"/>
  <c r="AG1047" i="3"/>
  <c r="AE1047" i="3"/>
  <c r="AX1053" i="3"/>
  <c r="D191" i="11"/>
  <c r="CD191" i="10"/>
  <c r="I191" i="2"/>
  <c r="DH1050" i="3"/>
  <c r="DJ1050" i="3"/>
  <c r="D247" i="11"/>
  <c r="CD247" i="10"/>
  <c r="I247" i="2"/>
  <c r="AP1019" i="2"/>
  <c r="AS1019" i="2" s="1"/>
  <c r="V1014" i="4" s="1"/>
  <c r="AD1020" i="2"/>
  <c r="AG1020" i="2" s="1"/>
  <c r="M1015" i="4" s="1"/>
  <c r="N1020" i="6"/>
  <c r="Q1020" i="6" s="1"/>
  <c r="D1015" i="8" s="1"/>
  <c r="D163" i="11"/>
  <c r="CD163" i="10"/>
  <c r="I163" i="2"/>
  <c r="O1046" i="7"/>
  <c r="M1046" i="7"/>
  <c r="BH1049" i="7"/>
  <c r="BF1049" i="7"/>
  <c r="D239" i="11"/>
  <c r="CD239" i="10"/>
  <c r="I239" i="2"/>
  <c r="DH1047" i="3"/>
  <c r="DJ1047" i="3"/>
  <c r="AP1017" i="2"/>
  <c r="AS1017" i="2" s="1"/>
  <c r="V1012" i="4" s="1"/>
  <c r="D223" i="11"/>
  <c r="I223" i="2"/>
  <c r="CD223" i="10"/>
  <c r="AP1048" i="7"/>
  <c r="AN1048" i="7"/>
  <c r="CD257" i="10"/>
  <c r="D257" i="11"/>
  <c r="I257" i="2"/>
  <c r="O1048" i="7"/>
  <c r="M1048" i="7"/>
  <c r="DH1048" i="3"/>
  <c r="DJ1048" i="3"/>
  <c r="AG1050" i="3"/>
  <c r="AE1050" i="3"/>
  <c r="D241" i="11"/>
  <c r="CD241" i="10"/>
  <c r="I241" i="2"/>
  <c r="F1048" i="7"/>
  <c r="D1048" i="7"/>
  <c r="CD218" i="10"/>
  <c r="D218" i="11"/>
  <c r="I218" i="2"/>
  <c r="D265" i="11"/>
  <c r="CD265" i="10"/>
  <c r="I265" i="2"/>
  <c r="CD203" i="10"/>
  <c r="D203" i="11"/>
  <c r="I203" i="2"/>
  <c r="DH1046" i="3"/>
  <c r="DJ1046" i="3"/>
  <c r="D83" i="11"/>
  <c r="CD83" i="10"/>
  <c r="I83" i="2"/>
  <c r="D236" i="11"/>
  <c r="CD236" i="10"/>
  <c r="I236" i="2"/>
  <c r="D126" i="11"/>
  <c r="CD126" i="10"/>
  <c r="I126" i="2"/>
  <c r="CG1046" i="3"/>
  <c r="CI1046" i="3"/>
  <c r="D249" i="11"/>
  <c r="CD249" i="10"/>
  <c r="I249" i="2"/>
  <c r="BO1048" i="7"/>
  <c r="BQ1048" i="7"/>
  <c r="BZ1048" i="3"/>
  <c r="BX1048" i="3"/>
  <c r="D86" i="11"/>
  <c r="CD86" i="10"/>
  <c r="I86" i="2"/>
  <c r="D288" i="11"/>
  <c r="CD288" i="10"/>
  <c r="I288" i="2"/>
  <c r="D284" i="11"/>
  <c r="CD284" i="10"/>
  <c r="I284" i="2"/>
  <c r="O1047" i="7"/>
  <c r="M1047" i="7"/>
  <c r="D13" i="11"/>
  <c r="CD13" i="10"/>
  <c r="I13" i="2"/>
  <c r="CD12" i="10"/>
  <c r="D12" i="11"/>
  <c r="I12" i="2"/>
  <c r="D211" i="11"/>
  <c r="CD211" i="10"/>
  <c r="I211" i="2"/>
  <c r="D287" i="11"/>
  <c r="CD287" i="10"/>
  <c r="I287" i="2"/>
  <c r="D19" i="11"/>
  <c r="CD19" i="10"/>
  <c r="I19" i="2"/>
  <c r="BZ1047" i="3"/>
  <c r="BX1047" i="3"/>
  <c r="D215" i="11"/>
  <c r="CD215" i="10"/>
  <c r="I215" i="2"/>
  <c r="D37" i="11"/>
  <c r="CD37" i="10"/>
  <c r="I37" i="2"/>
  <c r="BH1047" i="7"/>
  <c r="BF1047" i="7"/>
  <c r="BZ1049" i="3"/>
  <c r="BX1049" i="3"/>
  <c r="BF1047" i="3"/>
  <c r="BH1047" i="3"/>
  <c r="D34" i="11"/>
  <c r="CD34" i="10"/>
  <c r="I34" i="2"/>
  <c r="D143" i="11"/>
  <c r="CD143" i="10"/>
  <c r="I143" i="2"/>
  <c r="D78" i="11"/>
  <c r="CD78" i="10"/>
  <c r="I78" i="2"/>
  <c r="O1049" i="7"/>
  <c r="M1049" i="7"/>
  <c r="BH1050" i="7"/>
  <c r="BF1050" i="7"/>
  <c r="D56" i="11"/>
  <c r="CD56" i="10"/>
  <c r="I56" i="2"/>
  <c r="CY1049" i="3"/>
  <c r="DA1049" i="3"/>
  <c r="D1047" i="7"/>
  <c r="F1047" i="7"/>
  <c r="D258" i="11"/>
  <c r="CD258" i="10"/>
  <c r="I258" i="2"/>
  <c r="D261" i="11"/>
  <c r="CD261" i="10"/>
  <c r="I261" i="2"/>
  <c r="D242" i="11"/>
  <c r="CD242" i="10"/>
  <c r="I242" i="2"/>
  <c r="BH1048" i="7"/>
  <c r="BF1048" i="7"/>
  <c r="D248" i="11"/>
  <c r="CD248" i="10"/>
  <c r="I248" i="2"/>
  <c r="D263" i="11"/>
  <c r="CD263" i="10"/>
  <c r="I263" i="2"/>
  <c r="D14" i="11"/>
  <c r="CD14" i="10"/>
  <c r="I14" i="2"/>
  <c r="AN1046" i="7"/>
  <c r="AP1046" i="7"/>
  <c r="BO1047" i="7"/>
  <c r="BQ1047" i="7"/>
  <c r="AE1050" i="7"/>
  <c r="AG1050" i="7"/>
  <c r="F1050" i="7"/>
  <c r="D1050" i="7"/>
  <c r="P1016" i="8"/>
  <c r="M1076" i="8"/>
  <c r="L1076" i="8" s="1"/>
  <c r="D42" i="11"/>
  <c r="CD42" i="10"/>
  <c r="I42" i="2"/>
  <c r="CA1049" i="7"/>
  <c r="D245" i="11"/>
  <c r="CD245" i="10"/>
  <c r="I245" i="2"/>
  <c r="D214" i="11"/>
  <c r="CD214" i="10"/>
  <c r="I214" i="2"/>
  <c r="CR1050" i="3"/>
  <c r="CP1050" i="3"/>
  <c r="CD276" i="10"/>
  <c r="D276" i="11"/>
  <c r="I276" i="2"/>
  <c r="AW1047" i="3"/>
  <c r="AY1047" i="3"/>
  <c r="D208" i="11"/>
  <c r="CD208" i="10"/>
  <c r="I208" i="2"/>
  <c r="D224" i="11"/>
  <c r="CD224" i="10"/>
  <c r="I224" i="2"/>
  <c r="X1048" i="3"/>
  <c r="V1048" i="3"/>
  <c r="D206" i="11"/>
  <c r="CD206" i="10"/>
  <c r="I206" i="2"/>
  <c r="D11" i="11"/>
  <c r="CD11" i="10"/>
  <c r="I11" i="2"/>
  <c r="D272" i="11"/>
  <c r="CD272" i="10"/>
  <c r="I272" i="2"/>
  <c r="EI1050" i="3"/>
  <c r="EK1050" i="3"/>
  <c r="AP1049" i="7"/>
  <c r="AN1049" i="7"/>
  <c r="D132" i="11"/>
  <c r="CD132" i="10"/>
  <c r="I132" i="2"/>
  <c r="BQ1046" i="3"/>
  <c r="BO1046" i="3"/>
  <c r="DH1049" i="3"/>
  <c r="DJ1049" i="3"/>
  <c r="D233" i="11"/>
  <c r="CD233" i="10"/>
  <c r="I233" i="2"/>
  <c r="AP1016" i="2"/>
  <c r="AS1016" i="2" s="1"/>
  <c r="V1011" i="4" s="1"/>
  <c r="BF1048" i="3"/>
  <c r="BH1048" i="3"/>
  <c r="AZ2021" i="2"/>
  <c r="AZ21" i="2"/>
  <c r="D237" i="11"/>
  <c r="CD237" i="10"/>
  <c r="I237" i="2"/>
  <c r="BF1049" i="3"/>
  <c r="BH1049" i="3"/>
  <c r="D225" i="11"/>
  <c r="CD225" i="10"/>
  <c r="I225" i="2"/>
  <c r="CD194" i="10"/>
  <c r="D194" i="11"/>
  <c r="I194" i="2"/>
  <c r="AZ1049" i="7"/>
  <c r="CD235" i="10"/>
  <c r="D235" i="11"/>
  <c r="I235" i="2"/>
  <c r="AQ1050" i="3"/>
  <c r="EK1048" i="3"/>
  <c r="EI1048" i="3"/>
  <c r="ET1046" i="3"/>
  <c r="ER1046" i="3"/>
  <c r="CD217" i="10"/>
  <c r="D217" i="11"/>
  <c r="I217" i="2"/>
  <c r="CD209" i="10"/>
  <c r="D209" i="11"/>
  <c r="I209" i="2"/>
  <c r="DR1053" i="3"/>
  <c r="ET1049" i="3"/>
  <c r="ER1049" i="3"/>
  <c r="D270" i="11"/>
  <c r="CD270" i="10"/>
  <c r="I270" i="2"/>
  <c r="D244" i="11"/>
  <c r="CD244" i="10"/>
  <c r="I244" i="2"/>
  <c r="D269" i="11"/>
  <c r="CD269" i="10"/>
  <c r="I269" i="2"/>
  <c r="AE1046" i="7"/>
  <c r="AG1046" i="7"/>
  <c r="D160" i="11"/>
  <c r="CD160" i="10"/>
  <c r="I160" i="2"/>
  <c r="CD127" i="10"/>
  <c r="D127" i="11"/>
  <c r="I127" i="2"/>
  <c r="CY1047" i="3"/>
  <c r="DA1047" i="3"/>
  <c r="BF1046" i="3"/>
  <c r="BH1046" i="3"/>
  <c r="CD228" i="10"/>
  <c r="D228" i="11"/>
  <c r="I228" i="2"/>
  <c r="AD1017" i="2"/>
  <c r="AG1017" i="2" s="1"/>
  <c r="M1012" i="4" s="1"/>
  <c r="AP1047" i="7"/>
  <c r="AN1047" i="7"/>
  <c r="AY1050" i="3"/>
  <c r="AW1050" i="3"/>
  <c r="D125" i="11"/>
  <c r="CD125" i="10"/>
  <c r="I125" i="2"/>
  <c r="AG1049" i="7"/>
  <c r="AE1049" i="7"/>
  <c r="D259" i="11"/>
  <c r="CD259" i="10"/>
  <c r="I259" i="2"/>
  <c r="AQ1048" i="3"/>
  <c r="D46" i="11"/>
  <c r="CD46" i="10"/>
  <c r="I46" i="2"/>
  <c r="V35" i="7" l="1"/>
  <c r="BX35" i="7"/>
  <c r="AA22" i="6"/>
  <c r="BR1047" i="7"/>
  <c r="AW35" i="7"/>
  <c r="AH1046" i="7"/>
  <c r="P1050" i="7"/>
  <c r="BR1050" i="7"/>
  <c r="BR1048" i="7"/>
  <c r="BI1050" i="7"/>
  <c r="BI1047" i="7"/>
  <c r="AQ1048" i="7"/>
  <c r="P1049" i="7"/>
  <c r="O19" i="6"/>
  <c r="V1016" i="6" s="1"/>
  <c r="G1049" i="7"/>
  <c r="G1046" i="7"/>
  <c r="H200" i="2"/>
  <c r="H198" i="2"/>
  <c r="H195" i="2"/>
  <c r="H193" i="2"/>
  <c r="H190" i="2"/>
  <c r="H186" i="2"/>
  <c r="H181" i="2"/>
  <c r="H180" i="2"/>
  <c r="H177" i="2"/>
  <c r="H175" i="2"/>
  <c r="H168" i="2"/>
  <c r="H167" i="2"/>
  <c r="H155" i="2"/>
  <c r="I155" i="2" s="1"/>
  <c r="H154" i="2"/>
  <c r="H152" i="2"/>
  <c r="H151" i="2"/>
  <c r="D151" i="11" s="1"/>
  <c r="H150" i="2"/>
  <c r="H135" i="2"/>
  <c r="H134" i="2"/>
  <c r="H128" i="2"/>
  <c r="H123" i="2"/>
  <c r="H114" i="2"/>
  <c r="H109" i="2"/>
  <c r="H101" i="2"/>
  <c r="H94" i="2"/>
  <c r="H90" i="2"/>
  <c r="H89" i="2"/>
  <c r="H87" i="2"/>
  <c r="H85" i="2"/>
  <c r="H77" i="2"/>
  <c r="H67" i="2"/>
  <c r="H66" i="2"/>
  <c r="H51" i="2"/>
  <c r="H49" i="2"/>
  <c r="H48" i="2"/>
  <c r="H44" i="2"/>
  <c r="H41" i="2"/>
  <c r="H40" i="2"/>
  <c r="H38" i="2"/>
  <c r="H32" i="2"/>
  <c r="H31" i="2"/>
  <c r="H26" i="2"/>
  <c r="FA35" i="3"/>
  <c r="H10" i="2"/>
  <c r="H8" i="2"/>
  <c r="EL1049" i="3"/>
  <c r="EL1046" i="3"/>
  <c r="DT1049" i="3"/>
  <c r="DT1048" i="3"/>
  <c r="DK1046" i="3"/>
  <c r="CA1047" i="3"/>
  <c r="BI1046" i="3"/>
  <c r="H6" i="2"/>
  <c r="AZ1048" i="3"/>
  <c r="D35" i="3"/>
  <c r="EU1048" i="3"/>
  <c r="EL1050" i="3"/>
  <c r="EL1047" i="3"/>
  <c r="EC1046" i="3"/>
  <c r="BI1047" i="3"/>
  <c r="Y1048" i="3"/>
  <c r="Y1046" i="3"/>
  <c r="Y1050" i="3"/>
  <c r="EU1047" i="3"/>
  <c r="EU1050" i="3"/>
  <c r="EC1050" i="3"/>
  <c r="EC1047" i="3"/>
  <c r="DT1046" i="3"/>
  <c r="DK1050" i="3"/>
  <c r="DB1049" i="3"/>
  <c r="CJ1049" i="3"/>
  <c r="CJ1046" i="3"/>
  <c r="CA1050" i="3"/>
  <c r="CA1049" i="3"/>
  <c r="BI1048" i="3"/>
  <c r="BI1049" i="3"/>
  <c r="BI1050" i="3"/>
  <c r="AE36" i="4"/>
  <c r="AZ1046" i="3"/>
  <c r="AZ1050" i="3"/>
  <c r="AZ1047" i="3"/>
  <c r="AZ1049" i="3"/>
  <c r="AN35" i="3"/>
  <c r="AH1047" i="3"/>
  <c r="M36" i="4"/>
  <c r="D36" i="8"/>
  <c r="AH1049" i="7"/>
  <c r="EL1048" i="3"/>
  <c r="DK1049" i="3"/>
  <c r="DK1048" i="3"/>
  <c r="O21" i="6"/>
  <c r="X1016" i="6" s="1"/>
  <c r="D98" i="11"/>
  <c r="CD98" i="10"/>
  <c r="I98" i="2"/>
  <c r="D177" i="11"/>
  <c r="CD177" i="10"/>
  <c r="I177" i="2"/>
  <c r="D135" i="11"/>
  <c r="CD135" i="10"/>
  <c r="I135" i="2"/>
  <c r="CD84" i="10"/>
  <c r="D84" i="11"/>
  <c r="I84" i="2"/>
  <c r="D32" i="11"/>
  <c r="CD32" i="10"/>
  <c r="I32" i="2"/>
  <c r="CD187" i="10"/>
  <c r="D187" i="11"/>
  <c r="I187" i="2"/>
  <c r="D80" i="11"/>
  <c r="CD80" i="10"/>
  <c r="I80" i="2"/>
  <c r="D167" i="11"/>
  <c r="CD167" i="10"/>
  <c r="I167" i="2"/>
  <c r="D165" i="11"/>
  <c r="CD165" i="10"/>
  <c r="I165" i="2"/>
  <c r="D181" i="11"/>
  <c r="CD181" i="10"/>
  <c r="I181" i="2"/>
  <c r="D44" i="11"/>
  <c r="CD44" i="10"/>
  <c r="I44" i="2"/>
  <c r="V36" i="4"/>
  <c r="BI1048" i="7"/>
  <c r="CD36" i="10"/>
  <c r="D36" i="11"/>
  <c r="I36" i="2"/>
  <c r="D47" i="11"/>
  <c r="CD47" i="10"/>
  <c r="I47" i="2"/>
  <c r="D150" i="11"/>
  <c r="CD150" i="10"/>
  <c r="I150" i="2"/>
  <c r="D119" i="11"/>
  <c r="CD119" i="10"/>
  <c r="I119" i="2"/>
  <c r="R2019" i="2"/>
  <c r="R2020" i="2"/>
  <c r="R19" i="2"/>
  <c r="R2021" i="2"/>
  <c r="R21" i="2"/>
  <c r="R20" i="2"/>
  <c r="H4" i="2"/>
  <c r="D193" i="11"/>
  <c r="CD193" i="10"/>
  <c r="I193" i="2"/>
  <c r="EC1048" i="3"/>
  <c r="D170" i="11"/>
  <c r="CD170" i="10"/>
  <c r="I170" i="2"/>
  <c r="CD232" i="10"/>
  <c r="D232" i="11"/>
  <c r="I232" i="2"/>
  <c r="D7" i="11"/>
  <c r="CD7" i="10"/>
  <c r="I7" i="2"/>
  <c r="BR1046" i="3"/>
  <c r="BO35" i="3" s="1"/>
  <c r="P1048" i="7"/>
  <c r="BI1046" i="7"/>
  <c r="DT1047" i="3"/>
  <c r="D121" i="11"/>
  <c r="CD121" i="10"/>
  <c r="I121" i="2"/>
  <c r="D120" i="11"/>
  <c r="CD120" i="10"/>
  <c r="I120" i="2"/>
  <c r="D124" i="11"/>
  <c r="CD124" i="10"/>
  <c r="I124" i="2"/>
  <c r="H142" i="2"/>
  <c r="CD186" i="10"/>
  <c r="D186" i="11"/>
  <c r="I186" i="2"/>
  <c r="CD198" i="10"/>
  <c r="D198" i="11"/>
  <c r="I198" i="2"/>
  <c r="D159" i="11"/>
  <c r="CD159" i="10"/>
  <c r="I159" i="2"/>
  <c r="D66" i="11"/>
  <c r="CD66" i="10"/>
  <c r="I66" i="2"/>
  <c r="D87" i="11"/>
  <c r="CD87" i="10"/>
  <c r="I87" i="2"/>
  <c r="D75" i="11"/>
  <c r="I75" i="2"/>
  <c r="CD75" i="10"/>
  <c r="D49" i="11"/>
  <c r="CD49" i="10"/>
  <c r="I49" i="2"/>
  <c r="D138" i="11"/>
  <c r="CD138" i="10"/>
  <c r="I138" i="2"/>
  <c r="D197" i="11"/>
  <c r="CD197" i="10"/>
  <c r="I197" i="2"/>
  <c r="D35" i="11"/>
  <c r="CD35" i="10"/>
  <c r="I35" i="2"/>
  <c r="D77" i="11"/>
  <c r="CD77" i="10"/>
  <c r="I77" i="2"/>
  <c r="H22" i="2"/>
  <c r="D10" i="11"/>
  <c r="CD10" i="10"/>
  <c r="I10" i="2"/>
  <c r="CD182" i="10"/>
  <c r="D182" i="11"/>
  <c r="I182" i="2"/>
  <c r="CS1049" i="3"/>
  <c r="CJ1048" i="3"/>
  <c r="M35" i="3"/>
  <c r="D190" i="11"/>
  <c r="CD190" i="10"/>
  <c r="I190" i="2"/>
  <c r="CD15" i="10"/>
  <c r="D15" i="11"/>
  <c r="I15" i="2"/>
  <c r="D279" i="11"/>
  <c r="CD279" i="10"/>
  <c r="I279" i="2"/>
  <c r="D116" i="11"/>
  <c r="CD116" i="10"/>
  <c r="I116" i="2"/>
  <c r="D51" i="11"/>
  <c r="CD51" i="10"/>
  <c r="I51" i="2"/>
  <c r="CD54" i="10"/>
  <c r="D54" i="11"/>
  <c r="I54" i="2"/>
  <c r="DT1050" i="3"/>
  <c r="D64" i="11"/>
  <c r="CD64" i="10"/>
  <c r="I64" i="2"/>
  <c r="D9" i="11"/>
  <c r="CD9" i="10"/>
  <c r="I9" i="2"/>
  <c r="CD112" i="10"/>
  <c r="D112" i="11"/>
  <c r="I112" i="2"/>
  <c r="D205" i="11"/>
  <c r="CD205" i="10"/>
  <c r="I205" i="2"/>
  <c r="D31" i="11"/>
  <c r="CD31" i="10"/>
  <c r="I31" i="2"/>
  <c r="D108" i="11"/>
  <c r="CD108" i="10"/>
  <c r="I108" i="2"/>
  <c r="D41" i="11"/>
  <c r="CD41" i="10"/>
  <c r="I41" i="2"/>
  <c r="AQ1047" i="7"/>
  <c r="D253" i="11"/>
  <c r="CD253" i="10"/>
  <c r="I253" i="2"/>
  <c r="D53" i="11"/>
  <c r="CD53" i="10"/>
  <c r="I53" i="2"/>
  <c r="D174" i="11"/>
  <c r="CD174" i="10"/>
  <c r="I174" i="2"/>
  <c r="CD201" i="10"/>
  <c r="D201" i="11"/>
  <c r="I201" i="2"/>
  <c r="D128" i="11"/>
  <c r="CD128" i="10"/>
  <c r="I128" i="2"/>
  <c r="D183" i="11"/>
  <c r="CD183" i="10"/>
  <c r="I183" i="2"/>
  <c r="D166" i="11"/>
  <c r="CD166" i="10"/>
  <c r="I166" i="2"/>
  <c r="Q1016" i="8"/>
  <c r="X1016" i="8" s="1"/>
  <c r="M36" i="8" s="1"/>
  <c r="G1050" i="7"/>
  <c r="DB1048" i="3"/>
  <c r="D21" i="11"/>
  <c r="CD21" i="10"/>
  <c r="I21" i="2"/>
  <c r="H33" i="2"/>
  <c r="D8" i="11"/>
  <c r="CD8" i="10"/>
  <c r="I8" i="2"/>
  <c r="D52" i="11"/>
  <c r="CD52" i="10"/>
  <c r="I52" i="2"/>
  <c r="D204" i="11"/>
  <c r="CD204" i="10"/>
  <c r="I204" i="2"/>
  <c r="CD104" i="10"/>
  <c r="I104" i="2"/>
  <c r="D104" i="11"/>
  <c r="D140" i="11"/>
  <c r="CD140" i="10"/>
  <c r="I140" i="2"/>
  <c r="AQ1049" i="7"/>
  <c r="AH1050" i="7"/>
  <c r="EU1049" i="3"/>
  <c r="D185" i="11"/>
  <c r="CD185" i="10"/>
  <c r="I185" i="2"/>
  <c r="H96" i="2"/>
  <c r="D40" i="11"/>
  <c r="CD40" i="10"/>
  <c r="I40" i="2"/>
  <c r="D168" i="11"/>
  <c r="CD168" i="10"/>
  <c r="I168" i="2"/>
  <c r="H55" i="2"/>
  <c r="CD94" i="10"/>
  <c r="D94" i="11"/>
  <c r="I94" i="2"/>
  <c r="D23" i="11"/>
  <c r="CD23" i="10"/>
  <c r="I23" i="2"/>
  <c r="G1048" i="7"/>
  <c r="CA1048" i="3"/>
  <c r="CJ1047" i="3"/>
  <c r="CD60" i="10"/>
  <c r="D60" i="11"/>
  <c r="I60" i="2"/>
  <c r="D154" i="11"/>
  <c r="CD154" i="10"/>
  <c r="I154" i="2"/>
  <c r="H99" i="2"/>
  <c r="CD134" i="10"/>
  <c r="D134" i="11"/>
  <c r="I134" i="2"/>
  <c r="H107" i="2"/>
  <c r="H79" i="2"/>
  <c r="D62" i="11"/>
  <c r="CD62" i="10"/>
  <c r="I62" i="2"/>
  <c r="AQ1046" i="7"/>
  <c r="H144" i="2"/>
  <c r="D114" i="11"/>
  <c r="CD114" i="10"/>
  <c r="I114" i="2"/>
  <c r="CD192" i="10"/>
  <c r="D192" i="11"/>
  <c r="I192" i="2"/>
  <c r="D38" i="11"/>
  <c r="CD38" i="10"/>
  <c r="I38" i="2"/>
  <c r="D67" i="11"/>
  <c r="CD67" i="10"/>
  <c r="I67" i="2"/>
  <c r="CD89" i="10"/>
  <c r="D89" i="11"/>
  <c r="I89" i="2"/>
  <c r="D105" i="11"/>
  <c r="CD105" i="10"/>
  <c r="I105" i="2"/>
  <c r="BR1046" i="7"/>
  <c r="BO35" i="7" s="1"/>
  <c r="CD5" i="10"/>
  <c r="D5" i="11"/>
  <c r="I5" i="2"/>
  <c r="D97" i="11"/>
  <c r="CD97" i="10"/>
  <c r="I97" i="2"/>
  <c r="H184" i="2"/>
  <c r="D141" i="11"/>
  <c r="CD141" i="10"/>
  <c r="I141" i="2"/>
  <c r="H28" i="2"/>
  <c r="H69" i="2"/>
  <c r="H129" i="2"/>
  <c r="D61" i="11"/>
  <c r="CD61" i="10"/>
  <c r="I61" i="2"/>
  <c r="CJ1050" i="3"/>
  <c r="CS1050" i="3"/>
  <c r="DB1047" i="3"/>
  <c r="G1047" i="7"/>
  <c r="DK1047" i="3"/>
  <c r="DB1050" i="3"/>
  <c r="D161" i="11"/>
  <c r="CD161" i="10"/>
  <c r="I161" i="2"/>
  <c r="D113" i="11"/>
  <c r="CD113" i="10"/>
  <c r="I113" i="2"/>
  <c r="D195" i="11"/>
  <c r="CD195" i="10"/>
  <c r="I195" i="2"/>
  <c r="D71" i="11"/>
  <c r="CD71" i="10"/>
  <c r="I71" i="2"/>
  <c r="H43" i="2"/>
  <c r="H139" i="2"/>
  <c r="D188" i="11"/>
  <c r="CD188" i="10"/>
  <c r="I188" i="2"/>
  <c r="D6" i="11"/>
  <c r="CD6" i="10"/>
  <c r="I6" i="2"/>
  <c r="D82" i="11"/>
  <c r="CD82" i="10"/>
  <c r="I82" i="2"/>
  <c r="D90" i="11"/>
  <c r="I90" i="2"/>
  <c r="CD90" i="10"/>
  <c r="D175" i="11"/>
  <c r="CD175" i="10"/>
  <c r="I175" i="2"/>
  <c r="CD176" i="10"/>
  <c r="D176" i="11"/>
  <c r="I176" i="2"/>
  <c r="CD26" i="10"/>
  <c r="D26" i="11"/>
  <c r="I26" i="2"/>
  <c r="AH1048" i="7"/>
  <c r="H110" i="2"/>
  <c r="H58" i="2"/>
  <c r="H172" i="2"/>
  <c r="H70" i="2"/>
  <c r="CD152" i="10"/>
  <c r="D152" i="11"/>
  <c r="I152" i="2"/>
  <c r="H189" i="2"/>
  <c r="AD2019" i="2"/>
  <c r="AD2020" i="2"/>
  <c r="AD21" i="2"/>
  <c r="AD2021" i="2"/>
  <c r="AD20" i="2"/>
  <c r="AD19" i="2"/>
  <c r="D109" i="11"/>
  <c r="CD109" i="10"/>
  <c r="I109" i="2"/>
  <c r="D63" i="11"/>
  <c r="CD63" i="10"/>
  <c r="I63" i="2"/>
  <c r="D103" i="11"/>
  <c r="CD103" i="10"/>
  <c r="I103" i="2"/>
  <c r="D200" i="11"/>
  <c r="CD200" i="10"/>
  <c r="I200" i="2"/>
  <c r="CD151" i="10"/>
  <c r="I151" i="2"/>
  <c r="D145" i="11"/>
  <c r="CD145" i="10"/>
  <c r="I145" i="2"/>
  <c r="H18" i="2"/>
  <c r="H169" i="2"/>
  <c r="H157" i="2"/>
  <c r="D91" i="11"/>
  <c r="CD91" i="10"/>
  <c r="I91" i="2"/>
  <c r="H153" i="2"/>
  <c r="H164" i="2"/>
  <c r="CA1046" i="3"/>
  <c r="H24" i="2"/>
  <c r="D123" i="11"/>
  <c r="CD123" i="10"/>
  <c r="I123" i="2"/>
  <c r="H146" i="2"/>
  <c r="H131" i="2"/>
  <c r="H17" i="2"/>
  <c r="H171" i="2"/>
  <c r="D57" i="11"/>
  <c r="CD57" i="10"/>
  <c r="I57" i="2"/>
  <c r="EU1046" i="3"/>
  <c r="BI1049" i="7"/>
  <c r="H74" i="2"/>
  <c r="D16" i="11"/>
  <c r="CD16" i="10"/>
  <c r="I16" i="2"/>
  <c r="D85" i="11"/>
  <c r="CD85" i="10"/>
  <c r="I85" i="2"/>
  <c r="D45" i="11"/>
  <c r="CD45" i="10"/>
  <c r="I45" i="2"/>
  <c r="H202" i="2"/>
  <c r="H73" i="2"/>
  <c r="D199" i="11"/>
  <c r="CD199" i="10"/>
  <c r="I199" i="2"/>
  <c r="T904" i="6"/>
  <c r="U904" i="6" s="1"/>
  <c r="AP2019" i="2"/>
  <c r="AP2021" i="2"/>
  <c r="AP20" i="2"/>
  <c r="AP2020" i="2"/>
  <c r="AP21" i="2"/>
  <c r="AP19" i="2"/>
  <c r="H29" i="2"/>
  <c r="D101" i="11"/>
  <c r="CD101" i="10"/>
  <c r="I101" i="2"/>
  <c r="CD48" i="10"/>
  <c r="D48" i="11"/>
  <c r="I48" i="2"/>
  <c r="H50" i="2"/>
  <c r="H158" i="2"/>
  <c r="H93" i="2"/>
  <c r="EC1049" i="3"/>
  <c r="D30" i="11"/>
  <c r="I30" i="2"/>
  <c r="CD30" i="10"/>
  <c r="H118" i="2"/>
  <c r="D88" i="11"/>
  <c r="CD88" i="10"/>
  <c r="I88" i="2"/>
  <c r="H130" i="2"/>
  <c r="CD95" i="10"/>
  <c r="D95" i="11"/>
  <c r="I95" i="2"/>
  <c r="H65" i="2"/>
  <c r="D180" i="11"/>
  <c r="CD180" i="10"/>
  <c r="I180" i="2"/>
  <c r="P1046" i="7"/>
  <c r="P1047" i="7"/>
  <c r="AH1050" i="3"/>
  <c r="H81" i="2"/>
  <c r="H117" i="2"/>
  <c r="H137" i="2"/>
  <c r="H156" i="2"/>
  <c r="H149" i="2"/>
  <c r="H162" i="2"/>
  <c r="D35" i="7" l="1"/>
  <c r="AE35" i="7"/>
  <c r="Y1016" i="6"/>
  <c r="Z1016" i="6" s="1"/>
  <c r="AG1016" i="6" s="1"/>
  <c r="U47" i="6" s="1"/>
  <c r="H904" i="6"/>
  <c r="I904" i="6" s="1"/>
  <c r="I47" i="6" s="1"/>
  <c r="CD155" i="10"/>
  <c r="D155" i="11"/>
  <c r="CP35" i="3"/>
  <c r="BF35" i="3"/>
  <c r="V35" i="3"/>
  <c r="EI35" i="3"/>
  <c r="AW35" i="3"/>
  <c r="AE35" i="3"/>
  <c r="CG35" i="3"/>
  <c r="DZ35" i="3"/>
  <c r="DQ35" i="3"/>
  <c r="DH35" i="3"/>
  <c r="CD81" i="10"/>
  <c r="D81" i="11"/>
  <c r="I81" i="2"/>
  <c r="D107" i="11"/>
  <c r="CD107" i="10"/>
  <c r="I107" i="2"/>
  <c r="AD2022" i="2"/>
  <c r="AE2021" i="2" s="1"/>
  <c r="D33" i="11"/>
  <c r="CD33" i="10"/>
  <c r="I33" i="2"/>
  <c r="D189" i="11"/>
  <c r="CD189" i="10"/>
  <c r="I189" i="2"/>
  <c r="D142" i="11"/>
  <c r="CD142" i="10"/>
  <c r="I142" i="2"/>
  <c r="M35" i="7"/>
  <c r="D18" i="11"/>
  <c r="CD18" i="10"/>
  <c r="I18" i="2"/>
  <c r="D74" i="11"/>
  <c r="CD74" i="10"/>
  <c r="I74" i="2"/>
  <c r="D29" i="11"/>
  <c r="CD29" i="10"/>
  <c r="I29" i="2"/>
  <c r="CY35" i="3"/>
  <c r="CD65" i="10"/>
  <c r="D65" i="11"/>
  <c r="I65" i="2"/>
  <c r="AP22" i="2"/>
  <c r="AQ20" i="2" s="1"/>
  <c r="AY1018" i="2" s="1"/>
  <c r="ER35" i="3"/>
  <c r="D99" i="11"/>
  <c r="CD99" i="10"/>
  <c r="I99" i="2"/>
  <c r="D96" i="11"/>
  <c r="CD96" i="10"/>
  <c r="I96" i="2"/>
  <c r="D4" i="11"/>
  <c r="CD4" i="10"/>
  <c r="I4" i="2"/>
  <c r="AD22" i="2"/>
  <c r="AE21" i="2" s="1"/>
  <c r="AZ1017" i="2" s="1"/>
  <c r="D70" i="11"/>
  <c r="CD70" i="10"/>
  <c r="I70" i="2"/>
  <c r="D172" i="11"/>
  <c r="CD172" i="10"/>
  <c r="I172" i="2"/>
  <c r="R22" i="2"/>
  <c r="S19" i="2" s="1"/>
  <c r="D171" i="11"/>
  <c r="CD171" i="10"/>
  <c r="I171" i="2"/>
  <c r="D139" i="11"/>
  <c r="CD139" i="10"/>
  <c r="I139" i="2"/>
  <c r="CD17" i="10"/>
  <c r="D17" i="11"/>
  <c r="I17" i="2"/>
  <c r="D22" i="11"/>
  <c r="CD22" i="10"/>
  <c r="I22" i="2"/>
  <c r="BF35" i="7"/>
  <c r="R2022" i="2"/>
  <c r="S2019" i="2" s="1"/>
  <c r="D118" i="11"/>
  <c r="CD118" i="10"/>
  <c r="I118" i="2"/>
  <c r="O22" i="6"/>
  <c r="D58" i="11"/>
  <c r="CD58" i="10"/>
  <c r="I58" i="2"/>
  <c r="D131" i="11"/>
  <c r="CD131" i="10"/>
  <c r="I131" i="2"/>
  <c r="D146" i="11"/>
  <c r="CD146" i="10"/>
  <c r="I146" i="2"/>
  <c r="D157" i="11"/>
  <c r="CD157" i="10"/>
  <c r="I157" i="2"/>
  <c r="CD169" i="10"/>
  <c r="D169" i="11"/>
  <c r="I169" i="2"/>
  <c r="D79" i="11"/>
  <c r="CD79" i="10"/>
  <c r="I79" i="2"/>
  <c r="D130" i="11"/>
  <c r="CD130" i="10"/>
  <c r="I130" i="2"/>
  <c r="CD110" i="10"/>
  <c r="D110" i="11"/>
  <c r="I110" i="2"/>
  <c r="D43" i="11"/>
  <c r="CD43" i="10"/>
  <c r="I43" i="2"/>
  <c r="D184" i="11"/>
  <c r="CD184" i="10"/>
  <c r="I184" i="2"/>
  <c r="D55" i="11"/>
  <c r="CD55" i="10"/>
  <c r="I55" i="2"/>
  <c r="D73" i="11"/>
  <c r="CD73" i="10"/>
  <c r="I73" i="2"/>
  <c r="D202" i="11"/>
  <c r="CD202" i="10"/>
  <c r="I202" i="2"/>
  <c r="D24" i="11"/>
  <c r="CD24" i="10"/>
  <c r="I24" i="2"/>
  <c r="CD162" i="10"/>
  <c r="D162" i="11"/>
  <c r="I162" i="2"/>
  <c r="D117" i="11"/>
  <c r="CD117" i="10"/>
  <c r="I117" i="2"/>
  <c r="AP2022" i="2"/>
  <c r="AQ2021" i="2" s="1"/>
  <c r="D69" i="11"/>
  <c r="CD69" i="10"/>
  <c r="I69" i="2"/>
  <c r="D93" i="11"/>
  <c r="CD93" i="10"/>
  <c r="I93" i="2"/>
  <c r="CD164" i="10"/>
  <c r="D164" i="11"/>
  <c r="I164" i="2"/>
  <c r="D144" i="11"/>
  <c r="CD144" i="10"/>
  <c r="I144" i="2"/>
  <c r="D129" i="11"/>
  <c r="CD129" i="10"/>
  <c r="I129" i="2"/>
  <c r="CD28" i="10"/>
  <c r="D28" i="11"/>
  <c r="I28" i="2"/>
  <c r="BX35" i="3"/>
  <c r="D149" i="11"/>
  <c r="CD149" i="10"/>
  <c r="I149" i="2"/>
  <c r="D156" i="11"/>
  <c r="CD156" i="10"/>
  <c r="I156" i="2"/>
  <c r="D158" i="11"/>
  <c r="CD158" i="10"/>
  <c r="I158" i="2"/>
  <c r="D153" i="11"/>
  <c r="CD153" i="10"/>
  <c r="I153" i="2"/>
  <c r="AN35" i="7"/>
  <c r="CD137" i="10"/>
  <c r="D137" i="11"/>
  <c r="I137" i="2"/>
  <c r="D50" i="11"/>
  <c r="CD50" i="10"/>
  <c r="I50" i="2"/>
  <c r="AQ2020" i="2" l="1"/>
  <c r="AQ2019" i="2"/>
  <c r="AE19" i="2"/>
  <c r="AE20" i="2"/>
  <c r="AY1017" i="2" s="1"/>
  <c r="S2020" i="2"/>
  <c r="S2021" i="2"/>
  <c r="AX1016" i="2"/>
  <c r="S20" i="2"/>
  <c r="AY1016" i="2" s="1"/>
  <c r="BB2020" i="2"/>
  <c r="BB19" i="2"/>
  <c r="BB2021" i="2"/>
  <c r="BB20" i="2"/>
  <c r="BB21" i="2"/>
  <c r="BB2019" i="2"/>
  <c r="AQ19" i="2"/>
  <c r="AE2019" i="2"/>
  <c r="S2022" i="2"/>
  <c r="S21" i="2"/>
  <c r="AZ1016" i="2" s="1"/>
  <c r="AE2020" i="2"/>
  <c r="AQ21" i="2"/>
  <c r="AZ1018" i="2" s="1"/>
  <c r="X904" i="2" l="1"/>
  <c r="AX1017" i="2"/>
  <c r="BA1017" i="2" s="1"/>
  <c r="BB1017" i="2" s="1"/>
  <c r="BI1017" i="2" s="1"/>
  <c r="X2104" i="2"/>
  <c r="Y904" i="2" s="1"/>
  <c r="AE22" i="2"/>
  <c r="AQ2022" i="2"/>
  <c r="AE2022" i="2"/>
  <c r="AX1018" i="2"/>
  <c r="BA1018" i="2" s="1"/>
  <c r="AJ2104" i="2"/>
  <c r="AJ904" i="2"/>
  <c r="AQ22" i="2"/>
  <c r="BB2022" i="2"/>
  <c r="BC2019" i="2" s="1"/>
  <c r="BB22" i="2"/>
  <c r="BC21" i="2" s="1"/>
  <c r="S22" i="2"/>
  <c r="L2104" i="2"/>
  <c r="L904" i="2"/>
  <c r="BA1016" i="2"/>
  <c r="Y47" i="2" l="1"/>
  <c r="Y2104" i="2"/>
  <c r="BC2021" i="2"/>
  <c r="BC2020" i="2"/>
  <c r="BC20" i="2"/>
  <c r="AK904" i="2"/>
  <c r="AK47" i="2" s="1"/>
  <c r="AK2104" i="2"/>
  <c r="BB1016" i="2"/>
  <c r="BI1016" i="2" s="1"/>
  <c r="M904" i="2"/>
  <c r="M47" i="2" s="1"/>
  <c r="M2104" i="2"/>
  <c r="BC19" i="2"/>
  <c r="BB1018" i="2"/>
  <c r="BI1018" i="2" s="1"/>
  <c r="BC2022" i="2" l="1"/>
  <c r="BC22" i="2"/>
  <c r="AV2104" i="2"/>
  <c r="AV904" i="2"/>
  <c r="AW2104" i="2" l="1"/>
  <c r="AW904" i="2"/>
  <c r="AW47" i="2" s="1"/>
</calcChain>
</file>

<file path=xl/sharedStrings.xml><?xml version="1.0" encoding="utf-8"?>
<sst xmlns="http://schemas.openxmlformats.org/spreadsheetml/2006/main" count="2763" uniqueCount="504">
  <si>
    <t>Dimension 1</t>
  </si>
  <si>
    <t>Planificación</t>
  </si>
  <si>
    <t>Transparencia</t>
  </si>
  <si>
    <t>Cumplimiento normativo</t>
  </si>
  <si>
    <t>Total</t>
  </si>
  <si>
    <t>Valoración</t>
  </si>
  <si>
    <t>PRG.1</t>
  </si>
  <si>
    <t>PRG.2</t>
  </si>
  <si>
    <t>PRG.3</t>
  </si>
  <si>
    <t>PRG.4</t>
  </si>
  <si>
    <t>PRG.5</t>
  </si>
  <si>
    <t>PRG.6</t>
  </si>
  <si>
    <t>PRG.7</t>
  </si>
  <si>
    <t>PRG.8</t>
  </si>
  <si>
    <t>PRG.9</t>
  </si>
  <si>
    <t>PRG.10</t>
  </si>
  <si>
    <t>PRG.11</t>
  </si>
  <si>
    <t>PRG.12</t>
  </si>
  <si>
    <t>PRG.13</t>
  </si>
  <si>
    <t>PRG.14</t>
  </si>
  <si>
    <t>PRG.15</t>
  </si>
  <si>
    <t>PRG.16</t>
  </si>
  <si>
    <t>PRG.17</t>
  </si>
  <si>
    <t>PRG.18</t>
  </si>
  <si>
    <t>Beneficiaros 1</t>
  </si>
  <si>
    <t>Beneficiaros 2</t>
  </si>
  <si>
    <t>Beneficiaros 3</t>
  </si>
  <si>
    <t>Beneficiaros 4</t>
  </si>
  <si>
    <t>Beneficiaros 5</t>
  </si>
  <si>
    <t>Beneficiaros 6</t>
  </si>
  <si>
    <t>Beneficiaros 7</t>
  </si>
  <si>
    <t>Beneficiaros 8</t>
  </si>
  <si>
    <t>Beneficiaros 9</t>
  </si>
  <si>
    <t>Beneficiaros 10</t>
  </si>
  <si>
    <t>Beneficiaros 11</t>
  </si>
  <si>
    <t>Beneficiaros 12</t>
  </si>
  <si>
    <t>Beneficiaros 13</t>
  </si>
  <si>
    <t>Beneficiaros 14</t>
  </si>
  <si>
    <t>Beneficiaros 15</t>
  </si>
  <si>
    <t>Beneficiaros 16</t>
  </si>
  <si>
    <t>Beneficiaros 17</t>
  </si>
  <si>
    <t>Beneficiaros 18</t>
  </si>
  <si>
    <t>Beneficiaros 19</t>
  </si>
  <si>
    <t>Beneficiaros 20</t>
  </si>
  <si>
    <t>Beneficiaros 21</t>
  </si>
  <si>
    <t>Beneficiaros 22</t>
  </si>
  <si>
    <t>Beneficiaros 23</t>
  </si>
  <si>
    <t>Beneficiaros 24</t>
  </si>
  <si>
    <t>Beneficiaros 25</t>
  </si>
  <si>
    <t>Beneficiaros 26</t>
  </si>
  <si>
    <t>Beneficiaros 27</t>
  </si>
  <si>
    <t>Beneficiaros 28</t>
  </si>
  <si>
    <t>Beneficiaros 29</t>
  </si>
  <si>
    <t>Beneficiaros 30</t>
  </si>
  <si>
    <t>Beneficiaros 31</t>
  </si>
  <si>
    <t>Beneficiaros 32</t>
  </si>
  <si>
    <t>Beneficiaros 33</t>
  </si>
  <si>
    <t>Beneficiaros 34</t>
  </si>
  <si>
    <t>Beneficiaros 35</t>
  </si>
  <si>
    <t>Beneficiaros 36</t>
  </si>
  <si>
    <t>Beneficiaros 37</t>
  </si>
  <si>
    <t>Beneficiaros 38</t>
  </si>
  <si>
    <t>Beneficiaros 39</t>
  </si>
  <si>
    <t>Beneficiaros 40</t>
  </si>
  <si>
    <t>Beneficiaros 41</t>
  </si>
  <si>
    <t>Beneficiaros 42</t>
  </si>
  <si>
    <t>Beneficiaros 43</t>
  </si>
  <si>
    <t>Beneficiaros 44</t>
  </si>
  <si>
    <t>Beneficiaros 45</t>
  </si>
  <si>
    <t>Beneficiaros 46</t>
  </si>
  <si>
    <t>Beneficiaros 47</t>
  </si>
  <si>
    <t>Beneficiaros 48</t>
  </si>
  <si>
    <t>Beneficiaros 49</t>
  </si>
  <si>
    <t>Beneficiaros 50</t>
  </si>
  <si>
    <t>Beneficiaros 51</t>
  </si>
  <si>
    <t>Beneficiaros 52</t>
  </si>
  <si>
    <t>Beneficiaros 53</t>
  </si>
  <si>
    <t>Beneficiaros 54</t>
  </si>
  <si>
    <t>Beneficiaros 55</t>
  </si>
  <si>
    <t>Beneficiaros 56</t>
  </si>
  <si>
    <t>Beneficiaros 57</t>
  </si>
  <si>
    <t>Beneficiaros 58</t>
  </si>
  <si>
    <t>Beneficiaros 59</t>
  </si>
  <si>
    <t>Beneficiaros 60</t>
  </si>
  <si>
    <t>Beneficiaros 61</t>
  </si>
  <si>
    <t>Beneficiaros 62</t>
  </si>
  <si>
    <t>Beneficiaros 63</t>
  </si>
  <si>
    <t>Beneficiaros 64</t>
  </si>
  <si>
    <t>Beneficiaros 65</t>
  </si>
  <si>
    <t>Beneficiaros 66</t>
  </si>
  <si>
    <t>Beneficiaros 67</t>
  </si>
  <si>
    <t>Beneficiaros 68</t>
  </si>
  <si>
    <t>Beneficiaros 69</t>
  </si>
  <si>
    <t>Beneficiaros 70</t>
  </si>
  <si>
    <t>Beneficiaros 71</t>
  </si>
  <si>
    <t>Beneficiaros 72</t>
  </si>
  <si>
    <t>Beneficiaros 73</t>
  </si>
  <si>
    <t>Beneficiaros 74</t>
  </si>
  <si>
    <t>Beneficiaros 75</t>
  </si>
  <si>
    <t>Beneficiaros 76</t>
  </si>
  <si>
    <t>Beneficiaros 77</t>
  </si>
  <si>
    <t>Beneficiaros 78</t>
  </si>
  <si>
    <t>Beneficiaros 79</t>
  </si>
  <si>
    <t>Beneficiaros 80</t>
  </si>
  <si>
    <t>Beneficiaros 81</t>
  </si>
  <si>
    <t>Beneficiaros 82</t>
  </si>
  <si>
    <t>Beneficiaros 83</t>
  </si>
  <si>
    <t>Beneficiaros 84</t>
  </si>
  <si>
    <t>Beneficiaros 85</t>
  </si>
  <si>
    <t>Beneficiaros 86</t>
  </si>
  <si>
    <t>Beneficiaros 87</t>
  </si>
  <si>
    <t>Beneficiaros 88</t>
  </si>
  <si>
    <t>Beneficiaros 89</t>
  </si>
  <si>
    <t>Beneficiaros 90</t>
  </si>
  <si>
    <t>Beneficiaros 91</t>
  </si>
  <si>
    <t>Beneficiaros 92</t>
  </si>
  <si>
    <t>Beneficiaros 93</t>
  </si>
  <si>
    <t>Beneficiaros 94</t>
  </si>
  <si>
    <t>Beneficiaros 95</t>
  </si>
  <si>
    <t>Beneficiaros 96</t>
  </si>
  <si>
    <t>Beneficiaros 97</t>
  </si>
  <si>
    <t>Beneficiaros 98</t>
  </si>
  <si>
    <t>Beneficiaros 99</t>
  </si>
  <si>
    <t>Beneficiaros 100</t>
  </si>
  <si>
    <t>Beneficiaros 101</t>
  </si>
  <si>
    <t>Beneficiaros 102</t>
  </si>
  <si>
    <t>Beneficiaros 103</t>
  </si>
  <si>
    <t>Beneficiaros 104</t>
  </si>
  <si>
    <t>Beneficiaros 105</t>
  </si>
  <si>
    <t>Beneficiaros 106</t>
  </si>
  <si>
    <t>Beneficiaros 107</t>
  </si>
  <si>
    <t>Beneficiaros 108</t>
  </si>
  <si>
    <t>Beneficiaros 109</t>
  </si>
  <si>
    <t>Beneficiaros 110</t>
  </si>
  <si>
    <t>Beneficiaros 111</t>
  </si>
  <si>
    <t>Beneficiaros 112</t>
  </si>
  <si>
    <t>Beneficiaros 113</t>
  </si>
  <si>
    <t>Beneficiaros 114</t>
  </si>
  <si>
    <t>Beneficiaros 115</t>
  </si>
  <si>
    <t>Beneficiaros 116</t>
  </si>
  <si>
    <t>Beneficiaros 117</t>
  </si>
  <si>
    <t>Beneficiaros 118</t>
  </si>
  <si>
    <t>Beneficiaros 119</t>
  </si>
  <si>
    <t>Beneficiaros 120</t>
  </si>
  <si>
    <t>Beneficiaros 121</t>
  </si>
  <si>
    <t>Beneficiaros 122</t>
  </si>
  <si>
    <t>Beneficiaros 123</t>
  </si>
  <si>
    <t>Beneficiaros 124</t>
  </si>
  <si>
    <t>Beneficiaros 125</t>
  </si>
  <si>
    <t>Beneficiaros 126</t>
  </si>
  <si>
    <t>Beneficiaros 127</t>
  </si>
  <si>
    <t>Beneficiaros 128</t>
  </si>
  <si>
    <t>Beneficiaros 129</t>
  </si>
  <si>
    <t>Beneficiaros 130</t>
  </si>
  <si>
    <t>Beneficiaros 131</t>
  </si>
  <si>
    <t>Beneficiaros 132</t>
  </si>
  <si>
    <t>Beneficiaros 133</t>
  </si>
  <si>
    <t>Beneficiaros 134</t>
  </si>
  <si>
    <t>Beneficiaros 135</t>
  </si>
  <si>
    <t>Beneficiaros 136</t>
  </si>
  <si>
    <t>Beneficiaros 137</t>
  </si>
  <si>
    <t>Beneficiaros 138</t>
  </si>
  <si>
    <t>Beneficiaros 139</t>
  </si>
  <si>
    <t>Beneficiaros 140</t>
  </si>
  <si>
    <t>Beneficiaros 141</t>
  </si>
  <si>
    <t>Beneficiaros 142</t>
  </si>
  <si>
    <t>Beneficiaros 143</t>
  </si>
  <si>
    <t>Beneficiaros 144</t>
  </si>
  <si>
    <t>Beneficiaros 145</t>
  </si>
  <si>
    <t>Beneficiaros 146</t>
  </si>
  <si>
    <t>Beneficiaros 147</t>
  </si>
  <si>
    <t>Beneficiaros 148</t>
  </si>
  <si>
    <t>Beneficiaros 149</t>
  </si>
  <si>
    <t>Beneficiaros 150</t>
  </si>
  <si>
    <t>Beneficiaros 151</t>
  </si>
  <si>
    <t>Beneficiaros 152</t>
  </si>
  <si>
    <t>Beneficiaros 153</t>
  </si>
  <si>
    <t>Beneficiaros 154</t>
  </si>
  <si>
    <t>Beneficiaros 155</t>
  </si>
  <si>
    <t>Beneficiaros 156</t>
  </si>
  <si>
    <t>Beneficiaros 157</t>
  </si>
  <si>
    <t>Beneficiaros 158</t>
  </si>
  <si>
    <t>Beneficiaros 159</t>
  </si>
  <si>
    <t>Beneficiaros 160</t>
  </si>
  <si>
    <t>Beneficiaros 161</t>
  </si>
  <si>
    <t>Beneficiaros 162</t>
  </si>
  <si>
    <t>Beneficiaros 163</t>
  </si>
  <si>
    <t>Beneficiaros 164</t>
  </si>
  <si>
    <t>Beneficiaros 165</t>
  </si>
  <si>
    <t>Beneficiaros 166</t>
  </si>
  <si>
    <t>Beneficiaros 167</t>
  </si>
  <si>
    <t>Beneficiaros 168</t>
  </si>
  <si>
    <t>Beneficiaros 169</t>
  </si>
  <si>
    <t>Beneficiaros 170</t>
  </si>
  <si>
    <t>Beneficiaros 171</t>
  </si>
  <si>
    <t>Beneficiaros 172</t>
  </si>
  <si>
    <t>Beneficiaros 173</t>
  </si>
  <si>
    <t>Beneficiaros 174</t>
  </si>
  <si>
    <t>Beneficiaros 175</t>
  </si>
  <si>
    <t>Beneficiaros 176</t>
  </si>
  <si>
    <t>Beneficiaros 177</t>
  </si>
  <si>
    <t>Beneficiaros 178</t>
  </si>
  <si>
    <t>Beneficiaros 179</t>
  </si>
  <si>
    <t>Beneficiaros 180</t>
  </si>
  <si>
    <t>Beneficiaros 181</t>
  </si>
  <si>
    <t>Beneficiaros 182</t>
  </si>
  <si>
    <t>Beneficiaros 183</t>
  </si>
  <si>
    <t>Beneficiaros 184</t>
  </si>
  <si>
    <t>Beneficiaros 185</t>
  </si>
  <si>
    <t>Beneficiaros 186</t>
  </si>
  <si>
    <t>Beneficiaros 187</t>
  </si>
  <si>
    <t>Beneficiaros 188</t>
  </si>
  <si>
    <t>Beneficiaros 189</t>
  </si>
  <si>
    <t>Beneficiaros 190</t>
  </si>
  <si>
    <t>Beneficiaros 191</t>
  </si>
  <si>
    <t>Beneficiaros 192</t>
  </si>
  <si>
    <t>Beneficiaros 193</t>
  </si>
  <si>
    <t>Beneficiaros 194</t>
  </si>
  <si>
    <t>Beneficiaros 195</t>
  </si>
  <si>
    <t>Beneficiaros 196</t>
  </si>
  <si>
    <t>Beneficiaros 197</t>
  </si>
  <si>
    <t>Beneficiaros 198</t>
  </si>
  <si>
    <t>Beneficiaros 199</t>
  </si>
  <si>
    <t>Beneficiaros 200</t>
  </si>
  <si>
    <t>Beneficiaros 201</t>
  </si>
  <si>
    <t>Beneficiaros 202</t>
  </si>
  <si>
    <t>Beneficiaros 203</t>
  </si>
  <si>
    <t>Beneficiaros 204</t>
  </si>
  <si>
    <t>Beneficiaros 205</t>
  </si>
  <si>
    <t>Beneficiaros 206</t>
  </si>
  <si>
    <t>Beneficiaros 207</t>
  </si>
  <si>
    <t>Beneficiaros 208</t>
  </si>
  <si>
    <t>Beneficiaros 209</t>
  </si>
  <si>
    <t>Beneficiaros 210</t>
  </si>
  <si>
    <t>Beneficiaros 211</t>
  </si>
  <si>
    <t>Beneficiaros 212</t>
  </si>
  <si>
    <t>Beneficiaros 213</t>
  </si>
  <si>
    <t>Beneficiaros 214</t>
  </si>
  <si>
    <t>Beneficiaros 215</t>
  </si>
  <si>
    <t>Beneficiaros 216</t>
  </si>
  <si>
    <t>Beneficiaros 217</t>
  </si>
  <si>
    <t>Beneficiaros 218</t>
  </si>
  <si>
    <t>Beneficiaros 219</t>
  </si>
  <si>
    <t>Beneficiaros 220</t>
  </si>
  <si>
    <t>Beneficiaros 221</t>
  </si>
  <si>
    <t>Beneficiaros 222</t>
  </si>
  <si>
    <t>Beneficiaros 223</t>
  </si>
  <si>
    <t>Beneficiaros 224</t>
  </si>
  <si>
    <t>Beneficiaros 225</t>
  </si>
  <si>
    <t>Beneficiaros 226</t>
  </si>
  <si>
    <t>Beneficiaros 227</t>
  </si>
  <si>
    <t>Beneficiaros 228</t>
  </si>
  <si>
    <t>Beneficiaros 229</t>
  </si>
  <si>
    <t>Beneficiaros 230</t>
  </si>
  <si>
    <t>Beneficiaros 231</t>
  </si>
  <si>
    <t>Beneficiaros 232</t>
  </si>
  <si>
    <t>Beneficiaros 233</t>
  </si>
  <si>
    <t>Beneficiaros 234</t>
  </si>
  <si>
    <t>Beneficiaros 235</t>
  </si>
  <si>
    <t>Beneficiaros 236</t>
  </si>
  <si>
    <t>Beneficiaros 237</t>
  </si>
  <si>
    <t>Beneficiaros 238</t>
  </si>
  <si>
    <t>Beneficiaros 239</t>
  </si>
  <si>
    <t>Beneficiaros 240</t>
  </si>
  <si>
    <t>Beneficiaros 241</t>
  </si>
  <si>
    <t>Beneficiaros 242</t>
  </si>
  <si>
    <t>Beneficiaros 243</t>
  </si>
  <si>
    <t>Beneficiaros 244</t>
  </si>
  <si>
    <t>Beneficiaros 245</t>
  </si>
  <si>
    <t>Beneficiaros 246</t>
  </si>
  <si>
    <t>Beneficiaros 247</t>
  </si>
  <si>
    <t>Beneficiaros 248</t>
  </si>
  <si>
    <t>Beneficiaros 249</t>
  </si>
  <si>
    <t>Beneficiaros 250</t>
  </si>
  <si>
    <t>Beneficiaros 251</t>
  </si>
  <si>
    <t>Beneficiaros 252</t>
  </si>
  <si>
    <t>Beneficiaros 253</t>
  </si>
  <si>
    <t>Beneficiaros 254</t>
  </si>
  <si>
    <t>Beneficiaros 255</t>
  </si>
  <si>
    <t>Beneficiaros 256</t>
  </si>
  <si>
    <t>Beneficiaros 257</t>
  </si>
  <si>
    <t>Beneficiaros 258</t>
  </si>
  <si>
    <t>Beneficiaros 259</t>
  </si>
  <si>
    <t>Beneficiaros 260</t>
  </si>
  <si>
    <t>Beneficiaros 261</t>
  </si>
  <si>
    <t>Beneficiaros 262</t>
  </si>
  <si>
    <t>Beneficiaros 263</t>
  </si>
  <si>
    <t>Beneficiaros 264</t>
  </si>
  <si>
    <t>Beneficiaros 265</t>
  </si>
  <si>
    <t>Beneficiaros 266</t>
  </si>
  <si>
    <t>Beneficiaros 267</t>
  </si>
  <si>
    <t>Beneficiaros 268</t>
  </si>
  <si>
    <t>Beneficiaros 269</t>
  </si>
  <si>
    <t>Beneficiaros 270</t>
  </si>
  <si>
    <t>Beneficiaros 271</t>
  </si>
  <si>
    <t>Beneficiaros 272</t>
  </si>
  <si>
    <t>Beneficiaros 273</t>
  </si>
  <si>
    <t>Beneficiaros 274</t>
  </si>
  <si>
    <t>Beneficiaros 275</t>
  </si>
  <si>
    <t>Beneficiaros 276</t>
  </si>
  <si>
    <t>Beneficiaros 277</t>
  </si>
  <si>
    <t>Beneficiaros 278</t>
  </si>
  <si>
    <t>Beneficiaros 279</t>
  </si>
  <si>
    <t>Beneficiaros 280</t>
  </si>
  <si>
    <t>Beneficiaros 281</t>
  </si>
  <si>
    <t>Beneficiaros 282</t>
  </si>
  <si>
    <t>Beneficiaros 283</t>
  </si>
  <si>
    <t>Beneficiaros 284</t>
  </si>
  <si>
    <t>Beneficiaros 285</t>
  </si>
  <si>
    <t>Beneficiaros 286</t>
  </si>
  <si>
    <t>Beneficiaros 287</t>
  </si>
  <si>
    <t>Beneficiaros 288</t>
  </si>
  <si>
    <t>Beneficiaros 289</t>
  </si>
  <si>
    <t>TOTAL</t>
  </si>
  <si>
    <t>MODA</t>
  </si>
  <si>
    <t>MEDIA</t>
  </si>
  <si>
    <t>MEDIANA</t>
  </si>
  <si>
    <t>Desv.Est</t>
  </si>
  <si>
    <t xml:space="preserve">Coef. Varia.
    </t>
  </si>
  <si>
    <t>Totalmente en desacuerdo</t>
  </si>
  <si>
    <t>En desacuerdo</t>
  </si>
  <si>
    <t>Ni de acuerdo ni en desacuerdo</t>
  </si>
  <si>
    <t>De acuerdo</t>
  </si>
  <si>
    <t>Totalmente de acuerdo</t>
  </si>
  <si>
    <t>Totalmente en desacuerdo%</t>
  </si>
  <si>
    <t>En desacuerdo%</t>
  </si>
  <si>
    <t>Ni de acuerdo ni en desacuerdo%</t>
  </si>
  <si>
    <t>De acuerdo%</t>
  </si>
  <si>
    <t>Totalmente de acuerdo%</t>
  </si>
  <si>
    <t>Total %</t>
  </si>
  <si>
    <t>Nº de Personas</t>
  </si>
  <si>
    <t>Gestión de abastecimiento</t>
  </si>
  <si>
    <t>Suma Total</t>
  </si>
  <si>
    <t>Variable</t>
  </si>
  <si>
    <t>Cantidad de Escalas Valorativas</t>
  </si>
  <si>
    <t>Valor Máximo por item</t>
  </si>
  <si>
    <t>Máximo</t>
  </si>
  <si>
    <t>Mínimo</t>
  </si>
  <si>
    <t>Rango</t>
  </si>
  <si>
    <t>Amplitud del Intervalo</t>
  </si>
  <si>
    <t>Tabla 1</t>
  </si>
  <si>
    <t>Tabla 2</t>
  </si>
  <si>
    <t>Tabla 3</t>
  </si>
  <si>
    <t>Tabla 4</t>
  </si>
  <si>
    <t>Calificación</t>
  </si>
  <si>
    <t>Frec.</t>
  </si>
  <si>
    <t>%</t>
  </si>
  <si>
    <t>Desde</t>
  </si>
  <si>
    <t>Hasta</t>
  </si>
  <si>
    <t>Bajo</t>
  </si>
  <si>
    <t xml:space="preserve">Medio </t>
  </si>
  <si>
    <t>Alto</t>
  </si>
  <si>
    <t>Fuente: Encuesta aplicada</t>
  </si>
  <si>
    <t>Elaboración: Propia</t>
  </si>
  <si>
    <t>Figura.1</t>
  </si>
  <si>
    <t>Figura.2</t>
  </si>
  <si>
    <t>Figura.3</t>
  </si>
  <si>
    <t>Figura.4</t>
  </si>
  <si>
    <t>Unidades de Medida</t>
  </si>
  <si>
    <t>Dimensión</t>
  </si>
  <si>
    <t>Beneficiaross</t>
  </si>
  <si>
    <t>Valoración de la variable</t>
  </si>
  <si>
    <t>Preguntas Originales</t>
  </si>
  <si>
    <t>Enunciados Para Palafraseo</t>
  </si>
  <si>
    <t>x</t>
  </si>
  <si>
    <t>MÁXIMO</t>
  </si>
  <si>
    <t>Valores</t>
  </si>
  <si>
    <t>codificación de verbos aleatorios para concatenar</t>
  </si>
  <si>
    <t>verbo</t>
  </si>
  <si>
    <t>Concatenación</t>
  </si>
  <si>
    <t>dimensión</t>
  </si>
  <si>
    <t>Valor</t>
  </si>
  <si>
    <t>codificación de verbos</t>
  </si>
  <si>
    <t>Verbo</t>
  </si>
  <si>
    <t>codificación de conectores</t>
  </si>
  <si>
    <t>Conectores</t>
  </si>
  <si>
    <t>codificación de unidades de medida</t>
  </si>
  <si>
    <t xml:space="preserve">Unidades de medida </t>
  </si>
  <si>
    <t>valoró</t>
  </si>
  <si>
    <t>calificó</t>
  </si>
  <si>
    <t>consideró</t>
  </si>
  <si>
    <t>respondió</t>
  </si>
  <si>
    <t>evaluó</t>
  </si>
  <si>
    <t>determinó</t>
  </si>
  <si>
    <t>mencionó</t>
  </si>
  <si>
    <t>apreció</t>
  </si>
  <si>
    <t>percibió</t>
  </si>
  <si>
    <t>Tuvo una percepción de</t>
  </si>
  <si>
    <t>asi mismo</t>
  </si>
  <si>
    <t xml:space="preserve">por otro lado </t>
  </si>
  <si>
    <t xml:space="preserve">por otra parte </t>
  </si>
  <si>
    <t xml:space="preserve">ademas </t>
  </si>
  <si>
    <t xml:space="preserve">en consecuencia </t>
  </si>
  <si>
    <t xml:space="preserve">adicional a ello </t>
  </si>
  <si>
    <t xml:space="preserve">por consecuencia </t>
  </si>
  <si>
    <t>Resultados</t>
  </si>
  <si>
    <t>Item 1</t>
  </si>
  <si>
    <t>Item 2</t>
  </si>
  <si>
    <t>Item 3</t>
  </si>
  <si>
    <t>Item 4</t>
  </si>
  <si>
    <t>Item 5</t>
  </si>
  <si>
    <t>Item 6</t>
  </si>
  <si>
    <t>Item 7</t>
  </si>
  <si>
    <t>Item 8</t>
  </si>
  <si>
    <t>Item 9</t>
  </si>
  <si>
    <t>Item 10</t>
  </si>
  <si>
    <t>Item 11</t>
  </si>
  <si>
    <t>Item 12</t>
  </si>
  <si>
    <t>Item 13</t>
  </si>
  <si>
    <t>Item 14</t>
  </si>
  <si>
    <t>Item 15</t>
  </si>
  <si>
    <t>Item 16</t>
  </si>
  <si>
    <t>Item 17</t>
  </si>
  <si>
    <t>Item 18</t>
  </si>
  <si>
    <t>Tabla 5</t>
  </si>
  <si>
    <t>Tabla 6</t>
  </si>
  <si>
    <t>Tabla 7</t>
  </si>
  <si>
    <t>Tabla 8</t>
  </si>
  <si>
    <t>Tabla 9</t>
  </si>
  <si>
    <t>Tabla 10</t>
  </si>
  <si>
    <t>Tabla 11</t>
  </si>
  <si>
    <t>Tabla 12</t>
  </si>
  <si>
    <t>Tabla 13</t>
  </si>
  <si>
    <t>Tabla 14</t>
  </si>
  <si>
    <t>Tabla 15</t>
  </si>
  <si>
    <t>Tabla 16</t>
  </si>
  <si>
    <t>Tabla 17</t>
  </si>
  <si>
    <t>Tabla 18</t>
  </si>
  <si>
    <t>Figura. 1</t>
  </si>
  <si>
    <t>Figura. 2</t>
  </si>
  <si>
    <t>Figura. 3</t>
  </si>
  <si>
    <t>Figura. 4</t>
  </si>
  <si>
    <t>Figura. 5</t>
  </si>
  <si>
    <t>Figura. 6</t>
  </si>
  <si>
    <t>Figura. 7</t>
  </si>
  <si>
    <t>Figura. 8</t>
  </si>
  <si>
    <t>Figura. 9</t>
  </si>
  <si>
    <t>Figura. 10</t>
  </si>
  <si>
    <t>Figura. 11</t>
  </si>
  <si>
    <t>Figura. 12</t>
  </si>
  <si>
    <t>Figura. 13</t>
  </si>
  <si>
    <t>Figura. 14</t>
  </si>
  <si>
    <t>Figura. 15</t>
  </si>
  <si>
    <t>Figura. 16</t>
  </si>
  <si>
    <t>Figura. 17</t>
  </si>
  <si>
    <t>Figura. 18</t>
  </si>
  <si>
    <t>Mayoria</t>
  </si>
  <si>
    <t>Dimensión 1</t>
  </si>
  <si>
    <t>Dimensión 2</t>
  </si>
  <si>
    <t>Dimensión 3</t>
  </si>
  <si>
    <t>Variable 1</t>
  </si>
  <si>
    <t>Unidad de Medida</t>
  </si>
  <si>
    <t>Calificación verdadera</t>
  </si>
  <si>
    <t>Valor Mayor</t>
  </si>
  <si>
    <t>MAYOR</t>
  </si>
  <si>
    <t>Satisfacción del servicio</t>
  </si>
  <si>
    <t>Satisfacción de los comités del Programa Vaso de Leche</t>
  </si>
  <si>
    <t>Medio</t>
  </si>
  <si>
    <t>Dimensión 1 Variable 1</t>
  </si>
  <si>
    <t>Dimensión 1 Variable 2</t>
  </si>
  <si>
    <t>Dimensión 2 Variable 1</t>
  </si>
  <si>
    <t>Dimensión 3 Variable 1</t>
  </si>
  <si>
    <t>Pruebas de normalidad</t>
  </si>
  <si>
    <t>Kolmogorov-Smirnova</t>
  </si>
  <si>
    <t>Shapiro-Wilk</t>
  </si>
  <si>
    <t>Estadístico</t>
  </si>
  <si>
    <t>gl</t>
  </si>
  <si>
    <t>Sig.</t>
  </si>
  <si>
    <t>a. Corrección de significación de Lilliefors</t>
  </si>
  <si>
    <t>Correlaciones</t>
  </si>
  <si>
    <t>Correlación de Pearson</t>
  </si>
  <si>
    <t>Rho de Spearman</t>
  </si>
  <si>
    <t>Correlación de Rho de Spearman</t>
  </si>
  <si>
    <t>Sig. (bilateral)</t>
  </si>
  <si>
    <t>N</t>
  </si>
  <si>
    <t>**. La correlación es significativa en el nivel 0,01 (2 colas).</t>
  </si>
  <si>
    <t xml:space="preserve"> Dimensión </t>
  </si>
  <si>
    <t xml:space="preserve"> Prueba a utilizar  </t>
  </si>
  <si>
    <t xml:space="preserve"> decición </t>
  </si>
  <si>
    <t xml:space="preserve"> decición concreta  </t>
  </si>
  <si>
    <t>decición de prueba de relación</t>
  </si>
  <si>
    <t xml:space="preserve">Categorización </t>
  </si>
  <si>
    <t xml:space="preserve"> probabilidad de error </t>
  </si>
  <si>
    <t xml:space="preserve"> "r" </t>
  </si>
  <si>
    <t>"Rho"</t>
  </si>
  <si>
    <t>dimensiones</t>
  </si>
  <si>
    <t>Probabilidad de error</t>
  </si>
  <si>
    <t xml:space="preserve">Decición </t>
  </si>
  <si>
    <t>Variable 2</t>
  </si>
  <si>
    <t xml:space="preserve"> Variable </t>
  </si>
  <si>
    <t>Significado</t>
  </si>
  <si>
    <t>Correlación negativa perfecta</t>
  </si>
  <si>
    <t>Correlación negativa muy fuerte</t>
  </si>
  <si>
    <t>Correlación negativa considerable</t>
  </si>
  <si>
    <t>Correlación negativa media</t>
  </si>
  <si>
    <t>Correlación negativa débil</t>
  </si>
  <si>
    <t>Correlación negativa muy débil</t>
  </si>
  <si>
    <t>No existe correlación alguna entre las variables</t>
  </si>
  <si>
    <t>Correlación positiva muy débil</t>
  </si>
  <si>
    <t>Correlación positiva débil</t>
  </si>
  <si>
    <t>Correlación positiva media</t>
  </si>
  <si>
    <t>Correlación positiva considerable</t>
  </si>
  <si>
    <t>Correlación positiva muy fuerte</t>
  </si>
  <si>
    <t>Correlación positiva perfecta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</si>
</sst>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rgb="FF000000"/>
      <name val="Calibri"/>
    </font>
    <font>
      <b/>
      <sz val="10"/>
      <color rgb="FF030303"/>
      <name val="Verdana"/>
    </font>
    <font>
      <b/>
      <sz val="7"/>
      <color rgb="FF030303"/>
      <name val="Verdana"/>
    </font>
    <font>
      <b/>
      <sz val="6"/>
      <color rgb="FF030303"/>
      <name val="Verdana"/>
    </font>
    <font>
      <sz val="10"/>
      <color rgb="FF030303"/>
      <name val="Times New Roman"/>
    </font>
    <font>
      <sz val="10"/>
      <color rgb="FF030303"/>
      <name val="Times new Roman"/>
    </font>
    <font>
      <b/>
      <sz val="12"/>
      <color rgb="FF030303"/>
      <name val="Times New Roman"/>
    </font>
    <font>
      <sz val="10"/>
      <color rgb="FFFFFFFF"/>
      <name val="Times New Roman"/>
    </font>
    <font>
      <b/>
      <sz val="10"/>
      <color rgb="FF030303"/>
      <name val="Times New Roman"/>
    </font>
  </fonts>
  <fills count="14">
    <fill>
      <patternFill patternType="none"/>
    </fill>
    <fill>
      <patternFill patternType="gray125"/>
    </fill>
    <fill>
      <patternFill patternType="solid">
        <fgColor rgb="FFE43B16"/>
        <bgColor rgb="FF000000"/>
      </patternFill>
    </fill>
    <fill>
      <patternFill patternType="solid">
        <fgColor rgb="FF2BAD56"/>
        <bgColor rgb="FF000000"/>
      </patternFill>
    </fill>
    <fill>
      <patternFill patternType="solid">
        <fgColor rgb="FF0000FF"/>
        <bgColor rgb="FF000000"/>
      </patternFill>
    </fill>
    <fill>
      <patternFill patternType="solid">
        <fgColor rgb="FFFFCC00"/>
        <bgColor rgb="FF000000"/>
      </patternFill>
    </fill>
    <fill>
      <patternFill patternType="solid">
        <fgColor rgb="FF8CC563"/>
        <bgColor rgb="FF000000"/>
      </patternFill>
    </fill>
    <fill>
      <patternFill patternType="solid">
        <fgColor rgb="FFBAE704"/>
        <bgColor rgb="FF000000"/>
      </patternFill>
    </fill>
    <fill>
      <patternFill patternType="solid">
        <fgColor rgb="FF68AB46"/>
        <bgColor rgb="FF000000"/>
      </patternFill>
    </fill>
    <fill>
      <patternFill patternType="solid">
        <fgColor rgb="FF7D285D"/>
        <bgColor rgb="FF000000"/>
      </patternFill>
    </fill>
    <fill>
      <patternFill patternType="solid">
        <fgColor rgb="FF9A2E8E"/>
        <bgColor rgb="FF000000"/>
      </patternFill>
    </fill>
    <fill>
      <patternFill patternType="solid">
        <fgColor rgb="FF6CEFAF"/>
        <bgColor rgb="FF000000"/>
      </patternFill>
    </fill>
    <fill>
      <patternFill patternType="solid">
        <fgColor rgb="FFA7E592"/>
        <bgColor rgb="FF000000"/>
      </patternFill>
    </fill>
    <fill>
      <patternFill patternType="solid">
        <fgColor rgb="FFA361AD"/>
        <bgColor rgb="FF000000"/>
      </patternFill>
    </fill>
  </fills>
  <borders count="4">
    <border>
      <left/>
      <right/>
      <top/>
      <bottom/>
      <diagonal/>
    </border>
    <border>
      <left/>
      <right style="medium">
        <color rgb="FF000000"/>
      </right>
      <top/>
      <bottom style="thin">
        <color rgb="FF000000"/>
      </bottom>
      <diagonal/>
    </border>
    <border>
      <left/>
      <right/>
      <top/>
      <bottom style="thin">
        <color rgb="FF000000"/>
      </bottom>
      <diagonal/>
    </border>
    <border>
      <left/>
      <right/>
      <top style="thin">
        <color rgb="FF000000"/>
      </top>
      <bottom style="thin">
        <color rgb="FF000000"/>
      </bottom>
      <diagonal/>
    </border>
  </borders>
  <cellStyleXfs count="1">
    <xf numFmtId="0" fontId="0" fillId="0" borderId="0"/>
  </cellStyleXfs>
  <cellXfs count="61">
    <xf numFmtId="0" fontId="0" fillId="0" borderId="0" xfId="0"/>
    <xf numFmtId="49" fontId="0" fillId="0" borderId="0" xfId="0" applyNumberFormat="1"/>
    <xf numFmtId="9" fontId="0" fillId="0" borderId="0" xfId="0" applyNumberFormat="1"/>
    <xf numFmtId="0" fontId="4" fillId="0" borderId="0" xfId="0" applyFont="1"/>
    <xf numFmtId="0" fontId="0" fillId="6" borderId="0" xfId="0" applyFill="1"/>
    <xf numFmtId="0" fontId="0" fillId="0" borderId="2" xfId="0" applyBorder="1"/>
    <xf numFmtId="0" fontId="0" fillId="0" borderId="3" xfId="0" applyBorder="1"/>
    <xf numFmtId="9" fontId="4" fillId="0" borderId="0" xfId="0" applyNumberFormat="1" applyFont="1"/>
    <xf numFmtId="0" fontId="0" fillId="0" borderId="0" xfId="0" applyAlignment="1">
      <alignment horizontal="center"/>
    </xf>
    <xf numFmtId="0" fontId="4" fillId="0" borderId="0" xfId="0" applyFont="1" applyAlignment="1">
      <alignment horizontal="center"/>
    </xf>
    <xf numFmtId="0" fontId="4" fillId="0" borderId="3" xfId="0" applyFont="1" applyBorder="1" applyAlignment="1">
      <alignment horizontal="center"/>
    </xf>
    <xf numFmtId="0" fontId="4" fillId="0" borderId="2" xfId="0" applyFont="1" applyBorder="1" applyAlignment="1">
      <alignment horizontal="center"/>
    </xf>
    <xf numFmtId="0" fontId="0" fillId="0" borderId="3" xfId="0" applyBorder="1" applyAlignment="1">
      <alignment horizontal="center"/>
    </xf>
    <xf numFmtId="9" fontId="4" fillId="0" borderId="0" xfId="0" applyNumberFormat="1" applyFont="1" applyAlignment="1">
      <alignment horizontal="center"/>
    </xf>
    <xf numFmtId="9" fontId="4" fillId="0" borderId="3" xfId="0" applyNumberFormat="1" applyFont="1" applyBorder="1" applyAlignment="1">
      <alignment horizontal="center"/>
    </xf>
    <xf numFmtId="0" fontId="5" fillId="0" borderId="0" xfId="0" applyFont="1" applyAlignment="1">
      <alignment horizontal="left"/>
    </xf>
    <xf numFmtId="0" fontId="5" fillId="0" borderId="2" xfId="0" applyFont="1" applyBorder="1" applyAlignment="1">
      <alignment horizontal="left"/>
    </xf>
    <xf numFmtId="0" fontId="4" fillId="0" borderId="0" xfId="0" applyFont="1" applyAlignment="1">
      <alignment horizontal="left"/>
    </xf>
    <xf numFmtId="0" fontId="0" fillId="7" borderId="0" xfId="0" applyFill="1"/>
    <xf numFmtId="9" fontId="0" fillId="0" borderId="0" xfId="0" applyNumberFormat="1" applyAlignment="1">
      <alignment horizontal="center"/>
    </xf>
    <xf numFmtId="0" fontId="4" fillId="0" borderId="3" xfId="0" applyFont="1" applyBorder="1" applyAlignment="1">
      <alignment horizontal="left"/>
    </xf>
    <xf numFmtId="0" fontId="7" fillId="0" borderId="0" xfId="0" applyFont="1"/>
    <xf numFmtId="9" fontId="7" fillId="0" borderId="0" xfId="0" applyNumberFormat="1" applyFont="1"/>
    <xf numFmtId="0" fontId="0" fillId="0" borderId="0" xfId="0" applyAlignment="1">
      <alignment wrapText="1"/>
    </xf>
    <xf numFmtId="0" fontId="0" fillId="6" borderId="0" xfId="0" applyFill="1" applyAlignment="1">
      <alignment wrapText="1"/>
    </xf>
    <xf numFmtId="0" fontId="0" fillId="7" borderId="0" xfId="0" applyFill="1" applyAlignment="1">
      <alignment wrapText="1"/>
    </xf>
    <xf numFmtId="0" fontId="0" fillId="8" borderId="0" xfId="0" applyFill="1"/>
    <xf numFmtId="0" fontId="0" fillId="0" borderId="0" xfId="0" applyAlignment="1">
      <alignment horizontal="center" vertical="center"/>
    </xf>
    <xf numFmtId="0" fontId="0" fillId="0" borderId="0" xfId="0" applyAlignment="1">
      <alignment horizontal="center" vertical="center" wrapText="1"/>
    </xf>
    <xf numFmtId="0" fontId="8" fillId="0" borderId="0" xfId="0" applyFont="1" applyAlignment="1">
      <alignment horizontal="center" vertical="center" wrapText="1"/>
    </xf>
    <xf numFmtId="0" fontId="8" fillId="0" borderId="2" xfId="0" applyFont="1" applyBorder="1" applyAlignment="1">
      <alignment horizontal="center" vertical="center" wrapText="1"/>
    </xf>
    <xf numFmtId="0" fontId="4" fillId="0" borderId="2" xfId="0" applyFont="1" applyBorder="1" applyAlignment="1">
      <alignment horizontal="center" vertical="center" wrapText="1"/>
    </xf>
    <xf numFmtId="0" fontId="4" fillId="0" borderId="0" xfId="0" applyFont="1" applyAlignment="1">
      <alignment horizontal="center" vertical="center" wrapText="1"/>
    </xf>
    <xf numFmtId="0" fontId="0" fillId="0" borderId="2" xfId="0" applyBorder="1" applyAlignment="1">
      <alignment horizontal="center" vertical="center" wrapText="1"/>
    </xf>
    <xf numFmtId="0" fontId="0" fillId="9" borderId="0" xfId="0" applyFill="1"/>
    <xf numFmtId="0" fontId="0" fillId="10" borderId="0" xfId="0" applyFill="1"/>
    <xf numFmtId="0" fontId="0" fillId="11" borderId="0" xfId="0" applyFill="1"/>
    <xf numFmtId="0" fontId="0" fillId="12" borderId="0" xfId="0" applyFill="1"/>
    <xf numFmtId="0" fontId="0" fillId="13" borderId="0" xfId="0" applyFill="1"/>
    <xf numFmtId="2" fontId="0" fillId="0" borderId="0" xfId="0" applyNumberFormat="1"/>
    <xf numFmtId="0" fontId="1" fillId="2" borderId="1" xfId="0" applyFont="1" applyFill="1" applyBorder="1"/>
    <xf numFmtId="0" fontId="2" fillId="3" borderId="1" xfId="0" applyFont="1" applyFill="1" applyBorder="1"/>
    <xf numFmtId="0" fontId="0" fillId="3" borderId="1" xfId="0" applyFill="1" applyBorder="1"/>
    <xf numFmtId="49" fontId="0" fillId="0" borderId="0" xfId="0" applyNumberFormat="1"/>
    <xf numFmtId="0" fontId="1" fillId="4" borderId="1" xfId="0" applyFont="1" applyFill="1" applyBorder="1"/>
    <xf numFmtId="0" fontId="3" fillId="0" borderId="0" xfId="0" applyFont="1"/>
    <xf numFmtId="0" fontId="3" fillId="5" borderId="1" xfId="0" applyFont="1" applyFill="1" applyBorder="1"/>
    <xf numFmtId="0" fontId="0" fillId="5" borderId="1" xfId="0" applyFill="1" applyBorder="1"/>
    <xf numFmtId="0" fontId="5" fillId="0" borderId="0" xfId="0" applyFont="1" applyAlignment="1">
      <alignment horizontal="center"/>
    </xf>
    <xf numFmtId="0" fontId="0" fillId="0" borderId="2" xfId="0" applyBorder="1" applyAlignment="1">
      <alignment horizontal="center"/>
    </xf>
    <xf numFmtId="0" fontId="4" fillId="0" borderId="0" xfId="0" applyFont="1" applyAlignment="1">
      <alignment horizontal="center"/>
    </xf>
    <xf numFmtId="0" fontId="4" fillId="0" borderId="2" xfId="0" applyFont="1" applyBorder="1" applyAlignment="1">
      <alignment horizontal="center"/>
    </xf>
    <xf numFmtId="0" fontId="4" fillId="0" borderId="0" xfId="0" applyFont="1" applyAlignment="1">
      <alignment horizontal="left" vertical="center" wrapText="1"/>
    </xf>
    <xf numFmtId="0" fontId="0" fillId="0" borderId="0" xfId="0"/>
    <xf numFmtId="0" fontId="6" fillId="5" borderId="1" xfId="0" applyFont="1" applyFill="1" applyBorder="1" applyAlignment="1">
      <alignment horizontal="center"/>
    </xf>
    <xf numFmtId="0" fontId="6" fillId="0" borderId="0" xfId="0" applyFont="1"/>
    <xf numFmtId="0" fontId="0" fillId="0" borderId="0" xfId="0" applyAlignment="1">
      <alignment wrapText="1"/>
    </xf>
    <xf numFmtId="0" fontId="8" fillId="0" borderId="2" xfId="0" applyFont="1" applyBorder="1" applyAlignment="1">
      <alignment horizontal="center" vertical="center" wrapText="1"/>
    </xf>
    <xf numFmtId="0" fontId="0" fillId="0" borderId="2" xfId="0" applyBorder="1"/>
    <xf numFmtId="0" fontId="8" fillId="0" borderId="0" xfId="0" applyFont="1" applyAlignment="1">
      <alignment horizontal="center" vertical="center" wrapText="1"/>
    </xf>
    <xf numFmtId="0" fontId="4" fillId="0" borderId="0" xfId="0" applyFont="1" applyAlignment="1">
      <alignment horizontal="center" vertical="center" wrapText="1"/>
    </xf>
  </cellXfs>
  <cellStyles count="1">
    <cellStyle name="Normal" xfId="0" builtinId="0"/>
  </cellStyles>
  <dxfs count="0"/>
  <tableStyles count="0" defaultTableStyle="Table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Valoracion (3) Dimension'!$B$1</c:f>
              <c:strCache>
                <c:ptCount val="1"/>
              </c:strCache>
            </c:strRef>
          </c:tx>
          <c:invertIfNegative val="0"/>
          <c:cat>
            <c:strRef>
              <c:f>'Por Valoracion (3) Dimension'!$O$19:$O$21</c:f>
              <c:strCache>
                <c:ptCount val="3"/>
                <c:pt idx="0">
                  <c:v>Bajo</c:v>
                </c:pt>
                <c:pt idx="1">
                  <c:v>Medio </c:v>
                </c:pt>
                <c:pt idx="2">
                  <c:v>Alto</c:v>
                </c:pt>
              </c:strCache>
            </c:strRef>
          </c:cat>
          <c:val>
            <c:numRef>
              <c:f>'Por Valoracion (3) Dimension'!$S$19:$S$21</c:f>
              <c:numCache>
                <c:formatCode>0%</c:formatCode>
                <c:ptCount val="3"/>
                <c:pt idx="0">
                  <c:v>0.17647058823529413</c:v>
                </c:pt>
                <c:pt idx="1">
                  <c:v>0.68166089965397925</c:v>
                </c:pt>
                <c:pt idx="2">
                  <c:v>0.14186851211072665</c:v>
                </c:pt>
              </c:numCache>
            </c:numRef>
          </c:val>
          <c:extLst>
            <c:ext xmlns:c16="http://schemas.microsoft.com/office/drawing/2014/chart" uri="{C3380CC4-5D6E-409C-BE32-E72D297353CC}">
              <c16:uniqueId val="{00000000-3E21-4C35-8AB2-B5019E327CD8}"/>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Valoracion (3) Dimension'!$B$1</c:f>
              <c:strCache>
                <c:ptCount val="1"/>
              </c:strCache>
            </c:strRef>
          </c:tx>
          <c:invertIfNegative val="0"/>
          <c:cat>
            <c:strRef>
              <c:f>'Por Valoracion (3) Dimension'!$AA$19:$AA$21</c:f>
              <c:strCache>
                <c:ptCount val="3"/>
                <c:pt idx="0">
                  <c:v>Bajo</c:v>
                </c:pt>
                <c:pt idx="1">
                  <c:v>Medio </c:v>
                </c:pt>
                <c:pt idx="2">
                  <c:v>Alto</c:v>
                </c:pt>
              </c:strCache>
            </c:strRef>
          </c:cat>
          <c:val>
            <c:numRef>
              <c:f>'Por Valoracion (3) Dimension'!$AE$19:$AE$21</c:f>
              <c:numCache>
                <c:formatCode>0%</c:formatCode>
                <c:ptCount val="3"/>
                <c:pt idx="0">
                  <c:v>0.19031141868512111</c:v>
                </c:pt>
                <c:pt idx="1">
                  <c:v>0.65743944636678198</c:v>
                </c:pt>
                <c:pt idx="2">
                  <c:v>0.15224913494809689</c:v>
                </c:pt>
              </c:numCache>
            </c:numRef>
          </c:val>
          <c:extLst>
            <c:ext xmlns:c16="http://schemas.microsoft.com/office/drawing/2014/chart" uri="{C3380CC4-5D6E-409C-BE32-E72D297353CC}">
              <c16:uniqueId val="{00000000-B7AF-43C2-B319-4D2A6347BBB2}"/>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Valoracion (3) Dimension'!$B$1</c:f>
              <c:strCache>
                <c:ptCount val="1"/>
              </c:strCache>
            </c:strRef>
          </c:tx>
          <c:invertIfNegative val="0"/>
          <c:cat>
            <c:strRef>
              <c:f>'Por Valoracion (3) Dimension'!$AM$19:$AM$21</c:f>
              <c:strCache>
                <c:ptCount val="3"/>
                <c:pt idx="0">
                  <c:v>Bajo</c:v>
                </c:pt>
                <c:pt idx="1">
                  <c:v>Medio </c:v>
                </c:pt>
                <c:pt idx="2">
                  <c:v>Alto</c:v>
                </c:pt>
              </c:strCache>
            </c:strRef>
          </c:cat>
          <c:val>
            <c:numRef>
              <c:f>'Por Valoracion (3) Dimension'!$AQ$19:$AQ$21</c:f>
              <c:numCache>
                <c:formatCode>0%</c:formatCode>
                <c:ptCount val="3"/>
                <c:pt idx="0">
                  <c:v>0.23875432525951557</c:v>
                </c:pt>
                <c:pt idx="1">
                  <c:v>0.643598615916955</c:v>
                </c:pt>
                <c:pt idx="2">
                  <c:v>0.11764705882352941</c:v>
                </c:pt>
              </c:numCache>
            </c:numRef>
          </c:val>
          <c:extLst>
            <c:ext xmlns:c16="http://schemas.microsoft.com/office/drawing/2014/chart" uri="{C3380CC4-5D6E-409C-BE32-E72D297353CC}">
              <c16:uniqueId val="{00000000-1A75-4D58-B745-41BE04E939BF}"/>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Valoracion (3) Dimension'!$B$1</c:f>
              <c:strCache>
                <c:ptCount val="1"/>
              </c:strCache>
            </c:strRef>
          </c:tx>
          <c:invertIfNegative val="0"/>
          <c:cat>
            <c:strRef>
              <c:f>'Por Valoracion (3) Dimension'!$AY$19:$AY$21</c:f>
              <c:strCache>
                <c:ptCount val="3"/>
                <c:pt idx="0">
                  <c:v>Bajo</c:v>
                </c:pt>
                <c:pt idx="1">
                  <c:v>Medio </c:v>
                </c:pt>
                <c:pt idx="2">
                  <c:v>Alto</c:v>
                </c:pt>
              </c:strCache>
            </c:strRef>
          </c:cat>
          <c:val>
            <c:numRef>
              <c:f>'Por Valoracion (3) Dimension'!$BC$19:$BC$21</c:f>
              <c:numCache>
                <c:formatCode>0%</c:formatCode>
                <c:ptCount val="3"/>
                <c:pt idx="0">
                  <c:v>0.17301038062283736</c:v>
                </c:pt>
                <c:pt idx="1">
                  <c:v>0.62283737024221453</c:v>
                </c:pt>
                <c:pt idx="2">
                  <c:v>0.20415224913494809</c:v>
                </c:pt>
              </c:numCache>
            </c:numRef>
          </c:val>
          <c:extLst>
            <c:ext xmlns:c16="http://schemas.microsoft.com/office/drawing/2014/chart" uri="{C3380CC4-5D6E-409C-BE32-E72D297353CC}">
              <c16:uniqueId val="{00000000-1F8A-400E-997E-3F4C379D8B9D}"/>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item'!$D$8:$D$12</c:f>
              <c:strCache>
                <c:ptCount val="5"/>
                <c:pt idx="0">
                  <c:v>Totalmente en desacuerdo</c:v>
                </c:pt>
                <c:pt idx="1">
                  <c:v>En desacuerdo</c:v>
                </c:pt>
                <c:pt idx="2">
                  <c:v>Ni de acuerdo ni en desacuerdo</c:v>
                </c:pt>
                <c:pt idx="3">
                  <c:v>De acuerdo</c:v>
                </c:pt>
                <c:pt idx="4">
                  <c:v>Totalmente de acuerdo</c:v>
                </c:pt>
              </c:strCache>
            </c:strRef>
          </c:cat>
          <c:val>
            <c:numRef>
              <c:f>'Tabulacion por item'!$F$8:$F$12</c:f>
              <c:numCache>
                <c:formatCode>0%</c:formatCode>
                <c:ptCount val="5"/>
                <c:pt idx="0">
                  <c:v>3.4602076124567475E-3</c:v>
                </c:pt>
                <c:pt idx="1">
                  <c:v>0.11764705882352941</c:v>
                </c:pt>
                <c:pt idx="2">
                  <c:v>0.50519031141868509</c:v>
                </c:pt>
                <c:pt idx="3">
                  <c:v>0.34256055363321797</c:v>
                </c:pt>
                <c:pt idx="4">
                  <c:v>3.1141868512110725E-2</c:v>
                </c:pt>
              </c:numCache>
            </c:numRef>
          </c:val>
          <c:extLst>
            <c:ext xmlns:c16="http://schemas.microsoft.com/office/drawing/2014/chart" uri="{C3380CC4-5D6E-409C-BE32-E72D297353CC}">
              <c16:uniqueId val="{00000000-9FCA-4A2B-8E81-D24F3FC6C665}"/>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item'!$M$8:$M$12</c:f>
              <c:strCache>
                <c:ptCount val="5"/>
                <c:pt idx="0">
                  <c:v>Totalmente en desacuerdo</c:v>
                </c:pt>
                <c:pt idx="1">
                  <c:v>En desacuerdo</c:v>
                </c:pt>
                <c:pt idx="2">
                  <c:v>Ni de acuerdo ni en desacuerdo</c:v>
                </c:pt>
                <c:pt idx="3">
                  <c:v>De acuerdo</c:v>
                </c:pt>
                <c:pt idx="4">
                  <c:v>Totalmente de acuerdo</c:v>
                </c:pt>
              </c:strCache>
            </c:strRef>
          </c:cat>
          <c:val>
            <c:numRef>
              <c:f>'Tabulacion por item'!$O$8:$O$12</c:f>
              <c:numCache>
                <c:formatCode>0%</c:formatCode>
                <c:ptCount val="5"/>
                <c:pt idx="0">
                  <c:v>1.384083044982699E-2</c:v>
                </c:pt>
                <c:pt idx="1">
                  <c:v>0.1972318339100346</c:v>
                </c:pt>
                <c:pt idx="2">
                  <c:v>0.51903114186851207</c:v>
                </c:pt>
                <c:pt idx="3">
                  <c:v>0.2491349480968858</c:v>
                </c:pt>
                <c:pt idx="4">
                  <c:v>2.0761245674740483E-2</c:v>
                </c:pt>
              </c:numCache>
            </c:numRef>
          </c:val>
          <c:extLst>
            <c:ext xmlns:c16="http://schemas.microsoft.com/office/drawing/2014/chart" uri="{C3380CC4-5D6E-409C-BE32-E72D297353CC}">
              <c16:uniqueId val="{00000000-EC70-4A95-983D-080B6C4114BB}"/>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item'!$V$8:$V$12</c:f>
              <c:strCache>
                <c:ptCount val="5"/>
                <c:pt idx="0">
                  <c:v>Totalmente en desacuerdo</c:v>
                </c:pt>
                <c:pt idx="1">
                  <c:v>En desacuerdo</c:v>
                </c:pt>
                <c:pt idx="2">
                  <c:v>Ni de acuerdo ni en desacuerdo</c:v>
                </c:pt>
                <c:pt idx="3">
                  <c:v>De acuerdo</c:v>
                </c:pt>
                <c:pt idx="4">
                  <c:v>Totalmente de acuerdo</c:v>
                </c:pt>
              </c:strCache>
            </c:strRef>
          </c:cat>
          <c:val>
            <c:numRef>
              <c:f>'Tabulacion por item'!$X$8:$X$12</c:f>
              <c:numCache>
                <c:formatCode>0%</c:formatCode>
                <c:ptCount val="5"/>
                <c:pt idx="0">
                  <c:v>1.0380622837370242E-2</c:v>
                </c:pt>
                <c:pt idx="1">
                  <c:v>0.16262975778546712</c:v>
                </c:pt>
                <c:pt idx="2">
                  <c:v>0.53633217993079585</c:v>
                </c:pt>
                <c:pt idx="3">
                  <c:v>0.26297577854671278</c:v>
                </c:pt>
                <c:pt idx="4">
                  <c:v>2.768166089965398E-2</c:v>
                </c:pt>
              </c:numCache>
            </c:numRef>
          </c:val>
          <c:extLst>
            <c:ext xmlns:c16="http://schemas.microsoft.com/office/drawing/2014/chart" uri="{C3380CC4-5D6E-409C-BE32-E72D297353CC}">
              <c16:uniqueId val="{00000000-6BD1-451C-B35C-2CA7A538DAC6}"/>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item'!$AE$8:$AE$12</c:f>
              <c:strCache>
                <c:ptCount val="5"/>
                <c:pt idx="0">
                  <c:v>Totalmente en desacuerdo</c:v>
                </c:pt>
                <c:pt idx="1">
                  <c:v>En desacuerdo</c:v>
                </c:pt>
                <c:pt idx="2">
                  <c:v>Ni de acuerdo ni en desacuerdo</c:v>
                </c:pt>
                <c:pt idx="3">
                  <c:v>De acuerdo</c:v>
                </c:pt>
                <c:pt idx="4">
                  <c:v>Totalmente de acuerdo</c:v>
                </c:pt>
              </c:strCache>
            </c:strRef>
          </c:cat>
          <c:val>
            <c:numRef>
              <c:f>'Tabulacion por item'!$AG$8:$AG$12</c:f>
              <c:numCache>
                <c:formatCode>0%</c:formatCode>
                <c:ptCount val="5"/>
                <c:pt idx="0">
                  <c:v>2.0761245674740483E-2</c:v>
                </c:pt>
                <c:pt idx="1">
                  <c:v>0.25951557093425603</c:v>
                </c:pt>
                <c:pt idx="2">
                  <c:v>0.48442906574394462</c:v>
                </c:pt>
                <c:pt idx="3">
                  <c:v>0.20761245674740483</c:v>
                </c:pt>
                <c:pt idx="4">
                  <c:v>2.768166089965398E-2</c:v>
                </c:pt>
              </c:numCache>
            </c:numRef>
          </c:val>
          <c:extLst>
            <c:ext xmlns:c16="http://schemas.microsoft.com/office/drawing/2014/chart" uri="{C3380CC4-5D6E-409C-BE32-E72D297353CC}">
              <c16:uniqueId val="{00000000-35A0-4DEF-9E10-144BE59D4458}"/>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item'!$AN$8:$AN$12</c:f>
              <c:strCache>
                <c:ptCount val="5"/>
                <c:pt idx="0">
                  <c:v>Totalmente en desacuerdo</c:v>
                </c:pt>
                <c:pt idx="1">
                  <c:v>En desacuerdo</c:v>
                </c:pt>
                <c:pt idx="2">
                  <c:v>Ni de acuerdo ni en desacuerdo</c:v>
                </c:pt>
                <c:pt idx="3">
                  <c:v>De acuerdo</c:v>
                </c:pt>
                <c:pt idx="4">
                  <c:v>Totalmente de acuerdo</c:v>
                </c:pt>
              </c:strCache>
            </c:strRef>
          </c:cat>
          <c:val>
            <c:numRef>
              <c:f>'Tabulacion por item'!$AP$8:$AP$12</c:f>
              <c:numCache>
                <c:formatCode>0%</c:formatCode>
                <c:ptCount val="5"/>
                <c:pt idx="0">
                  <c:v>1.0380622837370242E-2</c:v>
                </c:pt>
                <c:pt idx="1">
                  <c:v>0.26297577854671278</c:v>
                </c:pt>
                <c:pt idx="2">
                  <c:v>0.5017301038062284</c:v>
                </c:pt>
                <c:pt idx="3">
                  <c:v>0.21453287197231835</c:v>
                </c:pt>
                <c:pt idx="4">
                  <c:v>1.0380622837370242E-2</c:v>
                </c:pt>
              </c:numCache>
            </c:numRef>
          </c:val>
          <c:extLst>
            <c:ext xmlns:c16="http://schemas.microsoft.com/office/drawing/2014/chart" uri="{C3380CC4-5D6E-409C-BE32-E72D297353CC}">
              <c16:uniqueId val="{00000000-9033-4F8C-AA33-8A9F0B0AC98C}"/>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item'!$AW$8:$AW$12</c:f>
              <c:strCache>
                <c:ptCount val="5"/>
                <c:pt idx="0">
                  <c:v>Totalmente en desacuerdo</c:v>
                </c:pt>
                <c:pt idx="1">
                  <c:v>En desacuerdo</c:v>
                </c:pt>
                <c:pt idx="2">
                  <c:v>Ni de acuerdo ni en desacuerdo</c:v>
                </c:pt>
                <c:pt idx="3">
                  <c:v>De acuerdo</c:v>
                </c:pt>
                <c:pt idx="4">
                  <c:v>Totalmente de acuerdo</c:v>
                </c:pt>
              </c:strCache>
            </c:strRef>
          </c:cat>
          <c:val>
            <c:numRef>
              <c:f>'Tabulacion por item'!$AY$8:$AY$12</c:f>
              <c:numCache>
                <c:formatCode>0%</c:formatCode>
                <c:ptCount val="5"/>
                <c:pt idx="0">
                  <c:v>1.384083044982699E-2</c:v>
                </c:pt>
                <c:pt idx="1">
                  <c:v>0.22145328719723184</c:v>
                </c:pt>
                <c:pt idx="2">
                  <c:v>0.52249134948096887</c:v>
                </c:pt>
                <c:pt idx="3">
                  <c:v>0.2179930795847751</c:v>
                </c:pt>
                <c:pt idx="4">
                  <c:v>2.4221453287197232E-2</c:v>
                </c:pt>
              </c:numCache>
            </c:numRef>
          </c:val>
          <c:extLst>
            <c:ext xmlns:c16="http://schemas.microsoft.com/office/drawing/2014/chart" uri="{C3380CC4-5D6E-409C-BE32-E72D297353CC}">
              <c16:uniqueId val="{00000000-79C1-412B-A347-117E4FDFB731}"/>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item'!$BF$8:$BF$12</c:f>
              <c:strCache>
                <c:ptCount val="5"/>
                <c:pt idx="0">
                  <c:v>Totalmente en desacuerdo</c:v>
                </c:pt>
                <c:pt idx="1">
                  <c:v>En desacuerdo</c:v>
                </c:pt>
                <c:pt idx="2">
                  <c:v>Ni de acuerdo ni en desacuerdo</c:v>
                </c:pt>
                <c:pt idx="3">
                  <c:v>De acuerdo</c:v>
                </c:pt>
                <c:pt idx="4">
                  <c:v>Totalmente de acuerdo</c:v>
                </c:pt>
              </c:strCache>
            </c:strRef>
          </c:cat>
          <c:val>
            <c:numRef>
              <c:f>'Tabulacion por item'!$BH$8:$BH$12</c:f>
              <c:numCache>
                <c:formatCode>0%</c:formatCode>
                <c:ptCount val="5"/>
                <c:pt idx="0">
                  <c:v>1.384083044982699E-2</c:v>
                </c:pt>
                <c:pt idx="1">
                  <c:v>0.25605536332179929</c:v>
                </c:pt>
                <c:pt idx="2">
                  <c:v>0.51903114186851207</c:v>
                </c:pt>
                <c:pt idx="3">
                  <c:v>0.18685121107266436</c:v>
                </c:pt>
                <c:pt idx="4">
                  <c:v>2.4221453287197232E-2</c:v>
                </c:pt>
              </c:numCache>
            </c:numRef>
          </c:val>
          <c:extLst>
            <c:ext xmlns:c16="http://schemas.microsoft.com/office/drawing/2014/chart" uri="{C3380CC4-5D6E-409C-BE32-E72D297353CC}">
              <c16:uniqueId val="{00000000-2496-469C-A149-C16FE4EC4DDF}"/>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item'!$BO$8:$BO$12</c:f>
              <c:strCache>
                <c:ptCount val="5"/>
                <c:pt idx="0">
                  <c:v>Totalmente en desacuerdo</c:v>
                </c:pt>
                <c:pt idx="1">
                  <c:v>En desacuerdo</c:v>
                </c:pt>
                <c:pt idx="2">
                  <c:v>Ni de acuerdo ni en desacuerdo</c:v>
                </c:pt>
                <c:pt idx="3">
                  <c:v>De acuerdo</c:v>
                </c:pt>
                <c:pt idx="4">
                  <c:v>Totalmente de acuerdo</c:v>
                </c:pt>
              </c:strCache>
            </c:strRef>
          </c:cat>
          <c:val>
            <c:numRef>
              <c:f>'Tabulacion por item'!$BQ$8:$BQ$12</c:f>
              <c:numCache>
                <c:formatCode>0%</c:formatCode>
                <c:ptCount val="5"/>
                <c:pt idx="0">
                  <c:v>6.920415224913495E-3</c:v>
                </c:pt>
                <c:pt idx="1">
                  <c:v>0.15224913494809689</c:v>
                </c:pt>
                <c:pt idx="2">
                  <c:v>0.51211072664359858</c:v>
                </c:pt>
                <c:pt idx="3">
                  <c:v>0.29411764705882354</c:v>
                </c:pt>
                <c:pt idx="4">
                  <c:v>3.4602076124567477E-2</c:v>
                </c:pt>
              </c:numCache>
            </c:numRef>
          </c:val>
          <c:extLst>
            <c:ext xmlns:c16="http://schemas.microsoft.com/office/drawing/2014/chart" uri="{C3380CC4-5D6E-409C-BE32-E72D297353CC}">
              <c16:uniqueId val="{00000000-BF2F-4664-ADF8-6A5E910D06E1}"/>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item'!$BX$8:$BX$12</c:f>
              <c:strCache>
                <c:ptCount val="5"/>
                <c:pt idx="0">
                  <c:v>Totalmente en desacuerdo</c:v>
                </c:pt>
                <c:pt idx="1">
                  <c:v>En desacuerdo</c:v>
                </c:pt>
                <c:pt idx="2">
                  <c:v>Ni de acuerdo ni en desacuerdo</c:v>
                </c:pt>
                <c:pt idx="3">
                  <c:v>De acuerdo</c:v>
                </c:pt>
                <c:pt idx="4">
                  <c:v>Totalmente de acuerdo</c:v>
                </c:pt>
              </c:strCache>
            </c:strRef>
          </c:cat>
          <c:val>
            <c:numRef>
              <c:f>'Tabulacion por item'!$BZ$8:$BZ$12</c:f>
              <c:numCache>
                <c:formatCode>0%</c:formatCode>
                <c:ptCount val="5"/>
                <c:pt idx="0">
                  <c:v>1.384083044982699E-2</c:v>
                </c:pt>
                <c:pt idx="1">
                  <c:v>0.25259515570934254</c:v>
                </c:pt>
                <c:pt idx="2">
                  <c:v>0.48442906574394462</c:v>
                </c:pt>
                <c:pt idx="3">
                  <c:v>0.23183391003460208</c:v>
                </c:pt>
                <c:pt idx="4">
                  <c:v>1.7301038062283738E-2</c:v>
                </c:pt>
              </c:numCache>
            </c:numRef>
          </c:val>
          <c:extLst>
            <c:ext xmlns:c16="http://schemas.microsoft.com/office/drawing/2014/chart" uri="{C3380CC4-5D6E-409C-BE32-E72D297353CC}">
              <c16:uniqueId val="{00000000-B348-4102-BE9B-0DC540DF618C}"/>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item'!$CG$8:$CG$12</c:f>
              <c:strCache>
                <c:ptCount val="5"/>
                <c:pt idx="0">
                  <c:v>Totalmente en desacuerdo</c:v>
                </c:pt>
                <c:pt idx="1">
                  <c:v>En desacuerdo</c:v>
                </c:pt>
                <c:pt idx="2">
                  <c:v>Ni de acuerdo ni en desacuerdo</c:v>
                </c:pt>
                <c:pt idx="3">
                  <c:v>De acuerdo</c:v>
                </c:pt>
                <c:pt idx="4">
                  <c:v>Totalmente de acuerdo</c:v>
                </c:pt>
              </c:strCache>
            </c:strRef>
          </c:cat>
          <c:val>
            <c:numRef>
              <c:f>'Tabulacion por item'!$CI$8:$CI$12</c:f>
              <c:numCache>
                <c:formatCode>0%</c:formatCode>
                <c:ptCount val="5"/>
                <c:pt idx="0">
                  <c:v>1.0380622837370242E-2</c:v>
                </c:pt>
                <c:pt idx="1">
                  <c:v>0.23875432525951557</c:v>
                </c:pt>
                <c:pt idx="2">
                  <c:v>0.5017301038062284</c:v>
                </c:pt>
                <c:pt idx="3">
                  <c:v>0.23183391003460208</c:v>
                </c:pt>
                <c:pt idx="4">
                  <c:v>1.7301038062283738E-2</c:v>
                </c:pt>
              </c:numCache>
            </c:numRef>
          </c:val>
          <c:extLst>
            <c:ext xmlns:c16="http://schemas.microsoft.com/office/drawing/2014/chart" uri="{C3380CC4-5D6E-409C-BE32-E72D297353CC}">
              <c16:uniqueId val="{00000000-090B-4B75-9F27-E02674EA5640}"/>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item'!$CP$8:$CP$12</c:f>
              <c:strCache>
                <c:ptCount val="5"/>
                <c:pt idx="0">
                  <c:v>Totalmente en desacuerdo</c:v>
                </c:pt>
                <c:pt idx="1">
                  <c:v>En desacuerdo</c:v>
                </c:pt>
                <c:pt idx="2">
                  <c:v>Ni de acuerdo ni en desacuerdo</c:v>
                </c:pt>
                <c:pt idx="3">
                  <c:v>De acuerdo</c:v>
                </c:pt>
                <c:pt idx="4">
                  <c:v>Totalmente de acuerdo</c:v>
                </c:pt>
              </c:strCache>
            </c:strRef>
          </c:cat>
          <c:val>
            <c:numRef>
              <c:f>'Tabulacion por item'!$CR$8:$CR$12</c:f>
              <c:numCache>
                <c:formatCode>0%</c:formatCode>
                <c:ptCount val="5"/>
                <c:pt idx="0">
                  <c:v>1.384083044982699E-2</c:v>
                </c:pt>
                <c:pt idx="1">
                  <c:v>0.20069204152249134</c:v>
                </c:pt>
                <c:pt idx="2">
                  <c:v>0.50865051903114189</c:v>
                </c:pt>
                <c:pt idx="3">
                  <c:v>0.2491349480968858</c:v>
                </c:pt>
                <c:pt idx="4">
                  <c:v>2.768166089965398E-2</c:v>
                </c:pt>
              </c:numCache>
            </c:numRef>
          </c:val>
          <c:extLst>
            <c:ext xmlns:c16="http://schemas.microsoft.com/office/drawing/2014/chart" uri="{C3380CC4-5D6E-409C-BE32-E72D297353CC}">
              <c16:uniqueId val="{00000000-1AFA-45F5-943D-22D5B0239E08}"/>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item'!$CY$8:$CY$12</c:f>
              <c:strCache>
                <c:ptCount val="5"/>
                <c:pt idx="0">
                  <c:v>Totalmente en desacuerdo</c:v>
                </c:pt>
                <c:pt idx="1">
                  <c:v>En desacuerdo</c:v>
                </c:pt>
                <c:pt idx="2">
                  <c:v>Ni de acuerdo ni en desacuerdo</c:v>
                </c:pt>
                <c:pt idx="3">
                  <c:v>De acuerdo</c:v>
                </c:pt>
                <c:pt idx="4">
                  <c:v>Totalmente de acuerdo</c:v>
                </c:pt>
              </c:strCache>
            </c:strRef>
          </c:cat>
          <c:val>
            <c:numRef>
              <c:f>'Tabulacion por item'!$DA$8:$DA$12</c:f>
              <c:numCache>
                <c:formatCode>0%</c:formatCode>
                <c:ptCount val="5"/>
                <c:pt idx="0">
                  <c:v>6.920415224913495E-3</c:v>
                </c:pt>
                <c:pt idx="1">
                  <c:v>0.20069204152249134</c:v>
                </c:pt>
                <c:pt idx="2">
                  <c:v>0.52595155709342556</c:v>
                </c:pt>
                <c:pt idx="3">
                  <c:v>0.2491349480968858</c:v>
                </c:pt>
                <c:pt idx="4">
                  <c:v>1.7301038062283738E-2</c:v>
                </c:pt>
              </c:numCache>
            </c:numRef>
          </c:val>
          <c:extLst>
            <c:ext xmlns:c16="http://schemas.microsoft.com/office/drawing/2014/chart" uri="{C3380CC4-5D6E-409C-BE32-E72D297353CC}">
              <c16:uniqueId val="{00000000-3A55-4DCA-8D92-59C7B14F7376}"/>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item'!$DH$8:$DH$12</c:f>
              <c:strCache>
                <c:ptCount val="5"/>
                <c:pt idx="0">
                  <c:v>Totalmente en desacuerdo</c:v>
                </c:pt>
                <c:pt idx="1">
                  <c:v>En desacuerdo</c:v>
                </c:pt>
                <c:pt idx="2">
                  <c:v>Ni de acuerdo ni en desacuerdo</c:v>
                </c:pt>
                <c:pt idx="3">
                  <c:v>De acuerdo</c:v>
                </c:pt>
                <c:pt idx="4">
                  <c:v>Totalmente de acuerdo</c:v>
                </c:pt>
              </c:strCache>
            </c:strRef>
          </c:cat>
          <c:val>
            <c:numRef>
              <c:f>'Tabulacion por item'!$DJ$8:$DJ$12</c:f>
              <c:numCache>
                <c:formatCode>0%</c:formatCode>
                <c:ptCount val="5"/>
                <c:pt idx="0">
                  <c:v>2.768166089965398E-2</c:v>
                </c:pt>
                <c:pt idx="1">
                  <c:v>0.29411764705882354</c:v>
                </c:pt>
                <c:pt idx="2">
                  <c:v>0.4671280276816609</c:v>
                </c:pt>
                <c:pt idx="3">
                  <c:v>0.18685121107266436</c:v>
                </c:pt>
                <c:pt idx="4">
                  <c:v>2.4221453287197232E-2</c:v>
                </c:pt>
              </c:numCache>
            </c:numRef>
          </c:val>
          <c:extLst>
            <c:ext xmlns:c16="http://schemas.microsoft.com/office/drawing/2014/chart" uri="{C3380CC4-5D6E-409C-BE32-E72D297353CC}">
              <c16:uniqueId val="{00000000-FE93-4A1B-AF33-21B849DA5BC7}"/>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item'!$DQ$8:$DQ$12</c:f>
              <c:strCache>
                <c:ptCount val="5"/>
                <c:pt idx="0">
                  <c:v>Totalmente en desacuerdo</c:v>
                </c:pt>
                <c:pt idx="1">
                  <c:v>En desacuerdo</c:v>
                </c:pt>
                <c:pt idx="2">
                  <c:v>Ni de acuerdo ni en desacuerdo</c:v>
                </c:pt>
                <c:pt idx="3">
                  <c:v>De acuerdo</c:v>
                </c:pt>
                <c:pt idx="4">
                  <c:v>Totalmente de acuerdo</c:v>
                </c:pt>
              </c:strCache>
            </c:strRef>
          </c:cat>
          <c:val>
            <c:numRef>
              <c:f>'Tabulacion por item'!$DS$8:$DS$12</c:f>
              <c:numCache>
                <c:formatCode>0%</c:formatCode>
                <c:ptCount val="5"/>
                <c:pt idx="0">
                  <c:v>6.920415224913495E-3</c:v>
                </c:pt>
                <c:pt idx="1">
                  <c:v>0.22145328719723184</c:v>
                </c:pt>
                <c:pt idx="2">
                  <c:v>0.51903114186851207</c:v>
                </c:pt>
                <c:pt idx="3">
                  <c:v>0.22491349480968859</c:v>
                </c:pt>
                <c:pt idx="4">
                  <c:v>2.768166089965398E-2</c:v>
                </c:pt>
              </c:numCache>
            </c:numRef>
          </c:val>
          <c:extLst>
            <c:ext xmlns:c16="http://schemas.microsoft.com/office/drawing/2014/chart" uri="{C3380CC4-5D6E-409C-BE32-E72D297353CC}">
              <c16:uniqueId val="{00000000-7E1A-4968-9A95-051F99437B24}"/>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item'!$DZ$8:$DZ$12</c:f>
              <c:strCache>
                <c:ptCount val="5"/>
                <c:pt idx="0">
                  <c:v>Totalmente en desacuerdo</c:v>
                </c:pt>
                <c:pt idx="1">
                  <c:v>En desacuerdo</c:v>
                </c:pt>
                <c:pt idx="2">
                  <c:v>Ni de acuerdo ni en desacuerdo</c:v>
                </c:pt>
                <c:pt idx="3">
                  <c:v>De acuerdo</c:v>
                </c:pt>
                <c:pt idx="4">
                  <c:v>Totalmente de acuerdo</c:v>
                </c:pt>
              </c:strCache>
            </c:strRef>
          </c:cat>
          <c:val>
            <c:numRef>
              <c:f>'Tabulacion por item'!$EB$8:$EB$12</c:f>
              <c:numCache>
                <c:formatCode>0%</c:formatCode>
                <c:ptCount val="5"/>
                <c:pt idx="0">
                  <c:v>2.4221453287197232E-2</c:v>
                </c:pt>
                <c:pt idx="1">
                  <c:v>0.26643598615916952</c:v>
                </c:pt>
                <c:pt idx="2">
                  <c:v>0.49480968858131485</c:v>
                </c:pt>
                <c:pt idx="3">
                  <c:v>0.19377162629757785</c:v>
                </c:pt>
                <c:pt idx="4">
                  <c:v>2.0761245674740483E-2</c:v>
                </c:pt>
              </c:numCache>
            </c:numRef>
          </c:val>
          <c:extLst>
            <c:ext xmlns:c16="http://schemas.microsoft.com/office/drawing/2014/chart" uri="{C3380CC4-5D6E-409C-BE32-E72D297353CC}">
              <c16:uniqueId val="{00000000-D0E9-4DCE-8935-F97712B55F49}"/>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item'!$EI$8:$EI$12</c:f>
              <c:strCache>
                <c:ptCount val="5"/>
                <c:pt idx="0">
                  <c:v>Totalmente en desacuerdo</c:v>
                </c:pt>
                <c:pt idx="1">
                  <c:v>En desacuerdo</c:v>
                </c:pt>
                <c:pt idx="2">
                  <c:v>Ni de acuerdo ni en desacuerdo</c:v>
                </c:pt>
                <c:pt idx="3">
                  <c:v>De acuerdo</c:v>
                </c:pt>
                <c:pt idx="4">
                  <c:v>Totalmente de acuerdo</c:v>
                </c:pt>
              </c:strCache>
            </c:strRef>
          </c:cat>
          <c:val>
            <c:numRef>
              <c:f>'Tabulacion por item'!$EK$8:$EK$12</c:f>
              <c:numCache>
                <c:formatCode>0%</c:formatCode>
                <c:ptCount val="5"/>
                <c:pt idx="0">
                  <c:v>1.384083044982699E-2</c:v>
                </c:pt>
                <c:pt idx="1">
                  <c:v>0.20415224913494809</c:v>
                </c:pt>
                <c:pt idx="2">
                  <c:v>0.55017301038062283</c:v>
                </c:pt>
                <c:pt idx="3">
                  <c:v>0.21107266435986158</c:v>
                </c:pt>
                <c:pt idx="4">
                  <c:v>2.0761245674740483E-2</c:v>
                </c:pt>
              </c:numCache>
            </c:numRef>
          </c:val>
          <c:extLst>
            <c:ext xmlns:c16="http://schemas.microsoft.com/office/drawing/2014/chart" uri="{C3380CC4-5D6E-409C-BE32-E72D297353CC}">
              <c16:uniqueId val="{00000000-F71C-480B-AE04-047D4B71B5A3}"/>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item'!$ER$8:$ER$12</c:f>
              <c:strCache>
                <c:ptCount val="5"/>
                <c:pt idx="0">
                  <c:v>Totalmente en desacuerdo</c:v>
                </c:pt>
                <c:pt idx="1">
                  <c:v>En desacuerdo</c:v>
                </c:pt>
                <c:pt idx="2">
                  <c:v>Ni de acuerdo ni en desacuerdo</c:v>
                </c:pt>
                <c:pt idx="3">
                  <c:v>De acuerdo</c:v>
                </c:pt>
                <c:pt idx="4">
                  <c:v>Totalmente de acuerdo</c:v>
                </c:pt>
              </c:strCache>
            </c:strRef>
          </c:cat>
          <c:val>
            <c:numRef>
              <c:f>'Tabulacion por item'!$ET$8:$ET$12</c:f>
              <c:numCache>
                <c:formatCode>0%</c:formatCode>
                <c:ptCount val="5"/>
                <c:pt idx="0">
                  <c:v>3.1141868512110725E-2</c:v>
                </c:pt>
                <c:pt idx="1">
                  <c:v>0.33564013840830448</c:v>
                </c:pt>
                <c:pt idx="2">
                  <c:v>0.47750865051903113</c:v>
                </c:pt>
                <c:pt idx="3">
                  <c:v>0.13840830449826991</c:v>
                </c:pt>
                <c:pt idx="4">
                  <c:v>1.7301038062283738E-2</c:v>
                </c:pt>
              </c:numCache>
            </c:numRef>
          </c:val>
          <c:extLst>
            <c:ext xmlns:c16="http://schemas.microsoft.com/office/drawing/2014/chart" uri="{C3380CC4-5D6E-409C-BE32-E72D297353CC}">
              <c16:uniqueId val="{00000000-9C3C-44F8-8EB5-2EFC214AA52A}"/>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item'!$B$1</c:f>
              <c:strCache>
                <c:ptCount val="1"/>
              </c:strCache>
            </c:strRef>
          </c:tx>
          <c:invertIfNegative val="0"/>
          <c:cat>
            <c:strRef>
              <c:f>'Tabulacion por item'!$FA$8:$FA$12</c:f>
              <c:strCache>
                <c:ptCount val="5"/>
                <c:pt idx="0">
                  <c:v>Totalmente en desacuerdo</c:v>
                </c:pt>
                <c:pt idx="1">
                  <c:v>En desacuerdo</c:v>
                </c:pt>
                <c:pt idx="2">
                  <c:v>Ni de acuerdo ni en desacuerdo</c:v>
                </c:pt>
                <c:pt idx="3">
                  <c:v>De acuerdo</c:v>
                </c:pt>
                <c:pt idx="4">
                  <c:v>Totalmente de acuerdo</c:v>
                </c:pt>
              </c:strCache>
            </c:strRef>
          </c:cat>
          <c:val>
            <c:numRef>
              <c:f>'Tabulacion por item'!$FC$8:$FC$12</c:f>
              <c:numCache>
                <c:formatCode>0%</c:formatCode>
                <c:ptCount val="5"/>
                <c:pt idx="0">
                  <c:v>1.384083044982699E-2</c:v>
                </c:pt>
                <c:pt idx="1">
                  <c:v>0.20069204152249134</c:v>
                </c:pt>
                <c:pt idx="2">
                  <c:v>0.49480968858131485</c:v>
                </c:pt>
                <c:pt idx="3">
                  <c:v>0.25951557093425603</c:v>
                </c:pt>
                <c:pt idx="4">
                  <c:v>3.1141868512110725E-2</c:v>
                </c:pt>
              </c:numCache>
            </c:numRef>
          </c:val>
          <c:extLst>
            <c:ext xmlns:c16="http://schemas.microsoft.com/office/drawing/2014/chart" uri="{C3380CC4-5D6E-409C-BE32-E72D297353CC}">
              <c16:uniqueId val="{00000000-F2F9-4CD5-B0FA-6BA646BAC1EC}"/>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conteo Dimension'!$B$1</c:f>
              <c:strCache>
                <c:ptCount val="1"/>
              </c:strCache>
            </c:strRef>
          </c:tx>
          <c:invertIfNegative val="0"/>
          <c:cat>
            <c:strRef>
              <c:f>'Por conteo Dimension'!$D$8:$D$12</c:f>
              <c:strCache>
                <c:ptCount val="5"/>
                <c:pt idx="0">
                  <c:v>Totalmente en desacuerdo</c:v>
                </c:pt>
                <c:pt idx="1">
                  <c:v>En desacuerdo</c:v>
                </c:pt>
                <c:pt idx="2">
                  <c:v>Ni de acuerdo ni en desacuerdo</c:v>
                </c:pt>
                <c:pt idx="3">
                  <c:v>De acuerdo</c:v>
                </c:pt>
                <c:pt idx="4">
                  <c:v>Totalmente de acuerdo</c:v>
                </c:pt>
              </c:strCache>
            </c:strRef>
          </c:cat>
          <c:val>
            <c:numRef>
              <c:f>'Por conteo Dimension'!$F$8:$F$12</c:f>
              <c:numCache>
                <c:formatCode>0%</c:formatCode>
                <c:ptCount val="5"/>
                <c:pt idx="0">
                  <c:v>1.2110726643598616E-2</c:v>
                </c:pt>
                <c:pt idx="1">
                  <c:v>0.2035755478662053</c:v>
                </c:pt>
                <c:pt idx="2">
                  <c:v>0.51153402537485582</c:v>
                </c:pt>
                <c:pt idx="3">
                  <c:v>0.2491349480968858</c:v>
                </c:pt>
                <c:pt idx="4">
                  <c:v>2.3644752018454441E-2</c:v>
                </c:pt>
              </c:numCache>
            </c:numRef>
          </c:val>
          <c:extLst>
            <c:ext xmlns:c16="http://schemas.microsoft.com/office/drawing/2014/chart" uri="{C3380CC4-5D6E-409C-BE32-E72D297353CC}">
              <c16:uniqueId val="{00000000-11A0-494F-8ABB-DB3CD7D773B1}"/>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conteo Dimension'!$B$1</c:f>
              <c:strCache>
                <c:ptCount val="1"/>
              </c:strCache>
            </c:strRef>
          </c:tx>
          <c:invertIfNegative val="0"/>
          <c:cat>
            <c:strRef>
              <c:f>'Por conteo Dimension'!$M$8:$M$12</c:f>
              <c:strCache>
                <c:ptCount val="5"/>
                <c:pt idx="0">
                  <c:v>Totalmente en desacuerdo</c:v>
                </c:pt>
                <c:pt idx="1">
                  <c:v>En desacuerdo</c:v>
                </c:pt>
                <c:pt idx="2">
                  <c:v>Ni de acuerdo ni en desacuerdo</c:v>
                </c:pt>
                <c:pt idx="3">
                  <c:v>De acuerdo</c:v>
                </c:pt>
                <c:pt idx="4">
                  <c:v>Totalmente de acuerdo</c:v>
                </c:pt>
              </c:strCache>
            </c:strRef>
          </c:cat>
          <c:val>
            <c:numRef>
              <c:f>'Por conteo Dimension'!$O$8:$O$12</c:f>
              <c:numCache>
                <c:formatCode>0%</c:formatCode>
                <c:ptCount val="5"/>
                <c:pt idx="0">
                  <c:v>1.0957324106113034E-2</c:v>
                </c:pt>
                <c:pt idx="1">
                  <c:v>0.21683967704728951</c:v>
                </c:pt>
                <c:pt idx="2">
                  <c:v>0.50865051903114189</c:v>
                </c:pt>
                <c:pt idx="3">
                  <c:v>0.24048442906574394</c:v>
                </c:pt>
                <c:pt idx="4">
                  <c:v>2.306805074971165E-2</c:v>
                </c:pt>
              </c:numCache>
            </c:numRef>
          </c:val>
          <c:extLst>
            <c:ext xmlns:c16="http://schemas.microsoft.com/office/drawing/2014/chart" uri="{C3380CC4-5D6E-409C-BE32-E72D297353CC}">
              <c16:uniqueId val="{00000000-E869-4120-B226-21C8CAB80AB5}"/>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conteo Dimension'!$B$1</c:f>
              <c:strCache>
                <c:ptCount val="1"/>
              </c:strCache>
            </c:strRef>
          </c:tx>
          <c:invertIfNegative val="0"/>
          <c:cat>
            <c:strRef>
              <c:f>'Por conteo Dimension'!$V$8:$V$12</c:f>
              <c:strCache>
                <c:ptCount val="5"/>
                <c:pt idx="0">
                  <c:v>Totalmente en desacuerdo</c:v>
                </c:pt>
                <c:pt idx="1">
                  <c:v>En desacuerdo</c:v>
                </c:pt>
                <c:pt idx="2">
                  <c:v>Ni de acuerdo ni en desacuerdo</c:v>
                </c:pt>
                <c:pt idx="3">
                  <c:v>De acuerdo</c:v>
                </c:pt>
                <c:pt idx="4">
                  <c:v>Totalmente de acuerdo</c:v>
                </c:pt>
              </c:strCache>
            </c:strRef>
          </c:cat>
          <c:val>
            <c:numRef>
              <c:f>'Por conteo Dimension'!$X$8:$X$12</c:f>
              <c:numCache>
                <c:formatCode>0%</c:formatCode>
                <c:ptCount val="5"/>
                <c:pt idx="0">
                  <c:v>1.9607843137254902E-2</c:v>
                </c:pt>
                <c:pt idx="1">
                  <c:v>0.25374855824682813</c:v>
                </c:pt>
                <c:pt idx="2">
                  <c:v>0.50057670126874276</c:v>
                </c:pt>
                <c:pt idx="3">
                  <c:v>0.20242214532871972</c:v>
                </c:pt>
                <c:pt idx="4">
                  <c:v>2.3644752018454441E-2</c:v>
                </c:pt>
              </c:numCache>
            </c:numRef>
          </c:val>
          <c:extLst>
            <c:ext xmlns:c16="http://schemas.microsoft.com/office/drawing/2014/chart" uri="{C3380CC4-5D6E-409C-BE32-E72D297353CC}">
              <c16:uniqueId val="{00000000-0FB8-4CE7-912E-5F78A35C8869}"/>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conteo Dimension'!$B$1</c:f>
              <c:strCache>
                <c:ptCount val="1"/>
              </c:strCache>
            </c:strRef>
          </c:tx>
          <c:invertIfNegative val="0"/>
          <c:cat>
            <c:strRef>
              <c:f>'Por conteo Dimension'!$AE$8:$AE$12</c:f>
              <c:strCache>
                <c:ptCount val="5"/>
                <c:pt idx="0">
                  <c:v>Totalmente en desacuerdo</c:v>
                </c:pt>
                <c:pt idx="1">
                  <c:v>En desacuerdo</c:v>
                </c:pt>
                <c:pt idx="2">
                  <c:v>Ni de acuerdo ni en desacuerdo</c:v>
                </c:pt>
                <c:pt idx="3">
                  <c:v>De acuerdo</c:v>
                </c:pt>
                <c:pt idx="4">
                  <c:v>Totalmente de acuerdo</c:v>
                </c:pt>
              </c:strCache>
            </c:strRef>
          </c:cat>
          <c:val>
            <c:numRef>
              <c:f>'Por conteo Dimension'!$AG$8:$AG$12</c:f>
              <c:numCache>
                <c:formatCode>0%</c:formatCode>
                <c:ptCount val="5"/>
                <c:pt idx="0">
                  <c:v>1.4225297962322183E-2</c:v>
                </c:pt>
                <c:pt idx="1">
                  <c:v>0.22472126105344098</c:v>
                </c:pt>
                <c:pt idx="2">
                  <c:v>0.50692041522491349</c:v>
                </c:pt>
                <c:pt idx="3">
                  <c:v>0.23068050749711649</c:v>
                </c:pt>
                <c:pt idx="4">
                  <c:v>2.3452518262206845E-2</c:v>
                </c:pt>
              </c:numCache>
            </c:numRef>
          </c:val>
          <c:extLst>
            <c:ext xmlns:c16="http://schemas.microsoft.com/office/drawing/2014/chart" uri="{C3380CC4-5D6E-409C-BE32-E72D297353CC}">
              <c16:uniqueId val="{00000000-9ECA-48D7-ACDC-F235B3F7D72C}"/>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Valoracion (3) Dimension 2'!$B$1</c:f>
              <c:strCache>
                <c:ptCount val="1"/>
              </c:strCache>
            </c:strRef>
          </c:tx>
          <c:invertIfNegative val="0"/>
          <c:cat>
            <c:strRef>
              <c:f>'Por Valoracion (3) Dimension 2'!$K$19:$K$21</c:f>
              <c:strCache>
                <c:ptCount val="3"/>
                <c:pt idx="0">
                  <c:v>Bajo</c:v>
                </c:pt>
                <c:pt idx="1">
                  <c:v>Medio</c:v>
                </c:pt>
                <c:pt idx="2">
                  <c:v>Alto</c:v>
                </c:pt>
              </c:strCache>
            </c:strRef>
          </c:cat>
          <c:val>
            <c:numRef>
              <c:f>'Por Valoracion (3) Dimension 2'!$O$19:$O$21</c:f>
              <c:numCache>
                <c:formatCode>0%</c:formatCode>
                <c:ptCount val="3"/>
                <c:pt idx="0">
                  <c:v>0.19377162629757785</c:v>
                </c:pt>
                <c:pt idx="1">
                  <c:v>0.65743944636678198</c:v>
                </c:pt>
                <c:pt idx="2">
                  <c:v>0.14878892733564014</c:v>
                </c:pt>
              </c:numCache>
            </c:numRef>
          </c:val>
          <c:extLst>
            <c:ext xmlns:c16="http://schemas.microsoft.com/office/drawing/2014/chart" uri="{C3380CC4-5D6E-409C-BE32-E72D297353CC}">
              <c16:uniqueId val="{00000000-A8DB-433B-85E0-DB19AD3426A1}"/>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Valoracion (3) Dimension 2'!$B$1</c:f>
              <c:strCache>
                <c:ptCount val="1"/>
              </c:strCache>
            </c:strRef>
          </c:tx>
          <c:invertIfNegative val="0"/>
          <c:cat>
            <c:strRef>
              <c:f>'Por Valoracion (3) Dimension 2'!$W$19:$W$21</c:f>
              <c:strCache>
                <c:ptCount val="3"/>
                <c:pt idx="0">
                  <c:v>Bajo</c:v>
                </c:pt>
                <c:pt idx="1">
                  <c:v>Medio</c:v>
                </c:pt>
                <c:pt idx="2">
                  <c:v>Alto</c:v>
                </c:pt>
              </c:strCache>
            </c:strRef>
          </c:cat>
          <c:val>
            <c:numRef>
              <c:f>'Por Valoracion (3) Dimension 2'!$AA$19:$AA$21</c:f>
              <c:numCache>
                <c:formatCode>0%</c:formatCode>
                <c:ptCount val="3"/>
                <c:pt idx="0">
                  <c:v>0.15224913494809689</c:v>
                </c:pt>
                <c:pt idx="1">
                  <c:v>0.65397923875432529</c:v>
                </c:pt>
                <c:pt idx="2">
                  <c:v>0.19377162629757785</c:v>
                </c:pt>
              </c:numCache>
            </c:numRef>
          </c:val>
          <c:extLst>
            <c:ext xmlns:c16="http://schemas.microsoft.com/office/drawing/2014/chart" uri="{C3380CC4-5D6E-409C-BE32-E72D297353CC}">
              <c16:uniqueId val="{00000000-B788-4263-A651-382DABCF8DD6}"/>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2'!$D$8:$D$12</c:f>
              <c:strCache>
                <c:ptCount val="5"/>
                <c:pt idx="0">
                  <c:v>Totalmente en desacuerdo</c:v>
                </c:pt>
                <c:pt idx="1">
                  <c:v>En desacuerdo</c:v>
                </c:pt>
                <c:pt idx="2">
                  <c:v>Ni de acuerdo ni en desacuerdo</c:v>
                </c:pt>
                <c:pt idx="3">
                  <c:v>De acuerdo</c:v>
                </c:pt>
                <c:pt idx="4">
                  <c:v>Totalmente de acuerdo</c:v>
                </c:pt>
              </c:strCache>
            </c:strRef>
          </c:cat>
          <c:val>
            <c:numRef>
              <c:f>'Tabulacion por item 2'!$F$8:$F$12</c:f>
              <c:numCache>
                <c:formatCode>0%</c:formatCode>
                <c:ptCount val="5"/>
                <c:pt idx="0">
                  <c:v>1.0380622837370242E-2</c:v>
                </c:pt>
                <c:pt idx="1">
                  <c:v>0.2491349480968858</c:v>
                </c:pt>
                <c:pt idx="2">
                  <c:v>0.52595155709342556</c:v>
                </c:pt>
                <c:pt idx="3">
                  <c:v>0.20069204152249134</c:v>
                </c:pt>
                <c:pt idx="4">
                  <c:v>1.384083044982699E-2</c:v>
                </c:pt>
              </c:numCache>
            </c:numRef>
          </c:val>
          <c:extLst>
            <c:ext xmlns:c16="http://schemas.microsoft.com/office/drawing/2014/chart" uri="{C3380CC4-5D6E-409C-BE32-E72D297353CC}">
              <c16:uniqueId val="{00000000-9EA8-4870-A322-DAEACA9C8CE7}"/>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2'!$M$8:$M$12</c:f>
              <c:strCache>
                <c:ptCount val="5"/>
                <c:pt idx="0">
                  <c:v>Totalmente en desacuerdo</c:v>
                </c:pt>
                <c:pt idx="1">
                  <c:v>En desacuerdo</c:v>
                </c:pt>
                <c:pt idx="2">
                  <c:v>Ni de acuerdo ni en desacuerdo</c:v>
                </c:pt>
                <c:pt idx="3">
                  <c:v>De acuerdo</c:v>
                </c:pt>
                <c:pt idx="4">
                  <c:v>Totalmente de acuerdo</c:v>
                </c:pt>
              </c:strCache>
            </c:strRef>
          </c:cat>
          <c:val>
            <c:numRef>
              <c:f>'Tabulacion por item 2'!$O$8:$O$12</c:f>
              <c:numCache>
                <c:formatCode>0%</c:formatCode>
                <c:ptCount val="5"/>
                <c:pt idx="0">
                  <c:v>1.384083044982699E-2</c:v>
                </c:pt>
                <c:pt idx="1">
                  <c:v>0.23529411764705882</c:v>
                </c:pt>
                <c:pt idx="2">
                  <c:v>0.51557093425605538</c:v>
                </c:pt>
                <c:pt idx="3">
                  <c:v>0.21107266435986158</c:v>
                </c:pt>
                <c:pt idx="4">
                  <c:v>2.4221453287197232E-2</c:v>
                </c:pt>
              </c:numCache>
            </c:numRef>
          </c:val>
          <c:extLst>
            <c:ext xmlns:c16="http://schemas.microsoft.com/office/drawing/2014/chart" uri="{C3380CC4-5D6E-409C-BE32-E72D297353CC}">
              <c16:uniqueId val="{00000000-7DC9-401B-853C-63E75493AA3D}"/>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2'!$V$8:$V$12</c:f>
              <c:strCache>
                <c:ptCount val="5"/>
                <c:pt idx="0">
                  <c:v>Totalmente en desacuerdo</c:v>
                </c:pt>
                <c:pt idx="1">
                  <c:v>En desacuerdo</c:v>
                </c:pt>
                <c:pt idx="2">
                  <c:v>Ni de acuerdo ni en desacuerdo</c:v>
                </c:pt>
                <c:pt idx="3">
                  <c:v>De acuerdo</c:v>
                </c:pt>
                <c:pt idx="4">
                  <c:v>Totalmente de acuerdo</c:v>
                </c:pt>
              </c:strCache>
            </c:strRef>
          </c:cat>
          <c:val>
            <c:numRef>
              <c:f>'Tabulacion por item 2'!$X$8:$X$12</c:f>
              <c:numCache>
                <c:formatCode>0%</c:formatCode>
                <c:ptCount val="5"/>
                <c:pt idx="0">
                  <c:v>6.920415224913495E-3</c:v>
                </c:pt>
                <c:pt idx="1">
                  <c:v>0.11418685121107267</c:v>
                </c:pt>
                <c:pt idx="2">
                  <c:v>0.53287197231833905</c:v>
                </c:pt>
                <c:pt idx="3">
                  <c:v>0.31833910034602075</c:v>
                </c:pt>
                <c:pt idx="4">
                  <c:v>2.768166089965398E-2</c:v>
                </c:pt>
              </c:numCache>
            </c:numRef>
          </c:val>
          <c:extLst>
            <c:ext xmlns:c16="http://schemas.microsoft.com/office/drawing/2014/chart" uri="{C3380CC4-5D6E-409C-BE32-E72D297353CC}">
              <c16:uniqueId val="{00000000-C0C3-415D-87E0-7FBAF77865A6}"/>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2'!$AE$8:$AE$12</c:f>
              <c:strCache>
                <c:ptCount val="5"/>
                <c:pt idx="0">
                  <c:v>Totalmente en desacuerdo</c:v>
                </c:pt>
                <c:pt idx="1">
                  <c:v>En desacuerdo</c:v>
                </c:pt>
                <c:pt idx="2">
                  <c:v>Ni de acuerdo ni en desacuerdo</c:v>
                </c:pt>
                <c:pt idx="3">
                  <c:v>De acuerdo</c:v>
                </c:pt>
                <c:pt idx="4">
                  <c:v>Totalmente de acuerdo</c:v>
                </c:pt>
              </c:strCache>
            </c:strRef>
          </c:cat>
          <c:val>
            <c:numRef>
              <c:f>'Tabulacion por item 2'!$AG$8:$AG$12</c:f>
              <c:numCache>
                <c:formatCode>0%</c:formatCode>
                <c:ptCount val="5"/>
                <c:pt idx="0">
                  <c:v>1.7301038062283738E-2</c:v>
                </c:pt>
                <c:pt idx="1">
                  <c:v>0.19031141868512111</c:v>
                </c:pt>
                <c:pt idx="2">
                  <c:v>0.53633217993079585</c:v>
                </c:pt>
                <c:pt idx="3">
                  <c:v>0.23183391003460208</c:v>
                </c:pt>
                <c:pt idx="4">
                  <c:v>2.4221453287197232E-2</c:v>
                </c:pt>
              </c:numCache>
            </c:numRef>
          </c:val>
          <c:extLst>
            <c:ext xmlns:c16="http://schemas.microsoft.com/office/drawing/2014/chart" uri="{C3380CC4-5D6E-409C-BE32-E72D297353CC}">
              <c16:uniqueId val="{00000000-1762-42E9-8FF7-200B0CC5FAE6}"/>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2'!$AN$8:$AN$12</c:f>
              <c:strCache>
                <c:ptCount val="5"/>
                <c:pt idx="0">
                  <c:v>Totalmente en desacuerdo</c:v>
                </c:pt>
                <c:pt idx="1">
                  <c:v>En desacuerdo</c:v>
                </c:pt>
                <c:pt idx="2">
                  <c:v>Ni de acuerdo ni en desacuerdo</c:v>
                </c:pt>
                <c:pt idx="3">
                  <c:v>De acuerdo</c:v>
                </c:pt>
                <c:pt idx="4">
                  <c:v>Totalmente de acuerdo</c:v>
                </c:pt>
              </c:strCache>
            </c:strRef>
          </c:cat>
          <c:val>
            <c:numRef>
              <c:f>'Tabulacion por item 2'!$AP$8:$AP$12</c:f>
              <c:numCache>
                <c:formatCode>0%</c:formatCode>
                <c:ptCount val="5"/>
                <c:pt idx="0">
                  <c:v>6.920415224913495E-3</c:v>
                </c:pt>
                <c:pt idx="1">
                  <c:v>0.12110726643598616</c:v>
                </c:pt>
                <c:pt idx="2">
                  <c:v>0.56401384083044981</c:v>
                </c:pt>
                <c:pt idx="3">
                  <c:v>0.27335640138408307</c:v>
                </c:pt>
                <c:pt idx="4">
                  <c:v>3.4602076124567477E-2</c:v>
                </c:pt>
              </c:numCache>
            </c:numRef>
          </c:val>
          <c:extLst>
            <c:ext xmlns:c16="http://schemas.microsoft.com/office/drawing/2014/chart" uri="{C3380CC4-5D6E-409C-BE32-E72D297353CC}">
              <c16:uniqueId val="{00000000-471A-44E3-9000-87F7D96A486C}"/>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2'!$AW$8:$AW$12</c:f>
              <c:strCache>
                <c:ptCount val="5"/>
                <c:pt idx="0">
                  <c:v>Totalmente en desacuerdo</c:v>
                </c:pt>
                <c:pt idx="1">
                  <c:v>En desacuerdo</c:v>
                </c:pt>
                <c:pt idx="2">
                  <c:v>Ni de acuerdo ni en desacuerdo</c:v>
                </c:pt>
                <c:pt idx="3">
                  <c:v>De acuerdo</c:v>
                </c:pt>
                <c:pt idx="4">
                  <c:v>Totalmente de acuerdo</c:v>
                </c:pt>
              </c:strCache>
            </c:strRef>
          </c:cat>
          <c:val>
            <c:numRef>
              <c:f>'Tabulacion por item 2'!$AY$8:$AY$12</c:f>
              <c:numCache>
                <c:formatCode>0%</c:formatCode>
                <c:ptCount val="5"/>
                <c:pt idx="0">
                  <c:v>2.0761245674740483E-2</c:v>
                </c:pt>
                <c:pt idx="1">
                  <c:v>0.3217993079584775</c:v>
                </c:pt>
                <c:pt idx="2">
                  <c:v>0.54325259515570934</c:v>
                </c:pt>
                <c:pt idx="3">
                  <c:v>0.10726643598615918</c:v>
                </c:pt>
                <c:pt idx="4">
                  <c:v>6.920415224913495E-3</c:v>
                </c:pt>
              </c:numCache>
            </c:numRef>
          </c:val>
          <c:extLst>
            <c:ext xmlns:c16="http://schemas.microsoft.com/office/drawing/2014/chart" uri="{C3380CC4-5D6E-409C-BE32-E72D297353CC}">
              <c16:uniqueId val="{00000000-6B0D-4F81-B2EC-4DB236E1E67D}"/>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2'!$BF$8:$BF$12</c:f>
              <c:strCache>
                <c:ptCount val="5"/>
                <c:pt idx="0">
                  <c:v>Totalmente en desacuerdo</c:v>
                </c:pt>
                <c:pt idx="1">
                  <c:v>En desacuerdo</c:v>
                </c:pt>
                <c:pt idx="2">
                  <c:v>Ni de acuerdo ni en desacuerdo</c:v>
                </c:pt>
                <c:pt idx="3">
                  <c:v>De acuerdo</c:v>
                </c:pt>
                <c:pt idx="4">
                  <c:v>Totalmente de acuerdo</c:v>
                </c:pt>
              </c:strCache>
            </c:strRef>
          </c:cat>
          <c:val>
            <c:numRef>
              <c:f>'Tabulacion por item 2'!$BH$8:$BH$12</c:f>
              <c:numCache>
                <c:formatCode>0%</c:formatCode>
                <c:ptCount val="5"/>
                <c:pt idx="0">
                  <c:v>1.0380622837370242E-2</c:v>
                </c:pt>
                <c:pt idx="1">
                  <c:v>0.24567474048442905</c:v>
                </c:pt>
                <c:pt idx="2">
                  <c:v>0.4982698961937716</c:v>
                </c:pt>
                <c:pt idx="3">
                  <c:v>0.2179930795847751</c:v>
                </c:pt>
                <c:pt idx="4">
                  <c:v>2.768166089965398E-2</c:v>
                </c:pt>
              </c:numCache>
            </c:numRef>
          </c:val>
          <c:extLst>
            <c:ext xmlns:c16="http://schemas.microsoft.com/office/drawing/2014/chart" uri="{C3380CC4-5D6E-409C-BE32-E72D297353CC}">
              <c16:uniqueId val="{00000000-32CA-4E52-8D61-52E0852A4165}"/>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2'!$BO$8:$BO$12</c:f>
              <c:strCache>
                <c:ptCount val="5"/>
                <c:pt idx="0">
                  <c:v>Totalmente en desacuerdo</c:v>
                </c:pt>
                <c:pt idx="1">
                  <c:v>En desacuerdo</c:v>
                </c:pt>
                <c:pt idx="2">
                  <c:v>Ni de acuerdo ni en desacuerdo</c:v>
                </c:pt>
                <c:pt idx="3">
                  <c:v>De acuerdo</c:v>
                </c:pt>
                <c:pt idx="4">
                  <c:v>Totalmente de acuerdo</c:v>
                </c:pt>
              </c:strCache>
            </c:strRef>
          </c:cat>
          <c:val>
            <c:numRef>
              <c:f>'Tabulacion por item 2'!$BQ$8:$BQ$12</c:f>
              <c:numCache>
                <c:formatCode>0%</c:formatCode>
                <c:ptCount val="5"/>
                <c:pt idx="0">
                  <c:v>1.384083044982699E-2</c:v>
                </c:pt>
                <c:pt idx="1">
                  <c:v>0.28719723183391005</c:v>
                </c:pt>
                <c:pt idx="2">
                  <c:v>0.49480968858131485</c:v>
                </c:pt>
                <c:pt idx="3">
                  <c:v>0.19031141868512111</c:v>
                </c:pt>
                <c:pt idx="4">
                  <c:v>1.384083044982699E-2</c:v>
                </c:pt>
              </c:numCache>
            </c:numRef>
          </c:val>
          <c:extLst>
            <c:ext xmlns:c16="http://schemas.microsoft.com/office/drawing/2014/chart" uri="{C3380CC4-5D6E-409C-BE32-E72D297353CC}">
              <c16:uniqueId val="{00000000-C445-4EAB-9D75-6AF643084045}"/>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'Tabulacion por item 2'!$B$1</c:f>
              <c:strCache>
                <c:ptCount val="1"/>
              </c:strCache>
            </c:strRef>
          </c:tx>
          <c:invertIfNegative val="0"/>
          <c:cat>
            <c:strRef>
              <c:f>'Tabulacion por item 2'!$BX$8:$BX$12</c:f>
              <c:strCache>
                <c:ptCount val="5"/>
                <c:pt idx="0">
                  <c:v>Totalmente en desacuerdo</c:v>
                </c:pt>
                <c:pt idx="1">
                  <c:v>En desacuerdo</c:v>
                </c:pt>
                <c:pt idx="2">
                  <c:v>Ni de acuerdo ni en desacuerdo</c:v>
                </c:pt>
                <c:pt idx="3">
                  <c:v>De acuerdo</c:v>
                </c:pt>
                <c:pt idx="4">
                  <c:v>Totalmente de acuerdo</c:v>
                </c:pt>
              </c:strCache>
            </c:strRef>
          </c:cat>
          <c:val>
            <c:numRef>
              <c:f>'Tabulacion por item 2'!$BZ$8:$BZ$12</c:f>
              <c:numCache>
                <c:formatCode>0%</c:formatCode>
                <c:ptCount val="5"/>
                <c:pt idx="0">
                  <c:v>1.7301038062283738E-2</c:v>
                </c:pt>
                <c:pt idx="1">
                  <c:v>0.25605536332179929</c:v>
                </c:pt>
                <c:pt idx="2">
                  <c:v>0.50865051903114189</c:v>
                </c:pt>
                <c:pt idx="3">
                  <c:v>0.19377162629757785</c:v>
                </c:pt>
                <c:pt idx="4">
                  <c:v>2.4221453287197232E-2</c:v>
                </c:pt>
              </c:numCache>
            </c:numRef>
          </c:val>
          <c:extLst>
            <c:ext xmlns:c16="http://schemas.microsoft.com/office/drawing/2014/chart" uri="{C3380CC4-5D6E-409C-BE32-E72D297353CC}">
              <c16:uniqueId val="{00000000-85BD-40EF-BE19-21BD13C3FEB9}"/>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conteo Dimension 2'!$B$1</c:f>
              <c:strCache>
                <c:ptCount val="1"/>
              </c:strCache>
            </c:strRef>
          </c:tx>
          <c:invertIfNegative val="0"/>
          <c:cat>
            <c:strRef>
              <c:f>'Por conteo Dimension 2'!$D$8:$D$12</c:f>
              <c:strCache>
                <c:ptCount val="5"/>
                <c:pt idx="0">
                  <c:v>Totalmente en desacuerdo</c:v>
                </c:pt>
                <c:pt idx="1">
                  <c:v>En desacuerdo</c:v>
                </c:pt>
                <c:pt idx="2">
                  <c:v>Ni de acuerdo ni en desacuerdo</c:v>
                </c:pt>
                <c:pt idx="3">
                  <c:v>De acuerdo</c:v>
                </c:pt>
                <c:pt idx="4">
                  <c:v>Totalmente de acuerdo</c:v>
                </c:pt>
              </c:strCache>
            </c:strRef>
          </c:cat>
          <c:val>
            <c:numRef>
              <c:f>'Por conteo Dimension 2'!$F$8:$F$12</c:f>
              <c:numCache>
                <c:formatCode>0%</c:formatCode>
                <c:ptCount val="5"/>
                <c:pt idx="0">
                  <c:v>1.3071895424836602E-2</c:v>
                </c:pt>
                <c:pt idx="1">
                  <c:v>0.2245290272971934</c:v>
                </c:pt>
                <c:pt idx="2">
                  <c:v>0.52441368704344482</c:v>
                </c:pt>
                <c:pt idx="3">
                  <c:v>0.21607074202229912</c:v>
                </c:pt>
                <c:pt idx="4">
                  <c:v>2.1914648212226068E-2</c:v>
                </c:pt>
              </c:numCache>
            </c:numRef>
          </c:val>
          <c:extLst>
            <c:ext xmlns:c16="http://schemas.microsoft.com/office/drawing/2014/chart" uri="{C3380CC4-5D6E-409C-BE32-E72D297353CC}">
              <c16:uniqueId val="{00000000-3A74-4097-82D5-255CB219BC5C}"/>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endParaRPr/>
          </a:p>
        </c:rich>
      </c:tx>
      <c:overlay val="0"/>
    </c:title>
    <c:autoTitleDeleted val="0"/>
    <c:view3D>
      <c:rotX val="15"/>
      <c:rotY val="20"/>
      <c:rAngAx val="0"/>
    </c:view3D>
    <c:floor>
      <c:thickness val="0"/>
    </c:floor>
    <c:sideWall>
      <c:thickness val="0"/>
    </c:sideWall>
    <c:backWall>
      <c:thickness val="0"/>
    </c:backWall>
    <c:plotArea>
      <c:layout/>
      <c:bar3DChart>
        <c:barDir val="col"/>
        <c:grouping val="stacked"/>
        <c:varyColors val="0"/>
        <c:ser>
          <c:idx val="0"/>
          <c:order val="0"/>
          <c:tx>
            <c:strRef>
              <c:f>'Por conteo Dimension 2'!$B$1</c:f>
              <c:strCache>
                <c:ptCount val="1"/>
              </c:strCache>
            </c:strRef>
          </c:tx>
          <c:invertIfNegative val="0"/>
          <c:cat>
            <c:strRef>
              <c:f>'Por conteo Dimension 2'!$M$8:$M$12</c:f>
              <c:strCache>
                <c:ptCount val="5"/>
                <c:pt idx="0">
                  <c:v>Totalmente en desacuerdo</c:v>
                </c:pt>
                <c:pt idx="1">
                  <c:v>En desacuerdo</c:v>
                </c:pt>
                <c:pt idx="2">
                  <c:v>Ni de acuerdo ni en desacuerdo</c:v>
                </c:pt>
                <c:pt idx="3">
                  <c:v>De acuerdo</c:v>
                </c:pt>
                <c:pt idx="4">
                  <c:v>Totalmente de acuerdo</c:v>
                </c:pt>
              </c:strCache>
            </c:strRef>
          </c:cat>
          <c:val>
            <c:numRef>
              <c:f>'Por conteo Dimension 2'!$O$8:$O$12</c:f>
              <c:numCache>
                <c:formatCode>0%</c:formatCode>
                <c:ptCount val="5"/>
                <c:pt idx="0">
                  <c:v>1.3071895424836602E-2</c:v>
                </c:pt>
                <c:pt idx="1">
                  <c:v>0.2245290272971934</c:v>
                </c:pt>
                <c:pt idx="2">
                  <c:v>0.52441368704344482</c:v>
                </c:pt>
                <c:pt idx="3">
                  <c:v>0.21607074202229912</c:v>
                </c:pt>
                <c:pt idx="4">
                  <c:v>2.1914648212226068E-2</c:v>
                </c:pt>
              </c:numCache>
            </c:numRef>
          </c:val>
          <c:extLst>
            <c:ext xmlns:c16="http://schemas.microsoft.com/office/drawing/2014/chart" uri="{C3380CC4-5D6E-409C-BE32-E72D297353CC}">
              <c16:uniqueId val="{00000000-0F61-4D80-9F04-1F43F70137DF}"/>
            </c:ext>
          </c:extLst>
        </c:ser>
        <c:dLbls>
          <c:showLegendKey val="0"/>
          <c:showVal val="0"/>
          <c:showCatName val="0"/>
          <c:showSerName val="0"/>
          <c:showPercent val="0"/>
          <c:showBubbleSize val="0"/>
        </c:dLbls>
        <c:gapWidth val="150"/>
        <c:shape val="box"/>
        <c:axId val="75091328"/>
        <c:axId val="75089408"/>
        <c:axId val="0"/>
      </c:bar3DChart>
      <c:catAx>
        <c:axId val="75091328"/>
        <c:scaling>
          <c:orientation val="minMax"/>
        </c:scaling>
        <c:delete val="0"/>
        <c:axPos val="b"/>
        <c:title>
          <c:tx>
            <c:rich>
              <a:bodyPr/>
              <a:lstStyle/>
              <a:p>
                <a:endParaRPr/>
              </a:p>
            </c:rich>
          </c:tx>
          <c:overlay val="0"/>
        </c:title>
        <c:numFmt formatCode="General" sourceLinked="1"/>
        <c:majorTickMark val="none"/>
        <c:minorTickMark val="none"/>
        <c:tickLblPos val="nextTo"/>
        <c:crossAx val="75089408"/>
        <c:crosses val="autoZero"/>
        <c:auto val="1"/>
        <c:lblAlgn val="ctr"/>
        <c:lblOffset val="100"/>
        <c:noMultiLvlLbl val="0"/>
      </c:catAx>
      <c:valAx>
        <c:axId val="75089408"/>
        <c:scaling>
          <c:orientation val="minMax"/>
        </c:scaling>
        <c:delete val="0"/>
        <c:axPos val="l"/>
        <c:majorGridlines>
          <c:spPr>
            <a:effectLst/>
          </c:spPr>
        </c:majorGridlines>
        <c:title>
          <c:tx>
            <c:rich>
              <a:bodyPr/>
              <a:lstStyle/>
              <a:p>
                <a:endParaRPr/>
              </a:p>
            </c:rich>
          </c:tx>
          <c:overlay val="0"/>
        </c:title>
        <c:numFmt formatCode="0%" sourceLinked="1"/>
        <c:majorTickMark val="none"/>
        <c:minorTickMark val="none"/>
        <c:tickLblPos val="nextTo"/>
        <c:spPr>
          <a:ln w="9525" cap="flat" cmpd="sng">
            <a:prstDash val="solid"/>
            <a:bevel/>
          </a:ln>
          <a:effectLst/>
        </c:spPr>
        <c:crossAx val="75089408"/>
        <c:crosses val="autoZero"/>
        <c:crossBetween val="midCat"/>
      </c:valAx>
    </c:plotArea>
    <c:legend>
      <c:legendPos val="r"/>
      <c:overlay val="0"/>
      <c:txPr>
        <a:bodyPr/>
        <a:lstStyle/>
        <a:p>
          <a:pPr rtl="0">
            <a:defRPr/>
          </a:pPr>
          <a:endParaRPr lang="en-US"/>
        </a:p>
      </c:txPr>
    </c:legend>
    <c:plotVisOnly val="1"/>
    <c:dispBlanksAs val="gap"/>
    <c:showDLblsOverMax val="0"/>
  </c:chart>
  <c:printSettings>
    <c:headerFooter/>
    <c:pageMargins b="0.75" l="0.7" r="0.7" t="0.75" header="0.3" footer="0.3"/>
    <c:pageSetup orientation="portrait"/>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18" Type="http://schemas.openxmlformats.org/officeDocument/2006/relationships/chart" Target="../charts/chart22.xml"/><Relationship Id="rId3" Type="http://schemas.openxmlformats.org/officeDocument/2006/relationships/chart" Target="../charts/chart7.xml"/><Relationship Id="rId7" Type="http://schemas.openxmlformats.org/officeDocument/2006/relationships/chart" Target="../charts/chart11.xml"/><Relationship Id="rId12" Type="http://schemas.openxmlformats.org/officeDocument/2006/relationships/chart" Target="../charts/chart16.xml"/><Relationship Id="rId17" Type="http://schemas.openxmlformats.org/officeDocument/2006/relationships/chart" Target="../charts/chart21.xml"/><Relationship Id="rId2" Type="http://schemas.openxmlformats.org/officeDocument/2006/relationships/chart" Target="../charts/chart6.xml"/><Relationship Id="rId16" Type="http://schemas.openxmlformats.org/officeDocument/2006/relationships/chart" Target="../charts/chart20.xml"/><Relationship Id="rId1" Type="http://schemas.openxmlformats.org/officeDocument/2006/relationships/chart" Target="../charts/chart5.xml"/><Relationship Id="rId6" Type="http://schemas.openxmlformats.org/officeDocument/2006/relationships/chart" Target="../charts/chart10.xml"/><Relationship Id="rId11" Type="http://schemas.openxmlformats.org/officeDocument/2006/relationships/chart" Target="../charts/chart15.xml"/><Relationship Id="rId5" Type="http://schemas.openxmlformats.org/officeDocument/2006/relationships/chart" Target="../charts/chart9.xml"/><Relationship Id="rId15" Type="http://schemas.openxmlformats.org/officeDocument/2006/relationships/chart" Target="../charts/chart1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 Id="rId14" Type="http://schemas.openxmlformats.org/officeDocument/2006/relationships/chart" Target="../charts/chart1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4" Type="http://schemas.openxmlformats.org/officeDocument/2006/relationships/chart" Target="../charts/chart26.xml"/></Relationships>
</file>

<file path=xl/drawings/_rels/drawing4.xml.rels><?xml version="1.0" encoding="UTF-8" standalone="yes"?>
<Relationships xmlns="http://schemas.openxmlformats.org/package/2006/relationships"><Relationship Id="rId2" Type="http://schemas.openxmlformats.org/officeDocument/2006/relationships/chart" Target="../charts/chart28.xml"/><Relationship Id="rId1" Type="http://schemas.openxmlformats.org/officeDocument/2006/relationships/chart" Target="../charts/chart27.xml"/></Relationships>
</file>

<file path=xl/drawings/_rels/drawing5.xml.rels><?xml version="1.0" encoding="UTF-8" standalone="yes"?>
<Relationships xmlns="http://schemas.openxmlformats.org/package/2006/relationships"><Relationship Id="rId8" Type="http://schemas.openxmlformats.org/officeDocument/2006/relationships/chart" Target="../charts/chart36.xml"/><Relationship Id="rId3" Type="http://schemas.openxmlformats.org/officeDocument/2006/relationships/chart" Target="../charts/chart31.xml"/><Relationship Id="rId7" Type="http://schemas.openxmlformats.org/officeDocument/2006/relationships/chart" Target="../charts/chart35.xml"/><Relationship Id="rId2" Type="http://schemas.openxmlformats.org/officeDocument/2006/relationships/chart" Target="../charts/chart30.xml"/><Relationship Id="rId1" Type="http://schemas.openxmlformats.org/officeDocument/2006/relationships/chart" Target="../charts/chart29.xml"/><Relationship Id="rId6" Type="http://schemas.openxmlformats.org/officeDocument/2006/relationships/chart" Target="../charts/chart34.xml"/><Relationship Id="rId5" Type="http://schemas.openxmlformats.org/officeDocument/2006/relationships/chart" Target="../charts/chart33.xml"/><Relationship Id="rId4" Type="http://schemas.openxmlformats.org/officeDocument/2006/relationships/chart" Target="../charts/chart32.xml"/><Relationship Id="rId9" Type="http://schemas.openxmlformats.org/officeDocument/2006/relationships/chart" Target="../charts/chart37.xml"/></Relationships>
</file>

<file path=xl/drawings/_rels/drawing6.xml.rels><?xml version="1.0" encoding="UTF-8" standalone="yes"?>
<Relationships xmlns="http://schemas.openxmlformats.org/package/2006/relationships"><Relationship Id="rId2" Type="http://schemas.openxmlformats.org/officeDocument/2006/relationships/chart" Target="../charts/chart39.xml"/><Relationship Id="rId1" Type="http://schemas.openxmlformats.org/officeDocument/2006/relationships/chart" Target="../charts/chart38.xml"/></Relationships>
</file>

<file path=xl/drawings/drawing1.xml><?xml version="1.0" encoding="utf-8"?>
<xdr:wsDr xmlns:xdr="http://schemas.openxmlformats.org/drawingml/2006/spreadsheetDrawing" xmlns:a="http://schemas.openxmlformats.org/drawingml/2006/main">
  <xdr:twoCellAnchor>
    <xdr:from>
      <xdr:col>14</xdr:col>
      <xdr:colOff>0</xdr:colOff>
      <xdr:row>25</xdr:row>
      <xdr:rowOff>0</xdr:rowOff>
    </xdr:from>
    <xdr:to>
      <xdr:col>19</xdr:col>
      <xdr:colOff>95250</xdr:colOff>
      <xdr:row>41</xdr:row>
      <xdr:rowOff>95250</xdr:rowOff>
    </xdr:to>
    <xdr:graphicFrame macro="">
      <xdr:nvGraphicFramePr>
        <xdr:cNvPr id="1025" name="Chart 1">
          <a:extLst>
            <a:ext uri="{FF2B5EF4-FFF2-40B4-BE49-F238E27FC236}">
              <a16:creationId xmlns:a16="http://schemas.microsoft.com/office/drawing/2014/main" id="{00000000-0008-0000-01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26</xdr:col>
      <xdr:colOff>0</xdr:colOff>
      <xdr:row>25</xdr:row>
      <xdr:rowOff>0</xdr:rowOff>
    </xdr:from>
    <xdr:to>
      <xdr:col>31</xdr:col>
      <xdr:colOff>95250</xdr:colOff>
      <xdr:row>41</xdr:row>
      <xdr:rowOff>95250</xdr:rowOff>
    </xdr:to>
    <xdr:graphicFrame macro="">
      <xdr:nvGraphicFramePr>
        <xdr:cNvPr id="2050" name="Chart 2">
          <a:extLst>
            <a:ext uri="{FF2B5EF4-FFF2-40B4-BE49-F238E27FC236}">
              <a16:creationId xmlns:a16="http://schemas.microsoft.com/office/drawing/2014/main" id="{00000000-0008-0000-0100-00000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38</xdr:col>
      <xdr:colOff>0</xdr:colOff>
      <xdr:row>25</xdr:row>
      <xdr:rowOff>0</xdr:rowOff>
    </xdr:from>
    <xdr:to>
      <xdr:col>43</xdr:col>
      <xdr:colOff>95250</xdr:colOff>
      <xdr:row>41</xdr:row>
      <xdr:rowOff>95250</xdr:rowOff>
    </xdr:to>
    <xdr:graphicFrame macro="">
      <xdr:nvGraphicFramePr>
        <xdr:cNvPr id="3075" name="Chart 3">
          <a:extLst>
            <a:ext uri="{FF2B5EF4-FFF2-40B4-BE49-F238E27FC236}">
              <a16:creationId xmlns:a16="http://schemas.microsoft.com/office/drawing/2014/main" id="{00000000-0008-0000-0100-000003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50</xdr:col>
      <xdr:colOff>0</xdr:colOff>
      <xdr:row>25</xdr:row>
      <xdr:rowOff>0</xdr:rowOff>
    </xdr:from>
    <xdr:to>
      <xdr:col>55</xdr:col>
      <xdr:colOff>95250</xdr:colOff>
      <xdr:row>41</xdr:row>
      <xdr:rowOff>95250</xdr:rowOff>
    </xdr:to>
    <xdr:graphicFrame macro="">
      <xdr:nvGraphicFramePr>
        <xdr:cNvPr id="4100" name="Chart 4">
          <a:extLst>
            <a:ext uri="{FF2B5EF4-FFF2-40B4-BE49-F238E27FC236}">
              <a16:creationId xmlns:a16="http://schemas.microsoft.com/office/drawing/2014/main" id="{00000000-0008-0000-0100-000004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id="1025" name="Chart 1">
          <a:extLst>
            <a:ext uri="{FF2B5EF4-FFF2-40B4-BE49-F238E27FC236}">
              <a16:creationId xmlns:a16="http://schemas.microsoft.com/office/drawing/2014/main" id="{00000000-0008-0000-02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id="2050" name="Chart 2">
          <a:extLst>
            <a:ext uri="{FF2B5EF4-FFF2-40B4-BE49-F238E27FC236}">
              <a16:creationId xmlns:a16="http://schemas.microsoft.com/office/drawing/2014/main" id="{00000000-0008-0000-0200-00000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id="3075" name="Chart 3">
          <a:extLst>
            <a:ext uri="{FF2B5EF4-FFF2-40B4-BE49-F238E27FC236}">
              <a16:creationId xmlns:a16="http://schemas.microsoft.com/office/drawing/2014/main" id="{00000000-0008-0000-0200-000003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id="4100" name="Chart 4">
          <a:extLst>
            <a:ext uri="{FF2B5EF4-FFF2-40B4-BE49-F238E27FC236}">
              <a16:creationId xmlns:a16="http://schemas.microsoft.com/office/drawing/2014/main" id="{00000000-0008-0000-0200-000004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id="5125" name="Chart 5">
          <a:extLst>
            <a:ext uri="{FF2B5EF4-FFF2-40B4-BE49-F238E27FC236}">
              <a16:creationId xmlns:a16="http://schemas.microsoft.com/office/drawing/2014/main" id="{00000000-0008-0000-0200-000005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0</xdr:colOff>
      <xdr:row>17</xdr:row>
      <xdr:rowOff>0</xdr:rowOff>
    </xdr:from>
    <xdr:to>
      <xdr:col>51</xdr:col>
      <xdr:colOff>95250</xdr:colOff>
      <xdr:row>31</xdr:row>
      <xdr:rowOff>95250</xdr:rowOff>
    </xdr:to>
    <xdr:graphicFrame macro="">
      <xdr:nvGraphicFramePr>
        <xdr:cNvPr id="6150" name="Chart 6">
          <a:extLst>
            <a:ext uri="{FF2B5EF4-FFF2-40B4-BE49-F238E27FC236}">
              <a16:creationId xmlns:a16="http://schemas.microsoft.com/office/drawing/2014/main" id="{00000000-0008-0000-0200-000006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0</xdr:colOff>
      <xdr:row>17</xdr:row>
      <xdr:rowOff>0</xdr:rowOff>
    </xdr:from>
    <xdr:to>
      <xdr:col>60</xdr:col>
      <xdr:colOff>95250</xdr:colOff>
      <xdr:row>31</xdr:row>
      <xdr:rowOff>95250</xdr:rowOff>
    </xdr:to>
    <xdr:graphicFrame macro="">
      <xdr:nvGraphicFramePr>
        <xdr:cNvPr id="7175" name="Chart 7">
          <a:extLst>
            <a:ext uri="{FF2B5EF4-FFF2-40B4-BE49-F238E27FC236}">
              <a16:creationId xmlns:a16="http://schemas.microsoft.com/office/drawing/2014/main" id="{00000000-0008-0000-0200-0000071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17</xdr:row>
      <xdr:rowOff>0</xdr:rowOff>
    </xdr:from>
    <xdr:to>
      <xdr:col>69</xdr:col>
      <xdr:colOff>95250</xdr:colOff>
      <xdr:row>31</xdr:row>
      <xdr:rowOff>95250</xdr:rowOff>
    </xdr:to>
    <xdr:graphicFrame macro="">
      <xdr:nvGraphicFramePr>
        <xdr:cNvPr id="8200" name="Chart 8">
          <a:extLst>
            <a:ext uri="{FF2B5EF4-FFF2-40B4-BE49-F238E27FC236}">
              <a16:creationId xmlns:a16="http://schemas.microsoft.com/office/drawing/2014/main" id="{00000000-0008-0000-0200-000008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0</xdr:colOff>
      <xdr:row>17</xdr:row>
      <xdr:rowOff>0</xdr:rowOff>
    </xdr:from>
    <xdr:to>
      <xdr:col>78</xdr:col>
      <xdr:colOff>95250</xdr:colOff>
      <xdr:row>31</xdr:row>
      <xdr:rowOff>95250</xdr:rowOff>
    </xdr:to>
    <xdr:graphicFrame macro="">
      <xdr:nvGraphicFramePr>
        <xdr:cNvPr id="9225" name="Chart 9">
          <a:extLst>
            <a:ext uri="{FF2B5EF4-FFF2-40B4-BE49-F238E27FC236}">
              <a16:creationId xmlns:a16="http://schemas.microsoft.com/office/drawing/2014/main" id="{00000000-0008-0000-0200-000009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84</xdr:col>
      <xdr:colOff>0</xdr:colOff>
      <xdr:row>17</xdr:row>
      <xdr:rowOff>0</xdr:rowOff>
    </xdr:from>
    <xdr:to>
      <xdr:col>87</xdr:col>
      <xdr:colOff>95250</xdr:colOff>
      <xdr:row>31</xdr:row>
      <xdr:rowOff>95250</xdr:rowOff>
    </xdr:to>
    <xdr:graphicFrame macro="">
      <xdr:nvGraphicFramePr>
        <xdr:cNvPr id="10250" name="Chart 10">
          <a:extLst>
            <a:ext uri="{FF2B5EF4-FFF2-40B4-BE49-F238E27FC236}">
              <a16:creationId xmlns:a16="http://schemas.microsoft.com/office/drawing/2014/main" id="{00000000-0008-0000-0200-00000A2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93</xdr:col>
      <xdr:colOff>0</xdr:colOff>
      <xdr:row>17</xdr:row>
      <xdr:rowOff>0</xdr:rowOff>
    </xdr:from>
    <xdr:to>
      <xdr:col>96</xdr:col>
      <xdr:colOff>95250</xdr:colOff>
      <xdr:row>31</xdr:row>
      <xdr:rowOff>95250</xdr:rowOff>
    </xdr:to>
    <xdr:graphicFrame macro="">
      <xdr:nvGraphicFramePr>
        <xdr:cNvPr id="11275" name="Chart 11">
          <a:extLst>
            <a:ext uri="{FF2B5EF4-FFF2-40B4-BE49-F238E27FC236}">
              <a16:creationId xmlns:a16="http://schemas.microsoft.com/office/drawing/2014/main" id="{00000000-0008-0000-0200-00000B2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102</xdr:col>
      <xdr:colOff>0</xdr:colOff>
      <xdr:row>17</xdr:row>
      <xdr:rowOff>0</xdr:rowOff>
    </xdr:from>
    <xdr:to>
      <xdr:col>105</xdr:col>
      <xdr:colOff>95250</xdr:colOff>
      <xdr:row>31</xdr:row>
      <xdr:rowOff>95250</xdr:rowOff>
    </xdr:to>
    <xdr:graphicFrame macro="">
      <xdr:nvGraphicFramePr>
        <xdr:cNvPr id="12300" name="Chart 12">
          <a:extLst>
            <a:ext uri="{FF2B5EF4-FFF2-40B4-BE49-F238E27FC236}">
              <a16:creationId xmlns:a16="http://schemas.microsoft.com/office/drawing/2014/main" id="{00000000-0008-0000-0200-00000C3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111</xdr:col>
      <xdr:colOff>0</xdr:colOff>
      <xdr:row>17</xdr:row>
      <xdr:rowOff>0</xdr:rowOff>
    </xdr:from>
    <xdr:to>
      <xdr:col>114</xdr:col>
      <xdr:colOff>95250</xdr:colOff>
      <xdr:row>31</xdr:row>
      <xdr:rowOff>95250</xdr:rowOff>
    </xdr:to>
    <xdr:graphicFrame macro="">
      <xdr:nvGraphicFramePr>
        <xdr:cNvPr id="13325" name="Chart 13">
          <a:extLst>
            <a:ext uri="{FF2B5EF4-FFF2-40B4-BE49-F238E27FC236}">
              <a16:creationId xmlns:a16="http://schemas.microsoft.com/office/drawing/2014/main" id="{00000000-0008-0000-0200-00000D3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120</xdr:col>
      <xdr:colOff>0</xdr:colOff>
      <xdr:row>17</xdr:row>
      <xdr:rowOff>0</xdr:rowOff>
    </xdr:from>
    <xdr:to>
      <xdr:col>123</xdr:col>
      <xdr:colOff>95250</xdr:colOff>
      <xdr:row>31</xdr:row>
      <xdr:rowOff>95250</xdr:rowOff>
    </xdr:to>
    <xdr:graphicFrame macro="">
      <xdr:nvGraphicFramePr>
        <xdr:cNvPr id="14350" name="Chart 14">
          <a:extLst>
            <a:ext uri="{FF2B5EF4-FFF2-40B4-BE49-F238E27FC236}">
              <a16:creationId xmlns:a16="http://schemas.microsoft.com/office/drawing/2014/main" id="{00000000-0008-0000-0200-00000E3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129</xdr:col>
      <xdr:colOff>0</xdr:colOff>
      <xdr:row>17</xdr:row>
      <xdr:rowOff>0</xdr:rowOff>
    </xdr:from>
    <xdr:to>
      <xdr:col>132</xdr:col>
      <xdr:colOff>95250</xdr:colOff>
      <xdr:row>31</xdr:row>
      <xdr:rowOff>95250</xdr:rowOff>
    </xdr:to>
    <xdr:graphicFrame macro="">
      <xdr:nvGraphicFramePr>
        <xdr:cNvPr id="15375" name="Chart 15">
          <a:extLst>
            <a:ext uri="{FF2B5EF4-FFF2-40B4-BE49-F238E27FC236}">
              <a16:creationId xmlns:a16="http://schemas.microsoft.com/office/drawing/2014/main" id="{00000000-0008-0000-0200-00000F3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138</xdr:col>
      <xdr:colOff>0</xdr:colOff>
      <xdr:row>17</xdr:row>
      <xdr:rowOff>0</xdr:rowOff>
    </xdr:from>
    <xdr:to>
      <xdr:col>141</xdr:col>
      <xdr:colOff>95250</xdr:colOff>
      <xdr:row>31</xdr:row>
      <xdr:rowOff>95250</xdr:rowOff>
    </xdr:to>
    <xdr:graphicFrame macro="">
      <xdr:nvGraphicFramePr>
        <xdr:cNvPr id="16400" name="Chart 16">
          <a:extLst>
            <a:ext uri="{FF2B5EF4-FFF2-40B4-BE49-F238E27FC236}">
              <a16:creationId xmlns:a16="http://schemas.microsoft.com/office/drawing/2014/main" id="{00000000-0008-0000-0200-0000104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147</xdr:col>
      <xdr:colOff>0</xdr:colOff>
      <xdr:row>17</xdr:row>
      <xdr:rowOff>0</xdr:rowOff>
    </xdr:from>
    <xdr:to>
      <xdr:col>150</xdr:col>
      <xdr:colOff>95250</xdr:colOff>
      <xdr:row>31</xdr:row>
      <xdr:rowOff>95250</xdr:rowOff>
    </xdr:to>
    <xdr:graphicFrame macro="">
      <xdr:nvGraphicFramePr>
        <xdr:cNvPr id="17425" name="Chart 17">
          <a:extLst>
            <a:ext uri="{FF2B5EF4-FFF2-40B4-BE49-F238E27FC236}">
              <a16:creationId xmlns:a16="http://schemas.microsoft.com/office/drawing/2014/main" id="{00000000-0008-0000-0200-0000114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156</xdr:col>
      <xdr:colOff>0</xdr:colOff>
      <xdr:row>17</xdr:row>
      <xdr:rowOff>0</xdr:rowOff>
    </xdr:from>
    <xdr:to>
      <xdr:col>159</xdr:col>
      <xdr:colOff>95250</xdr:colOff>
      <xdr:row>31</xdr:row>
      <xdr:rowOff>95250</xdr:rowOff>
    </xdr:to>
    <xdr:graphicFrame macro="">
      <xdr:nvGraphicFramePr>
        <xdr:cNvPr id="18450" name="Chart 18">
          <a:extLst>
            <a:ext uri="{FF2B5EF4-FFF2-40B4-BE49-F238E27FC236}">
              <a16:creationId xmlns:a16="http://schemas.microsoft.com/office/drawing/2014/main" id="{00000000-0008-0000-0200-0000124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id="1025" name="Chart 1">
          <a:extLst>
            <a:ext uri="{FF2B5EF4-FFF2-40B4-BE49-F238E27FC236}">
              <a16:creationId xmlns:a16="http://schemas.microsoft.com/office/drawing/2014/main" id="{00000000-0008-0000-03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id="2050" name="Chart 2">
          <a:extLst>
            <a:ext uri="{FF2B5EF4-FFF2-40B4-BE49-F238E27FC236}">
              <a16:creationId xmlns:a16="http://schemas.microsoft.com/office/drawing/2014/main" id="{00000000-0008-0000-0300-00000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id="3075" name="Chart 3">
          <a:extLst>
            <a:ext uri="{FF2B5EF4-FFF2-40B4-BE49-F238E27FC236}">
              <a16:creationId xmlns:a16="http://schemas.microsoft.com/office/drawing/2014/main" id="{00000000-0008-0000-0300-000003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id="4100" name="Chart 4">
          <a:extLst>
            <a:ext uri="{FF2B5EF4-FFF2-40B4-BE49-F238E27FC236}">
              <a16:creationId xmlns:a16="http://schemas.microsoft.com/office/drawing/2014/main" id="{00000000-0008-0000-0300-000004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10</xdr:col>
      <xdr:colOff>0</xdr:colOff>
      <xdr:row>25</xdr:row>
      <xdr:rowOff>0</xdr:rowOff>
    </xdr:from>
    <xdr:to>
      <xdr:col>15</xdr:col>
      <xdr:colOff>95250</xdr:colOff>
      <xdr:row>41</xdr:row>
      <xdr:rowOff>95250</xdr:rowOff>
    </xdr:to>
    <xdr:graphicFrame macro="">
      <xdr:nvGraphicFramePr>
        <xdr:cNvPr id="1025" name="Chart 1">
          <a:extLst>
            <a:ext uri="{FF2B5EF4-FFF2-40B4-BE49-F238E27FC236}">
              <a16:creationId xmlns:a16="http://schemas.microsoft.com/office/drawing/2014/main" id="{00000000-0008-0000-05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22</xdr:col>
      <xdr:colOff>0</xdr:colOff>
      <xdr:row>25</xdr:row>
      <xdr:rowOff>0</xdr:rowOff>
    </xdr:from>
    <xdr:to>
      <xdr:col>27</xdr:col>
      <xdr:colOff>95250</xdr:colOff>
      <xdr:row>41</xdr:row>
      <xdr:rowOff>95250</xdr:rowOff>
    </xdr:to>
    <xdr:graphicFrame macro="">
      <xdr:nvGraphicFramePr>
        <xdr:cNvPr id="2050" name="Chart 2">
          <a:extLst>
            <a:ext uri="{FF2B5EF4-FFF2-40B4-BE49-F238E27FC236}">
              <a16:creationId xmlns:a16="http://schemas.microsoft.com/office/drawing/2014/main" id="{00000000-0008-0000-0500-00000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id="1025" name="Chart 1">
          <a:extLst>
            <a:ext uri="{FF2B5EF4-FFF2-40B4-BE49-F238E27FC236}">
              <a16:creationId xmlns:a16="http://schemas.microsoft.com/office/drawing/2014/main" id="{00000000-0008-0000-06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id="2050" name="Chart 2">
          <a:extLst>
            <a:ext uri="{FF2B5EF4-FFF2-40B4-BE49-F238E27FC236}">
              <a16:creationId xmlns:a16="http://schemas.microsoft.com/office/drawing/2014/main" id="{00000000-0008-0000-0600-00000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21</xdr:col>
      <xdr:colOff>0</xdr:colOff>
      <xdr:row>17</xdr:row>
      <xdr:rowOff>0</xdr:rowOff>
    </xdr:from>
    <xdr:to>
      <xdr:col>24</xdr:col>
      <xdr:colOff>95250</xdr:colOff>
      <xdr:row>31</xdr:row>
      <xdr:rowOff>95250</xdr:rowOff>
    </xdr:to>
    <xdr:graphicFrame macro="">
      <xdr:nvGraphicFramePr>
        <xdr:cNvPr id="3075" name="Chart 3">
          <a:extLst>
            <a:ext uri="{FF2B5EF4-FFF2-40B4-BE49-F238E27FC236}">
              <a16:creationId xmlns:a16="http://schemas.microsoft.com/office/drawing/2014/main" id="{00000000-0008-0000-0600-0000030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30</xdr:col>
      <xdr:colOff>0</xdr:colOff>
      <xdr:row>17</xdr:row>
      <xdr:rowOff>0</xdr:rowOff>
    </xdr:from>
    <xdr:to>
      <xdr:col>33</xdr:col>
      <xdr:colOff>95250</xdr:colOff>
      <xdr:row>31</xdr:row>
      <xdr:rowOff>95250</xdr:rowOff>
    </xdr:to>
    <xdr:graphicFrame macro="">
      <xdr:nvGraphicFramePr>
        <xdr:cNvPr id="4100" name="Chart 4">
          <a:extLst>
            <a:ext uri="{FF2B5EF4-FFF2-40B4-BE49-F238E27FC236}">
              <a16:creationId xmlns:a16="http://schemas.microsoft.com/office/drawing/2014/main" id="{00000000-0008-0000-0600-0000041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39</xdr:col>
      <xdr:colOff>0</xdr:colOff>
      <xdr:row>17</xdr:row>
      <xdr:rowOff>0</xdr:rowOff>
    </xdr:from>
    <xdr:to>
      <xdr:col>42</xdr:col>
      <xdr:colOff>95250</xdr:colOff>
      <xdr:row>31</xdr:row>
      <xdr:rowOff>95250</xdr:rowOff>
    </xdr:to>
    <xdr:graphicFrame macro="">
      <xdr:nvGraphicFramePr>
        <xdr:cNvPr id="5125" name="Chart 5">
          <a:extLst>
            <a:ext uri="{FF2B5EF4-FFF2-40B4-BE49-F238E27FC236}">
              <a16:creationId xmlns:a16="http://schemas.microsoft.com/office/drawing/2014/main" id="{00000000-0008-0000-0600-0000051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48</xdr:col>
      <xdr:colOff>0</xdr:colOff>
      <xdr:row>17</xdr:row>
      <xdr:rowOff>0</xdr:rowOff>
    </xdr:from>
    <xdr:to>
      <xdr:col>51</xdr:col>
      <xdr:colOff>95250</xdr:colOff>
      <xdr:row>31</xdr:row>
      <xdr:rowOff>95250</xdr:rowOff>
    </xdr:to>
    <xdr:graphicFrame macro="">
      <xdr:nvGraphicFramePr>
        <xdr:cNvPr id="6150" name="Chart 6">
          <a:extLst>
            <a:ext uri="{FF2B5EF4-FFF2-40B4-BE49-F238E27FC236}">
              <a16:creationId xmlns:a16="http://schemas.microsoft.com/office/drawing/2014/main" id="{00000000-0008-0000-0600-0000061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57</xdr:col>
      <xdr:colOff>0</xdr:colOff>
      <xdr:row>17</xdr:row>
      <xdr:rowOff>0</xdr:rowOff>
    </xdr:from>
    <xdr:to>
      <xdr:col>60</xdr:col>
      <xdr:colOff>95250</xdr:colOff>
      <xdr:row>31</xdr:row>
      <xdr:rowOff>95250</xdr:rowOff>
    </xdr:to>
    <xdr:graphicFrame macro="">
      <xdr:nvGraphicFramePr>
        <xdr:cNvPr id="7175" name="Chart 7">
          <a:extLst>
            <a:ext uri="{FF2B5EF4-FFF2-40B4-BE49-F238E27FC236}">
              <a16:creationId xmlns:a16="http://schemas.microsoft.com/office/drawing/2014/main" id="{00000000-0008-0000-0600-0000071C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66</xdr:col>
      <xdr:colOff>0</xdr:colOff>
      <xdr:row>17</xdr:row>
      <xdr:rowOff>0</xdr:rowOff>
    </xdr:from>
    <xdr:to>
      <xdr:col>69</xdr:col>
      <xdr:colOff>95250</xdr:colOff>
      <xdr:row>31</xdr:row>
      <xdr:rowOff>95250</xdr:rowOff>
    </xdr:to>
    <xdr:graphicFrame macro="">
      <xdr:nvGraphicFramePr>
        <xdr:cNvPr id="8200" name="Chart 8">
          <a:extLst>
            <a:ext uri="{FF2B5EF4-FFF2-40B4-BE49-F238E27FC236}">
              <a16:creationId xmlns:a16="http://schemas.microsoft.com/office/drawing/2014/main" id="{00000000-0008-0000-0600-0000082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75</xdr:col>
      <xdr:colOff>0</xdr:colOff>
      <xdr:row>17</xdr:row>
      <xdr:rowOff>0</xdr:rowOff>
    </xdr:from>
    <xdr:to>
      <xdr:col>78</xdr:col>
      <xdr:colOff>95250</xdr:colOff>
      <xdr:row>31</xdr:row>
      <xdr:rowOff>95250</xdr:rowOff>
    </xdr:to>
    <xdr:graphicFrame macro="">
      <xdr:nvGraphicFramePr>
        <xdr:cNvPr id="9225" name="Chart 9">
          <a:extLst>
            <a:ext uri="{FF2B5EF4-FFF2-40B4-BE49-F238E27FC236}">
              <a16:creationId xmlns:a16="http://schemas.microsoft.com/office/drawing/2014/main" id="{00000000-0008-0000-0600-0000092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0</xdr:colOff>
      <xdr:row>17</xdr:row>
      <xdr:rowOff>0</xdr:rowOff>
    </xdr:from>
    <xdr:to>
      <xdr:col>6</xdr:col>
      <xdr:colOff>95250</xdr:colOff>
      <xdr:row>31</xdr:row>
      <xdr:rowOff>95250</xdr:rowOff>
    </xdr:to>
    <xdr:graphicFrame macro="">
      <xdr:nvGraphicFramePr>
        <xdr:cNvPr id="1025" name="Chart 1">
          <a:extLst>
            <a:ext uri="{FF2B5EF4-FFF2-40B4-BE49-F238E27FC236}">
              <a16:creationId xmlns:a16="http://schemas.microsoft.com/office/drawing/2014/main" id="{00000000-0008-0000-0700-00000104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0</xdr:rowOff>
    </xdr:from>
    <xdr:to>
      <xdr:col>15</xdr:col>
      <xdr:colOff>95250</xdr:colOff>
      <xdr:row>31</xdr:row>
      <xdr:rowOff>95250</xdr:rowOff>
    </xdr:to>
    <xdr:graphicFrame macro="">
      <xdr:nvGraphicFramePr>
        <xdr:cNvPr id="2050" name="Chart 2">
          <a:extLst>
            <a:ext uri="{FF2B5EF4-FFF2-40B4-BE49-F238E27FC236}">
              <a16:creationId xmlns:a16="http://schemas.microsoft.com/office/drawing/2014/main" id="{00000000-0008-0000-0700-00000208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1300"/>
  <sheetViews>
    <sheetView workbookViewId="0">
      <selection activeCell="S1300" sqref="S1300"/>
    </sheetView>
  </sheetViews>
  <sheetFormatPr baseColWidth="10" defaultColWidth="9.140625" defaultRowHeight="15" x14ac:dyDescent="0.25"/>
  <sheetData>
    <row r="1" spans="1:21" x14ac:dyDescent="0.25">
      <c r="A1" s="40" t="s">
        <v>0</v>
      </c>
      <c r="B1" s="40"/>
      <c r="C1" s="40"/>
      <c r="D1" s="40"/>
      <c r="E1" s="40"/>
      <c r="F1" s="40"/>
      <c r="G1" s="40"/>
      <c r="H1" s="40"/>
      <c r="I1" s="40"/>
      <c r="J1" s="40"/>
      <c r="K1" s="40"/>
      <c r="L1" s="40"/>
      <c r="M1" s="40"/>
      <c r="N1" s="40"/>
      <c r="O1" s="40"/>
      <c r="P1" s="40"/>
      <c r="Q1" s="40"/>
      <c r="R1" s="40"/>
      <c r="S1" s="40"/>
      <c r="T1" s="40"/>
      <c r="U1" s="40"/>
    </row>
    <row r="2" spans="1:21" x14ac:dyDescent="0.25">
      <c r="A2" s="40"/>
      <c r="B2" s="40"/>
      <c r="C2" s="40"/>
      <c r="D2" s="40"/>
      <c r="E2" s="40"/>
      <c r="F2" s="40"/>
      <c r="G2" s="40"/>
      <c r="H2" s="40"/>
      <c r="I2" s="40"/>
      <c r="J2" s="40"/>
      <c r="K2" s="40"/>
      <c r="L2" s="40"/>
      <c r="M2" s="40"/>
      <c r="N2" s="40"/>
      <c r="O2" s="40"/>
      <c r="P2" s="40"/>
      <c r="Q2" s="40"/>
      <c r="R2" s="40"/>
      <c r="S2" s="40"/>
      <c r="T2" s="40"/>
      <c r="U2" s="40"/>
    </row>
    <row r="3" spans="1:21" x14ac:dyDescent="0.25">
      <c r="B3" s="41" t="s">
        <v>1</v>
      </c>
      <c r="C3" s="41"/>
      <c r="D3" s="41"/>
      <c r="E3" s="41"/>
      <c r="F3" s="41"/>
      <c r="G3" s="41"/>
      <c r="H3" s="41" t="s">
        <v>2</v>
      </c>
      <c r="I3" s="41"/>
      <c r="J3" s="41"/>
      <c r="K3" s="41"/>
      <c r="L3" s="41"/>
      <c r="M3" s="41"/>
      <c r="N3" s="41" t="s">
        <v>3</v>
      </c>
      <c r="O3" s="41"/>
      <c r="P3" s="41"/>
      <c r="Q3" s="41"/>
      <c r="R3" s="41"/>
      <c r="S3" s="41"/>
      <c r="T3" s="41" t="s">
        <v>4</v>
      </c>
      <c r="U3" s="41" t="s">
        <v>5</v>
      </c>
    </row>
    <row r="4" spans="1:21" x14ac:dyDescent="0.25">
      <c r="B4" s="42" t="s">
        <v>6</v>
      </c>
      <c r="C4" s="42" t="s">
        <v>7</v>
      </c>
      <c r="D4" s="42" t="s">
        <v>8</v>
      </c>
      <c r="E4" s="42" t="s">
        <v>9</v>
      </c>
      <c r="F4" s="42" t="s">
        <v>10</v>
      </c>
      <c r="G4" s="42" t="s">
        <v>11</v>
      </c>
      <c r="H4" s="42" t="s">
        <v>12</v>
      </c>
      <c r="I4" s="42" t="s">
        <v>13</v>
      </c>
      <c r="J4" s="42" t="s">
        <v>14</v>
      </c>
      <c r="K4" s="42" t="s">
        <v>15</v>
      </c>
      <c r="L4" s="42" t="s">
        <v>16</v>
      </c>
      <c r="M4" s="42" t="s">
        <v>17</v>
      </c>
      <c r="N4" s="42" t="s">
        <v>18</v>
      </c>
      <c r="O4" s="42" t="s">
        <v>19</v>
      </c>
      <c r="P4" s="42" t="s">
        <v>20</v>
      </c>
      <c r="Q4" s="42" t="s">
        <v>21</v>
      </c>
      <c r="R4" s="42" t="s">
        <v>22</v>
      </c>
      <c r="S4" s="42" t="s">
        <v>23</v>
      </c>
    </row>
    <row r="5" spans="1:21" x14ac:dyDescent="0.25">
      <c r="A5" s="43" t="s">
        <v>24</v>
      </c>
      <c r="B5" s="43">
        <v>4</v>
      </c>
      <c r="C5" s="43">
        <v>4</v>
      </c>
      <c r="D5" s="43">
        <v>4</v>
      </c>
      <c r="E5" s="43">
        <v>4</v>
      </c>
      <c r="F5" s="43">
        <v>4</v>
      </c>
      <c r="G5" s="43">
        <v>4</v>
      </c>
      <c r="H5" s="43">
        <v>4</v>
      </c>
      <c r="I5" s="43">
        <v>4</v>
      </c>
      <c r="J5" s="43">
        <v>4</v>
      </c>
      <c r="K5" s="43">
        <v>4</v>
      </c>
      <c r="L5" s="43">
        <v>4</v>
      </c>
      <c r="M5" s="43">
        <v>3</v>
      </c>
      <c r="N5" s="43">
        <v>4</v>
      </c>
      <c r="O5" s="43">
        <v>4</v>
      </c>
      <c r="P5" s="43">
        <v>4</v>
      </c>
      <c r="Q5" s="43">
        <v>3</v>
      </c>
      <c r="R5" s="43">
        <v>4</v>
      </c>
      <c r="S5" s="43">
        <v>4</v>
      </c>
      <c r="T5" s="43">
        <v>73</v>
      </c>
    </row>
    <row r="6" spans="1:21" x14ac:dyDescent="0.25">
      <c r="A6" s="43" t="s">
        <v>25</v>
      </c>
      <c r="B6" s="43">
        <v>3</v>
      </c>
      <c r="C6" s="43">
        <v>2</v>
      </c>
      <c r="D6" s="43">
        <v>3</v>
      </c>
      <c r="E6" s="43">
        <v>3</v>
      </c>
      <c r="F6" s="43">
        <v>2</v>
      </c>
      <c r="G6" s="43">
        <v>2</v>
      </c>
      <c r="H6" s="43">
        <v>2</v>
      </c>
      <c r="I6" s="43">
        <v>2</v>
      </c>
      <c r="J6" s="43">
        <v>2</v>
      </c>
      <c r="K6" s="43">
        <v>3</v>
      </c>
      <c r="L6" s="43">
        <v>2</v>
      </c>
      <c r="M6" s="43">
        <v>2</v>
      </c>
      <c r="N6" s="43">
        <v>3</v>
      </c>
      <c r="O6" s="43">
        <v>2</v>
      </c>
      <c r="P6" s="43">
        <v>2</v>
      </c>
      <c r="Q6" s="43">
        <v>2</v>
      </c>
      <c r="R6" s="43">
        <v>2</v>
      </c>
      <c r="S6" s="43">
        <v>2</v>
      </c>
      <c r="T6" s="43">
        <v>47</v>
      </c>
    </row>
    <row r="7" spans="1:21" x14ac:dyDescent="0.25">
      <c r="A7" s="43" t="s">
        <v>26</v>
      </c>
      <c r="B7" s="43">
        <v>3</v>
      </c>
      <c r="C7" s="43">
        <v>3</v>
      </c>
      <c r="D7" s="43">
        <v>3</v>
      </c>
      <c r="E7" s="43">
        <v>3</v>
      </c>
      <c r="F7" s="43">
        <v>3</v>
      </c>
      <c r="G7" s="43">
        <v>3</v>
      </c>
      <c r="H7" s="43">
        <v>3</v>
      </c>
      <c r="I7" s="43">
        <v>3</v>
      </c>
      <c r="J7" s="43">
        <v>3</v>
      </c>
      <c r="K7" s="43">
        <v>3</v>
      </c>
      <c r="L7" s="43">
        <v>3</v>
      </c>
      <c r="M7" s="43">
        <v>3</v>
      </c>
      <c r="N7" s="43">
        <v>3</v>
      </c>
      <c r="O7" s="43">
        <v>3</v>
      </c>
      <c r="P7" s="43">
        <v>3</v>
      </c>
      <c r="Q7" s="43">
        <v>3</v>
      </c>
      <c r="R7" s="43">
        <v>3</v>
      </c>
      <c r="S7" s="43">
        <v>3</v>
      </c>
      <c r="T7" s="43">
        <v>60</v>
      </c>
    </row>
    <row r="8" spans="1:21" x14ac:dyDescent="0.25">
      <c r="A8" s="43" t="s">
        <v>27</v>
      </c>
      <c r="B8" s="43">
        <v>4</v>
      </c>
      <c r="C8" s="43">
        <v>4</v>
      </c>
      <c r="D8" s="43">
        <v>4</v>
      </c>
      <c r="E8" s="43">
        <v>4</v>
      </c>
      <c r="F8" s="43">
        <v>4</v>
      </c>
      <c r="G8" s="43">
        <v>4</v>
      </c>
      <c r="H8" s="43">
        <v>4</v>
      </c>
      <c r="I8" s="43">
        <v>4</v>
      </c>
      <c r="J8" s="43">
        <v>4</v>
      </c>
      <c r="K8" s="43">
        <v>4</v>
      </c>
      <c r="L8" s="43">
        <v>4</v>
      </c>
      <c r="M8" s="43">
        <v>4</v>
      </c>
      <c r="N8" s="43">
        <v>4</v>
      </c>
      <c r="O8" s="43">
        <v>4</v>
      </c>
      <c r="P8" s="43">
        <v>4</v>
      </c>
      <c r="Q8" s="43">
        <v>4</v>
      </c>
      <c r="R8" s="43">
        <v>4</v>
      </c>
      <c r="S8" s="43">
        <v>4</v>
      </c>
      <c r="T8" s="43">
        <v>45</v>
      </c>
    </row>
    <row r="9" spans="1:21" x14ac:dyDescent="0.25">
      <c r="A9" s="43" t="s">
        <v>28</v>
      </c>
      <c r="B9" s="43">
        <v>4</v>
      </c>
      <c r="C9" s="43">
        <v>4</v>
      </c>
      <c r="D9" s="43">
        <v>4</v>
      </c>
      <c r="E9" s="43">
        <v>4</v>
      </c>
      <c r="F9" s="43">
        <v>3</v>
      </c>
      <c r="G9" s="43">
        <v>4</v>
      </c>
      <c r="H9" s="43">
        <v>4</v>
      </c>
      <c r="I9" s="43">
        <v>4</v>
      </c>
      <c r="J9" s="43">
        <v>4</v>
      </c>
      <c r="K9" s="43">
        <v>4</v>
      </c>
      <c r="L9" s="43">
        <v>4</v>
      </c>
      <c r="M9" s="43">
        <v>4</v>
      </c>
      <c r="N9" s="43">
        <v>4</v>
      </c>
      <c r="O9" s="43">
        <v>4</v>
      </c>
      <c r="P9" s="43">
        <v>4</v>
      </c>
      <c r="Q9" s="43">
        <v>4</v>
      </c>
      <c r="R9" s="43">
        <v>3</v>
      </c>
      <c r="S9" s="43">
        <v>4</v>
      </c>
      <c r="T9" s="43">
        <v>46</v>
      </c>
    </row>
    <row r="10" spans="1:21" x14ac:dyDescent="0.25">
      <c r="A10" s="43" t="s">
        <v>29</v>
      </c>
      <c r="B10" s="43">
        <v>3</v>
      </c>
      <c r="C10" s="43">
        <v>3</v>
      </c>
      <c r="D10" s="43">
        <v>3</v>
      </c>
      <c r="E10" s="43">
        <v>3</v>
      </c>
      <c r="F10" s="43">
        <v>2</v>
      </c>
      <c r="G10" s="43">
        <v>3</v>
      </c>
      <c r="H10" s="43">
        <v>3</v>
      </c>
      <c r="I10" s="43">
        <v>3</v>
      </c>
      <c r="J10" s="43">
        <v>3</v>
      </c>
      <c r="K10" s="43">
        <v>3</v>
      </c>
      <c r="L10" s="43">
        <v>3</v>
      </c>
      <c r="M10" s="43">
        <v>3</v>
      </c>
      <c r="N10" s="43">
        <v>3</v>
      </c>
      <c r="O10" s="43">
        <v>3</v>
      </c>
      <c r="P10" s="43">
        <v>3</v>
      </c>
      <c r="Q10" s="43">
        <v>3</v>
      </c>
      <c r="R10" s="43">
        <v>3</v>
      </c>
      <c r="S10" s="43">
        <v>3</v>
      </c>
      <c r="T10" s="43">
        <v>52</v>
      </c>
    </row>
    <row r="11" spans="1:21" x14ac:dyDescent="0.25">
      <c r="A11" s="43" t="s">
        <v>30</v>
      </c>
      <c r="B11" s="43">
        <v>4</v>
      </c>
      <c r="C11" s="43">
        <v>3</v>
      </c>
      <c r="D11" s="43">
        <v>4</v>
      </c>
      <c r="E11" s="43">
        <v>4</v>
      </c>
      <c r="F11" s="43">
        <v>4</v>
      </c>
      <c r="G11" s="43">
        <v>3</v>
      </c>
      <c r="H11" s="43">
        <v>4</v>
      </c>
      <c r="I11" s="43">
        <v>3</v>
      </c>
      <c r="J11" s="43">
        <v>3</v>
      </c>
      <c r="K11" s="43">
        <v>4</v>
      </c>
      <c r="L11" s="43">
        <v>3</v>
      </c>
      <c r="M11" s="43">
        <v>4</v>
      </c>
      <c r="N11" s="43">
        <v>3</v>
      </c>
      <c r="O11" s="43">
        <v>4</v>
      </c>
      <c r="P11" s="43">
        <v>4</v>
      </c>
      <c r="Q11" s="43">
        <v>4</v>
      </c>
      <c r="R11" s="43">
        <v>4</v>
      </c>
      <c r="S11" s="43">
        <v>4</v>
      </c>
      <c r="T11" s="43">
        <v>59</v>
      </c>
    </row>
    <row r="12" spans="1:21" x14ac:dyDescent="0.25">
      <c r="A12" s="43" t="s">
        <v>31</v>
      </c>
      <c r="B12" s="43">
        <v>2</v>
      </c>
      <c r="C12" s="43">
        <v>2</v>
      </c>
      <c r="D12" s="43">
        <v>3</v>
      </c>
      <c r="E12" s="43">
        <v>2</v>
      </c>
      <c r="F12" s="43">
        <v>2</v>
      </c>
      <c r="G12" s="43">
        <v>2</v>
      </c>
      <c r="H12" s="43">
        <v>2</v>
      </c>
      <c r="I12" s="43">
        <v>2</v>
      </c>
      <c r="J12" s="43">
        <v>2</v>
      </c>
      <c r="K12" s="43">
        <v>2</v>
      </c>
      <c r="L12" s="43">
        <v>2</v>
      </c>
      <c r="M12" s="43">
        <v>2</v>
      </c>
      <c r="N12" s="43">
        <v>2</v>
      </c>
      <c r="O12" s="43">
        <v>2</v>
      </c>
      <c r="P12" s="43">
        <v>2</v>
      </c>
      <c r="Q12" s="43">
        <v>2</v>
      </c>
      <c r="R12" s="43">
        <v>2</v>
      </c>
      <c r="S12" s="43">
        <v>2</v>
      </c>
      <c r="T12" s="43">
        <v>26</v>
      </c>
    </row>
    <row r="13" spans="1:21" x14ac:dyDescent="0.25">
      <c r="A13" s="43" t="s">
        <v>32</v>
      </c>
      <c r="B13" s="43">
        <v>2</v>
      </c>
      <c r="C13" s="43">
        <v>3</v>
      </c>
      <c r="D13" s="43">
        <v>3</v>
      </c>
      <c r="E13" s="43">
        <v>2</v>
      </c>
      <c r="F13" s="43">
        <v>3</v>
      </c>
      <c r="G13" s="43">
        <v>2</v>
      </c>
      <c r="H13" s="43">
        <v>2</v>
      </c>
      <c r="I13" s="43">
        <v>3</v>
      </c>
      <c r="J13" s="43">
        <v>2</v>
      </c>
      <c r="K13" s="43">
        <v>2</v>
      </c>
      <c r="L13" s="43">
        <v>3</v>
      </c>
      <c r="M13" s="43">
        <v>3</v>
      </c>
      <c r="N13" s="43">
        <v>2</v>
      </c>
      <c r="O13" s="43">
        <v>3</v>
      </c>
      <c r="P13" s="43">
        <v>2</v>
      </c>
      <c r="Q13" s="43">
        <v>3</v>
      </c>
      <c r="R13" s="43">
        <v>2</v>
      </c>
      <c r="S13" s="43">
        <v>3</v>
      </c>
      <c r="T13" s="43">
        <v>26</v>
      </c>
    </row>
    <row r="14" spans="1:21" x14ac:dyDescent="0.25">
      <c r="A14" s="43" t="s">
        <v>33</v>
      </c>
      <c r="B14" s="43">
        <v>4</v>
      </c>
      <c r="C14" s="43">
        <v>4</v>
      </c>
      <c r="D14" s="43">
        <v>4</v>
      </c>
      <c r="E14" s="43">
        <v>4</v>
      </c>
      <c r="F14" s="43">
        <v>4</v>
      </c>
      <c r="G14" s="43">
        <v>4</v>
      </c>
      <c r="H14" s="43">
        <v>4</v>
      </c>
      <c r="I14" s="43">
        <v>4</v>
      </c>
      <c r="J14" s="43">
        <v>4</v>
      </c>
      <c r="K14" s="43">
        <v>4</v>
      </c>
      <c r="L14" s="43">
        <v>3</v>
      </c>
      <c r="M14" s="43">
        <v>4</v>
      </c>
      <c r="N14" s="43">
        <v>4</v>
      </c>
      <c r="O14" s="43">
        <v>4</v>
      </c>
      <c r="P14" s="43">
        <v>4</v>
      </c>
      <c r="Q14" s="43">
        <v>4</v>
      </c>
      <c r="R14" s="43">
        <v>3</v>
      </c>
      <c r="S14" s="43">
        <v>4</v>
      </c>
      <c r="T14" s="43">
        <v>26</v>
      </c>
    </row>
    <row r="15" spans="1:21" x14ac:dyDescent="0.25">
      <c r="A15" s="43" t="s">
        <v>34</v>
      </c>
      <c r="B15" s="43">
        <v>3</v>
      </c>
      <c r="C15" s="43">
        <v>2</v>
      </c>
      <c r="D15" s="43">
        <v>3</v>
      </c>
      <c r="E15" s="43">
        <v>3</v>
      </c>
      <c r="F15" s="43">
        <v>3</v>
      </c>
      <c r="G15" s="43">
        <v>2</v>
      </c>
      <c r="H15" s="43">
        <v>2</v>
      </c>
      <c r="I15" s="43">
        <v>3</v>
      </c>
      <c r="J15" s="43">
        <v>3</v>
      </c>
      <c r="K15" s="43">
        <v>3</v>
      </c>
      <c r="L15" s="43">
        <v>3</v>
      </c>
      <c r="M15" s="43">
        <v>3</v>
      </c>
      <c r="N15" s="43">
        <v>2</v>
      </c>
      <c r="O15" s="43">
        <v>3</v>
      </c>
      <c r="P15" s="43">
        <v>2</v>
      </c>
      <c r="Q15" s="43">
        <v>3</v>
      </c>
      <c r="R15" s="43">
        <v>2</v>
      </c>
      <c r="S15" s="43">
        <v>3</v>
      </c>
      <c r="T15" s="43">
        <v>18</v>
      </c>
    </row>
    <row r="16" spans="1:21" x14ac:dyDescent="0.25">
      <c r="A16" s="43" t="s">
        <v>35</v>
      </c>
      <c r="B16" s="43">
        <v>4</v>
      </c>
      <c r="C16" s="43">
        <v>3</v>
      </c>
      <c r="D16" s="43">
        <v>4</v>
      </c>
      <c r="E16" s="43">
        <v>4</v>
      </c>
      <c r="F16" s="43">
        <v>4</v>
      </c>
      <c r="G16" s="43">
        <v>3</v>
      </c>
      <c r="H16" s="43">
        <v>4</v>
      </c>
      <c r="I16" s="43">
        <v>4</v>
      </c>
      <c r="J16" s="43">
        <v>3</v>
      </c>
      <c r="K16" s="43">
        <v>4</v>
      </c>
      <c r="L16" s="43">
        <v>4</v>
      </c>
      <c r="M16" s="43">
        <v>3</v>
      </c>
      <c r="N16" s="43">
        <v>4</v>
      </c>
      <c r="O16" s="43">
        <v>4</v>
      </c>
      <c r="P16" s="43">
        <v>3</v>
      </c>
      <c r="Q16" s="43">
        <v>4</v>
      </c>
      <c r="R16" s="43">
        <v>3</v>
      </c>
      <c r="S16" s="43">
        <v>3</v>
      </c>
      <c r="T16" s="43">
        <v>41</v>
      </c>
    </row>
    <row r="17" spans="1:20" x14ac:dyDescent="0.25">
      <c r="A17" s="43" t="s">
        <v>36</v>
      </c>
      <c r="B17" s="43">
        <v>3</v>
      </c>
      <c r="C17" s="43">
        <v>2</v>
      </c>
      <c r="D17" s="43">
        <v>2</v>
      </c>
      <c r="E17" s="43">
        <v>2</v>
      </c>
      <c r="F17" s="43">
        <v>2</v>
      </c>
      <c r="G17" s="43">
        <v>2</v>
      </c>
      <c r="H17" s="43">
        <v>3</v>
      </c>
      <c r="I17" s="43">
        <v>3</v>
      </c>
      <c r="J17" s="43">
        <v>2</v>
      </c>
      <c r="K17" s="43">
        <v>2</v>
      </c>
      <c r="L17" s="43">
        <v>3</v>
      </c>
      <c r="M17" s="43">
        <v>3</v>
      </c>
      <c r="N17" s="43">
        <v>2</v>
      </c>
      <c r="O17" s="43">
        <v>3</v>
      </c>
      <c r="P17" s="43">
        <v>3</v>
      </c>
      <c r="Q17" s="43">
        <v>3</v>
      </c>
      <c r="R17" s="43">
        <v>2</v>
      </c>
      <c r="S17" s="43">
        <v>3</v>
      </c>
      <c r="T17" s="43">
        <v>55</v>
      </c>
    </row>
    <row r="18" spans="1:20" x14ac:dyDescent="0.25">
      <c r="A18" s="43" t="s">
        <v>37</v>
      </c>
      <c r="B18" s="43">
        <v>3</v>
      </c>
      <c r="C18" s="43">
        <v>3</v>
      </c>
      <c r="D18" s="43">
        <v>3</v>
      </c>
      <c r="E18" s="43">
        <v>2</v>
      </c>
      <c r="F18" s="43">
        <v>3</v>
      </c>
      <c r="G18" s="43">
        <v>3</v>
      </c>
      <c r="H18" s="43">
        <v>3</v>
      </c>
      <c r="I18" s="43">
        <v>3</v>
      </c>
      <c r="J18" s="43">
        <v>3</v>
      </c>
      <c r="K18" s="43">
        <v>3</v>
      </c>
      <c r="L18" s="43">
        <v>3</v>
      </c>
      <c r="M18" s="43">
        <v>3</v>
      </c>
      <c r="N18" s="43">
        <v>2</v>
      </c>
      <c r="O18" s="43">
        <v>3</v>
      </c>
      <c r="P18" s="43">
        <v>3</v>
      </c>
      <c r="Q18" s="43">
        <v>3</v>
      </c>
      <c r="R18" s="43">
        <v>2</v>
      </c>
      <c r="S18" s="43">
        <v>3</v>
      </c>
      <c r="T18" s="43">
        <v>74</v>
      </c>
    </row>
    <row r="19" spans="1:20" x14ac:dyDescent="0.25">
      <c r="A19" s="43" t="s">
        <v>38</v>
      </c>
      <c r="B19" s="43">
        <v>4</v>
      </c>
      <c r="C19" s="43">
        <v>3</v>
      </c>
      <c r="D19" s="43">
        <v>3</v>
      </c>
      <c r="E19" s="43">
        <v>3</v>
      </c>
      <c r="F19" s="43">
        <v>3</v>
      </c>
      <c r="G19" s="43">
        <v>3</v>
      </c>
      <c r="H19" s="43">
        <v>3</v>
      </c>
      <c r="I19" s="43">
        <v>3</v>
      </c>
      <c r="J19" s="43">
        <v>3</v>
      </c>
      <c r="K19" s="43">
        <v>3</v>
      </c>
      <c r="L19" s="43">
        <v>3</v>
      </c>
      <c r="M19" s="43">
        <v>3</v>
      </c>
      <c r="N19" s="43">
        <v>3</v>
      </c>
      <c r="O19" s="43">
        <v>4</v>
      </c>
      <c r="P19" s="43">
        <v>3</v>
      </c>
      <c r="Q19" s="43">
        <v>3</v>
      </c>
      <c r="R19" s="43">
        <v>3</v>
      </c>
      <c r="S19" s="43">
        <v>3</v>
      </c>
      <c r="T19" s="43">
        <v>46</v>
      </c>
    </row>
    <row r="20" spans="1:20" x14ac:dyDescent="0.25">
      <c r="A20" s="43" t="s">
        <v>39</v>
      </c>
      <c r="B20" s="43">
        <v>4</v>
      </c>
      <c r="C20" s="43">
        <v>3</v>
      </c>
      <c r="D20" s="43">
        <v>3</v>
      </c>
      <c r="E20" s="43">
        <v>2</v>
      </c>
      <c r="F20" s="43">
        <v>3</v>
      </c>
      <c r="G20" s="43">
        <v>3</v>
      </c>
      <c r="H20" s="43">
        <v>3</v>
      </c>
      <c r="I20" s="43">
        <v>3</v>
      </c>
      <c r="J20" s="43">
        <v>3</v>
      </c>
      <c r="K20" s="43">
        <v>3</v>
      </c>
      <c r="L20" s="43">
        <v>3</v>
      </c>
      <c r="M20" s="43">
        <v>3</v>
      </c>
      <c r="N20" s="43">
        <v>3</v>
      </c>
      <c r="O20" s="43">
        <v>3</v>
      </c>
      <c r="P20" s="43">
        <v>3</v>
      </c>
      <c r="Q20" s="43">
        <v>3</v>
      </c>
      <c r="R20" s="43">
        <v>3</v>
      </c>
      <c r="S20" s="43">
        <v>3</v>
      </c>
      <c r="T20" s="43">
        <v>18</v>
      </c>
    </row>
    <row r="21" spans="1:20" x14ac:dyDescent="0.25">
      <c r="A21" s="43" t="s">
        <v>40</v>
      </c>
      <c r="B21" s="43">
        <v>3</v>
      </c>
      <c r="C21" s="43">
        <v>3</v>
      </c>
      <c r="D21" s="43">
        <v>3</v>
      </c>
      <c r="E21" s="43">
        <v>3</v>
      </c>
      <c r="F21" s="43">
        <v>3</v>
      </c>
      <c r="G21" s="43">
        <v>3</v>
      </c>
      <c r="H21" s="43">
        <v>3</v>
      </c>
      <c r="I21" s="43">
        <v>3</v>
      </c>
      <c r="J21" s="43">
        <v>4</v>
      </c>
      <c r="K21" s="43">
        <v>3</v>
      </c>
      <c r="L21" s="43">
        <v>3</v>
      </c>
      <c r="M21" s="43">
        <v>3</v>
      </c>
      <c r="N21" s="43">
        <v>3</v>
      </c>
      <c r="O21" s="43">
        <v>3</v>
      </c>
      <c r="P21" s="43">
        <v>3</v>
      </c>
      <c r="Q21" s="43">
        <v>3</v>
      </c>
      <c r="R21" s="43">
        <v>3</v>
      </c>
      <c r="S21" s="43">
        <v>3</v>
      </c>
      <c r="T21" s="43">
        <v>37</v>
      </c>
    </row>
    <row r="22" spans="1:20" x14ac:dyDescent="0.25">
      <c r="A22" s="43" t="s">
        <v>41</v>
      </c>
      <c r="B22" s="43">
        <v>3</v>
      </c>
      <c r="C22" s="43">
        <v>3</v>
      </c>
      <c r="D22" s="43">
        <v>3</v>
      </c>
      <c r="E22" s="43">
        <v>3</v>
      </c>
      <c r="F22" s="43">
        <v>2</v>
      </c>
      <c r="G22" s="43">
        <v>2</v>
      </c>
      <c r="H22" s="43">
        <v>2</v>
      </c>
      <c r="I22" s="43">
        <v>3</v>
      </c>
      <c r="J22" s="43">
        <v>3</v>
      </c>
      <c r="K22" s="43">
        <v>3</v>
      </c>
      <c r="L22" s="43">
        <v>2</v>
      </c>
      <c r="M22" s="43">
        <v>3</v>
      </c>
      <c r="N22" s="43">
        <v>3</v>
      </c>
      <c r="O22" s="43">
        <v>2</v>
      </c>
      <c r="P22" s="43">
        <v>3</v>
      </c>
      <c r="Q22" s="43">
        <v>3</v>
      </c>
      <c r="R22" s="43">
        <v>2</v>
      </c>
      <c r="S22" s="43">
        <v>3</v>
      </c>
      <c r="T22" s="43">
        <v>42</v>
      </c>
    </row>
    <row r="23" spans="1:20" x14ac:dyDescent="0.25">
      <c r="A23" s="43" t="s">
        <v>42</v>
      </c>
      <c r="B23" s="43">
        <v>3</v>
      </c>
      <c r="C23" s="43">
        <v>3</v>
      </c>
      <c r="D23" s="43">
        <v>2</v>
      </c>
      <c r="E23" s="43">
        <v>2</v>
      </c>
      <c r="F23" s="43">
        <v>2</v>
      </c>
      <c r="G23" s="43">
        <v>2</v>
      </c>
      <c r="H23" s="43">
        <v>2</v>
      </c>
      <c r="I23" s="43">
        <v>3</v>
      </c>
      <c r="J23" s="43">
        <v>2</v>
      </c>
      <c r="K23" s="43">
        <v>2</v>
      </c>
      <c r="L23" s="43">
        <v>2</v>
      </c>
      <c r="M23" s="43">
        <v>3</v>
      </c>
      <c r="N23" s="43">
        <v>2</v>
      </c>
      <c r="O23" s="43">
        <v>2</v>
      </c>
      <c r="P23" s="43">
        <v>2</v>
      </c>
      <c r="Q23" s="43">
        <v>2</v>
      </c>
      <c r="R23" s="43">
        <v>2</v>
      </c>
      <c r="S23" s="43">
        <v>3</v>
      </c>
      <c r="T23" s="43">
        <v>63</v>
      </c>
    </row>
    <row r="24" spans="1:20" x14ac:dyDescent="0.25">
      <c r="A24" s="43" t="s">
        <v>43</v>
      </c>
      <c r="B24" s="43">
        <v>4</v>
      </c>
      <c r="C24" s="43">
        <v>4</v>
      </c>
      <c r="D24" s="43">
        <v>4</v>
      </c>
      <c r="E24" s="43">
        <v>4</v>
      </c>
      <c r="F24" s="43">
        <v>4</v>
      </c>
      <c r="G24" s="43">
        <v>4</v>
      </c>
      <c r="H24" s="43">
        <v>4</v>
      </c>
      <c r="I24" s="43">
        <v>4</v>
      </c>
      <c r="J24" s="43">
        <v>4</v>
      </c>
      <c r="K24" s="43">
        <v>4</v>
      </c>
      <c r="L24" s="43">
        <v>4</v>
      </c>
      <c r="M24" s="43">
        <v>4</v>
      </c>
      <c r="N24" s="43">
        <v>4</v>
      </c>
      <c r="O24" s="43">
        <v>3</v>
      </c>
      <c r="P24" s="43">
        <v>4</v>
      </c>
      <c r="Q24" s="43">
        <v>4</v>
      </c>
      <c r="R24" s="43">
        <v>4</v>
      </c>
      <c r="S24" s="43">
        <v>4</v>
      </c>
      <c r="T24" s="43">
        <v>47</v>
      </c>
    </row>
    <row r="25" spans="1:20" x14ac:dyDescent="0.25">
      <c r="A25" s="43" t="s">
        <v>44</v>
      </c>
      <c r="B25" s="43">
        <v>3</v>
      </c>
      <c r="C25" s="43">
        <v>2</v>
      </c>
      <c r="D25" s="43">
        <v>2</v>
      </c>
      <c r="E25" s="43">
        <v>2</v>
      </c>
      <c r="F25" s="43">
        <v>2</v>
      </c>
      <c r="G25" s="43">
        <v>2</v>
      </c>
      <c r="H25" s="43">
        <v>2</v>
      </c>
      <c r="I25" s="43">
        <v>2</v>
      </c>
      <c r="J25" s="43">
        <v>2</v>
      </c>
      <c r="K25" s="43">
        <v>2</v>
      </c>
      <c r="L25" s="43">
        <v>2</v>
      </c>
      <c r="M25" s="43">
        <v>2</v>
      </c>
      <c r="N25" s="43">
        <v>2</v>
      </c>
      <c r="O25" s="43">
        <v>2</v>
      </c>
      <c r="P25" s="43">
        <v>2</v>
      </c>
      <c r="Q25" s="43">
        <v>2</v>
      </c>
      <c r="R25" s="43">
        <v>2</v>
      </c>
      <c r="S25" s="43">
        <v>2</v>
      </c>
      <c r="T25" s="43">
        <v>51</v>
      </c>
    </row>
    <row r="26" spans="1:20" x14ac:dyDescent="0.25">
      <c r="A26" s="43" t="s">
        <v>45</v>
      </c>
      <c r="B26" s="43">
        <v>3</v>
      </c>
      <c r="C26" s="43">
        <v>2</v>
      </c>
      <c r="D26" s="43">
        <v>3</v>
      </c>
      <c r="E26" s="43">
        <v>3</v>
      </c>
      <c r="F26" s="43">
        <v>3</v>
      </c>
      <c r="G26" s="43">
        <v>2</v>
      </c>
      <c r="H26" s="43">
        <v>2</v>
      </c>
      <c r="I26" s="43">
        <v>2</v>
      </c>
      <c r="J26" s="43">
        <v>2</v>
      </c>
      <c r="K26" s="43">
        <v>2</v>
      </c>
      <c r="L26" s="43">
        <v>3</v>
      </c>
      <c r="M26" s="43">
        <v>2</v>
      </c>
      <c r="N26" s="43">
        <v>2</v>
      </c>
      <c r="O26" s="43">
        <v>2</v>
      </c>
      <c r="P26" s="43">
        <v>2</v>
      </c>
      <c r="Q26" s="43">
        <v>3</v>
      </c>
      <c r="R26" s="43">
        <v>2</v>
      </c>
      <c r="S26" s="43">
        <v>2</v>
      </c>
      <c r="T26" s="43">
        <v>37</v>
      </c>
    </row>
    <row r="27" spans="1:20" x14ac:dyDescent="0.25">
      <c r="A27" s="43" t="s">
        <v>46</v>
      </c>
      <c r="B27" s="43">
        <v>3</v>
      </c>
      <c r="C27" s="43">
        <v>3</v>
      </c>
      <c r="D27" s="43">
        <v>3</v>
      </c>
      <c r="E27" s="43">
        <v>3</v>
      </c>
      <c r="F27" s="43">
        <v>3</v>
      </c>
      <c r="G27" s="43">
        <v>3</v>
      </c>
      <c r="H27" s="43">
        <v>2</v>
      </c>
      <c r="I27" s="43">
        <v>3</v>
      </c>
      <c r="J27" s="43">
        <v>3</v>
      </c>
      <c r="K27" s="43">
        <v>3</v>
      </c>
      <c r="L27" s="43">
        <v>3</v>
      </c>
      <c r="M27" s="43">
        <v>3</v>
      </c>
      <c r="N27" s="43">
        <v>2</v>
      </c>
      <c r="O27" s="43">
        <v>3</v>
      </c>
      <c r="P27" s="43">
        <v>3</v>
      </c>
      <c r="Q27" s="43">
        <v>3</v>
      </c>
      <c r="R27" s="43">
        <v>2</v>
      </c>
      <c r="S27" s="43">
        <v>3</v>
      </c>
      <c r="T27" s="43">
        <v>49</v>
      </c>
    </row>
    <row r="28" spans="1:20" x14ac:dyDescent="0.25">
      <c r="A28" s="43" t="s">
        <v>47</v>
      </c>
      <c r="B28" s="43">
        <v>5</v>
      </c>
      <c r="C28" s="43">
        <v>4</v>
      </c>
      <c r="D28" s="43">
        <v>4</v>
      </c>
      <c r="E28" s="43">
        <v>5</v>
      </c>
      <c r="F28" s="43">
        <v>4</v>
      </c>
      <c r="G28" s="43">
        <v>4</v>
      </c>
      <c r="H28" s="43">
        <v>4</v>
      </c>
      <c r="I28" s="43">
        <v>4</v>
      </c>
      <c r="J28" s="43">
        <v>5</v>
      </c>
      <c r="K28" s="43">
        <v>4</v>
      </c>
      <c r="L28" s="43">
        <v>4</v>
      </c>
      <c r="M28" s="43">
        <v>4</v>
      </c>
      <c r="N28" s="43">
        <v>4</v>
      </c>
      <c r="O28" s="43">
        <v>4</v>
      </c>
      <c r="P28" s="43">
        <v>4</v>
      </c>
      <c r="Q28" s="43">
        <v>4</v>
      </c>
      <c r="R28" s="43">
        <v>4</v>
      </c>
      <c r="S28" s="43">
        <v>4</v>
      </c>
      <c r="T28" s="43">
        <v>23</v>
      </c>
    </row>
    <row r="29" spans="1:20" x14ac:dyDescent="0.25">
      <c r="A29" s="43" t="s">
        <v>48</v>
      </c>
      <c r="B29" s="43">
        <v>2</v>
      </c>
      <c r="C29" s="43">
        <v>2</v>
      </c>
      <c r="D29" s="43">
        <v>2</v>
      </c>
      <c r="E29" s="43">
        <v>2</v>
      </c>
      <c r="F29" s="43">
        <v>2</v>
      </c>
      <c r="G29" s="43">
        <v>2</v>
      </c>
      <c r="H29" s="43">
        <v>2</v>
      </c>
      <c r="I29" s="43">
        <v>2</v>
      </c>
      <c r="J29" s="43">
        <v>2</v>
      </c>
      <c r="K29" s="43">
        <v>3</v>
      </c>
      <c r="L29" s="43">
        <v>2</v>
      </c>
      <c r="M29" s="43">
        <v>2</v>
      </c>
      <c r="N29" s="43">
        <v>2</v>
      </c>
      <c r="O29" s="43">
        <v>2</v>
      </c>
      <c r="P29" s="43">
        <v>2</v>
      </c>
      <c r="Q29" s="43">
        <v>2</v>
      </c>
      <c r="R29" s="43">
        <v>2</v>
      </c>
      <c r="S29" s="43">
        <v>2</v>
      </c>
      <c r="T29" s="43">
        <v>48</v>
      </c>
    </row>
    <row r="30" spans="1:20" x14ac:dyDescent="0.25">
      <c r="A30" s="43" t="s">
        <v>49</v>
      </c>
      <c r="B30" s="43">
        <v>3</v>
      </c>
      <c r="C30" s="43">
        <v>2</v>
      </c>
      <c r="D30" s="43">
        <v>2</v>
      </c>
      <c r="E30" s="43">
        <v>2</v>
      </c>
      <c r="F30" s="43">
        <v>2</v>
      </c>
      <c r="G30" s="43">
        <v>2</v>
      </c>
      <c r="H30" s="43">
        <v>2</v>
      </c>
      <c r="I30" s="43">
        <v>2</v>
      </c>
      <c r="J30" s="43">
        <v>2</v>
      </c>
      <c r="K30" s="43">
        <v>2</v>
      </c>
      <c r="L30" s="43">
        <v>2</v>
      </c>
      <c r="M30" s="43">
        <v>2</v>
      </c>
      <c r="N30" s="43">
        <v>2</v>
      </c>
      <c r="O30" s="43">
        <v>2</v>
      </c>
      <c r="P30" s="43">
        <v>2</v>
      </c>
      <c r="Q30" s="43">
        <v>2</v>
      </c>
      <c r="R30" s="43">
        <v>1</v>
      </c>
      <c r="S30" s="43">
        <v>2</v>
      </c>
      <c r="T30" s="43">
        <v>75</v>
      </c>
    </row>
    <row r="31" spans="1:20" x14ac:dyDescent="0.25">
      <c r="A31" s="43" t="s">
        <v>50</v>
      </c>
      <c r="B31" s="43">
        <v>3</v>
      </c>
      <c r="C31" s="43">
        <v>3</v>
      </c>
      <c r="D31" s="43">
        <v>3</v>
      </c>
      <c r="E31" s="43">
        <v>3</v>
      </c>
      <c r="F31" s="43">
        <v>2</v>
      </c>
      <c r="G31" s="43">
        <v>3</v>
      </c>
      <c r="H31" s="43">
        <v>2</v>
      </c>
      <c r="I31" s="43">
        <v>3</v>
      </c>
      <c r="J31" s="43">
        <v>2</v>
      </c>
      <c r="K31" s="43">
        <v>3</v>
      </c>
      <c r="L31" s="43">
        <v>3</v>
      </c>
      <c r="M31" s="43">
        <v>3</v>
      </c>
      <c r="N31" s="43">
        <v>3</v>
      </c>
      <c r="O31" s="43">
        <v>3</v>
      </c>
      <c r="P31" s="43">
        <v>3</v>
      </c>
      <c r="Q31" s="43">
        <v>3</v>
      </c>
      <c r="R31" s="43">
        <v>2</v>
      </c>
      <c r="S31" s="43">
        <v>2</v>
      </c>
      <c r="T31" s="43">
        <v>45</v>
      </c>
    </row>
    <row r="32" spans="1:20" x14ac:dyDescent="0.25">
      <c r="A32" s="43" t="s">
        <v>51</v>
      </c>
      <c r="B32" s="43">
        <v>4</v>
      </c>
      <c r="C32" s="43">
        <v>3</v>
      </c>
      <c r="D32" s="43">
        <v>4</v>
      </c>
      <c r="E32" s="43">
        <v>3</v>
      </c>
      <c r="F32" s="43">
        <v>4</v>
      </c>
      <c r="G32" s="43">
        <v>3</v>
      </c>
      <c r="H32" s="43">
        <v>4</v>
      </c>
      <c r="I32" s="43">
        <v>4</v>
      </c>
      <c r="J32" s="43">
        <v>4</v>
      </c>
      <c r="K32" s="43">
        <v>4</v>
      </c>
      <c r="L32" s="43">
        <v>4</v>
      </c>
      <c r="M32" s="43">
        <v>4</v>
      </c>
      <c r="N32" s="43">
        <v>4</v>
      </c>
      <c r="O32" s="43">
        <v>3</v>
      </c>
      <c r="P32" s="43">
        <v>3</v>
      </c>
      <c r="Q32" s="43">
        <v>3</v>
      </c>
      <c r="R32" s="43">
        <v>3</v>
      </c>
      <c r="S32" s="43">
        <v>4</v>
      </c>
      <c r="T32" s="43">
        <v>81</v>
      </c>
    </row>
    <row r="33" spans="1:20" x14ac:dyDescent="0.25">
      <c r="A33" s="43" t="s">
        <v>52</v>
      </c>
      <c r="B33" s="43">
        <v>4</v>
      </c>
      <c r="C33" s="43">
        <v>4</v>
      </c>
      <c r="D33" s="43">
        <v>4</v>
      </c>
      <c r="E33" s="43">
        <v>4</v>
      </c>
      <c r="F33" s="43">
        <v>4</v>
      </c>
      <c r="G33" s="43">
        <v>4</v>
      </c>
      <c r="H33" s="43">
        <v>4</v>
      </c>
      <c r="I33" s="43">
        <v>4</v>
      </c>
      <c r="J33" s="43">
        <v>4</v>
      </c>
      <c r="K33" s="43">
        <v>3</v>
      </c>
      <c r="L33" s="43">
        <v>4</v>
      </c>
      <c r="M33" s="43">
        <v>3</v>
      </c>
      <c r="N33" s="43">
        <v>4</v>
      </c>
      <c r="O33" s="43">
        <v>4</v>
      </c>
      <c r="P33" s="43">
        <v>4</v>
      </c>
      <c r="Q33" s="43">
        <v>4</v>
      </c>
      <c r="R33" s="43">
        <v>4</v>
      </c>
      <c r="S33" s="43">
        <v>4</v>
      </c>
      <c r="T33" s="43">
        <v>55</v>
      </c>
    </row>
    <row r="34" spans="1:20" x14ac:dyDescent="0.25">
      <c r="A34" s="43" t="s">
        <v>53</v>
      </c>
      <c r="B34" s="43">
        <v>3</v>
      </c>
      <c r="C34" s="43">
        <v>3</v>
      </c>
      <c r="D34" s="43">
        <v>3</v>
      </c>
      <c r="E34" s="43">
        <v>3</v>
      </c>
      <c r="F34" s="43">
        <v>3</v>
      </c>
      <c r="G34" s="43">
        <v>3</v>
      </c>
      <c r="H34" s="43">
        <v>3</v>
      </c>
      <c r="I34" s="43">
        <v>3</v>
      </c>
      <c r="J34" s="43">
        <v>3</v>
      </c>
      <c r="K34" s="43">
        <v>3</v>
      </c>
      <c r="L34" s="43">
        <v>2</v>
      </c>
      <c r="M34" s="43">
        <v>3</v>
      </c>
      <c r="N34" s="43">
        <v>2</v>
      </c>
      <c r="O34" s="43">
        <v>3</v>
      </c>
      <c r="P34" s="43">
        <v>3</v>
      </c>
      <c r="Q34" s="43">
        <v>3</v>
      </c>
      <c r="R34" s="43">
        <v>3</v>
      </c>
      <c r="S34" s="43">
        <v>3</v>
      </c>
      <c r="T34" s="43">
        <v>62</v>
      </c>
    </row>
    <row r="35" spans="1:20" x14ac:dyDescent="0.25">
      <c r="A35" s="43" t="s">
        <v>54</v>
      </c>
      <c r="B35" s="43">
        <v>4</v>
      </c>
      <c r="C35" s="43">
        <v>4</v>
      </c>
      <c r="D35" s="43">
        <v>4</v>
      </c>
      <c r="E35" s="43">
        <v>4</v>
      </c>
      <c r="F35" s="43">
        <v>4</v>
      </c>
      <c r="G35" s="43">
        <v>4</v>
      </c>
      <c r="H35" s="43">
        <v>4</v>
      </c>
      <c r="I35" s="43">
        <v>4</v>
      </c>
      <c r="J35" s="43">
        <v>4</v>
      </c>
      <c r="K35" s="43">
        <v>4</v>
      </c>
      <c r="L35" s="43">
        <v>4</v>
      </c>
      <c r="M35" s="43">
        <v>4</v>
      </c>
      <c r="N35" s="43">
        <v>4</v>
      </c>
      <c r="O35" s="43">
        <v>4</v>
      </c>
      <c r="P35" s="43">
        <v>4</v>
      </c>
      <c r="Q35" s="43">
        <v>5</v>
      </c>
      <c r="R35" s="43">
        <v>4</v>
      </c>
      <c r="S35" s="43">
        <v>4</v>
      </c>
      <c r="T35" s="43">
        <v>33</v>
      </c>
    </row>
    <row r="36" spans="1:20" x14ac:dyDescent="0.25">
      <c r="A36" s="43" t="s">
        <v>55</v>
      </c>
      <c r="B36" s="43">
        <v>5</v>
      </c>
      <c r="C36" s="43">
        <v>4</v>
      </c>
      <c r="D36" s="43">
        <v>4</v>
      </c>
      <c r="E36" s="43">
        <v>5</v>
      </c>
      <c r="F36" s="43">
        <v>4</v>
      </c>
      <c r="G36" s="43">
        <v>5</v>
      </c>
      <c r="H36" s="43">
        <v>4</v>
      </c>
      <c r="I36" s="43">
        <v>5</v>
      </c>
      <c r="J36" s="43">
        <v>4</v>
      </c>
      <c r="K36" s="43">
        <v>4</v>
      </c>
      <c r="L36" s="43">
        <v>4</v>
      </c>
      <c r="M36" s="43">
        <v>4</v>
      </c>
      <c r="N36" s="43">
        <v>4</v>
      </c>
      <c r="O36" s="43">
        <v>4</v>
      </c>
      <c r="P36" s="43">
        <v>4</v>
      </c>
      <c r="Q36" s="43">
        <v>4</v>
      </c>
      <c r="R36" s="43">
        <v>4</v>
      </c>
      <c r="S36" s="43">
        <v>5</v>
      </c>
      <c r="T36" s="43">
        <v>76</v>
      </c>
    </row>
    <row r="37" spans="1:20" x14ac:dyDescent="0.25">
      <c r="A37" s="43" t="s">
        <v>56</v>
      </c>
      <c r="B37" s="43">
        <v>3</v>
      </c>
      <c r="C37" s="43">
        <v>2</v>
      </c>
      <c r="D37" s="43">
        <v>2</v>
      </c>
      <c r="E37" s="43">
        <v>3</v>
      </c>
      <c r="F37" s="43">
        <v>2</v>
      </c>
      <c r="G37" s="43">
        <v>3</v>
      </c>
      <c r="H37" s="43">
        <v>2</v>
      </c>
      <c r="I37" s="43">
        <v>3</v>
      </c>
      <c r="J37" s="43">
        <v>3</v>
      </c>
      <c r="K37" s="43">
        <v>2</v>
      </c>
      <c r="L37" s="43">
        <v>3</v>
      </c>
      <c r="M37" s="43">
        <v>2</v>
      </c>
      <c r="N37" s="43">
        <v>3</v>
      </c>
      <c r="O37" s="43">
        <v>3</v>
      </c>
      <c r="P37" s="43">
        <v>2</v>
      </c>
      <c r="Q37" s="43">
        <v>2</v>
      </c>
      <c r="R37" s="43">
        <v>2</v>
      </c>
      <c r="S37" s="43">
        <v>3</v>
      </c>
      <c r="T37" s="43">
        <v>80</v>
      </c>
    </row>
    <row r="38" spans="1:20" x14ac:dyDescent="0.25">
      <c r="A38" s="43" t="s">
        <v>57</v>
      </c>
      <c r="B38" s="43">
        <v>3</v>
      </c>
      <c r="C38" s="43">
        <v>3</v>
      </c>
      <c r="D38" s="43">
        <v>2</v>
      </c>
      <c r="E38" s="43">
        <v>2</v>
      </c>
      <c r="F38" s="43">
        <v>2</v>
      </c>
      <c r="G38" s="43">
        <v>2</v>
      </c>
      <c r="H38" s="43">
        <v>2</v>
      </c>
      <c r="I38" s="43">
        <v>3</v>
      </c>
      <c r="J38" s="43">
        <v>2</v>
      </c>
      <c r="K38" s="43">
        <v>3</v>
      </c>
      <c r="L38" s="43">
        <v>3</v>
      </c>
      <c r="M38" s="43">
        <v>3</v>
      </c>
      <c r="N38" s="43">
        <v>2</v>
      </c>
      <c r="O38" s="43">
        <v>3</v>
      </c>
      <c r="P38" s="43">
        <v>3</v>
      </c>
      <c r="Q38" s="43">
        <v>3</v>
      </c>
      <c r="R38" s="43">
        <v>2</v>
      </c>
      <c r="S38" s="43">
        <v>3</v>
      </c>
      <c r="T38" s="43">
        <v>37</v>
      </c>
    </row>
    <row r="39" spans="1:20" x14ac:dyDescent="0.25">
      <c r="A39" s="43" t="s">
        <v>58</v>
      </c>
      <c r="B39" s="43">
        <v>3</v>
      </c>
      <c r="C39" s="43">
        <v>3</v>
      </c>
      <c r="D39" s="43">
        <v>3</v>
      </c>
      <c r="E39" s="43">
        <v>3</v>
      </c>
      <c r="F39" s="43">
        <v>3</v>
      </c>
      <c r="G39" s="43">
        <v>3</v>
      </c>
      <c r="H39" s="43">
        <v>3</v>
      </c>
      <c r="I39" s="43">
        <v>4</v>
      </c>
      <c r="J39" s="43">
        <v>3</v>
      </c>
      <c r="K39" s="43">
        <v>3</v>
      </c>
      <c r="L39" s="43">
        <v>3</v>
      </c>
      <c r="M39" s="43">
        <v>3</v>
      </c>
      <c r="N39" s="43">
        <v>3</v>
      </c>
      <c r="O39" s="43">
        <v>3</v>
      </c>
      <c r="P39" s="43">
        <v>3</v>
      </c>
      <c r="Q39" s="43">
        <v>3</v>
      </c>
      <c r="R39" s="43">
        <v>3</v>
      </c>
      <c r="S39" s="43">
        <v>3</v>
      </c>
      <c r="T39" s="43">
        <v>67</v>
      </c>
    </row>
    <row r="40" spans="1:20" x14ac:dyDescent="0.25">
      <c r="A40" s="43" t="s">
        <v>59</v>
      </c>
      <c r="B40" s="43">
        <v>3</v>
      </c>
      <c r="C40" s="43">
        <v>4</v>
      </c>
      <c r="D40" s="43">
        <v>3</v>
      </c>
      <c r="E40" s="43">
        <v>3</v>
      </c>
      <c r="F40" s="43">
        <v>3</v>
      </c>
      <c r="G40" s="43">
        <v>3</v>
      </c>
      <c r="H40" s="43">
        <v>3</v>
      </c>
      <c r="I40" s="43">
        <v>3</v>
      </c>
      <c r="J40" s="43">
        <v>3</v>
      </c>
      <c r="K40" s="43">
        <v>3</v>
      </c>
      <c r="L40" s="43">
        <v>3</v>
      </c>
      <c r="M40" s="43">
        <v>3</v>
      </c>
      <c r="N40" s="43">
        <v>3</v>
      </c>
      <c r="O40" s="43">
        <v>3</v>
      </c>
      <c r="P40" s="43">
        <v>3</v>
      </c>
      <c r="Q40" s="43">
        <v>3</v>
      </c>
      <c r="R40" s="43">
        <v>3</v>
      </c>
      <c r="S40" s="43">
        <v>3</v>
      </c>
      <c r="T40" s="43">
        <v>20</v>
      </c>
    </row>
    <row r="41" spans="1:20" x14ac:dyDescent="0.25">
      <c r="A41" s="43" t="s">
        <v>60</v>
      </c>
      <c r="B41" s="43">
        <v>2</v>
      </c>
      <c r="C41" s="43">
        <v>2</v>
      </c>
      <c r="D41" s="43">
        <v>2</v>
      </c>
      <c r="E41" s="43">
        <v>1</v>
      </c>
      <c r="F41" s="43">
        <v>2</v>
      </c>
      <c r="G41" s="43">
        <v>3</v>
      </c>
      <c r="H41" s="43">
        <v>2</v>
      </c>
      <c r="I41" s="43">
        <v>2</v>
      </c>
      <c r="J41" s="43">
        <v>2</v>
      </c>
      <c r="K41" s="43">
        <v>2</v>
      </c>
      <c r="L41" s="43">
        <v>2</v>
      </c>
      <c r="M41" s="43">
        <v>2</v>
      </c>
      <c r="N41" s="43">
        <v>1</v>
      </c>
      <c r="O41" s="43">
        <v>2</v>
      </c>
      <c r="P41" s="43">
        <v>2</v>
      </c>
      <c r="Q41" s="43">
        <v>2</v>
      </c>
      <c r="R41" s="43">
        <v>2</v>
      </c>
      <c r="S41" s="43">
        <v>2</v>
      </c>
      <c r="T41" s="43">
        <v>43</v>
      </c>
    </row>
    <row r="42" spans="1:20" x14ac:dyDescent="0.25">
      <c r="A42" s="43" t="s">
        <v>61</v>
      </c>
      <c r="B42" s="43">
        <v>4</v>
      </c>
      <c r="C42" s="43">
        <v>3</v>
      </c>
      <c r="D42" s="43">
        <v>3</v>
      </c>
      <c r="E42" s="43">
        <v>3</v>
      </c>
      <c r="F42" s="43">
        <v>3</v>
      </c>
      <c r="G42" s="43">
        <v>3</v>
      </c>
      <c r="H42" s="43">
        <v>3</v>
      </c>
      <c r="I42" s="43">
        <v>4</v>
      </c>
      <c r="J42" s="43">
        <v>3</v>
      </c>
      <c r="K42" s="43">
        <v>3</v>
      </c>
      <c r="L42" s="43">
        <v>3</v>
      </c>
      <c r="M42" s="43">
        <v>3</v>
      </c>
      <c r="N42" s="43">
        <v>3</v>
      </c>
      <c r="O42" s="43">
        <v>3</v>
      </c>
      <c r="P42" s="43">
        <v>3</v>
      </c>
      <c r="Q42" s="43">
        <v>3</v>
      </c>
      <c r="R42" s="43">
        <v>3</v>
      </c>
      <c r="S42" s="43">
        <v>3</v>
      </c>
      <c r="T42" s="43">
        <v>48</v>
      </c>
    </row>
    <row r="43" spans="1:20" x14ac:dyDescent="0.25">
      <c r="A43" s="43" t="s">
        <v>62</v>
      </c>
      <c r="B43" s="43">
        <v>4</v>
      </c>
      <c r="C43" s="43">
        <v>4</v>
      </c>
      <c r="D43" s="43">
        <v>4</v>
      </c>
      <c r="E43" s="43">
        <v>3</v>
      </c>
      <c r="F43" s="43">
        <v>4</v>
      </c>
      <c r="G43" s="43">
        <v>4</v>
      </c>
      <c r="H43" s="43">
        <v>3</v>
      </c>
      <c r="I43" s="43">
        <v>3</v>
      </c>
      <c r="J43" s="43">
        <v>3</v>
      </c>
      <c r="K43" s="43">
        <v>4</v>
      </c>
      <c r="L43" s="43">
        <v>3</v>
      </c>
      <c r="M43" s="43">
        <v>4</v>
      </c>
      <c r="N43" s="43">
        <v>3</v>
      </c>
      <c r="O43" s="43">
        <v>4</v>
      </c>
      <c r="P43" s="43">
        <v>3</v>
      </c>
      <c r="Q43" s="43">
        <v>4</v>
      </c>
      <c r="R43" s="43">
        <v>4</v>
      </c>
      <c r="S43" s="43">
        <v>4</v>
      </c>
      <c r="T43" s="43">
        <v>22</v>
      </c>
    </row>
    <row r="44" spans="1:20" x14ac:dyDescent="0.25">
      <c r="A44" s="43" t="s">
        <v>63</v>
      </c>
      <c r="B44" s="43">
        <v>4</v>
      </c>
      <c r="C44" s="43">
        <v>4</v>
      </c>
      <c r="D44" s="43">
        <v>4</v>
      </c>
      <c r="E44" s="43">
        <v>5</v>
      </c>
      <c r="F44" s="43">
        <v>4</v>
      </c>
      <c r="G44" s="43">
        <v>4</v>
      </c>
      <c r="H44" s="43">
        <v>4</v>
      </c>
      <c r="I44" s="43">
        <v>4</v>
      </c>
      <c r="J44" s="43">
        <v>4</v>
      </c>
      <c r="K44" s="43">
        <v>4</v>
      </c>
      <c r="L44" s="43">
        <v>4</v>
      </c>
      <c r="M44" s="43">
        <v>4</v>
      </c>
      <c r="N44" s="43">
        <v>4</v>
      </c>
      <c r="O44" s="43">
        <v>4</v>
      </c>
      <c r="P44" s="43">
        <v>4</v>
      </c>
      <c r="Q44" s="43">
        <v>4</v>
      </c>
      <c r="R44" s="43">
        <v>4</v>
      </c>
      <c r="S44" s="43">
        <v>4</v>
      </c>
      <c r="T44" s="43">
        <v>57</v>
      </c>
    </row>
    <row r="45" spans="1:20" x14ac:dyDescent="0.25">
      <c r="A45" s="43" t="s">
        <v>64</v>
      </c>
      <c r="B45" s="43">
        <v>3</v>
      </c>
      <c r="C45" s="43">
        <v>3</v>
      </c>
      <c r="D45" s="43">
        <v>4</v>
      </c>
      <c r="E45" s="43">
        <v>3</v>
      </c>
      <c r="F45" s="43">
        <v>3</v>
      </c>
      <c r="G45" s="43">
        <v>3</v>
      </c>
      <c r="H45" s="43">
        <v>3</v>
      </c>
      <c r="I45" s="43">
        <v>4</v>
      </c>
      <c r="J45" s="43">
        <v>4</v>
      </c>
      <c r="K45" s="43">
        <v>3</v>
      </c>
      <c r="L45" s="43">
        <v>3</v>
      </c>
      <c r="M45" s="43">
        <v>3</v>
      </c>
      <c r="N45" s="43">
        <v>3</v>
      </c>
      <c r="O45" s="43">
        <v>3</v>
      </c>
      <c r="P45" s="43">
        <v>3</v>
      </c>
      <c r="Q45" s="43">
        <v>3</v>
      </c>
      <c r="R45" s="43">
        <v>3</v>
      </c>
      <c r="S45" s="43">
        <v>3</v>
      </c>
      <c r="T45" s="43">
        <v>81</v>
      </c>
    </row>
    <row r="46" spans="1:20" x14ac:dyDescent="0.25">
      <c r="A46" s="43" t="s">
        <v>65</v>
      </c>
      <c r="B46" s="43">
        <v>5</v>
      </c>
      <c r="C46" s="43">
        <v>5</v>
      </c>
      <c r="D46" s="43">
        <v>5</v>
      </c>
      <c r="E46" s="43">
        <v>5</v>
      </c>
      <c r="F46" s="43">
        <v>5</v>
      </c>
      <c r="G46" s="43">
        <v>5</v>
      </c>
      <c r="H46" s="43">
        <v>5</v>
      </c>
      <c r="I46" s="43">
        <v>5</v>
      </c>
      <c r="J46" s="43">
        <v>5</v>
      </c>
      <c r="K46" s="43">
        <v>5</v>
      </c>
      <c r="L46" s="43">
        <v>5</v>
      </c>
      <c r="M46" s="43">
        <v>5</v>
      </c>
      <c r="N46" s="43">
        <v>5</v>
      </c>
      <c r="O46" s="43">
        <v>5</v>
      </c>
      <c r="P46" s="43">
        <v>5</v>
      </c>
      <c r="Q46" s="43">
        <v>5</v>
      </c>
      <c r="R46" s="43">
        <v>5</v>
      </c>
      <c r="S46" s="43">
        <v>5</v>
      </c>
      <c r="T46" s="43">
        <v>83</v>
      </c>
    </row>
    <row r="47" spans="1:20" x14ac:dyDescent="0.25">
      <c r="A47" s="43" t="s">
        <v>66</v>
      </c>
      <c r="B47" s="43">
        <v>2</v>
      </c>
      <c r="C47" s="43">
        <v>2</v>
      </c>
      <c r="D47" s="43">
        <v>2</v>
      </c>
      <c r="E47" s="43">
        <v>2</v>
      </c>
      <c r="F47" s="43">
        <v>2</v>
      </c>
      <c r="G47" s="43">
        <v>3</v>
      </c>
      <c r="H47" s="43">
        <v>2</v>
      </c>
      <c r="I47" s="43">
        <v>3</v>
      </c>
      <c r="J47" s="43">
        <v>2</v>
      </c>
      <c r="K47" s="43">
        <v>2</v>
      </c>
      <c r="L47" s="43">
        <v>2</v>
      </c>
      <c r="M47" s="43">
        <v>2</v>
      </c>
      <c r="N47" s="43">
        <v>2</v>
      </c>
      <c r="O47" s="43">
        <v>2</v>
      </c>
      <c r="P47" s="43">
        <v>2</v>
      </c>
      <c r="Q47" s="43">
        <v>2</v>
      </c>
      <c r="R47" s="43">
        <v>2</v>
      </c>
      <c r="S47" s="43">
        <v>2</v>
      </c>
      <c r="T47" s="43">
        <v>28</v>
      </c>
    </row>
    <row r="48" spans="1:20" x14ac:dyDescent="0.25">
      <c r="A48" s="43" t="s">
        <v>67</v>
      </c>
      <c r="B48" s="43">
        <v>4</v>
      </c>
      <c r="C48" s="43">
        <v>4</v>
      </c>
      <c r="D48" s="43">
        <v>4</v>
      </c>
      <c r="E48" s="43">
        <v>4</v>
      </c>
      <c r="F48" s="43">
        <v>4</v>
      </c>
      <c r="G48" s="43">
        <v>4</v>
      </c>
      <c r="H48" s="43">
        <v>4</v>
      </c>
      <c r="I48" s="43">
        <v>4</v>
      </c>
      <c r="J48" s="43">
        <v>4</v>
      </c>
      <c r="K48" s="43">
        <v>4</v>
      </c>
      <c r="L48" s="43">
        <v>3</v>
      </c>
      <c r="M48" s="43">
        <v>4</v>
      </c>
      <c r="N48" s="43">
        <v>4</v>
      </c>
      <c r="O48" s="43">
        <v>4</v>
      </c>
      <c r="P48" s="43">
        <v>4</v>
      </c>
      <c r="Q48" s="43">
        <v>4</v>
      </c>
      <c r="R48" s="43">
        <v>3</v>
      </c>
      <c r="S48" s="43">
        <v>4</v>
      </c>
      <c r="T48" s="43">
        <v>78</v>
      </c>
    </row>
    <row r="49" spans="1:20" x14ac:dyDescent="0.25">
      <c r="A49" s="43" t="s">
        <v>68</v>
      </c>
      <c r="B49" s="43">
        <v>4</v>
      </c>
      <c r="C49" s="43">
        <v>4</v>
      </c>
      <c r="D49" s="43">
        <v>4</v>
      </c>
      <c r="E49" s="43">
        <v>4</v>
      </c>
      <c r="F49" s="43">
        <v>4</v>
      </c>
      <c r="G49" s="43">
        <v>4</v>
      </c>
      <c r="H49" s="43">
        <v>4</v>
      </c>
      <c r="I49" s="43">
        <v>4</v>
      </c>
      <c r="J49" s="43">
        <v>4</v>
      </c>
      <c r="K49" s="43">
        <v>4</v>
      </c>
      <c r="L49" s="43">
        <v>4</v>
      </c>
      <c r="M49" s="43">
        <v>4</v>
      </c>
      <c r="N49" s="43">
        <v>5</v>
      </c>
      <c r="O49" s="43">
        <v>5</v>
      </c>
      <c r="P49" s="43">
        <v>4</v>
      </c>
      <c r="Q49" s="43">
        <v>4</v>
      </c>
      <c r="R49" s="43">
        <v>4</v>
      </c>
      <c r="S49" s="43">
        <v>4</v>
      </c>
      <c r="T49" s="43">
        <v>82</v>
      </c>
    </row>
    <row r="50" spans="1:20" x14ac:dyDescent="0.25">
      <c r="A50" s="43" t="s">
        <v>69</v>
      </c>
      <c r="B50" s="43">
        <v>3</v>
      </c>
      <c r="C50" s="43">
        <v>2</v>
      </c>
      <c r="D50" s="43">
        <v>3</v>
      </c>
      <c r="E50" s="43">
        <v>2</v>
      </c>
      <c r="F50" s="43">
        <v>3</v>
      </c>
      <c r="G50" s="43">
        <v>2</v>
      </c>
      <c r="H50" s="43">
        <v>2</v>
      </c>
      <c r="I50" s="43">
        <v>3</v>
      </c>
      <c r="J50" s="43">
        <v>3</v>
      </c>
      <c r="K50" s="43">
        <v>2</v>
      </c>
      <c r="L50" s="43">
        <v>2</v>
      </c>
      <c r="M50" s="43">
        <v>3</v>
      </c>
      <c r="N50" s="43">
        <v>3</v>
      </c>
      <c r="O50" s="43">
        <v>2</v>
      </c>
      <c r="P50" s="43">
        <v>3</v>
      </c>
      <c r="Q50" s="43">
        <v>2</v>
      </c>
      <c r="R50" s="43">
        <v>2</v>
      </c>
      <c r="S50" s="43">
        <v>2</v>
      </c>
      <c r="T50" s="43">
        <v>64</v>
      </c>
    </row>
    <row r="51" spans="1:20" x14ac:dyDescent="0.25">
      <c r="A51" s="43" t="s">
        <v>70</v>
      </c>
      <c r="B51" s="43">
        <v>3</v>
      </c>
      <c r="C51" s="43">
        <v>3</v>
      </c>
      <c r="D51" s="43">
        <v>3</v>
      </c>
      <c r="E51" s="43">
        <v>3</v>
      </c>
      <c r="F51" s="43">
        <v>3</v>
      </c>
      <c r="G51" s="43">
        <v>3</v>
      </c>
      <c r="H51" s="43">
        <v>3</v>
      </c>
      <c r="I51" s="43">
        <v>3</v>
      </c>
      <c r="J51" s="43">
        <v>2</v>
      </c>
      <c r="K51" s="43">
        <v>3</v>
      </c>
      <c r="L51" s="43">
        <v>3</v>
      </c>
      <c r="M51" s="43">
        <v>3</v>
      </c>
      <c r="N51" s="43">
        <v>3</v>
      </c>
      <c r="O51" s="43">
        <v>3</v>
      </c>
      <c r="P51" s="43">
        <v>3</v>
      </c>
      <c r="Q51" s="43">
        <v>3</v>
      </c>
      <c r="R51" s="43">
        <v>3</v>
      </c>
      <c r="S51" s="43">
        <v>3</v>
      </c>
      <c r="T51" s="43">
        <v>79</v>
      </c>
    </row>
    <row r="52" spans="1:20" x14ac:dyDescent="0.25">
      <c r="A52" s="43" t="s">
        <v>71</v>
      </c>
      <c r="B52" s="43">
        <v>4</v>
      </c>
      <c r="C52" s="43">
        <v>4</v>
      </c>
      <c r="D52" s="43">
        <v>3</v>
      </c>
      <c r="E52" s="43">
        <v>3</v>
      </c>
      <c r="F52" s="43">
        <v>3</v>
      </c>
      <c r="G52" s="43">
        <v>3</v>
      </c>
      <c r="H52" s="43">
        <v>3</v>
      </c>
      <c r="I52" s="43">
        <v>3</v>
      </c>
      <c r="J52" s="43">
        <v>3</v>
      </c>
      <c r="K52" s="43">
        <v>3</v>
      </c>
      <c r="L52" s="43">
        <v>3</v>
      </c>
      <c r="M52" s="43">
        <v>3</v>
      </c>
      <c r="N52" s="43">
        <v>3</v>
      </c>
      <c r="O52" s="43">
        <v>3</v>
      </c>
      <c r="P52" s="43">
        <v>3</v>
      </c>
      <c r="Q52" s="43">
        <v>3</v>
      </c>
      <c r="R52" s="43">
        <v>3</v>
      </c>
      <c r="S52" s="43">
        <v>3</v>
      </c>
      <c r="T52" s="43">
        <v>62</v>
      </c>
    </row>
    <row r="53" spans="1:20" x14ac:dyDescent="0.25">
      <c r="A53" s="43" t="s">
        <v>72</v>
      </c>
      <c r="B53" s="43">
        <v>3</v>
      </c>
      <c r="C53" s="43">
        <v>3</v>
      </c>
      <c r="D53" s="43">
        <v>3</v>
      </c>
      <c r="E53" s="43">
        <v>2</v>
      </c>
      <c r="F53" s="43">
        <v>3</v>
      </c>
      <c r="G53" s="43">
        <v>3</v>
      </c>
      <c r="H53" s="43">
        <v>3</v>
      </c>
      <c r="I53" s="43">
        <v>3</v>
      </c>
      <c r="J53" s="43">
        <v>3</v>
      </c>
      <c r="K53" s="43">
        <v>3</v>
      </c>
      <c r="L53" s="43">
        <v>3</v>
      </c>
      <c r="M53" s="43">
        <v>2</v>
      </c>
      <c r="N53" s="43">
        <v>3</v>
      </c>
      <c r="O53" s="43">
        <v>3</v>
      </c>
      <c r="P53" s="43">
        <v>3</v>
      </c>
      <c r="Q53" s="43">
        <v>3</v>
      </c>
      <c r="R53" s="43">
        <v>3</v>
      </c>
      <c r="S53" s="43">
        <v>3</v>
      </c>
      <c r="T53" s="43">
        <v>61</v>
      </c>
    </row>
    <row r="54" spans="1:20" x14ac:dyDescent="0.25">
      <c r="A54" s="43" t="s">
        <v>73</v>
      </c>
      <c r="B54" s="43">
        <v>2</v>
      </c>
      <c r="C54" s="43">
        <v>2</v>
      </c>
      <c r="D54" s="43">
        <v>2</v>
      </c>
      <c r="E54" s="43">
        <v>2</v>
      </c>
      <c r="F54" s="43">
        <v>2</v>
      </c>
      <c r="G54" s="43">
        <v>2</v>
      </c>
      <c r="H54" s="43">
        <v>2</v>
      </c>
      <c r="I54" s="43">
        <v>2</v>
      </c>
      <c r="J54" s="43">
        <v>2</v>
      </c>
      <c r="K54" s="43">
        <v>2</v>
      </c>
      <c r="L54" s="43">
        <v>2</v>
      </c>
      <c r="M54" s="43">
        <v>2</v>
      </c>
      <c r="N54" s="43">
        <v>2</v>
      </c>
      <c r="O54" s="43">
        <v>2</v>
      </c>
      <c r="P54" s="43">
        <v>2</v>
      </c>
      <c r="Q54" s="43">
        <v>2</v>
      </c>
      <c r="R54" s="43">
        <v>2</v>
      </c>
      <c r="S54" s="43">
        <v>2</v>
      </c>
      <c r="T54" s="43">
        <v>52</v>
      </c>
    </row>
    <row r="55" spans="1:20" x14ac:dyDescent="0.25">
      <c r="A55" s="43" t="s">
        <v>74</v>
      </c>
      <c r="B55" s="43">
        <v>3</v>
      </c>
      <c r="C55" s="43">
        <v>3</v>
      </c>
      <c r="D55" s="43">
        <v>3</v>
      </c>
      <c r="E55" s="43">
        <v>2</v>
      </c>
      <c r="F55" s="43">
        <v>3</v>
      </c>
      <c r="G55" s="43">
        <v>2</v>
      </c>
      <c r="H55" s="43">
        <v>3</v>
      </c>
      <c r="I55" s="43">
        <v>2</v>
      </c>
      <c r="J55" s="43">
        <v>2</v>
      </c>
      <c r="K55" s="43">
        <v>2</v>
      </c>
      <c r="L55" s="43">
        <v>2</v>
      </c>
      <c r="M55" s="43">
        <v>3</v>
      </c>
      <c r="N55" s="43">
        <v>2</v>
      </c>
      <c r="O55" s="43">
        <v>2</v>
      </c>
      <c r="P55" s="43">
        <v>2</v>
      </c>
      <c r="Q55" s="43">
        <v>3</v>
      </c>
      <c r="R55" s="43">
        <v>2</v>
      </c>
      <c r="S55" s="43">
        <v>2</v>
      </c>
      <c r="T55" s="43">
        <v>44</v>
      </c>
    </row>
    <row r="56" spans="1:20" x14ac:dyDescent="0.25">
      <c r="A56" s="43" t="s">
        <v>75</v>
      </c>
      <c r="B56" s="43">
        <v>4</v>
      </c>
      <c r="C56" s="43">
        <v>4</v>
      </c>
      <c r="D56" s="43">
        <v>3</v>
      </c>
      <c r="E56" s="43">
        <v>4</v>
      </c>
      <c r="F56" s="43">
        <v>4</v>
      </c>
      <c r="G56" s="43">
        <v>4</v>
      </c>
      <c r="H56" s="43">
        <v>4</v>
      </c>
      <c r="I56" s="43">
        <v>4</v>
      </c>
      <c r="J56" s="43">
        <v>4</v>
      </c>
      <c r="K56" s="43">
        <v>4</v>
      </c>
      <c r="L56" s="43">
        <v>4</v>
      </c>
      <c r="M56" s="43">
        <v>4</v>
      </c>
      <c r="N56" s="43">
        <v>4</v>
      </c>
      <c r="O56" s="43">
        <v>4</v>
      </c>
      <c r="P56" s="43">
        <v>4</v>
      </c>
      <c r="Q56" s="43">
        <v>4</v>
      </c>
      <c r="R56" s="43">
        <v>4</v>
      </c>
      <c r="S56" s="43">
        <v>4</v>
      </c>
      <c r="T56" s="43">
        <v>48</v>
      </c>
    </row>
    <row r="57" spans="1:20" x14ac:dyDescent="0.25">
      <c r="A57" s="43" t="s">
        <v>76</v>
      </c>
      <c r="B57" s="43">
        <v>3</v>
      </c>
      <c r="C57" s="43">
        <v>3</v>
      </c>
      <c r="D57" s="43">
        <v>3</v>
      </c>
      <c r="E57" s="43">
        <v>3</v>
      </c>
      <c r="F57" s="43">
        <v>3</v>
      </c>
      <c r="G57" s="43">
        <v>3</v>
      </c>
      <c r="H57" s="43">
        <v>3</v>
      </c>
      <c r="I57" s="43">
        <v>3</v>
      </c>
      <c r="J57" s="43">
        <v>3</v>
      </c>
      <c r="K57" s="43">
        <v>3</v>
      </c>
      <c r="L57" s="43">
        <v>3</v>
      </c>
      <c r="M57" s="43">
        <v>3</v>
      </c>
      <c r="N57" s="43">
        <v>3</v>
      </c>
      <c r="O57" s="43">
        <v>3</v>
      </c>
      <c r="P57" s="43">
        <v>3</v>
      </c>
      <c r="Q57" s="43">
        <v>3</v>
      </c>
      <c r="R57" s="43">
        <v>3</v>
      </c>
      <c r="S57" s="43">
        <v>3</v>
      </c>
      <c r="T57" s="43">
        <v>28</v>
      </c>
    </row>
    <row r="58" spans="1:20" x14ac:dyDescent="0.25">
      <c r="A58" s="43" t="s">
        <v>77</v>
      </c>
      <c r="B58" s="43">
        <v>3</v>
      </c>
      <c r="C58" s="43">
        <v>4</v>
      </c>
      <c r="D58" s="43">
        <v>4</v>
      </c>
      <c r="E58" s="43">
        <v>4</v>
      </c>
      <c r="F58" s="43">
        <v>4</v>
      </c>
      <c r="G58" s="43">
        <v>4</v>
      </c>
      <c r="H58" s="43">
        <v>4</v>
      </c>
      <c r="I58" s="43">
        <v>4</v>
      </c>
      <c r="J58" s="43">
        <v>4</v>
      </c>
      <c r="K58" s="43">
        <v>4</v>
      </c>
      <c r="L58" s="43">
        <v>4</v>
      </c>
      <c r="M58" s="43">
        <v>4</v>
      </c>
      <c r="N58" s="43">
        <v>4</v>
      </c>
      <c r="O58" s="43">
        <v>4</v>
      </c>
      <c r="P58" s="43">
        <v>4</v>
      </c>
      <c r="Q58" s="43">
        <v>4</v>
      </c>
      <c r="R58" s="43">
        <v>4</v>
      </c>
      <c r="S58" s="43">
        <v>4</v>
      </c>
      <c r="T58" s="43">
        <v>46</v>
      </c>
    </row>
    <row r="59" spans="1:20" x14ac:dyDescent="0.25">
      <c r="A59" s="43" t="s">
        <v>78</v>
      </c>
      <c r="B59" s="43">
        <v>3</v>
      </c>
      <c r="C59" s="43">
        <v>2</v>
      </c>
      <c r="D59" s="43">
        <v>3</v>
      </c>
      <c r="E59" s="43">
        <v>3</v>
      </c>
      <c r="F59" s="43">
        <v>3</v>
      </c>
      <c r="G59" s="43">
        <v>3</v>
      </c>
      <c r="H59" s="43">
        <v>3</v>
      </c>
      <c r="I59" s="43">
        <v>3</v>
      </c>
      <c r="J59" s="43">
        <v>3</v>
      </c>
      <c r="K59" s="43">
        <v>3</v>
      </c>
      <c r="L59" s="43">
        <v>3</v>
      </c>
      <c r="M59" s="43">
        <v>3</v>
      </c>
      <c r="N59" s="43">
        <v>3</v>
      </c>
      <c r="O59" s="43">
        <v>3</v>
      </c>
      <c r="P59" s="43">
        <v>2</v>
      </c>
      <c r="Q59" s="43">
        <v>3</v>
      </c>
      <c r="R59" s="43">
        <v>3</v>
      </c>
      <c r="S59" s="43">
        <v>3</v>
      </c>
      <c r="T59" s="43">
        <v>57</v>
      </c>
    </row>
    <row r="60" spans="1:20" x14ac:dyDescent="0.25">
      <c r="A60" s="43" t="s">
        <v>79</v>
      </c>
      <c r="B60" s="43">
        <v>2</v>
      </c>
      <c r="C60" s="43">
        <v>2</v>
      </c>
      <c r="D60" s="43">
        <v>2</v>
      </c>
      <c r="E60" s="43">
        <v>2</v>
      </c>
      <c r="F60" s="43">
        <v>2</v>
      </c>
      <c r="G60" s="43">
        <v>2</v>
      </c>
      <c r="H60" s="43">
        <v>2</v>
      </c>
      <c r="I60" s="43">
        <v>2</v>
      </c>
      <c r="J60" s="43">
        <v>2</v>
      </c>
      <c r="K60" s="43">
        <v>2</v>
      </c>
      <c r="L60" s="43">
        <v>2</v>
      </c>
      <c r="M60" s="43">
        <v>2</v>
      </c>
      <c r="N60" s="43">
        <v>2</v>
      </c>
      <c r="O60" s="43">
        <v>2</v>
      </c>
      <c r="P60" s="43">
        <v>2</v>
      </c>
      <c r="Q60" s="43">
        <v>2</v>
      </c>
      <c r="R60" s="43">
        <v>2</v>
      </c>
      <c r="S60" s="43">
        <v>2</v>
      </c>
      <c r="T60" s="43">
        <v>23</v>
      </c>
    </row>
    <row r="61" spans="1:20" x14ac:dyDescent="0.25">
      <c r="A61" s="43" t="s">
        <v>80</v>
      </c>
      <c r="B61" s="43">
        <v>3</v>
      </c>
      <c r="C61" s="43">
        <v>3</v>
      </c>
      <c r="D61" s="43">
        <v>3</v>
      </c>
      <c r="E61" s="43">
        <v>3</v>
      </c>
      <c r="F61" s="43">
        <v>3</v>
      </c>
      <c r="G61" s="43">
        <v>3</v>
      </c>
      <c r="H61" s="43">
        <v>3</v>
      </c>
      <c r="I61" s="43">
        <v>3</v>
      </c>
      <c r="J61" s="43">
        <v>2</v>
      </c>
      <c r="K61" s="43">
        <v>3</v>
      </c>
      <c r="L61" s="43">
        <v>2</v>
      </c>
      <c r="M61" s="43">
        <v>3</v>
      </c>
      <c r="N61" s="43">
        <v>2</v>
      </c>
      <c r="O61" s="43">
        <v>2</v>
      </c>
      <c r="P61" s="43">
        <v>2</v>
      </c>
      <c r="Q61" s="43">
        <v>3</v>
      </c>
      <c r="R61" s="43">
        <v>2</v>
      </c>
      <c r="S61" s="43">
        <v>3</v>
      </c>
      <c r="T61" s="43">
        <v>70</v>
      </c>
    </row>
    <row r="62" spans="1:20" x14ac:dyDescent="0.25">
      <c r="A62" s="43" t="s">
        <v>81</v>
      </c>
      <c r="B62" s="43">
        <v>3</v>
      </c>
      <c r="C62" s="43">
        <v>3</v>
      </c>
      <c r="D62" s="43">
        <v>4</v>
      </c>
      <c r="E62" s="43">
        <v>3</v>
      </c>
      <c r="F62" s="43">
        <v>4</v>
      </c>
      <c r="G62" s="43">
        <v>3</v>
      </c>
      <c r="H62" s="43">
        <v>3</v>
      </c>
      <c r="I62" s="43">
        <v>4</v>
      </c>
      <c r="J62" s="43">
        <v>3</v>
      </c>
      <c r="K62" s="43">
        <v>4</v>
      </c>
      <c r="L62" s="43">
        <v>4</v>
      </c>
      <c r="M62" s="43">
        <v>4</v>
      </c>
      <c r="N62" s="43">
        <v>4</v>
      </c>
      <c r="O62" s="43">
        <v>3</v>
      </c>
      <c r="P62" s="43">
        <v>4</v>
      </c>
      <c r="Q62" s="43">
        <v>3</v>
      </c>
      <c r="R62" s="43">
        <v>3</v>
      </c>
      <c r="S62" s="43">
        <v>4</v>
      </c>
      <c r="T62" s="43">
        <v>50</v>
      </c>
    </row>
    <row r="63" spans="1:20" x14ac:dyDescent="0.25">
      <c r="A63" s="43" t="s">
        <v>82</v>
      </c>
      <c r="B63" s="43">
        <v>3</v>
      </c>
      <c r="C63" s="43">
        <v>3</v>
      </c>
      <c r="D63" s="43">
        <v>3</v>
      </c>
      <c r="E63" s="43">
        <v>3</v>
      </c>
      <c r="F63" s="43">
        <v>3</v>
      </c>
      <c r="G63" s="43">
        <v>3</v>
      </c>
      <c r="H63" s="43">
        <v>3</v>
      </c>
      <c r="I63" s="43">
        <v>3</v>
      </c>
      <c r="J63" s="43">
        <v>3</v>
      </c>
      <c r="K63" s="43">
        <v>3</v>
      </c>
      <c r="L63" s="43">
        <v>3</v>
      </c>
      <c r="M63" s="43">
        <v>3</v>
      </c>
      <c r="N63" s="43">
        <v>3</v>
      </c>
      <c r="O63" s="43">
        <v>3</v>
      </c>
      <c r="P63" s="43">
        <v>3</v>
      </c>
      <c r="Q63" s="43">
        <v>3</v>
      </c>
      <c r="R63" s="43">
        <v>3</v>
      </c>
      <c r="S63" s="43">
        <v>3</v>
      </c>
      <c r="T63" s="43">
        <v>63</v>
      </c>
    </row>
    <row r="64" spans="1:20" x14ac:dyDescent="0.25">
      <c r="A64" s="43" t="s">
        <v>83</v>
      </c>
      <c r="B64" s="43">
        <v>2</v>
      </c>
      <c r="C64" s="43">
        <v>3</v>
      </c>
      <c r="D64" s="43">
        <v>3</v>
      </c>
      <c r="E64" s="43">
        <v>2</v>
      </c>
      <c r="F64" s="43">
        <v>3</v>
      </c>
      <c r="G64" s="43">
        <v>3</v>
      </c>
      <c r="H64" s="43">
        <v>3</v>
      </c>
      <c r="I64" s="43">
        <v>2</v>
      </c>
      <c r="J64" s="43">
        <v>3</v>
      </c>
      <c r="K64" s="43">
        <v>2</v>
      </c>
      <c r="L64" s="43">
        <v>3</v>
      </c>
      <c r="M64" s="43">
        <v>2</v>
      </c>
      <c r="N64" s="43">
        <v>2</v>
      </c>
      <c r="O64" s="43">
        <v>2</v>
      </c>
      <c r="P64" s="43">
        <v>2</v>
      </c>
      <c r="Q64" s="43">
        <v>3</v>
      </c>
      <c r="R64" s="43">
        <v>3</v>
      </c>
      <c r="S64" s="43">
        <v>3</v>
      </c>
      <c r="T64" s="43">
        <v>71</v>
      </c>
    </row>
    <row r="65" spans="1:20" x14ac:dyDescent="0.25">
      <c r="A65" s="43" t="s">
        <v>84</v>
      </c>
      <c r="B65" s="43">
        <v>3</v>
      </c>
      <c r="C65" s="43">
        <v>3</v>
      </c>
      <c r="D65" s="43">
        <v>3</v>
      </c>
      <c r="E65" s="43">
        <v>3</v>
      </c>
      <c r="F65" s="43">
        <v>3</v>
      </c>
      <c r="G65" s="43">
        <v>3</v>
      </c>
      <c r="H65" s="43">
        <v>3</v>
      </c>
      <c r="I65" s="43">
        <v>3</v>
      </c>
      <c r="J65" s="43">
        <v>3</v>
      </c>
      <c r="K65" s="43">
        <v>3</v>
      </c>
      <c r="L65" s="43">
        <v>3</v>
      </c>
      <c r="M65" s="43">
        <v>3</v>
      </c>
      <c r="N65" s="43">
        <v>3</v>
      </c>
      <c r="O65" s="43">
        <v>3</v>
      </c>
      <c r="P65" s="43">
        <v>3</v>
      </c>
      <c r="Q65" s="43">
        <v>3</v>
      </c>
      <c r="R65" s="43">
        <v>3</v>
      </c>
      <c r="S65" s="43">
        <v>3</v>
      </c>
      <c r="T65" s="43">
        <v>42</v>
      </c>
    </row>
    <row r="66" spans="1:20" x14ac:dyDescent="0.25">
      <c r="A66" s="43" t="s">
        <v>85</v>
      </c>
      <c r="B66" s="43">
        <v>3</v>
      </c>
      <c r="C66" s="43">
        <v>3</v>
      </c>
      <c r="D66" s="43">
        <v>3</v>
      </c>
      <c r="E66" s="43">
        <v>3</v>
      </c>
      <c r="F66" s="43">
        <v>3</v>
      </c>
      <c r="G66" s="43">
        <v>3</v>
      </c>
      <c r="H66" s="43">
        <v>3</v>
      </c>
      <c r="I66" s="43">
        <v>4</v>
      </c>
      <c r="J66" s="43">
        <v>3</v>
      </c>
      <c r="K66" s="43">
        <v>3</v>
      </c>
      <c r="L66" s="43">
        <v>2</v>
      </c>
      <c r="M66" s="43">
        <v>3</v>
      </c>
      <c r="N66" s="43">
        <v>3</v>
      </c>
      <c r="O66" s="43">
        <v>3</v>
      </c>
      <c r="P66" s="43">
        <v>3</v>
      </c>
      <c r="Q66" s="43">
        <v>3</v>
      </c>
      <c r="R66" s="43">
        <v>3</v>
      </c>
      <c r="S66" s="43">
        <v>3</v>
      </c>
      <c r="T66" s="43">
        <v>73</v>
      </c>
    </row>
    <row r="67" spans="1:20" x14ac:dyDescent="0.25">
      <c r="A67" s="43" t="s">
        <v>86</v>
      </c>
      <c r="B67" s="43">
        <v>3</v>
      </c>
      <c r="C67" s="43">
        <v>4</v>
      </c>
      <c r="D67" s="43">
        <v>3</v>
      </c>
      <c r="E67" s="43">
        <v>4</v>
      </c>
      <c r="F67" s="43">
        <v>3</v>
      </c>
      <c r="G67" s="43">
        <v>3</v>
      </c>
      <c r="H67" s="43">
        <v>3</v>
      </c>
      <c r="I67" s="43">
        <v>4</v>
      </c>
      <c r="J67" s="43">
        <v>4</v>
      </c>
      <c r="K67" s="43">
        <v>3</v>
      </c>
      <c r="L67" s="43">
        <v>3</v>
      </c>
      <c r="M67" s="43">
        <v>3</v>
      </c>
      <c r="N67" s="43">
        <v>3</v>
      </c>
      <c r="O67" s="43">
        <v>3</v>
      </c>
      <c r="P67" s="43">
        <v>3</v>
      </c>
      <c r="Q67" s="43">
        <v>3</v>
      </c>
      <c r="R67" s="43">
        <v>3</v>
      </c>
      <c r="S67" s="43">
        <v>3</v>
      </c>
      <c r="T67" s="43">
        <v>45</v>
      </c>
    </row>
    <row r="68" spans="1:20" x14ac:dyDescent="0.25">
      <c r="A68" s="43" t="s">
        <v>87</v>
      </c>
      <c r="B68" s="43">
        <v>3</v>
      </c>
      <c r="C68" s="43">
        <v>2</v>
      </c>
      <c r="D68" s="43">
        <v>2</v>
      </c>
      <c r="E68" s="43">
        <v>2</v>
      </c>
      <c r="F68" s="43">
        <v>2</v>
      </c>
      <c r="G68" s="43">
        <v>2</v>
      </c>
      <c r="H68" s="43">
        <v>2</v>
      </c>
      <c r="I68" s="43">
        <v>2</v>
      </c>
      <c r="J68" s="43">
        <v>2</v>
      </c>
      <c r="K68" s="43">
        <v>2</v>
      </c>
      <c r="L68" s="43">
        <v>2</v>
      </c>
      <c r="M68" s="43">
        <v>2</v>
      </c>
      <c r="N68" s="43">
        <v>2</v>
      </c>
      <c r="O68" s="43">
        <v>2</v>
      </c>
      <c r="P68" s="43">
        <v>2</v>
      </c>
      <c r="Q68" s="43">
        <v>2</v>
      </c>
      <c r="R68" s="43">
        <v>2</v>
      </c>
      <c r="S68" s="43">
        <v>2</v>
      </c>
      <c r="T68" s="43">
        <v>62</v>
      </c>
    </row>
    <row r="69" spans="1:20" x14ac:dyDescent="0.25">
      <c r="A69" s="43" t="s">
        <v>88</v>
      </c>
      <c r="B69" s="43">
        <v>5</v>
      </c>
      <c r="C69" s="43">
        <v>5</v>
      </c>
      <c r="D69" s="43">
        <v>5</v>
      </c>
      <c r="E69" s="43">
        <v>5</v>
      </c>
      <c r="F69" s="43">
        <v>4</v>
      </c>
      <c r="G69" s="43">
        <v>5</v>
      </c>
      <c r="H69" s="43">
        <v>5</v>
      </c>
      <c r="I69" s="43">
        <v>5</v>
      </c>
      <c r="J69" s="43">
        <v>5</v>
      </c>
      <c r="K69" s="43">
        <v>5</v>
      </c>
      <c r="L69" s="43">
        <v>5</v>
      </c>
      <c r="M69" s="43">
        <v>5</v>
      </c>
      <c r="N69" s="43">
        <v>5</v>
      </c>
      <c r="O69" s="43">
        <v>5</v>
      </c>
      <c r="P69" s="43">
        <v>5</v>
      </c>
      <c r="Q69" s="43">
        <v>5</v>
      </c>
      <c r="R69" s="43">
        <v>5</v>
      </c>
      <c r="S69" s="43">
        <v>5</v>
      </c>
      <c r="T69" s="43">
        <v>40</v>
      </c>
    </row>
    <row r="70" spans="1:20" x14ac:dyDescent="0.25">
      <c r="A70" s="43" t="s">
        <v>89</v>
      </c>
      <c r="B70" s="43">
        <v>3</v>
      </c>
      <c r="C70" s="43">
        <v>3</v>
      </c>
      <c r="D70" s="43">
        <v>2</v>
      </c>
      <c r="E70" s="43">
        <v>2</v>
      </c>
      <c r="F70" s="43">
        <v>3</v>
      </c>
      <c r="G70" s="43">
        <v>3</v>
      </c>
      <c r="H70" s="43">
        <v>2</v>
      </c>
      <c r="I70" s="43">
        <v>3</v>
      </c>
      <c r="J70" s="43">
        <v>3</v>
      </c>
      <c r="K70" s="43">
        <v>3</v>
      </c>
      <c r="L70" s="43">
        <v>3</v>
      </c>
      <c r="M70" s="43">
        <v>3</v>
      </c>
      <c r="N70" s="43">
        <v>2</v>
      </c>
      <c r="O70" s="43">
        <v>2</v>
      </c>
      <c r="P70" s="43">
        <v>2</v>
      </c>
      <c r="Q70" s="43">
        <v>3</v>
      </c>
      <c r="R70" s="43">
        <v>2</v>
      </c>
      <c r="S70" s="43">
        <v>2</v>
      </c>
      <c r="T70" s="43">
        <v>75</v>
      </c>
    </row>
    <row r="71" spans="1:20" x14ac:dyDescent="0.25">
      <c r="A71" s="43" t="s">
        <v>90</v>
      </c>
      <c r="B71" s="43">
        <v>3</v>
      </c>
      <c r="C71" s="43">
        <v>3</v>
      </c>
      <c r="D71" s="43">
        <v>3</v>
      </c>
      <c r="E71" s="43">
        <v>2</v>
      </c>
      <c r="F71" s="43">
        <v>3</v>
      </c>
      <c r="G71" s="43">
        <v>3</v>
      </c>
      <c r="H71" s="43">
        <v>3</v>
      </c>
      <c r="I71" s="43">
        <v>3</v>
      </c>
      <c r="J71" s="43">
        <v>3</v>
      </c>
      <c r="K71" s="43">
        <v>2</v>
      </c>
      <c r="L71" s="43">
        <v>3</v>
      </c>
      <c r="M71" s="43">
        <v>3</v>
      </c>
      <c r="N71" s="43">
        <v>2</v>
      </c>
      <c r="O71" s="43">
        <v>2</v>
      </c>
      <c r="P71" s="43">
        <v>3</v>
      </c>
      <c r="Q71" s="43">
        <v>3</v>
      </c>
      <c r="R71" s="43">
        <v>2</v>
      </c>
      <c r="S71" s="43">
        <v>3</v>
      </c>
      <c r="T71" s="43">
        <v>58</v>
      </c>
    </row>
    <row r="72" spans="1:20" x14ac:dyDescent="0.25">
      <c r="A72" s="43" t="s">
        <v>91</v>
      </c>
      <c r="B72" s="43">
        <v>4</v>
      </c>
      <c r="C72" s="43">
        <v>4</v>
      </c>
      <c r="D72" s="43">
        <v>5</v>
      </c>
      <c r="E72" s="43">
        <v>4</v>
      </c>
      <c r="F72" s="43">
        <v>4</v>
      </c>
      <c r="G72" s="43">
        <v>4</v>
      </c>
      <c r="H72" s="43">
        <v>5</v>
      </c>
      <c r="I72" s="43">
        <v>4</v>
      </c>
      <c r="J72" s="43">
        <v>4</v>
      </c>
      <c r="K72" s="43">
        <v>4</v>
      </c>
      <c r="L72" s="43">
        <v>4</v>
      </c>
      <c r="M72" s="43">
        <v>4</v>
      </c>
      <c r="N72" s="43">
        <v>4</v>
      </c>
      <c r="O72" s="43">
        <v>4</v>
      </c>
      <c r="P72" s="43">
        <v>4</v>
      </c>
      <c r="Q72" s="43">
        <v>5</v>
      </c>
      <c r="R72" s="43">
        <v>4</v>
      </c>
      <c r="S72" s="43">
        <v>4</v>
      </c>
      <c r="T72" s="43">
        <v>83</v>
      </c>
    </row>
    <row r="73" spans="1:20" x14ac:dyDescent="0.25">
      <c r="A73" s="43" t="s">
        <v>92</v>
      </c>
      <c r="B73" s="43">
        <v>3</v>
      </c>
      <c r="C73" s="43">
        <v>3</v>
      </c>
      <c r="D73" s="43">
        <v>3</v>
      </c>
      <c r="E73" s="43">
        <v>3</v>
      </c>
      <c r="F73" s="43">
        <v>3</v>
      </c>
      <c r="G73" s="43">
        <v>3</v>
      </c>
      <c r="H73" s="43">
        <v>3</v>
      </c>
      <c r="I73" s="43">
        <v>4</v>
      </c>
      <c r="J73" s="43">
        <v>3</v>
      </c>
      <c r="K73" s="43">
        <v>3</v>
      </c>
      <c r="L73" s="43">
        <v>3</v>
      </c>
      <c r="M73" s="43">
        <v>3</v>
      </c>
      <c r="N73" s="43">
        <v>3</v>
      </c>
      <c r="O73" s="43">
        <v>4</v>
      </c>
      <c r="P73" s="43">
        <v>3</v>
      </c>
      <c r="Q73" s="43">
        <v>3</v>
      </c>
      <c r="R73" s="43">
        <v>3</v>
      </c>
      <c r="S73" s="43">
        <v>3</v>
      </c>
      <c r="T73" s="43">
        <v>18</v>
      </c>
    </row>
    <row r="74" spans="1:20" x14ac:dyDescent="0.25">
      <c r="A74" s="43" t="s">
        <v>93</v>
      </c>
      <c r="B74" s="43">
        <v>4</v>
      </c>
      <c r="C74" s="43">
        <v>3</v>
      </c>
      <c r="D74" s="43">
        <v>4</v>
      </c>
      <c r="E74" s="43">
        <v>3</v>
      </c>
      <c r="F74" s="43">
        <v>3</v>
      </c>
      <c r="G74" s="43">
        <v>3</v>
      </c>
      <c r="H74" s="43">
        <v>3</v>
      </c>
      <c r="I74" s="43">
        <v>3</v>
      </c>
      <c r="J74" s="43">
        <v>4</v>
      </c>
      <c r="K74" s="43">
        <v>3</v>
      </c>
      <c r="L74" s="43">
        <v>3</v>
      </c>
      <c r="M74" s="43">
        <v>4</v>
      </c>
      <c r="N74" s="43">
        <v>3</v>
      </c>
      <c r="O74" s="43">
        <v>3</v>
      </c>
      <c r="P74" s="43">
        <v>3</v>
      </c>
      <c r="Q74" s="43">
        <v>4</v>
      </c>
      <c r="R74" s="43">
        <v>3</v>
      </c>
      <c r="S74" s="43">
        <v>4</v>
      </c>
      <c r="T74" s="43">
        <v>74</v>
      </c>
    </row>
    <row r="75" spans="1:20" x14ac:dyDescent="0.25">
      <c r="A75" s="43" t="s">
        <v>94</v>
      </c>
      <c r="B75" s="43">
        <v>3</v>
      </c>
      <c r="C75" s="43">
        <v>2</v>
      </c>
      <c r="D75" s="43">
        <v>3</v>
      </c>
      <c r="E75" s="43">
        <v>3</v>
      </c>
      <c r="F75" s="43">
        <v>3</v>
      </c>
      <c r="G75" s="43">
        <v>2</v>
      </c>
      <c r="H75" s="43">
        <v>3</v>
      </c>
      <c r="I75" s="43">
        <v>3</v>
      </c>
      <c r="J75" s="43">
        <v>3</v>
      </c>
      <c r="K75" s="43">
        <v>2</v>
      </c>
      <c r="L75" s="43">
        <v>3</v>
      </c>
      <c r="M75" s="43">
        <v>2</v>
      </c>
      <c r="N75" s="43">
        <v>2</v>
      </c>
      <c r="O75" s="43">
        <v>3</v>
      </c>
      <c r="P75" s="43">
        <v>2</v>
      </c>
      <c r="Q75" s="43">
        <v>2</v>
      </c>
      <c r="R75" s="43">
        <v>2</v>
      </c>
      <c r="S75" s="43">
        <v>3</v>
      </c>
      <c r="T75" s="43">
        <v>51</v>
      </c>
    </row>
    <row r="76" spans="1:20" x14ac:dyDescent="0.25">
      <c r="A76" s="43" t="s">
        <v>95</v>
      </c>
      <c r="B76" s="43">
        <v>2</v>
      </c>
      <c r="C76" s="43">
        <v>1</v>
      </c>
      <c r="D76" s="43">
        <v>1</v>
      </c>
      <c r="E76" s="43">
        <v>1</v>
      </c>
      <c r="F76" s="43">
        <v>1</v>
      </c>
      <c r="G76" s="43">
        <v>1</v>
      </c>
      <c r="H76" s="43">
        <v>1</v>
      </c>
      <c r="I76" s="43">
        <v>2</v>
      </c>
      <c r="J76" s="43">
        <v>1</v>
      </c>
      <c r="K76" s="43">
        <v>1</v>
      </c>
      <c r="L76" s="43">
        <v>1</v>
      </c>
      <c r="M76" s="43">
        <v>2</v>
      </c>
      <c r="N76" s="43">
        <v>1</v>
      </c>
      <c r="O76" s="43">
        <v>2</v>
      </c>
      <c r="P76" s="43">
        <v>1</v>
      </c>
      <c r="Q76" s="43">
        <v>1</v>
      </c>
      <c r="R76" s="43">
        <v>1</v>
      </c>
      <c r="S76" s="43">
        <v>1</v>
      </c>
      <c r="T76" s="43">
        <v>75</v>
      </c>
    </row>
    <row r="77" spans="1:20" x14ac:dyDescent="0.25">
      <c r="A77" s="43" t="s">
        <v>96</v>
      </c>
      <c r="B77" s="43">
        <v>3</v>
      </c>
      <c r="C77" s="43">
        <v>3</v>
      </c>
      <c r="D77" s="43">
        <v>3</v>
      </c>
      <c r="E77" s="43">
        <v>3</v>
      </c>
      <c r="F77" s="43">
        <v>3</v>
      </c>
      <c r="G77" s="43">
        <v>3</v>
      </c>
      <c r="H77" s="43">
        <v>2</v>
      </c>
      <c r="I77" s="43">
        <v>3</v>
      </c>
      <c r="J77" s="43">
        <v>3</v>
      </c>
      <c r="K77" s="43">
        <v>3</v>
      </c>
      <c r="L77" s="43">
        <v>3</v>
      </c>
      <c r="M77" s="43">
        <v>3</v>
      </c>
      <c r="N77" s="43">
        <v>2</v>
      </c>
      <c r="O77" s="43">
        <v>2</v>
      </c>
      <c r="P77" s="43">
        <v>2</v>
      </c>
      <c r="Q77" s="43">
        <v>3</v>
      </c>
      <c r="R77" s="43">
        <v>2</v>
      </c>
      <c r="S77" s="43">
        <v>3</v>
      </c>
      <c r="T77" s="43">
        <v>42</v>
      </c>
    </row>
    <row r="78" spans="1:20" x14ac:dyDescent="0.25">
      <c r="A78" s="43" t="s">
        <v>97</v>
      </c>
      <c r="B78" s="43">
        <v>3</v>
      </c>
      <c r="C78" s="43">
        <v>3</v>
      </c>
      <c r="D78" s="43">
        <v>3</v>
      </c>
      <c r="E78" s="43">
        <v>3</v>
      </c>
      <c r="F78" s="43">
        <v>3</v>
      </c>
      <c r="G78" s="43">
        <v>3</v>
      </c>
      <c r="H78" s="43">
        <v>2</v>
      </c>
      <c r="I78" s="43">
        <v>3</v>
      </c>
      <c r="J78" s="43">
        <v>3</v>
      </c>
      <c r="K78" s="43">
        <v>3</v>
      </c>
      <c r="L78" s="43">
        <v>3</v>
      </c>
      <c r="M78" s="43">
        <v>3</v>
      </c>
      <c r="N78" s="43">
        <v>2</v>
      </c>
      <c r="O78" s="43">
        <v>3</v>
      </c>
      <c r="P78" s="43">
        <v>3</v>
      </c>
      <c r="Q78" s="43">
        <v>3</v>
      </c>
      <c r="R78" s="43">
        <v>3</v>
      </c>
      <c r="S78" s="43">
        <v>3</v>
      </c>
      <c r="T78" s="43">
        <v>47</v>
      </c>
    </row>
    <row r="79" spans="1:20" x14ac:dyDescent="0.25">
      <c r="A79" s="43" t="s">
        <v>98</v>
      </c>
      <c r="B79" s="43">
        <v>3</v>
      </c>
      <c r="C79" s="43">
        <v>3</v>
      </c>
      <c r="D79" s="43">
        <v>3</v>
      </c>
      <c r="E79" s="43">
        <v>3</v>
      </c>
      <c r="F79" s="43">
        <v>3</v>
      </c>
      <c r="G79" s="43">
        <v>3</v>
      </c>
      <c r="H79" s="43">
        <v>2</v>
      </c>
      <c r="I79" s="43">
        <v>3</v>
      </c>
      <c r="J79" s="43">
        <v>3</v>
      </c>
      <c r="K79" s="43">
        <v>3</v>
      </c>
      <c r="L79" s="43">
        <v>3</v>
      </c>
      <c r="M79" s="43">
        <v>3</v>
      </c>
      <c r="N79" s="43">
        <v>2</v>
      </c>
      <c r="O79" s="43">
        <v>3</v>
      </c>
      <c r="P79" s="43">
        <v>2</v>
      </c>
      <c r="Q79" s="43">
        <v>2</v>
      </c>
      <c r="R79" s="43">
        <v>2</v>
      </c>
      <c r="S79" s="43">
        <v>2</v>
      </c>
      <c r="T79" s="43">
        <v>22</v>
      </c>
    </row>
    <row r="80" spans="1:20" x14ac:dyDescent="0.25">
      <c r="A80" s="43" t="s">
        <v>99</v>
      </c>
      <c r="B80" s="43">
        <v>3</v>
      </c>
      <c r="C80" s="43">
        <v>3</v>
      </c>
      <c r="D80" s="43">
        <v>3</v>
      </c>
      <c r="E80" s="43">
        <v>3</v>
      </c>
      <c r="F80" s="43">
        <v>3</v>
      </c>
      <c r="G80" s="43">
        <v>3</v>
      </c>
      <c r="H80" s="43">
        <v>3</v>
      </c>
      <c r="I80" s="43">
        <v>3</v>
      </c>
      <c r="J80" s="43">
        <v>3</v>
      </c>
      <c r="K80" s="43">
        <v>3</v>
      </c>
      <c r="L80" s="43">
        <v>3</v>
      </c>
      <c r="M80" s="43">
        <v>3</v>
      </c>
      <c r="N80" s="43">
        <v>3</v>
      </c>
      <c r="O80" s="43">
        <v>3</v>
      </c>
      <c r="P80" s="43">
        <v>3</v>
      </c>
      <c r="Q80" s="43">
        <v>3</v>
      </c>
      <c r="R80" s="43">
        <v>3</v>
      </c>
      <c r="S80" s="43">
        <v>3</v>
      </c>
      <c r="T80" s="43">
        <v>81</v>
      </c>
    </row>
    <row r="81" spans="1:20" x14ac:dyDescent="0.25">
      <c r="A81" s="43" t="s">
        <v>100</v>
      </c>
      <c r="B81" s="43">
        <v>3</v>
      </c>
      <c r="C81" s="43">
        <v>3</v>
      </c>
      <c r="D81" s="43">
        <v>3</v>
      </c>
      <c r="E81" s="43">
        <v>3</v>
      </c>
      <c r="F81" s="43">
        <v>3</v>
      </c>
      <c r="G81" s="43">
        <v>3</v>
      </c>
      <c r="H81" s="43">
        <v>3</v>
      </c>
      <c r="I81" s="43">
        <v>3</v>
      </c>
      <c r="J81" s="43">
        <v>3</v>
      </c>
      <c r="K81" s="43">
        <v>3</v>
      </c>
      <c r="L81" s="43">
        <v>3</v>
      </c>
      <c r="M81" s="43">
        <v>3</v>
      </c>
      <c r="N81" s="43">
        <v>3</v>
      </c>
      <c r="O81" s="43">
        <v>3</v>
      </c>
      <c r="P81" s="43">
        <v>3</v>
      </c>
      <c r="Q81" s="43">
        <v>3</v>
      </c>
      <c r="R81" s="43">
        <v>3</v>
      </c>
      <c r="S81" s="43">
        <v>3</v>
      </c>
      <c r="T81" s="43">
        <v>54</v>
      </c>
    </row>
    <row r="82" spans="1:20" x14ac:dyDescent="0.25">
      <c r="A82" s="43" t="s">
        <v>101</v>
      </c>
      <c r="B82" s="43">
        <v>4</v>
      </c>
      <c r="C82" s="43">
        <v>3</v>
      </c>
      <c r="D82" s="43">
        <v>3</v>
      </c>
      <c r="E82" s="43">
        <v>3</v>
      </c>
      <c r="F82" s="43">
        <v>4</v>
      </c>
      <c r="G82" s="43">
        <v>3</v>
      </c>
      <c r="H82" s="43">
        <v>3</v>
      </c>
      <c r="I82" s="43">
        <v>4</v>
      </c>
      <c r="J82" s="43">
        <v>3</v>
      </c>
      <c r="K82" s="43">
        <v>3</v>
      </c>
      <c r="L82" s="43">
        <v>3</v>
      </c>
      <c r="M82" s="43">
        <v>4</v>
      </c>
      <c r="N82" s="43">
        <v>3</v>
      </c>
      <c r="O82" s="43">
        <v>4</v>
      </c>
      <c r="P82" s="43">
        <v>4</v>
      </c>
      <c r="Q82" s="43">
        <v>3</v>
      </c>
      <c r="R82" s="43">
        <v>3</v>
      </c>
      <c r="S82" s="43">
        <v>4</v>
      </c>
      <c r="T82" s="43">
        <v>78</v>
      </c>
    </row>
    <row r="83" spans="1:20" x14ac:dyDescent="0.25">
      <c r="A83" s="43" t="s">
        <v>102</v>
      </c>
      <c r="B83" s="43">
        <v>3</v>
      </c>
      <c r="C83" s="43">
        <v>3</v>
      </c>
      <c r="D83" s="43">
        <v>3</v>
      </c>
      <c r="E83" s="43">
        <v>3</v>
      </c>
      <c r="F83" s="43">
        <v>2</v>
      </c>
      <c r="G83" s="43">
        <v>3</v>
      </c>
      <c r="H83" s="43">
        <v>3</v>
      </c>
      <c r="I83" s="43">
        <v>3</v>
      </c>
      <c r="J83" s="43">
        <v>3</v>
      </c>
      <c r="K83" s="43">
        <v>3</v>
      </c>
      <c r="L83" s="43">
        <v>3</v>
      </c>
      <c r="M83" s="43">
        <v>3</v>
      </c>
      <c r="N83" s="43">
        <v>3</v>
      </c>
      <c r="O83" s="43">
        <v>3</v>
      </c>
      <c r="P83" s="43">
        <v>3</v>
      </c>
      <c r="Q83" s="43">
        <v>3</v>
      </c>
      <c r="R83" s="43">
        <v>3</v>
      </c>
      <c r="S83" s="43">
        <v>3</v>
      </c>
      <c r="T83" s="43">
        <v>47</v>
      </c>
    </row>
    <row r="84" spans="1:20" x14ac:dyDescent="0.25">
      <c r="A84" s="43" t="s">
        <v>103</v>
      </c>
      <c r="B84" s="43">
        <v>4</v>
      </c>
      <c r="C84" s="43">
        <v>4</v>
      </c>
      <c r="D84" s="43">
        <v>4</v>
      </c>
      <c r="E84" s="43">
        <v>4</v>
      </c>
      <c r="F84" s="43">
        <v>4</v>
      </c>
      <c r="G84" s="43">
        <v>4</v>
      </c>
      <c r="H84" s="43">
        <v>3</v>
      </c>
      <c r="I84" s="43">
        <v>4</v>
      </c>
      <c r="J84" s="43">
        <v>3</v>
      </c>
      <c r="K84" s="43">
        <v>3</v>
      </c>
      <c r="L84" s="43">
        <v>4</v>
      </c>
      <c r="M84" s="43">
        <v>4</v>
      </c>
      <c r="N84" s="43">
        <v>3</v>
      </c>
      <c r="O84" s="43">
        <v>4</v>
      </c>
      <c r="P84" s="43">
        <v>3</v>
      </c>
      <c r="Q84" s="43">
        <v>4</v>
      </c>
      <c r="R84" s="43">
        <v>3</v>
      </c>
      <c r="S84" s="43">
        <v>4</v>
      </c>
      <c r="T84" s="43">
        <v>33</v>
      </c>
    </row>
    <row r="85" spans="1:20" x14ac:dyDescent="0.25">
      <c r="A85" s="43" t="s">
        <v>104</v>
      </c>
      <c r="B85" s="43">
        <v>3</v>
      </c>
      <c r="C85" s="43">
        <v>3</v>
      </c>
      <c r="D85" s="43">
        <v>2</v>
      </c>
      <c r="E85" s="43">
        <v>3</v>
      </c>
      <c r="F85" s="43">
        <v>3</v>
      </c>
      <c r="G85" s="43">
        <v>3</v>
      </c>
      <c r="H85" s="43">
        <v>3</v>
      </c>
      <c r="I85" s="43">
        <v>3</v>
      </c>
      <c r="J85" s="43">
        <v>3</v>
      </c>
      <c r="K85" s="43">
        <v>3</v>
      </c>
      <c r="L85" s="43">
        <v>3</v>
      </c>
      <c r="M85" s="43">
        <v>3</v>
      </c>
      <c r="N85" s="43">
        <v>2</v>
      </c>
      <c r="O85" s="43">
        <v>3</v>
      </c>
      <c r="P85" s="43">
        <v>3</v>
      </c>
      <c r="Q85" s="43">
        <v>3</v>
      </c>
      <c r="R85" s="43">
        <v>2</v>
      </c>
      <c r="S85" s="43">
        <v>3</v>
      </c>
      <c r="T85" s="43">
        <v>62</v>
      </c>
    </row>
    <row r="86" spans="1:20" x14ac:dyDescent="0.25">
      <c r="A86" s="43" t="s">
        <v>105</v>
      </c>
      <c r="B86" s="43">
        <v>3</v>
      </c>
      <c r="C86" s="43">
        <v>3</v>
      </c>
      <c r="D86" s="43">
        <v>3</v>
      </c>
      <c r="E86" s="43">
        <v>2</v>
      </c>
      <c r="F86" s="43">
        <v>2</v>
      </c>
      <c r="G86" s="43">
        <v>3</v>
      </c>
      <c r="H86" s="43">
        <v>3</v>
      </c>
      <c r="I86" s="43">
        <v>3</v>
      </c>
      <c r="J86" s="43">
        <v>3</v>
      </c>
      <c r="K86" s="43">
        <v>3</v>
      </c>
      <c r="L86" s="43">
        <v>3</v>
      </c>
      <c r="M86" s="43">
        <v>3</v>
      </c>
      <c r="N86" s="43">
        <v>2</v>
      </c>
      <c r="O86" s="43">
        <v>3</v>
      </c>
      <c r="P86" s="43">
        <v>2</v>
      </c>
      <c r="Q86" s="43">
        <v>3</v>
      </c>
      <c r="R86" s="43">
        <v>3</v>
      </c>
      <c r="S86" s="43">
        <v>2</v>
      </c>
      <c r="T86" s="43">
        <v>58</v>
      </c>
    </row>
    <row r="87" spans="1:20" x14ac:dyDescent="0.25">
      <c r="A87" s="43" t="s">
        <v>106</v>
      </c>
      <c r="B87" s="43">
        <v>3</v>
      </c>
      <c r="C87" s="43">
        <v>2</v>
      </c>
      <c r="D87" s="43">
        <v>2</v>
      </c>
      <c r="E87" s="43">
        <v>2</v>
      </c>
      <c r="F87" s="43">
        <v>3</v>
      </c>
      <c r="G87" s="43">
        <v>3</v>
      </c>
      <c r="H87" s="43">
        <v>2</v>
      </c>
      <c r="I87" s="43">
        <v>3</v>
      </c>
      <c r="J87" s="43">
        <v>2</v>
      </c>
      <c r="K87" s="43">
        <v>3</v>
      </c>
      <c r="L87" s="43">
        <v>2</v>
      </c>
      <c r="M87" s="43">
        <v>3</v>
      </c>
      <c r="N87" s="43">
        <v>3</v>
      </c>
      <c r="O87" s="43">
        <v>2</v>
      </c>
      <c r="P87" s="43">
        <v>3</v>
      </c>
      <c r="Q87" s="43">
        <v>3</v>
      </c>
      <c r="R87" s="43">
        <v>2</v>
      </c>
      <c r="S87" s="43">
        <v>2</v>
      </c>
      <c r="T87" s="43">
        <v>25</v>
      </c>
    </row>
    <row r="88" spans="1:20" x14ac:dyDescent="0.25">
      <c r="A88" s="43" t="s">
        <v>107</v>
      </c>
      <c r="B88" s="43">
        <v>3</v>
      </c>
      <c r="C88" s="43">
        <v>2</v>
      </c>
      <c r="D88" s="43">
        <v>2</v>
      </c>
      <c r="E88" s="43">
        <v>2</v>
      </c>
      <c r="F88" s="43">
        <v>2</v>
      </c>
      <c r="G88" s="43">
        <v>2</v>
      </c>
      <c r="H88" s="43">
        <v>3</v>
      </c>
      <c r="I88" s="43">
        <v>3</v>
      </c>
      <c r="J88" s="43">
        <v>2</v>
      </c>
      <c r="K88" s="43">
        <v>2</v>
      </c>
      <c r="L88" s="43">
        <v>3</v>
      </c>
      <c r="M88" s="43">
        <v>2</v>
      </c>
      <c r="N88" s="43">
        <v>2</v>
      </c>
      <c r="O88" s="43">
        <v>2</v>
      </c>
      <c r="P88" s="43">
        <v>2</v>
      </c>
      <c r="Q88" s="43">
        <v>2</v>
      </c>
      <c r="R88" s="43">
        <v>2</v>
      </c>
      <c r="S88" s="43">
        <v>3</v>
      </c>
      <c r="T88" s="43">
        <v>73</v>
      </c>
    </row>
    <row r="89" spans="1:20" x14ac:dyDescent="0.25">
      <c r="A89" s="43" t="s">
        <v>108</v>
      </c>
      <c r="B89" s="43">
        <v>5</v>
      </c>
      <c r="C89" s="43">
        <v>5</v>
      </c>
      <c r="D89" s="43">
        <v>5</v>
      </c>
      <c r="E89" s="43">
        <v>5</v>
      </c>
      <c r="F89" s="43">
        <v>4</v>
      </c>
      <c r="G89" s="43">
        <v>5</v>
      </c>
      <c r="H89" s="43">
        <v>5</v>
      </c>
      <c r="I89" s="43">
        <v>5</v>
      </c>
      <c r="J89" s="43">
        <v>4</v>
      </c>
      <c r="K89" s="43">
        <v>5</v>
      </c>
      <c r="L89" s="43">
        <v>5</v>
      </c>
      <c r="M89" s="43">
        <v>4</v>
      </c>
      <c r="N89" s="43">
        <v>4</v>
      </c>
      <c r="O89" s="43">
        <v>5</v>
      </c>
      <c r="P89" s="43">
        <v>5</v>
      </c>
      <c r="Q89" s="43">
        <v>4</v>
      </c>
      <c r="R89" s="43">
        <v>5</v>
      </c>
      <c r="S89" s="43">
        <v>5</v>
      </c>
      <c r="T89" s="43">
        <v>55</v>
      </c>
    </row>
    <row r="90" spans="1:20" x14ac:dyDescent="0.25">
      <c r="A90" s="43" t="s">
        <v>109</v>
      </c>
      <c r="B90" s="43">
        <v>4</v>
      </c>
      <c r="C90" s="43">
        <v>3</v>
      </c>
      <c r="D90" s="43">
        <v>3</v>
      </c>
      <c r="E90" s="43">
        <v>3</v>
      </c>
      <c r="F90" s="43">
        <v>3</v>
      </c>
      <c r="G90" s="43">
        <v>3</v>
      </c>
      <c r="H90" s="43">
        <v>3</v>
      </c>
      <c r="I90" s="43">
        <v>4</v>
      </c>
      <c r="J90" s="43">
        <v>3</v>
      </c>
      <c r="K90" s="43">
        <v>3</v>
      </c>
      <c r="L90" s="43">
        <v>3</v>
      </c>
      <c r="M90" s="43">
        <v>4</v>
      </c>
      <c r="N90" s="43">
        <v>3</v>
      </c>
      <c r="O90" s="43">
        <v>3</v>
      </c>
      <c r="P90" s="43">
        <v>3</v>
      </c>
      <c r="Q90" s="43">
        <v>3</v>
      </c>
      <c r="R90" s="43">
        <v>3</v>
      </c>
      <c r="S90" s="43">
        <v>3</v>
      </c>
      <c r="T90" s="43">
        <v>62</v>
      </c>
    </row>
    <row r="91" spans="1:20" x14ac:dyDescent="0.25">
      <c r="A91" s="43" t="s">
        <v>110</v>
      </c>
      <c r="B91" s="43">
        <v>3</v>
      </c>
      <c r="C91" s="43">
        <v>3</v>
      </c>
      <c r="D91" s="43">
        <v>3</v>
      </c>
      <c r="E91" s="43">
        <v>3</v>
      </c>
      <c r="F91" s="43">
        <v>3</v>
      </c>
      <c r="G91" s="43">
        <v>3</v>
      </c>
      <c r="H91" s="43">
        <v>3</v>
      </c>
      <c r="I91" s="43">
        <v>3</v>
      </c>
      <c r="J91" s="43">
        <v>3</v>
      </c>
      <c r="K91" s="43">
        <v>3</v>
      </c>
      <c r="L91" s="43">
        <v>2</v>
      </c>
      <c r="M91" s="43">
        <v>2</v>
      </c>
      <c r="N91" s="43">
        <v>2</v>
      </c>
      <c r="O91" s="43">
        <v>2</v>
      </c>
      <c r="P91" s="43">
        <v>3</v>
      </c>
      <c r="Q91" s="43">
        <v>3</v>
      </c>
      <c r="R91" s="43">
        <v>3</v>
      </c>
      <c r="S91" s="43">
        <v>3</v>
      </c>
      <c r="T91" s="43">
        <v>78</v>
      </c>
    </row>
    <row r="92" spans="1:20" x14ac:dyDescent="0.25">
      <c r="A92" s="43" t="s">
        <v>111</v>
      </c>
      <c r="B92" s="43">
        <v>5</v>
      </c>
      <c r="C92" s="43">
        <v>4</v>
      </c>
      <c r="D92" s="43">
        <v>4</v>
      </c>
      <c r="E92" s="43">
        <v>3</v>
      </c>
      <c r="F92" s="43">
        <v>3</v>
      </c>
      <c r="G92" s="43">
        <v>4</v>
      </c>
      <c r="H92" s="43">
        <v>4</v>
      </c>
      <c r="I92" s="43">
        <v>4</v>
      </c>
      <c r="J92" s="43">
        <v>4</v>
      </c>
      <c r="K92" s="43">
        <v>4</v>
      </c>
      <c r="L92" s="43">
        <v>4</v>
      </c>
      <c r="M92" s="43">
        <v>4</v>
      </c>
      <c r="N92" s="43">
        <v>4</v>
      </c>
      <c r="O92" s="43">
        <v>4</v>
      </c>
      <c r="P92" s="43">
        <v>4</v>
      </c>
      <c r="Q92" s="43">
        <v>4</v>
      </c>
      <c r="R92" s="43">
        <v>3</v>
      </c>
      <c r="S92" s="43">
        <v>4</v>
      </c>
      <c r="T92" s="43">
        <v>55</v>
      </c>
    </row>
    <row r="93" spans="1:20" x14ac:dyDescent="0.25">
      <c r="A93" s="43" t="s">
        <v>112</v>
      </c>
      <c r="B93" s="43">
        <v>2</v>
      </c>
      <c r="C93" s="43">
        <v>2</v>
      </c>
      <c r="D93" s="43">
        <v>2</v>
      </c>
      <c r="E93" s="43">
        <v>2</v>
      </c>
      <c r="F93" s="43">
        <v>2</v>
      </c>
      <c r="G93" s="43">
        <v>2</v>
      </c>
      <c r="H93" s="43">
        <v>2</v>
      </c>
      <c r="I93" s="43">
        <v>3</v>
      </c>
      <c r="J93" s="43">
        <v>2</v>
      </c>
      <c r="K93" s="43">
        <v>2</v>
      </c>
      <c r="L93" s="43">
        <v>2</v>
      </c>
      <c r="M93" s="43">
        <v>2</v>
      </c>
      <c r="N93" s="43">
        <v>2</v>
      </c>
      <c r="O93" s="43">
        <v>2</v>
      </c>
      <c r="P93" s="43">
        <v>2</v>
      </c>
      <c r="Q93" s="43">
        <v>2</v>
      </c>
      <c r="R93" s="43">
        <v>2</v>
      </c>
      <c r="S93" s="43">
        <v>2</v>
      </c>
      <c r="T93" s="43">
        <v>31</v>
      </c>
    </row>
    <row r="94" spans="1:20" x14ac:dyDescent="0.25">
      <c r="A94" s="43" t="s">
        <v>113</v>
      </c>
      <c r="B94" s="43">
        <v>5</v>
      </c>
      <c r="C94" s="43">
        <v>4</v>
      </c>
      <c r="D94" s="43">
        <v>4</v>
      </c>
      <c r="E94" s="43">
        <v>4</v>
      </c>
      <c r="F94" s="43">
        <v>4</v>
      </c>
      <c r="G94" s="43">
        <v>4</v>
      </c>
      <c r="H94" s="43">
        <v>4</v>
      </c>
      <c r="I94" s="43">
        <v>5</v>
      </c>
      <c r="J94" s="43">
        <v>4</v>
      </c>
      <c r="K94" s="43">
        <v>4</v>
      </c>
      <c r="L94" s="43">
        <v>4</v>
      </c>
      <c r="M94" s="43">
        <v>4</v>
      </c>
      <c r="N94" s="43">
        <v>4</v>
      </c>
      <c r="O94" s="43">
        <v>4</v>
      </c>
      <c r="P94" s="43">
        <v>3</v>
      </c>
      <c r="Q94" s="43">
        <v>4</v>
      </c>
      <c r="R94" s="43">
        <v>4</v>
      </c>
      <c r="S94" s="43">
        <v>4</v>
      </c>
      <c r="T94" s="43">
        <v>82</v>
      </c>
    </row>
    <row r="95" spans="1:20" x14ac:dyDescent="0.25">
      <c r="A95" s="43" t="s">
        <v>114</v>
      </c>
      <c r="B95" s="43">
        <v>3</v>
      </c>
      <c r="C95" s="43">
        <v>3</v>
      </c>
      <c r="D95" s="43">
        <v>3</v>
      </c>
      <c r="E95" s="43">
        <v>3</v>
      </c>
      <c r="F95" s="43">
        <v>3</v>
      </c>
      <c r="G95" s="43">
        <v>3</v>
      </c>
      <c r="H95" s="43">
        <v>3</v>
      </c>
      <c r="I95" s="43">
        <v>3</v>
      </c>
      <c r="J95" s="43">
        <v>3</v>
      </c>
      <c r="K95" s="43">
        <v>3</v>
      </c>
      <c r="L95" s="43">
        <v>3</v>
      </c>
      <c r="M95" s="43">
        <v>4</v>
      </c>
      <c r="N95" s="43">
        <v>3</v>
      </c>
      <c r="O95" s="43">
        <v>3</v>
      </c>
      <c r="P95" s="43">
        <v>3</v>
      </c>
      <c r="Q95" s="43">
        <v>3</v>
      </c>
      <c r="R95" s="43">
        <v>2</v>
      </c>
      <c r="S95" s="43">
        <v>3</v>
      </c>
      <c r="T95" s="43">
        <v>47</v>
      </c>
    </row>
    <row r="96" spans="1:20" x14ac:dyDescent="0.25">
      <c r="A96" s="43" t="s">
        <v>115</v>
      </c>
      <c r="B96" s="43">
        <v>3</v>
      </c>
      <c r="C96" s="43">
        <v>3</v>
      </c>
      <c r="D96" s="43">
        <v>3</v>
      </c>
      <c r="E96" s="43">
        <v>2</v>
      </c>
      <c r="F96" s="43">
        <v>2</v>
      </c>
      <c r="G96" s="43">
        <v>3</v>
      </c>
      <c r="H96" s="43">
        <v>2</v>
      </c>
      <c r="I96" s="43">
        <v>3</v>
      </c>
      <c r="J96" s="43">
        <v>2</v>
      </c>
      <c r="K96" s="43">
        <v>2</v>
      </c>
      <c r="L96" s="43">
        <v>2</v>
      </c>
      <c r="M96" s="43">
        <v>3</v>
      </c>
      <c r="N96" s="43">
        <v>2</v>
      </c>
      <c r="O96" s="43">
        <v>2</v>
      </c>
      <c r="P96" s="43">
        <v>2</v>
      </c>
      <c r="Q96" s="43">
        <v>2</v>
      </c>
      <c r="R96" s="43">
        <v>2</v>
      </c>
      <c r="S96" s="43">
        <v>2</v>
      </c>
      <c r="T96" s="43">
        <v>53</v>
      </c>
    </row>
    <row r="97" spans="1:20" x14ac:dyDescent="0.25">
      <c r="A97" s="43" t="s">
        <v>116</v>
      </c>
      <c r="B97" s="43">
        <v>3</v>
      </c>
      <c r="C97" s="43">
        <v>3</v>
      </c>
      <c r="D97" s="43">
        <v>3</v>
      </c>
      <c r="E97" s="43">
        <v>2</v>
      </c>
      <c r="F97" s="43">
        <v>2</v>
      </c>
      <c r="G97" s="43">
        <v>2</v>
      </c>
      <c r="H97" s="43">
        <v>2</v>
      </c>
      <c r="I97" s="43">
        <v>3</v>
      </c>
      <c r="J97" s="43">
        <v>3</v>
      </c>
      <c r="K97" s="43">
        <v>2</v>
      </c>
      <c r="L97" s="43">
        <v>2</v>
      </c>
      <c r="M97" s="43">
        <v>3</v>
      </c>
      <c r="N97" s="43">
        <v>3</v>
      </c>
      <c r="O97" s="43">
        <v>3</v>
      </c>
      <c r="P97" s="43">
        <v>2</v>
      </c>
      <c r="Q97" s="43">
        <v>3</v>
      </c>
      <c r="R97" s="43">
        <v>2</v>
      </c>
      <c r="S97" s="43">
        <v>3</v>
      </c>
      <c r="T97" s="43">
        <v>49</v>
      </c>
    </row>
    <row r="98" spans="1:20" x14ac:dyDescent="0.25">
      <c r="A98" s="43" t="s">
        <v>117</v>
      </c>
      <c r="B98" s="43">
        <v>4</v>
      </c>
      <c r="C98" s="43">
        <v>4</v>
      </c>
      <c r="D98" s="43">
        <v>4</v>
      </c>
      <c r="E98" s="43">
        <v>4</v>
      </c>
      <c r="F98" s="43">
        <v>4</v>
      </c>
      <c r="G98" s="43">
        <v>4</v>
      </c>
      <c r="H98" s="43">
        <v>4</v>
      </c>
      <c r="I98" s="43">
        <v>4</v>
      </c>
      <c r="J98" s="43">
        <v>4</v>
      </c>
      <c r="K98" s="43">
        <v>4</v>
      </c>
      <c r="L98" s="43">
        <v>4</v>
      </c>
      <c r="M98" s="43">
        <v>4</v>
      </c>
      <c r="N98" s="43">
        <v>4</v>
      </c>
      <c r="O98" s="43">
        <v>4</v>
      </c>
      <c r="P98" s="43">
        <v>4</v>
      </c>
      <c r="Q98" s="43">
        <v>4</v>
      </c>
      <c r="R98" s="43">
        <v>4</v>
      </c>
      <c r="S98" s="43">
        <v>4</v>
      </c>
      <c r="T98" s="43">
        <v>59</v>
      </c>
    </row>
    <row r="99" spans="1:20" x14ac:dyDescent="0.25">
      <c r="A99" s="43" t="s">
        <v>118</v>
      </c>
      <c r="B99" s="43">
        <v>4</v>
      </c>
      <c r="C99" s="43">
        <v>3</v>
      </c>
      <c r="D99" s="43">
        <v>3</v>
      </c>
      <c r="E99" s="43">
        <v>3</v>
      </c>
      <c r="F99" s="43">
        <v>3</v>
      </c>
      <c r="G99" s="43">
        <v>3</v>
      </c>
      <c r="H99" s="43">
        <v>3</v>
      </c>
      <c r="I99" s="43">
        <v>3</v>
      </c>
      <c r="J99" s="43">
        <v>3</v>
      </c>
      <c r="K99" s="43">
        <v>3</v>
      </c>
      <c r="L99" s="43">
        <v>3</v>
      </c>
      <c r="M99" s="43">
        <v>3</v>
      </c>
      <c r="N99" s="43">
        <v>3</v>
      </c>
      <c r="O99" s="43">
        <v>3</v>
      </c>
      <c r="P99" s="43">
        <v>3</v>
      </c>
      <c r="Q99" s="43">
        <v>3</v>
      </c>
      <c r="R99" s="43">
        <v>3</v>
      </c>
      <c r="S99" s="43">
        <v>3</v>
      </c>
      <c r="T99" s="43">
        <v>48</v>
      </c>
    </row>
    <row r="100" spans="1:20" x14ac:dyDescent="0.25">
      <c r="A100" s="43" t="s">
        <v>119</v>
      </c>
      <c r="B100" s="43">
        <v>2</v>
      </c>
      <c r="C100" s="43">
        <v>2</v>
      </c>
      <c r="D100" s="43">
        <v>3</v>
      </c>
      <c r="E100" s="43">
        <v>2</v>
      </c>
      <c r="F100" s="43">
        <v>3</v>
      </c>
      <c r="G100" s="43">
        <v>2</v>
      </c>
      <c r="H100" s="43">
        <v>2</v>
      </c>
      <c r="I100" s="43">
        <v>3</v>
      </c>
      <c r="J100" s="43">
        <v>2</v>
      </c>
      <c r="K100" s="43">
        <v>2</v>
      </c>
      <c r="L100" s="43">
        <v>3</v>
      </c>
      <c r="M100" s="43">
        <v>2</v>
      </c>
      <c r="N100" s="43">
        <v>2</v>
      </c>
      <c r="O100" s="43">
        <v>2</v>
      </c>
      <c r="P100" s="43">
        <v>2</v>
      </c>
      <c r="Q100" s="43">
        <v>2</v>
      </c>
      <c r="R100" s="43">
        <v>2</v>
      </c>
      <c r="S100" s="43">
        <v>3</v>
      </c>
      <c r="T100" s="43">
        <v>75</v>
      </c>
    </row>
    <row r="101" spans="1:20" x14ac:dyDescent="0.25">
      <c r="A101" s="43" t="s">
        <v>120</v>
      </c>
      <c r="B101" s="43">
        <v>4</v>
      </c>
      <c r="C101" s="43">
        <v>3</v>
      </c>
      <c r="D101" s="43">
        <v>4</v>
      </c>
      <c r="E101" s="43">
        <v>3</v>
      </c>
      <c r="F101" s="43">
        <v>3</v>
      </c>
      <c r="G101" s="43">
        <v>3</v>
      </c>
      <c r="H101" s="43">
        <v>3</v>
      </c>
      <c r="I101" s="43">
        <v>3</v>
      </c>
      <c r="J101" s="43">
        <v>3</v>
      </c>
      <c r="K101" s="43">
        <v>3</v>
      </c>
      <c r="L101" s="43">
        <v>3</v>
      </c>
      <c r="M101" s="43">
        <v>3</v>
      </c>
      <c r="N101" s="43">
        <v>3</v>
      </c>
      <c r="O101" s="43">
        <v>3</v>
      </c>
      <c r="P101" s="43">
        <v>3</v>
      </c>
      <c r="Q101" s="43">
        <v>3</v>
      </c>
      <c r="R101" s="43">
        <v>3</v>
      </c>
      <c r="S101" s="43">
        <v>3</v>
      </c>
      <c r="T101" s="43">
        <v>18</v>
      </c>
    </row>
    <row r="102" spans="1:20" x14ac:dyDescent="0.25">
      <c r="A102" s="43" t="s">
        <v>121</v>
      </c>
      <c r="B102" s="43">
        <v>3</v>
      </c>
      <c r="C102" s="43">
        <v>2</v>
      </c>
      <c r="D102" s="43">
        <v>2</v>
      </c>
      <c r="E102" s="43">
        <v>2</v>
      </c>
      <c r="F102" s="43">
        <v>3</v>
      </c>
      <c r="G102" s="43">
        <v>3</v>
      </c>
      <c r="H102" s="43">
        <v>3</v>
      </c>
      <c r="I102" s="43">
        <v>3</v>
      </c>
      <c r="J102" s="43">
        <v>3</v>
      </c>
      <c r="K102" s="43">
        <v>3</v>
      </c>
      <c r="L102" s="43">
        <v>3</v>
      </c>
      <c r="M102" s="43">
        <v>3</v>
      </c>
      <c r="N102" s="43">
        <v>3</v>
      </c>
      <c r="O102" s="43">
        <v>3</v>
      </c>
      <c r="P102" s="43">
        <v>2</v>
      </c>
      <c r="Q102" s="43">
        <v>3</v>
      </c>
      <c r="R102" s="43">
        <v>3</v>
      </c>
      <c r="S102" s="43">
        <v>3</v>
      </c>
      <c r="T102" s="43">
        <v>79</v>
      </c>
    </row>
    <row r="103" spans="1:20" x14ac:dyDescent="0.25">
      <c r="A103" s="43" t="s">
        <v>122</v>
      </c>
      <c r="B103" s="43">
        <v>3</v>
      </c>
      <c r="C103" s="43">
        <v>3</v>
      </c>
      <c r="D103" s="43">
        <v>3</v>
      </c>
      <c r="E103" s="43">
        <v>3</v>
      </c>
      <c r="F103" s="43">
        <v>3</v>
      </c>
      <c r="G103" s="43">
        <v>3</v>
      </c>
      <c r="H103" s="43">
        <v>2</v>
      </c>
      <c r="I103" s="43">
        <v>3</v>
      </c>
      <c r="J103" s="43">
        <v>3</v>
      </c>
      <c r="K103" s="43">
        <v>3</v>
      </c>
      <c r="L103" s="43">
        <v>3</v>
      </c>
      <c r="M103" s="43">
        <v>3</v>
      </c>
      <c r="N103" s="43">
        <v>3</v>
      </c>
      <c r="O103" s="43">
        <v>3</v>
      </c>
      <c r="P103" s="43">
        <v>3</v>
      </c>
      <c r="Q103" s="43">
        <v>3</v>
      </c>
      <c r="R103" s="43">
        <v>2</v>
      </c>
      <c r="S103" s="43">
        <v>3</v>
      </c>
      <c r="T103" s="43">
        <v>18</v>
      </c>
    </row>
    <row r="104" spans="1:20" x14ac:dyDescent="0.25">
      <c r="A104" s="43" t="s">
        <v>123</v>
      </c>
      <c r="B104" s="43">
        <v>4</v>
      </c>
      <c r="C104" s="43">
        <v>3</v>
      </c>
      <c r="D104" s="43">
        <v>3</v>
      </c>
      <c r="E104" s="43">
        <v>3</v>
      </c>
      <c r="F104" s="43">
        <v>3</v>
      </c>
      <c r="G104" s="43">
        <v>3</v>
      </c>
      <c r="H104" s="43">
        <v>3</v>
      </c>
      <c r="I104" s="43">
        <v>3</v>
      </c>
      <c r="J104" s="43">
        <v>3</v>
      </c>
      <c r="K104" s="43">
        <v>3</v>
      </c>
      <c r="L104" s="43">
        <v>3</v>
      </c>
      <c r="M104" s="43">
        <v>3</v>
      </c>
      <c r="N104" s="43">
        <v>3</v>
      </c>
      <c r="O104" s="43">
        <v>3</v>
      </c>
      <c r="P104" s="43">
        <v>3</v>
      </c>
      <c r="Q104" s="43">
        <v>3</v>
      </c>
      <c r="R104" s="43">
        <v>3</v>
      </c>
      <c r="S104" s="43">
        <v>3</v>
      </c>
      <c r="T104" s="43">
        <v>45</v>
      </c>
    </row>
    <row r="105" spans="1:20" x14ac:dyDescent="0.25">
      <c r="A105" s="43" t="s">
        <v>124</v>
      </c>
      <c r="B105" s="43">
        <v>3</v>
      </c>
      <c r="C105" s="43">
        <v>3</v>
      </c>
      <c r="D105" s="43">
        <v>3</v>
      </c>
      <c r="E105" s="43">
        <v>2</v>
      </c>
      <c r="F105" s="43">
        <v>3</v>
      </c>
      <c r="G105" s="43">
        <v>2</v>
      </c>
      <c r="H105" s="43">
        <v>3</v>
      </c>
      <c r="I105" s="43">
        <v>3</v>
      </c>
      <c r="J105" s="43">
        <v>2</v>
      </c>
      <c r="K105" s="43">
        <v>3</v>
      </c>
      <c r="L105" s="43">
        <v>3</v>
      </c>
      <c r="M105" s="43">
        <v>2</v>
      </c>
      <c r="N105" s="43">
        <v>3</v>
      </c>
      <c r="O105" s="43">
        <v>2</v>
      </c>
      <c r="P105" s="43">
        <v>2</v>
      </c>
      <c r="Q105" s="43">
        <v>2</v>
      </c>
      <c r="R105" s="43">
        <v>3</v>
      </c>
      <c r="S105" s="43">
        <v>3</v>
      </c>
      <c r="T105" s="43">
        <v>47</v>
      </c>
    </row>
    <row r="106" spans="1:20" x14ac:dyDescent="0.25">
      <c r="A106" s="43" t="s">
        <v>125</v>
      </c>
      <c r="B106" s="43">
        <v>3</v>
      </c>
      <c r="C106" s="43">
        <v>3</v>
      </c>
      <c r="D106" s="43">
        <v>3</v>
      </c>
      <c r="E106" s="43">
        <v>3</v>
      </c>
      <c r="F106" s="43">
        <v>2</v>
      </c>
      <c r="G106" s="43">
        <v>3</v>
      </c>
      <c r="H106" s="43">
        <v>3</v>
      </c>
      <c r="I106" s="43">
        <v>3</v>
      </c>
      <c r="J106" s="43">
        <v>3</v>
      </c>
      <c r="K106" s="43">
        <v>3</v>
      </c>
      <c r="L106" s="43">
        <v>3</v>
      </c>
      <c r="M106" s="43">
        <v>3</v>
      </c>
      <c r="N106" s="43">
        <v>3</v>
      </c>
      <c r="O106" s="43">
        <v>3</v>
      </c>
      <c r="P106" s="43">
        <v>3</v>
      </c>
      <c r="Q106" s="43">
        <v>3</v>
      </c>
      <c r="R106" s="43">
        <v>3</v>
      </c>
      <c r="S106" s="43">
        <v>4</v>
      </c>
      <c r="T106" s="43">
        <v>76</v>
      </c>
    </row>
    <row r="107" spans="1:20" x14ac:dyDescent="0.25">
      <c r="A107" s="43" t="s">
        <v>126</v>
      </c>
      <c r="B107" s="43">
        <v>4</v>
      </c>
      <c r="C107" s="43">
        <v>3</v>
      </c>
      <c r="D107" s="43">
        <v>4</v>
      </c>
      <c r="E107" s="43">
        <v>3</v>
      </c>
      <c r="F107" s="43">
        <v>4</v>
      </c>
      <c r="G107" s="43">
        <v>4</v>
      </c>
      <c r="H107" s="43">
        <v>3</v>
      </c>
      <c r="I107" s="43">
        <v>4</v>
      </c>
      <c r="J107" s="43">
        <v>4</v>
      </c>
      <c r="K107" s="43">
        <v>3</v>
      </c>
      <c r="L107" s="43">
        <v>4</v>
      </c>
      <c r="M107" s="43">
        <v>3</v>
      </c>
      <c r="N107" s="43">
        <v>3</v>
      </c>
      <c r="O107" s="43">
        <v>4</v>
      </c>
      <c r="P107" s="43">
        <v>4</v>
      </c>
      <c r="Q107" s="43">
        <v>3</v>
      </c>
      <c r="R107" s="43">
        <v>3</v>
      </c>
      <c r="S107" s="43">
        <v>3</v>
      </c>
      <c r="T107" s="43">
        <v>18</v>
      </c>
    </row>
    <row r="108" spans="1:20" x14ac:dyDescent="0.25">
      <c r="A108" s="43" t="s">
        <v>127</v>
      </c>
      <c r="B108" s="43">
        <v>4</v>
      </c>
      <c r="C108" s="43">
        <v>3</v>
      </c>
      <c r="D108" s="43">
        <v>3</v>
      </c>
      <c r="E108" s="43">
        <v>4</v>
      </c>
      <c r="F108" s="43">
        <v>4</v>
      </c>
      <c r="G108" s="43">
        <v>3</v>
      </c>
      <c r="H108" s="43">
        <v>4</v>
      </c>
      <c r="I108" s="43">
        <v>3</v>
      </c>
      <c r="J108" s="43">
        <v>3</v>
      </c>
      <c r="K108" s="43">
        <v>4</v>
      </c>
      <c r="L108" s="43">
        <v>3</v>
      </c>
      <c r="M108" s="43">
        <v>4</v>
      </c>
      <c r="N108" s="43">
        <v>3</v>
      </c>
      <c r="O108" s="43">
        <v>3</v>
      </c>
      <c r="P108" s="43">
        <v>3</v>
      </c>
      <c r="Q108" s="43">
        <v>4</v>
      </c>
      <c r="R108" s="43">
        <v>3</v>
      </c>
      <c r="S108" s="43">
        <v>4</v>
      </c>
      <c r="T108" s="43">
        <v>68</v>
      </c>
    </row>
    <row r="109" spans="1:20" x14ac:dyDescent="0.25">
      <c r="A109" s="43" t="s">
        <v>128</v>
      </c>
      <c r="B109" s="43">
        <v>2</v>
      </c>
      <c r="C109" s="43">
        <v>2</v>
      </c>
      <c r="D109" s="43">
        <v>2</v>
      </c>
      <c r="E109" s="43">
        <v>2</v>
      </c>
      <c r="F109" s="43">
        <v>2</v>
      </c>
      <c r="G109" s="43">
        <v>3</v>
      </c>
      <c r="H109" s="43">
        <v>2</v>
      </c>
      <c r="I109" s="43">
        <v>2</v>
      </c>
      <c r="J109" s="43">
        <v>2</v>
      </c>
      <c r="K109" s="43">
        <v>2</v>
      </c>
      <c r="L109" s="43">
        <v>2</v>
      </c>
      <c r="M109" s="43">
        <v>2</v>
      </c>
      <c r="N109" s="43">
        <v>2</v>
      </c>
      <c r="O109" s="43">
        <v>3</v>
      </c>
      <c r="P109" s="43">
        <v>2</v>
      </c>
      <c r="Q109" s="43">
        <v>2</v>
      </c>
      <c r="R109" s="43">
        <v>2</v>
      </c>
      <c r="S109" s="43">
        <v>2</v>
      </c>
      <c r="T109" s="43">
        <v>80</v>
      </c>
    </row>
    <row r="110" spans="1:20" x14ac:dyDescent="0.25">
      <c r="A110" s="43" t="s">
        <v>129</v>
      </c>
      <c r="B110" s="43">
        <v>5</v>
      </c>
      <c r="C110" s="43">
        <v>5</v>
      </c>
      <c r="D110" s="43">
        <v>5</v>
      </c>
      <c r="E110" s="43">
        <v>4</v>
      </c>
      <c r="F110" s="43">
        <v>5</v>
      </c>
      <c r="G110" s="43">
        <v>5</v>
      </c>
      <c r="H110" s="43">
        <v>5</v>
      </c>
      <c r="I110" s="43">
        <v>5</v>
      </c>
      <c r="J110" s="43">
        <v>4</v>
      </c>
      <c r="K110" s="43">
        <v>5</v>
      </c>
      <c r="L110" s="43">
        <v>5</v>
      </c>
      <c r="M110" s="43">
        <v>5</v>
      </c>
      <c r="N110" s="43">
        <v>5</v>
      </c>
      <c r="O110" s="43">
        <v>5</v>
      </c>
      <c r="P110" s="43">
        <v>5</v>
      </c>
      <c r="Q110" s="43">
        <v>5</v>
      </c>
      <c r="R110" s="43">
        <v>5</v>
      </c>
      <c r="S110" s="43">
        <v>5</v>
      </c>
      <c r="T110" s="43">
        <v>46</v>
      </c>
    </row>
    <row r="111" spans="1:20" x14ac:dyDescent="0.25">
      <c r="A111" s="43" t="s">
        <v>130</v>
      </c>
      <c r="B111" s="43">
        <v>3</v>
      </c>
      <c r="C111" s="43">
        <v>4</v>
      </c>
      <c r="D111" s="43">
        <v>4</v>
      </c>
      <c r="E111" s="43">
        <v>3</v>
      </c>
      <c r="F111" s="43">
        <v>3</v>
      </c>
      <c r="G111" s="43">
        <v>3</v>
      </c>
      <c r="H111" s="43">
        <v>3</v>
      </c>
      <c r="I111" s="43">
        <v>4</v>
      </c>
      <c r="J111" s="43">
        <v>4</v>
      </c>
      <c r="K111" s="43">
        <v>3</v>
      </c>
      <c r="L111" s="43">
        <v>3</v>
      </c>
      <c r="M111" s="43">
        <v>3</v>
      </c>
      <c r="N111" s="43">
        <v>4</v>
      </c>
      <c r="O111" s="43">
        <v>3</v>
      </c>
      <c r="P111" s="43">
        <v>3</v>
      </c>
      <c r="Q111" s="43">
        <v>3</v>
      </c>
      <c r="R111" s="43">
        <v>3</v>
      </c>
      <c r="S111" s="43">
        <v>3</v>
      </c>
      <c r="T111" s="43">
        <v>61</v>
      </c>
    </row>
    <row r="112" spans="1:20" x14ac:dyDescent="0.25">
      <c r="A112" s="43" t="s">
        <v>131</v>
      </c>
      <c r="B112" s="43">
        <v>3</v>
      </c>
      <c r="C112" s="43">
        <v>3</v>
      </c>
      <c r="D112" s="43">
        <v>4</v>
      </c>
      <c r="E112" s="43">
        <v>3</v>
      </c>
      <c r="F112" s="43">
        <v>3</v>
      </c>
      <c r="G112" s="43">
        <v>3</v>
      </c>
      <c r="H112" s="43">
        <v>3</v>
      </c>
      <c r="I112" s="43">
        <v>3</v>
      </c>
      <c r="J112" s="43">
        <v>3</v>
      </c>
      <c r="K112" s="43">
        <v>3</v>
      </c>
      <c r="L112" s="43">
        <v>3</v>
      </c>
      <c r="M112" s="43">
        <v>3</v>
      </c>
      <c r="N112" s="43">
        <v>3</v>
      </c>
      <c r="O112" s="43">
        <v>3</v>
      </c>
      <c r="P112" s="43">
        <v>3</v>
      </c>
      <c r="Q112" s="43">
        <v>3</v>
      </c>
      <c r="R112" s="43">
        <v>3</v>
      </c>
      <c r="S112" s="43">
        <v>3</v>
      </c>
      <c r="T112" s="43">
        <v>27</v>
      </c>
    </row>
    <row r="113" spans="1:20" x14ac:dyDescent="0.25">
      <c r="A113" s="43" t="s">
        <v>132</v>
      </c>
      <c r="B113" s="43">
        <v>4</v>
      </c>
      <c r="C113" s="43">
        <v>4</v>
      </c>
      <c r="D113" s="43">
        <v>3</v>
      </c>
      <c r="E113" s="43">
        <v>3</v>
      </c>
      <c r="F113" s="43">
        <v>3</v>
      </c>
      <c r="G113" s="43">
        <v>3</v>
      </c>
      <c r="H113" s="43">
        <v>3</v>
      </c>
      <c r="I113" s="43">
        <v>4</v>
      </c>
      <c r="J113" s="43">
        <v>3</v>
      </c>
      <c r="K113" s="43">
        <v>4</v>
      </c>
      <c r="L113" s="43">
        <v>3</v>
      </c>
      <c r="M113" s="43">
        <v>4</v>
      </c>
      <c r="N113" s="43">
        <v>4</v>
      </c>
      <c r="O113" s="43">
        <v>3</v>
      </c>
      <c r="P113" s="43">
        <v>3</v>
      </c>
      <c r="Q113" s="43">
        <v>4</v>
      </c>
      <c r="R113" s="43">
        <v>3</v>
      </c>
      <c r="S113" s="43">
        <v>4</v>
      </c>
      <c r="T113" s="43">
        <v>54</v>
      </c>
    </row>
    <row r="114" spans="1:20" x14ac:dyDescent="0.25">
      <c r="A114" s="43" t="s">
        <v>133</v>
      </c>
      <c r="B114" s="43">
        <v>3</v>
      </c>
      <c r="C114" s="43">
        <v>4</v>
      </c>
      <c r="D114" s="43">
        <v>3</v>
      </c>
      <c r="E114" s="43">
        <v>3</v>
      </c>
      <c r="F114" s="43">
        <v>3</v>
      </c>
      <c r="G114" s="43">
        <v>3</v>
      </c>
      <c r="H114" s="43">
        <v>3</v>
      </c>
      <c r="I114" s="43">
        <v>3</v>
      </c>
      <c r="J114" s="43">
        <v>4</v>
      </c>
      <c r="K114" s="43">
        <v>3</v>
      </c>
      <c r="L114" s="43">
        <v>3</v>
      </c>
      <c r="M114" s="43">
        <v>4</v>
      </c>
      <c r="N114" s="43">
        <v>3</v>
      </c>
      <c r="O114" s="43">
        <v>3</v>
      </c>
      <c r="P114" s="43">
        <v>3</v>
      </c>
      <c r="Q114" s="43">
        <v>3</v>
      </c>
      <c r="R114" s="43">
        <v>3</v>
      </c>
      <c r="S114" s="43">
        <v>3</v>
      </c>
      <c r="T114" s="43">
        <v>45</v>
      </c>
    </row>
    <row r="115" spans="1:20" x14ac:dyDescent="0.25">
      <c r="A115" s="43" t="s">
        <v>134</v>
      </c>
      <c r="B115" s="43">
        <v>3</v>
      </c>
      <c r="C115" s="43">
        <v>3</v>
      </c>
      <c r="D115" s="43">
        <v>3</v>
      </c>
      <c r="E115" s="43">
        <v>3</v>
      </c>
      <c r="F115" s="43">
        <v>3</v>
      </c>
      <c r="G115" s="43">
        <v>3</v>
      </c>
      <c r="H115" s="43">
        <v>2</v>
      </c>
      <c r="I115" s="43">
        <v>3</v>
      </c>
      <c r="J115" s="43">
        <v>3</v>
      </c>
      <c r="K115" s="43">
        <v>3</v>
      </c>
      <c r="L115" s="43">
        <v>3</v>
      </c>
      <c r="M115" s="43">
        <v>3</v>
      </c>
      <c r="N115" s="43">
        <v>3</v>
      </c>
      <c r="O115" s="43">
        <v>3</v>
      </c>
      <c r="P115" s="43">
        <v>2</v>
      </c>
      <c r="Q115" s="43">
        <v>3</v>
      </c>
      <c r="R115" s="43">
        <v>2</v>
      </c>
      <c r="S115" s="43">
        <v>3</v>
      </c>
      <c r="T115" s="43">
        <v>55</v>
      </c>
    </row>
    <row r="116" spans="1:20" x14ac:dyDescent="0.25">
      <c r="A116" s="43" t="s">
        <v>135</v>
      </c>
      <c r="B116" s="43">
        <v>4</v>
      </c>
      <c r="C116" s="43">
        <v>3</v>
      </c>
      <c r="D116" s="43">
        <v>4</v>
      </c>
      <c r="E116" s="43">
        <v>3</v>
      </c>
      <c r="F116" s="43">
        <v>3</v>
      </c>
      <c r="G116" s="43">
        <v>4</v>
      </c>
      <c r="H116" s="43">
        <v>4</v>
      </c>
      <c r="I116" s="43">
        <v>4</v>
      </c>
      <c r="J116" s="43">
        <v>3</v>
      </c>
      <c r="K116" s="43">
        <v>3</v>
      </c>
      <c r="L116" s="43">
        <v>4</v>
      </c>
      <c r="M116" s="43">
        <v>4</v>
      </c>
      <c r="N116" s="43">
        <v>3</v>
      </c>
      <c r="O116" s="43">
        <v>3</v>
      </c>
      <c r="P116" s="43">
        <v>3</v>
      </c>
      <c r="Q116" s="43">
        <v>3</v>
      </c>
      <c r="R116" s="43">
        <v>3</v>
      </c>
      <c r="S116" s="43">
        <v>3</v>
      </c>
      <c r="T116" s="43">
        <v>24</v>
      </c>
    </row>
    <row r="117" spans="1:20" x14ac:dyDescent="0.25">
      <c r="A117" s="43" t="s">
        <v>136</v>
      </c>
      <c r="B117" s="43">
        <v>4</v>
      </c>
      <c r="C117" s="43">
        <v>4</v>
      </c>
      <c r="D117" s="43">
        <v>4</v>
      </c>
      <c r="E117" s="43">
        <v>3</v>
      </c>
      <c r="F117" s="43">
        <v>4</v>
      </c>
      <c r="G117" s="43">
        <v>4</v>
      </c>
      <c r="H117" s="43">
        <v>3</v>
      </c>
      <c r="I117" s="43">
        <v>4</v>
      </c>
      <c r="J117" s="43">
        <v>4</v>
      </c>
      <c r="K117" s="43">
        <v>3</v>
      </c>
      <c r="L117" s="43">
        <v>4</v>
      </c>
      <c r="M117" s="43">
        <v>4</v>
      </c>
      <c r="N117" s="43">
        <v>4</v>
      </c>
      <c r="O117" s="43">
        <v>4</v>
      </c>
      <c r="P117" s="43">
        <v>4</v>
      </c>
      <c r="Q117" s="43">
        <v>3</v>
      </c>
      <c r="R117" s="43">
        <v>4</v>
      </c>
      <c r="S117" s="43">
        <v>4</v>
      </c>
      <c r="T117" s="43">
        <v>42</v>
      </c>
    </row>
    <row r="118" spans="1:20" x14ac:dyDescent="0.25">
      <c r="A118" s="43" t="s">
        <v>137</v>
      </c>
      <c r="B118" s="43">
        <v>4</v>
      </c>
      <c r="C118" s="43">
        <v>3</v>
      </c>
      <c r="D118" s="43">
        <v>3</v>
      </c>
      <c r="E118" s="43">
        <v>3</v>
      </c>
      <c r="F118" s="43">
        <v>3</v>
      </c>
      <c r="G118" s="43">
        <v>3</v>
      </c>
      <c r="H118" s="43">
        <v>3</v>
      </c>
      <c r="I118" s="43">
        <v>3</v>
      </c>
      <c r="J118" s="43">
        <v>3</v>
      </c>
      <c r="K118" s="43">
        <v>3</v>
      </c>
      <c r="L118" s="43">
        <v>3</v>
      </c>
      <c r="M118" s="43">
        <v>3</v>
      </c>
      <c r="N118" s="43">
        <v>3</v>
      </c>
      <c r="O118" s="43">
        <v>3</v>
      </c>
      <c r="P118" s="43">
        <v>3</v>
      </c>
      <c r="Q118" s="43">
        <v>3</v>
      </c>
      <c r="R118" s="43">
        <v>3</v>
      </c>
      <c r="S118" s="43">
        <v>3</v>
      </c>
      <c r="T118" s="43">
        <v>50</v>
      </c>
    </row>
    <row r="119" spans="1:20" x14ac:dyDescent="0.25">
      <c r="A119" s="43" t="s">
        <v>138</v>
      </c>
      <c r="B119" s="43">
        <v>3</v>
      </c>
      <c r="C119" s="43">
        <v>3</v>
      </c>
      <c r="D119" s="43">
        <v>3</v>
      </c>
      <c r="E119" s="43">
        <v>3</v>
      </c>
      <c r="F119" s="43">
        <v>2</v>
      </c>
      <c r="G119" s="43">
        <v>3</v>
      </c>
      <c r="H119" s="43">
        <v>2</v>
      </c>
      <c r="I119" s="43">
        <v>3</v>
      </c>
      <c r="J119" s="43">
        <v>3</v>
      </c>
      <c r="K119" s="43">
        <v>2</v>
      </c>
      <c r="L119" s="43">
        <v>2</v>
      </c>
      <c r="M119" s="43">
        <v>2</v>
      </c>
      <c r="N119" s="43">
        <v>2</v>
      </c>
      <c r="O119" s="43">
        <v>2</v>
      </c>
      <c r="P119" s="43">
        <v>2</v>
      </c>
      <c r="Q119" s="43">
        <v>3</v>
      </c>
      <c r="R119" s="43">
        <v>2</v>
      </c>
      <c r="S119" s="43">
        <v>2</v>
      </c>
      <c r="T119" s="43">
        <v>50</v>
      </c>
    </row>
    <row r="120" spans="1:20" x14ac:dyDescent="0.25">
      <c r="A120" s="43" t="s">
        <v>139</v>
      </c>
      <c r="B120" s="43">
        <v>4</v>
      </c>
      <c r="C120" s="43">
        <v>4</v>
      </c>
      <c r="D120" s="43">
        <v>4</v>
      </c>
      <c r="E120" s="43">
        <v>4</v>
      </c>
      <c r="F120" s="43">
        <v>4</v>
      </c>
      <c r="G120" s="43">
        <v>4</v>
      </c>
      <c r="H120" s="43">
        <v>4</v>
      </c>
      <c r="I120" s="43">
        <v>4</v>
      </c>
      <c r="J120" s="43">
        <v>4</v>
      </c>
      <c r="K120" s="43">
        <v>4</v>
      </c>
      <c r="L120" s="43">
        <v>4</v>
      </c>
      <c r="M120" s="43">
        <v>4</v>
      </c>
      <c r="N120" s="43">
        <v>4</v>
      </c>
      <c r="O120" s="43">
        <v>4</v>
      </c>
      <c r="P120" s="43">
        <v>4</v>
      </c>
      <c r="Q120" s="43">
        <v>4</v>
      </c>
      <c r="R120" s="43">
        <v>4</v>
      </c>
      <c r="S120" s="43">
        <v>4</v>
      </c>
      <c r="T120" s="43">
        <v>69</v>
      </c>
    </row>
    <row r="121" spans="1:20" x14ac:dyDescent="0.25">
      <c r="A121" s="43" t="s">
        <v>140</v>
      </c>
      <c r="B121" s="43">
        <v>3</v>
      </c>
      <c r="C121" s="43">
        <v>3</v>
      </c>
      <c r="D121" s="43">
        <v>3</v>
      </c>
      <c r="E121" s="43">
        <v>3</v>
      </c>
      <c r="F121" s="43">
        <v>3</v>
      </c>
      <c r="G121" s="43">
        <v>3</v>
      </c>
      <c r="H121" s="43">
        <v>3</v>
      </c>
      <c r="I121" s="43">
        <v>3</v>
      </c>
      <c r="J121" s="43">
        <v>3</v>
      </c>
      <c r="K121" s="43">
        <v>3</v>
      </c>
      <c r="L121" s="43">
        <v>3</v>
      </c>
      <c r="M121" s="43">
        <v>3</v>
      </c>
      <c r="N121" s="43">
        <v>3</v>
      </c>
      <c r="O121" s="43">
        <v>3</v>
      </c>
      <c r="P121" s="43">
        <v>3</v>
      </c>
      <c r="Q121" s="43">
        <v>3</v>
      </c>
      <c r="R121" s="43">
        <v>2</v>
      </c>
      <c r="S121" s="43">
        <v>3</v>
      </c>
      <c r="T121" s="43">
        <v>53</v>
      </c>
    </row>
    <row r="122" spans="1:20" x14ac:dyDescent="0.25">
      <c r="A122" s="43" t="s">
        <v>141</v>
      </c>
      <c r="B122" s="43">
        <v>4</v>
      </c>
      <c r="C122" s="43">
        <v>4</v>
      </c>
      <c r="D122" s="43">
        <v>4</v>
      </c>
      <c r="E122" s="43">
        <v>4</v>
      </c>
      <c r="F122" s="43">
        <v>4</v>
      </c>
      <c r="G122" s="43">
        <v>4</v>
      </c>
      <c r="H122" s="43">
        <v>4</v>
      </c>
      <c r="I122" s="43">
        <v>4</v>
      </c>
      <c r="J122" s="43">
        <v>4</v>
      </c>
      <c r="K122" s="43">
        <v>4</v>
      </c>
      <c r="L122" s="43">
        <v>4</v>
      </c>
      <c r="M122" s="43">
        <v>4</v>
      </c>
      <c r="N122" s="43">
        <v>4</v>
      </c>
      <c r="O122" s="43">
        <v>4</v>
      </c>
      <c r="P122" s="43">
        <v>4</v>
      </c>
      <c r="Q122" s="43">
        <v>4</v>
      </c>
      <c r="R122" s="43">
        <v>3</v>
      </c>
      <c r="S122" s="43">
        <v>4</v>
      </c>
      <c r="T122" s="43">
        <v>46</v>
      </c>
    </row>
    <row r="123" spans="1:20" x14ac:dyDescent="0.25">
      <c r="A123" s="43" t="s">
        <v>142</v>
      </c>
      <c r="B123" s="43">
        <v>2</v>
      </c>
      <c r="C123" s="43">
        <v>2</v>
      </c>
      <c r="D123" s="43">
        <v>2</v>
      </c>
      <c r="E123" s="43">
        <v>2</v>
      </c>
      <c r="F123" s="43">
        <v>2</v>
      </c>
      <c r="G123" s="43">
        <v>2</v>
      </c>
      <c r="H123" s="43">
        <v>2</v>
      </c>
      <c r="I123" s="43">
        <v>2</v>
      </c>
      <c r="J123" s="43">
        <v>2</v>
      </c>
      <c r="K123" s="43">
        <v>2</v>
      </c>
      <c r="L123" s="43">
        <v>2</v>
      </c>
      <c r="M123" s="43">
        <v>2</v>
      </c>
      <c r="N123" s="43">
        <v>2</v>
      </c>
      <c r="O123" s="43">
        <v>2</v>
      </c>
      <c r="P123" s="43">
        <v>2</v>
      </c>
      <c r="Q123" s="43">
        <v>2</v>
      </c>
      <c r="R123" s="43">
        <v>2</v>
      </c>
      <c r="S123" s="43">
        <v>2</v>
      </c>
      <c r="T123" s="43">
        <v>18</v>
      </c>
    </row>
    <row r="124" spans="1:20" x14ac:dyDescent="0.25">
      <c r="A124" s="43" t="s">
        <v>143</v>
      </c>
      <c r="B124" s="43">
        <v>4</v>
      </c>
      <c r="C124" s="43">
        <v>3</v>
      </c>
      <c r="D124" s="43">
        <v>3</v>
      </c>
      <c r="E124" s="43">
        <v>3</v>
      </c>
      <c r="F124" s="43">
        <v>3</v>
      </c>
      <c r="G124" s="43">
        <v>4</v>
      </c>
      <c r="H124" s="43">
        <v>3</v>
      </c>
      <c r="I124" s="43">
        <v>3</v>
      </c>
      <c r="J124" s="43">
        <v>3</v>
      </c>
      <c r="K124" s="43">
        <v>3</v>
      </c>
      <c r="L124" s="43">
        <v>3</v>
      </c>
      <c r="M124" s="43">
        <v>3</v>
      </c>
      <c r="N124" s="43">
        <v>3</v>
      </c>
      <c r="O124" s="43">
        <v>4</v>
      </c>
      <c r="P124" s="43">
        <v>3</v>
      </c>
      <c r="Q124" s="43">
        <v>3</v>
      </c>
      <c r="R124" s="43">
        <v>3</v>
      </c>
      <c r="S124" s="43">
        <v>4</v>
      </c>
      <c r="T124" s="43">
        <v>72</v>
      </c>
    </row>
    <row r="125" spans="1:20" x14ac:dyDescent="0.25">
      <c r="A125" s="43" t="s">
        <v>144</v>
      </c>
      <c r="B125" s="43">
        <v>3</v>
      </c>
      <c r="C125" s="43">
        <v>3</v>
      </c>
      <c r="D125" s="43">
        <v>3</v>
      </c>
      <c r="E125" s="43">
        <v>3</v>
      </c>
      <c r="F125" s="43">
        <v>3</v>
      </c>
      <c r="G125" s="43">
        <v>3</v>
      </c>
      <c r="H125" s="43">
        <v>3</v>
      </c>
      <c r="I125" s="43">
        <v>3</v>
      </c>
      <c r="J125" s="43">
        <v>3</v>
      </c>
      <c r="K125" s="43">
        <v>4</v>
      </c>
      <c r="L125" s="43">
        <v>3</v>
      </c>
      <c r="M125" s="43">
        <v>3</v>
      </c>
      <c r="N125" s="43">
        <v>3</v>
      </c>
      <c r="O125" s="43">
        <v>3</v>
      </c>
      <c r="P125" s="43">
        <v>3</v>
      </c>
      <c r="Q125" s="43">
        <v>3</v>
      </c>
      <c r="R125" s="43">
        <v>3</v>
      </c>
      <c r="S125" s="43">
        <v>3</v>
      </c>
      <c r="T125" s="43">
        <v>79</v>
      </c>
    </row>
    <row r="126" spans="1:20" x14ac:dyDescent="0.25">
      <c r="A126" s="43" t="s">
        <v>145</v>
      </c>
      <c r="B126" s="43">
        <v>4</v>
      </c>
      <c r="C126" s="43">
        <v>4</v>
      </c>
      <c r="D126" s="43">
        <v>4</v>
      </c>
      <c r="E126" s="43">
        <v>4</v>
      </c>
      <c r="F126" s="43">
        <v>4</v>
      </c>
      <c r="G126" s="43">
        <v>4</v>
      </c>
      <c r="H126" s="43">
        <v>4</v>
      </c>
      <c r="I126" s="43">
        <v>4</v>
      </c>
      <c r="J126" s="43">
        <v>4</v>
      </c>
      <c r="K126" s="43">
        <v>4</v>
      </c>
      <c r="L126" s="43">
        <v>4</v>
      </c>
      <c r="M126" s="43">
        <v>4</v>
      </c>
      <c r="N126" s="43">
        <v>3</v>
      </c>
      <c r="O126" s="43">
        <v>4</v>
      </c>
      <c r="P126" s="43">
        <v>4</v>
      </c>
      <c r="Q126" s="43">
        <v>4</v>
      </c>
      <c r="R126" s="43">
        <v>3</v>
      </c>
      <c r="S126" s="43">
        <v>4</v>
      </c>
      <c r="T126" s="43">
        <v>40</v>
      </c>
    </row>
    <row r="127" spans="1:20" x14ac:dyDescent="0.25">
      <c r="A127" s="43" t="s">
        <v>146</v>
      </c>
      <c r="B127" s="43">
        <v>3</v>
      </c>
      <c r="C127" s="43">
        <v>3</v>
      </c>
      <c r="D127" s="43">
        <v>3</v>
      </c>
      <c r="E127" s="43">
        <v>3</v>
      </c>
      <c r="F127" s="43">
        <v>3</v>
      </c>
      <c r="G127" s="43">
        <v>3</v>
      </c>
      <c r="H127" s="43">
        <v>3</v>
      </c>
      <c r="I127" s="43">
        <v>3</v>
      </c>
      <c r="J127" s="43">
        <v>3</v>
      </c>
      <c r="K127" s="43">
        <v>3</v>
      </c>
      <c r="L127" s="43">
        <v>3</v>
      </c>
      <c r="M127" s="43">
        <v>3</v>
      </c>
      <c r="N127" s="43">
        <v>3</v>
      </c>
      <c r="O127" s="43">
        <v>3</v>
      </c>
      <c r="P127" s="43">
        <v>3</v>
      </c>
      <c r="Q127" s="43">
        <v>3</v>
      </c>
      <c r="R127" s="43">
        <v>3</v>
      </c>
      <c r="S127" s="43">
        <v>3</v>
      </c>
      <c r="T127" s="43">
        <v>33</v>
      </c>
    </row>
    <row r="128" spans="1:20" x14ac:dyDescent="0.25">
      <c r="A128" s="43" t="s">
        <v>147</v>
      </c>
      <c r="B128" s="43">
        <v>4</v>
      </c>
      <c r="C128" s="43">
        <v>4</v>
      </c>
      <c r="D128" s="43">
        <v>4</v>
      </c>
      <c r="E128" s="43">
        <v>4</v>
      </c>
      <c r="F128" s="43">
        <v>4</v>
      </c>
      <c r="G128" s="43">
        <v>4</v>
      </c>
      <c r="H128" s="43">
        <v>3</v>
      </c>
      <c r="I128" s="43">
        <v>4</v>
      </c>
      <c r="J128" s="43">
        <v>3</v>
      </c>
      <c r="K128" s="43">
        <v>4</v>
      </c>
      <c r="L128" s="43">
        <v>4</v>
      </c>
      <c r="M128" s="43">
        <v>4</v>
      </c>
      <c r="N128" s="43">
        <v>4</v>
      </c>
      <c r="O128" s="43">
        <v>4</v>
      </c>
      <c r="P128" s="43">
        <v>4</v>
      </c>
      <c r="Q128" s="43">
        <v>4</v>
      </c>
      <c r="R128" s="43">
        <v>4</v>
      </c>
      <c r="S128" s="43">
        <v>4</v>
      </c>
      <c r="T128" s="43">
        <v>18</v>
      </c>
    </row>
    <row r="129" spans="1:20" x14ac:dyDescent="0.25">
      <c r="A129" s="43" t="s">
        <v>148</v>
      </c>
      <c r="B129" s="43">
        <v>3</v>
      </c>
      <c r="C129" s="43">
        <v>3</v>
      </c>
      <c r="D129" s="43">
        <v>3</v>
      </c>
      <c r="E129" s="43">
        <v>2</v>
      </c>
      <c r="F129" s="43">
        <v>2</v>
      </c>
      <c r="G129" s="43">
        <v>2</v>
      </c>
      <c r="H129" s="43">
        <v>3</v>
      </c>
      <c r="I129" s="43">
        <v>3</v>
      </c>
      <c r="J129" s="43">
        <v>3</v>
      </c>
      <c r="K129" s="43">
        <v>3</v>
      </c>
      <c r="L129" s="43">
        <v>3</v>
      </c>
      <c r="M129" s="43">
        <v>3</v>
      </c>
      <c r="N129" s="43">
        <v>2</v>
      </c>
      <c r="O129" s="43">
        <v>3</v>
      </c>
      <c r="P129" s="43">
        <v>2</v>
      </c>
      <c r="Q129" s="43">
        <v>3</v>
      </c>
      <c r="R129" s="43">
        <v>2</v>
      </c>
      <c r="S129" s="43">
        <v>3</v>
      </c>
      <c r="T129" s="43">
        <v>78</v>
      </c>
    </row>
    <row r="130" spans="1:20" x14ac:dyDescent="0.25">
      <c r="A130" s="43" t="s">
        <v>149</v>
      </c>
      <c r="B130" s="43">
        <v>3</v>
      </c>
      <c r="C130" s="43">
        <v>2</v>
      </c>
      <c r="D130" s="43">
        <v>3</v>
      </c>
      <c r="E130" s="43">
        <v>3</v>
      </c>
      <c r="F130" s="43">
        <v>2</v>
      </c>
      <c r="G130" s="43">
        <v>3</v>
      </c>
      <c r="H130" s="43">
        <v>2</v>
      </c>
      <c r="I130" s="43">
        <v>3</v>
      </c>
      <c r="J130" s="43">
        <v>3</v>
      </c>
      <c r="K130" s="43">
        <v>3</v>
      </c>
      <c r="L130" s="43">
        <v>3</v>
      </c>
      <c r="M130" s="43">
        <v>3</v>
      </c>
      <c r="N130" s="43">
        <v>2</v>
      </c>
      <c r="O130" s="43">
        <v>2</v>
      </c>
      <c r="P130" s="43">
        <v>2</v>
      </c>
      <c r="Q130" s="43">
        <v>3</v>
      </c>
      <c r="R130" s="43">
        <v>2</v>
      </c>
      <c r="S130" s="43">
        <v>2</v>
      </c>
      <c r="T130" s="43">
        <v>60</v>
      </c>
    </row>
    <row r="131" spans="1:20" x14ac:dyDescent="0.25">
      <c r="A131" s="43" t="s">
        <v>150</v>
      </c>
      <c r="B131" s="43">
        <v>3</v>
      </c>
      <c r="C131" s="43">
        <v>3</v>
      </c>
      <c r="D131" s="43">
        <v>2</v>
      </c>
      <c r="E131" s="43">
        <v>2</v>
      </c>
      <c r="F131" s="43">
        <v>2</v>
      </c>
      <c r="G131" s="43">
        <v>2</v>
      </c>
      <c r="H131" s="43">
        <v>2</v>
      </c>
      <c r="I131" s="43">
        <v>2</v>
      </c>
      <c r="J131" s="43">
        <v>2</v>
      </c>
      <c r="K131" s="43">
        <v>2</v>
      </c>
      <c r="L131" s="43">
        <v>2</v>
      </c>
      <c r="M131" s="43">
        <v>2</v>
      </c>
      <c r="N131" s="43">
        <v>1</v>
      </c>
      <c r="O131" s="43">
        <v>2</v>
      </c>
      <c r="P131" s="43">
        <v>2</v>
      </c>
      <c r="Q131" s="43">
        <v>3</v>
      </c>
      <c r="R131" s="43">
        <v>2</v>
      </c>
      <c r="S131" s="43">
        <v>2</v>
      </c>
      <c r="T131" s="43">
        <v>75</v>
      </c>
    </row>
    <row r="132" spans="1:20" x14ac:dyDescent="0.25">
      <c r="A132" s="43" t="s">
        <v>151</v>
      </c>
      <c r="B132" s="43">
        <v>2</v>
      </c>
      <c r="C132" s="43">
        <v>2</v>
      </c>
      <c r="D132" s="43">
        <v>3</v>
      </c>
      <c r="E132" s="43">
        <v>2</v>
      </c>
      <c r="F132" s="43">
        <v>2</v>
      </c>
      <c r="G132" s="43">
        <v>3</v>
      </c>
      <c r="H132" s="43">
        <v>3</v>
      </c>
      <c r="I132" s="43">
        <v>3</v>
      </c>
      <c r="J132" s="43">
        <v>2</v>
      </c>
      <c r="K132" s="43">
        <v>3</v>
      </c>
      <c r="L132" s="43">
        <v>2</v>
      </c>
      <c r="M132" s="43">
        <v>3</v>
      </c>
      <c r="N132" s="43">
        <v>2</v>
      </c>
      <c r="O132" s="43">
        <v>3</v>
      </c>
      <c r="P132" s="43">
        <v>2</v>
      </c>
      <c r="Q132" s="43">
        <v>3</v>
      </c>
      <c r="R132" s="43">
        <v>3</v>
      </c>
      <c r="S132" s="43">
        <v>3</v>
      </c>
      <c r="T132" s="43">
        <v>75</v>
      </c>
    </row>
    <row r="133" spans="1:20" x14ac:dyDescent="0.25">
      <c r="A133" s="43" t="s">
        <v>152</v>
      </c>
      <c r="B133" s="43">
        <v>3</v>
      </c>
      <c r="C133" s="43">
        <v>3</v>
      </c>
      <c r="D133" s="43">
        <v>3</v>
      </c>
      <c r="E133" s="43">
        <v>2</v>
      </c>
      <c r="F133" s="43">
        <v>3</v>
      </c>
      <c r="G133" s="43">
        <v>3</v>
      </c>
      <c r="H133" s="43">
        <v>2</v>
      </c>
      <c r="I133" s="43">
        <v>2</v>
      </c>
      <c r="J133" s="43">
        <v>3</v>
      </c>
      <c r="K133" s="43">
        <v>2</v>
      </c>
      <c r="L133" s="43">
        <v>2</v>
      </c>
      <c r="M133" s="43">
        <v>2</v>
      </c>
      <c r="N133" s="43">
        <v>2</v>
      </c>
      <c r="O133" s="43">
        <v>2</v>
      </c>
      <c r="P133" s="43">
        <v>2</v>
      </c>
      <c r="Q133" s="43">
        <v>2</v>
      </c>
      <c r="R133" s="43">
        <v>2</v>
      </c>
      <c r="S133" s="43">
        <v>3</v>
      </c>
      <c r="T133" s="43">
        <v>32</v>
      </c>
    </row>
    <row r="134" spans="1:20" x14ac:dyDescent="0.25">
      <c r="A134" s="43" t="s">
        <v>153</v>
      </c>
      <c r="B134" s="43">
        <v>2</v>
      </c>
      <c r="C134" s="43">
        <v>2</v>
      </c>
      <c r="D134" s="43">
        <v>2</v>
      </c>
      <c r="E134" s="43">
        <v>2</v>
      </c>
      <c r="F134" s="43">
        <v>2</v>
      </c>
      <c r="G134" s="43">
        <v>2</v>
      </c>
      <c r="H134" s="43">
        <v>3</v>
      </c>
      <c r="I134" s="43">
        <v>2</v>
      </c>
      <c r="J134" s="43">
        <v>2</v>
      </c>
      <c r="K134" s="43">
        <v>2</v>
      </c>
      <c r="L134" s="43">
        <v>2</v>
      </c>
      <c r="M134" s="43">
        <v>2</v>
      </c>
      <c r="N134" s="43">
        <v>3</v>
      </c>
      <c r="O134" s="43">
        <v>3</v>
      </c>
      <c r="P134" s="43">
        <v>3</v>
      </c>
      <c r="Q134" s="43">
        <v>2</v>
      </c>
      <c r="R134" s="43">
        <v>2</v>
      </c>
      <c r="S134" s="43">
        <v>2</v>
      </c>
      <c r="T134" s="43">
        <v>31</v>
      </c>
    </row>
    <row r="135" spans="1:20" x14ac:dyDescent="0.25">
      <c r="A135" s="43" t="s">
        <v>154</v>
      </c>
      <c r="B135" s="43">
        <v>4</v>
      </c>
      <c r="C135" s="43">
        <v>4</v>
      </c>
      <c r="D135" s="43">
        <v>3</v>
      </c>
      <c r="E135" s="43">
        <v>4</v>
      </c>
      <c r="F135" s="43">
        <v>3</v>
      </c>
      <c r="G135" s="43">
        <v>4</v>
      </c>
      <c r="H135" s="43">
        <v>4</v>
      </c>
      <c r="I135" s="43">
        <v>4</v>
      </c>
      <c r="J135" s="43">
        <v>4</v>
      </c>
      <c r="K135" s="43">
        <v>3</v>
      </c>
      <c r="L135" s="43">
        <v>3</v>
      </c>
      <c r="M135" s="43">
        <v>4</v>
      </c>
      <c r="N135" s="43">
        <v>4</v>
      </c>
      <c r="O135" s="43">
        <v>4</v>
      </c>
      <c r="P135" s="43">
        <v>4</v>
      </c>
      <c r="Q135" s="43">
        <v>4</v>
      </c>
      <c r="R135" s="43">
        <v>4</v>
      </c>
      <c r="S135" s="43">
        <v>4</v>
      </c>
      <c r="T135" s="43">
        <v>63</v>
      </c>
    </row>
    <row r="136" spans="1:20" x14ac:dyDescent="0.25">
      <c r="A136" s="43" t="s">
        <v>155</v>
      </c>
      <c r="B136" s="43">
        <v>2</v>
      </c>
      <c r="C136" s="43">
        <v>2</v>
      </c>
      <c r="D136" s="43">
        <v>2</v>
      </c>
      <c r="E136" s="43">
        <v>2</v>
      </c>
      <c r="F136" s="43">
        <v>2</v>
      </c>
      <c r="G136" s="43">
        <v>2</v>
      </c>
      <c r="H136" s="43">
        <v>2</v>
      </c>
      <c r="I136" s="43">
        <v>2</v>
      </c>
      <c r="J136" s="43">
        <v>2</v>
      </c>
      <c r="K136" s="43">
        <v>2</v>
      </c>
      <c r="L136" s="43">
        <v>2</v>
      </c>
      <c r="M136" s="43">
        <v>3</v>
      </c>
      <c r="N136" s="43">
        <v>2</v>
      </c>
      <c r="O136" s="43">
        <v>2</v>
      </c>
      <c r="P136" s="43">
        <v>1</v>
      </c>
      <c r="Q136" s="43">
        <v>2</v>
      </c>
      <c r="R136" s="43">
        <v>2</v>
      </c>
      <c r="S136" s="43">
        <v>2</v>
      </c>
      <c r="T136" s="43">
        <v>60</v>
      </c>
    </row>
    <row r="137" spans="1:20" x14ac:dyDescent="0.25">
      <c r="A137" s="43" t="s">
        <v>156</v>
      </c>
      <c r="B137" s="43">
        <v>4</v>
      </c>
      <c r="C137" s="43">
        <v>4</v>
      </c>
      <c r="D137" s="43">
        <v>4</v>
      </c>
      <c r="E137" s="43">
        <v>4</v>
      </c>
      <c r="F137" s="43">
        <v>4</v>
      </c>
      <c r="G137" s="43">
        <v>3</v>
      </c>
      <c r="H137" s="43">
        <v>4</v>
      </c>
      <c r="I137" s="43">
        <v>4</v>
      </c>
      <c r="J137" s="43">
        <v>4</v>
      </c>
      <c r="K137" s="43">
        <v>4</v>
      </c>
      <c r="L137" s="43">
        <v>4</v>
      </c>
      <c r="M137" s="43">
        <v>4</v>
      </c>
      <c r="N137" s="43">
        <v>4</v>
      </c>
      <c r="O137" s="43">
        <v>4</v>
      </c>
      <c r="P137" s="43">
        <v>3</v>
      </c>
      <c r="Q137" s="43">
        <v>4</v>
      </c>
      <c r="R137" s="43">
        <v>4</v>
      </c>
      <c r="S137" s="43">
        <v>4</v>
      </c>
      <c r="T137" s="43">
        <v>22</v>
      </c>
    </row>
    <row r="138" spans="1:20" x14ac:dyDescent="0.25">
      <c r="A138" s="43" t="s">
        <v>157</v>
      </c>
      <c r="B138" s="43">
        <v>4</v>
      </c>
      <c r="C138" s="43">
        <v>4</v>
      </c>
      <c r="D138" s="43">
        <v>4</v>
      </c>
      <c r="E138" s="43">
        <v>4</v>
      </c>
      <c r="F138" s="43">
        <v>4</v>
      </c>
      <c r="G138" s="43">
        <v>4</v>
      </c>
      <c r="H138" s="43">
        <v>4</v>
      </c>
      <c r="I138" s="43">
        <v>4</v>
      </c>
      <c r="J138" s="43">
        <v>4</v>
      </c>
      <c r="K138" s="43">
        <v>4</v>
      </c>
      <c r="L138" s="43">
        <v>4</v>
      </c>
      <c r="M138" s="43">
        <v>4</v>
      </c>
      <c r="N138" s="43">
        <v>4</v>
      </c>
      <c r="O138" s="43">
        <v>4</v>
      </c>
      <c r="P138" s="43">
        <v>4</v>
      </c>
      <c r="Q138" s="43">
        <v>4</v>
      </c>
      <c r="R138" s="43">
        <v>4</v>
      </c>
      <c r="S138" s="43">
        <v>4</v>
      </c>
      <c r="T138" s="43">
        <v>62</v>
      </c>
    </row>
    <row r="139" spans="1:20" x14ac:dyDescent="0.25">
      <c r="A139" s="43" t="s">
        <v>158</v>
      </c>
      <c r="B139" s="43">
        <v>2</v>
      </c>
      <c r="C139" s="43">
        <v>2</v>
      </c>
      <c r="D139" s="43">
        <v>2</v>
      </c>
      <c r="E139" s="43">
        <v>2</v>
      </c>
      <c r="F139" s="43">
        <v>2</v>
      </c>
      <c r="G139" s="43">
        <v>2</v>
      </c>
      <c r="H139" s="43">
        <v>2</v>
      </c>
      <c r="I139" s="43">
        <v>2</v>
      </c>
      <c r="J139" s="43">
        <v>2</v>
      </c>
      <c r="K139" s="43">
        <v>2</v>
      </c>
      <c r="L139" s="43">
        <v>2</v>
      </c>
      <c r="M139" s="43">
        <v>2</v>
      </c>
      <c r="N139" s="43">
        <v>2</v>
      </c>
      <c r="O139" s="43">
        <v>2</v>
      </c>
      <c r="P139" s="43">
        <v>2</v>
      </c>
      <c r="Q139" s="43">
        <v>2</v>
      </c>
      <c r="R139" s="43">
        <v>2</v>
      </c>
      <c r="S139" s="43">
        <v>2</v>
      </c>
      <c r="T139" s="43">
        <v>70</v>
      </c>
    </row>
    <row r="140" spans="1:20" x14ac:dyDescent="0.25">
      <c r="A140" s="43" t="s">
        <v>159</v>
      </c>
      <c r="B140" s="43">
        <v>3</v>
      </c>
      <c r="C140" s="43">
        <v>3</v>
      </c>
      <c r="D140" s="43">
        <v>3</v>
      </c>
      <c r="E140" s="43">
        <v>2</v>
      </c>
      <c r="F140" s="43">
        <v>3</v>
      </c>
      <c r="G140" s="43">
        <v>3</v>
      </c>
      <c r="H140" s="43">
        <v>2</v>
      </c>
      <c r="I140" s="43">
        <v>2</v>
      </c>
      <c r="J140" s="43">
        <v>2</v>
      </c>
      <c r="K140" s="43">
        <v>2</v>
      </c>
      <c r="L140" s="43">
        <v>2</v>
      </c>
      <c r="M140" s="43">
        <v>2</v>
      </c>
      <c r="N140" s="43">
        <v>2</v>
      </c>
      <c r="O140" s="43">
        <v>2</v>
      </c>
      <c r="P140" s="43">
        <v>2</v>
      </c>
      <c r="Q140" s="43">
        <v>2</v>
      </c>
      <c r="R140" s="43">
        <v>2</v>
      </c>
      <c r="S140" s="43">
        <v>3</v>
      </c>
      <c r="T140" s="43">
        <v>78</v>
      </c>
    </row>
    <row r="141" spans="1:20" x14ac:dyDescent="0.25">
      <c r="A141" s="43" t="s">
        <v>160</v>
      </c>
      <c r="B141" s="43">
        <v>3</v>
      </c>
      <c r="C141" s="43">
        <v>2</v>
      </c>
      <c r="D141" s="43">
        <v>2</v>
      </c>
      <c r="E141" s="43">
        <v>3</v>
      </c>
      <c r="F141" s="43">
        <v>2</v>
      </c>
      <c r="G141" s="43">
        <v>3</v>
      </c>
      <c r="H141" s="43">
        <v>2</v>
      </c>
      <c r="I141" s="43">
        <v>3</v>
      </c>
      <c r="J141" s="43">
        <v>3</v>
      </c>
      <c r="K141" s="43">
        <v>2</v>
      </c>
      <c r="L141" s="43">
        <v>3</v>
      </c>
      <c r="M141" s="43">
        <v>3</v>
      </c>
      <c r="N141" s="43">
        <v>2</v>
      </c>
      <c r="O141" s="43">
        <v>2</v>
      </c>
      <c r="P141" s="43">
        <v>2</v>
      </c>
      <c r="Q141" s="43">
        <v>2</v>
      </c>
      <c r="R141" s="43">
        <v>2</v>
      </c>
      <c r="S141" s="43">
        <v>2</v>
      </c>
      <c r="T141" s="43">
        <v>44</v>
      </c>
    </row>
    <row r="142" spans="1:20" x14ac:dyDescent="0.25">
      <c r="A142" s="43" t="s">
        <v>161</v>
      </c>
      <c r="B142" s="43">
        <v>3</v>
      </c>
      <c r="C142" s="43">
        <v>3</v>
      </c>
      <c r="D142" s="43">
        <v>3</v>
      </c>
      <c r="E142" s="43">
        <v>2</v>
      </c>
      <c r="F142" s="43">
        <v>2</v>
      </c>
      <c r="G142" s="43">
        <v>2</v>
      </c>
      <c r="H142" s="43">
        <v>2</v>
      </c>
      <c r="I142" s="43">
        <v>2</v>
      </c>
      <c r="J142" s="43">
        <v>2</v>
      </c>
      <c r="K142" s="43">
        <v>2</v>
      </c>
      <c r="L142" s="43">
        <v>2</v>
      </c>
      <c r="M142" s="43">
        <v>2</v>
      </c>
      <c r="N142" s="43">
        <v>2</v>
      </c>
      <c r="O142" s="43">
        <v>3</v>
      </c>
      <c r="P142" s="43">
        <v>2</v>
      </c>
      <c r="Q142" s="43">
        <v>2</v>
      </c>
      <c r="R142" s="43">
        <v>2</v>
      </c>
      <c r="S142" s="43">
        <v>2</v>
      </c>
      <c r="T142" s="43">
        <v>40</v>
      </c>
    </row>
    <row r="143" spans="1:20" x14ac:dyDescent="0.25">
      <c r="A143" s="43" t="s">
        <v>162</v>
      </c>
      <c r="B143" s="43">
        <v>3</v>
      </c>
      <c r="C143" s="43">
        <v>3</v>
      </c>
      <c r="D143" s="43">
        <v>3</v>
      </c>
      <c r="E143" s="43">
        <v>3</v>
      </c>
      <c r="F143" s="43">
        <v>3</v>
      </c>
      <c r="G143" s="43">
        <v>3</v>
      </c>
      <c r="H143" s="43">
        <v>3</v>
      </c>
      <c r="I143" s="43">
        <v>4</v>
      </c>
      <c r="J143" s="43">
        <v>3</v>
      </c>
      <c r="K143" s="43">
        <v>3</v>
      </c>
      <c r="L143" s="43">
        <v>3</v>
      </c>
      <c r="M143" s="43">
        <v>3</v>
      </c>
      <c r="N143" s="43">
        <v>3</v>
      </c>
      <c r="O143" s="43">
        <v>3</v>
      </c>
      <c r="P143" s="43">
        <v>3</v>
      </c>
      <c r="Q143" s="43">
        <v>3</v>
      </c>
      <c r="R143" s="43">
        <v>3</v>
      </c>
      <c r="S143" s="43">
        <v>3</v>
      </c>
      <c r="T143" s="43">
        <v>74</v>
      </c>
    </row>
    <row r="144" spans="1:20" x14ac:dyDescent="0.25">
      <c r="A144" s="43" t="s">
        <v>163</v>
      </c>
      <c r="B144" s="43">
        <v>2</v>
      </c>
      <c r="C144" s="43">
        <v>3</v>
      </c>
      <c r="D144" s="43">
        <v>2</v>
      </c>
      <c r="E144" s="43">
        <v>3</v>
      </c>
      <c r="F144" s="43">
        <v>3</v>
      </c>
      <c r="G144" s="43">
        <v>3</v>
      </c>
      <c r="H144" s="43">
        <v>3</v>
      </c>
      <c r="I144" s="43">
        <v>3</v>
      </c>
      <c r="J144" s="43">
        <v>3</v>
      </c>
      <c r="K144" s="43">
        <v>2</v>
      </c>
      <c r="L144" s="43">
        <v>3</v>
      </c>
      <c r="M144" s="43">
        <v>3</v>
      </c>
      <c r="N144" s="43">
        <v>2</v>
      </c>
      <c r="O144" s="43">
        <v>3</v>
      </c>
      <c r="P144" s="43">
        <v>3</v>
      </c>
      <c r="Q144" s="43">
        <v>3</v>
      </c>
      <c r="R144" s="43">
        <v>2</v>
      </c>
      <c r="S144" s="43">
        <v>3</v>
      </c>
      <c r="T144" s="43">
        <v>39</v>
      </c>
    </row>
    <row r="145" spans="1:20" x14ac:dyDescent="0.25">
      <c r="A145" s="43" t="s">
        <v>164</v>
      </c>
      <c r="B145" s="43">
        <v>4</v>
      </c>
      <c r="C145" s="43">
        <v>3</v>
      </c>
      <c r="D145" s="43">
        <v>3</v>
      </c>
      <c r="E145" s="43">
        <v>3</v>
      </c>
      <c r="F145" s="43">
        <v>4</v>
      </c>
      <c r="G145" s="43">
        <v>4</v>
      </c>
      <c r="H145" s="43">
        <v>3</v>
      </c>
      <c r="I145" s="43">
        <v>4</v>
      </c>
      <c r="J145" s="43">
        <v>4</v>
      </c>
      <c r="K145" s="43">
        <v>4</v>
      </c>
      <c r="L145" s="43">
        <v>4</v>
      </c>
      <c r="M145" s="43">
        <v>3</v>
      </c>
      <c r="N145" s="43">
        <v>3</v>
      </c>
      <c r="O145" s="43">
        <v>3</v>
      </c>
      <c r="P145" s="43">
        <v>3</v>
      </c>
      <c r="Q145" s="43">
        <v>4</v>
      </c>
      <c r="R145" s="43">
        <v>3</v>
      </c>
      <c r="S145" s="43">
        <v>3</v>
      </c>
      <c r="T145" s="43">
        <v>61</v>
      </c>
    </row>
    <row r="146" spans="1:20" x14ac:dyDescent="0.25">
      <c r="A146" s="43" t="s">
        <v>165</v>
      </c>
      <c r="B146" s="43">
        <v>3</v>
      </c>
      <c r="C146" s="43">
        <v>3</v>
      </c>
      <c r="D146" s="43">
        <v>3</v>
      </c>
      <c r="E146" s="43">
        <v>3</v>
      </c>
      <c r="F146" s="43">
        <v>2</v>
      </c>
      <c r="G146" s="43">
        <v>3</v>
      </c>
      <c r="H146" s="43">
        <v>3</v>
      </c>
      <c r="I146" s="43">
        <v>3</v>
      </c>
      <c r="J146" s="43">
        <v>3</v>
      </c>
      <c r="K146" s="43">
        <v>3</v>
      </c>
      <c r="L146" s="43">
        <v>3</v>
      </c>
      <c r="M146" s="43">
        <v>3</v>
      </c>
      <c r="N146" s="43">
        <v>3</v>
      </c>
      <c r="O146" s="43">
        <v>3</v>
      </c>
      <c r="P146" s="43">
        <v>3</v>
      </c>
      <c r="Q146" s="43">
        <v>3</v>
      </c>
      <c r="R146" s="43">
        <v>3</v>
      </c>
      <c r="S146" s="43">
        <v>3</v>
      </c>
      <c r="T146" s="43">
        <v>49</v>
      </c>
    </row>
    <row r="147" spans="1:20" x14ac:dyDescent="0.25">
      <c r="A147" s="43" t="s">
        <v>166</v>
      </c>
      <c r="B147" s="43">
        <v>4</v>
      </c>
      <c r="C147" s="43">
        <v>4</v>
      </c>
      <c r="D147" s="43">
        <v>3</v>
      </c>
      <c r="E147" s="43">
        <v>3</v>
      </c>
      <c r="F147" s="43">
        <v>4</v>
      </c>
      <c r="G147" s="43">
        <v>3</v>
      </c>
      <c r="H147" s="43">
        <v>3</v>
      </c>
      <c r="I147" s="43">
        <v>4</v>
      </c>
      <c r="J147" s="43">
        <v>3</v>
      </c>
      <c r="K147" s="43">
        <v>3</v>
      </c>
      <c r="L147" s="43">
        <v>4</v>
      </c>
      <c r="M147" s="43">
        <v>3</v>
      </c>
      <c r="N147" s="43">
        <v>3</v>
      </c>
      <c r="O147" s="43">
        <v>3</v>
      </c>
      <c r="P147" s="43">
        <v>3</v>
      </c>
      <c r="Q147" s="43">
        <v>3</v>
      </c>
      <c r="R147" s="43">
        <v>3</v>
      </c>
      <c r="S147" s="43">
        <v>3</v>
      </c>
      <c r="T147" s="43">
        <v>63</v>
      </c>
    </row>
    <row r="148" spans="1:20" x14ac:dyDescent="0.25">
      <c r="A148" s="43" t="s">
        <v>167</v>
      </c>
      <c r="B148" s="43">
        <v>4</v>
      </c>
      <c r="C148" s="43">
        <v>4</v>
      </c>
      <c r="D148" s="43">
        <v>4</v>
      </c>
      <c r="E148" s="43">
        <v>4</v>
      </c>
      <c r="F148" s="43">
        <v>4</v>
      </c>
      <c r="G148" s="43">
        <v>4</v>
      </c>
      <c r="H148" s="43">
        <v>4</v>
      </c>
      <c r="I148" s="43">
        <v>4</v>
      </c>
      <c r="J148" s="43">
        <v>4</v>
      </c>
      <c r="K148" s="43">
        <v>4</v>
      </c>
      <c r="L148" s="43">
        <v>4</v>
      </c>
      <c r="M148" s="43">
        <v>4</v>
      </c>
      <c r="N148" s="43">
        <v>4</v>
      </c>
      <c r="O148" s="43">
        <v>4</v>
      </c>
      <c r="P148" s="43">
        <v>4</v>
      </c>
      <c r="Q148" s="43">
        <v>4</v>
      </c>
      <c r="R148" s="43">
        <v>4</v>
      </c>
      <c r="S148" s="43">
        <v>4</v>
      </c>
      <c r="T148" s="43">
        <v>36</v>
      </c>
    </row>
    <row r="149" spans="1:20" x14ac:dyDescent="0.25">
      <c r="A149" s="43" t="s">
        <v>168</v>
      </c>
      <c r="B149" s="43">
        <v>2</v>
      </c>
      <c r="C149" s="43">
        <v>2</v>
      </c>
      <c r="D149" s="43">
        <v>2</v>
      </c>
      <c r="E149" s="43">
        <v>2</v>
      </c>
      <c r="F149" s="43">
        <v>2</v>
      </c>
      <c r="G149" s="43">
        <v>2</v>
      </c>
      <c r="H149" s="43">
        <v>2</v>
      </c>
      <c r="I149" s="43">
        <v>2</v>
      </c>
      <c r="J149" s="43">
        <v>2</v>
      </c>
      <c r="K149" s="43">
        <v>2</v>
      </c>
      <c r="L149" s="43">
        <v>2</v>
      </c>
      <c r="M149" s="43">
        <v>2</v>
      </c>
      <c r="N149" s="43">
        <v>2</v>
      </c>
      <c r="O149" s="43">
        <v>2</v>
      </c>
      <c r="P149" s="43">
        <v>2</v>
      </c>
      <c r="Q149" s="43">
        <v>2</v>
      </c>
      <c r="R149" s="43">
        <v>2</v>
      </c>
      <c r="S149" s="43">
        <v>2</v>
      </c>
      <c r="T149" s="43">
        <v>32</v>
      </c>
    </row>
    <row r="150" spans="1:20" x14ac:dyDescent="0.25">
      <c r="A150" s="43" t="s">
        <v>169</v>
      </c>
      <c r="B150" s="43">
        <v>2</v>
      </c>
      <c r="C150" s="43">
        <v>2</v>
      </c>
      <c r="D150" s="43">
        <v>2</v>
      </c>
      <c r="E150" s="43">
        <v>2</v>
      </c>
      <c r="F150" s="43">
        <v>2</v>
      </c>
      <c r="G150" s="43">
        <v>2</v>
      </c>
      <c r="H150" s="43">
        <v>2</v>
      </c>
      <c r="I150" s="43">
        <v>2</v>
      </c>
      <c r="J150" s="43">
        <v>2</v>
      </c>
      <c r="K150" s="43">
        <v>2</v>
      </c>
      <c r="L150" s="43">
        <v>2</v>
      </c>
      <c r="M150" s="43">
        <v>2</v>
      </c>
      <c r="N150" s="43">
        <v>2</v>
      </c>
      <c r="O150" s="43">
        <v>2</v>
      </c>
      <c r="P150" s="43">
        <v>2</v>
      </c>
      <c r="Q150" s="43">
        <v>2</v>
      </c>
      <c r="R150" s="43">
        <v>2</v>
      </c>
      <c r="S150" s="43">
        <v>2</v>
      </c>
      <c r="T150" s="43">
        <v>63</v>
      </c>
    </row>
    <row r="151" spans="1:20" x14ac:dyDescent="0.25">
      <c r="A151" s="43" t="s">
        <v>170</v>
      </c>
      <c r="B151" s="43">
        <v>3</v>
      </c>
      <c r="C151" s="43">
        <v>3</v>
      </c>
      <c r="D151" s="43">
        <v>3</v>
      </c>
      <c r="E151" s="43">
        <v>2</v>
      </c>
      <c r="F151" s="43">
        <v>3</v>
      </c>
      <c r="G151" s="43">
        <v>3</v>
      </c>
      <c r="H151" s="43">
        <v>3</v>
      </c>
      <c r="I151" s="43">
        <v>3</v>
      </c>
      <c r="J151" s="43">
        <v>3</v>
      </c>
      <c r="K151" s="43">
        <v>3</v>
      </c>
      <c r="L151" s="43">
        <v>3</v>
      </c>
      <c r="M151" s="43">
        <v>3</v>
      </c>
      <c r="N151" s="43">
        <v>3</v>
      </c>
      <c r="O151" s="43">
        <v>3</v>
      </c>
      <c r="P151" s="43">
        <v>3</v>
      </c>
      <c r="Q151" s="43">
        <v>3</v>
      </c>
      <c r="R151" s="43">
        <v>2</v>
      </c>
      <c r="S151" s="43">
        <v>3</v>
      </c>
      <c r="T151" s="43">
        <v>74</v>
      </c>
    </row>
    <row r="152" spans="1:20" x14ac:dyDescent="0.25">
      <c r="A152" s="43" t="s">
        <v>171</v>
      </c>
      <c r="B152" s="43">
        <v>4</v>
      </c>
      <c r="C152" s="43">
        <v>4</v>
      </c>
      <c r="D152" s="43">
        <v>4</v>
      </c>
      <c r="E152" s="43">
        <v>4</v>
      </c>
      <c r="F152" s="43">
        <v>4</v>
      </c>
      <c r="G152" s="43">
        <v>4</v>
      </c>
      <c r="H152" s="43">
        <v>4</v>
      </c>
      <c r="I152" s="43">
        <v>4</v>
      </c>
      <c r="J152" s="43">
        <v>3</v>
      </c>
      <c r="K152" s="43">
        <v>4</v>
      </c>
      <c r="L152" s="43">
        <v>4</v>
      </c>
      <c r="M152" s="43">
        <v>4</v>
      </c>
      <c r="N152" s="43">
        <v>3</v>
      </c>
      <c r="O152" s="43">
        <v>4</v>
      </c>
      <c r="P152" s="43">
        <v>3</v>
      </c>
      <c r="Q152" s="43">
        <v>3</v>
      </c>
      <c r="R152" s="43">
        <v>4</v>
      </c>
      <c r="S152" s="43">
        <v>4</v>
      </c>
      <c r="T152" s="43">
        <v>46</v>
      </c>
    </row>
    <row r="153" spans="1:20" x14ac:dyDescent="0.25">
      <c r="A153" s="43" t="s">
        <v>172</v>
      </c>
      <c r="B153" s="43">
        <v>3</v>
      </c>
      <c r="C153" s="43">
        <v>3</v>
      </c>
      <c r="D153" s="43">
        <v>3</v>
      </c>
      <c r="E153" s="43">
        <v>3</v>
      </c>
      <c r="F153" s="43">
        <v>3</v>
      </c>
      <c r="G153" s="43">
        <v>3</v>
      </c>
      <c r="H153" s="43">
        <v>3</v>
      </c>
      <c r="I153" s="43">
        <v>3</v>
      </c>
      <c r="J153" s="43">
        <v>3</v>
      </c>
      <c r="K153" s="43">
        <v>3</v>
      </c>
      <c r="L153" s="43">
        <v>4</v>
      </c>
      <c r="M153" s="43">
        <v>3</v>
      </c>
      <c r="N153" s="43">
        <v>3</v>
      </c>
      <c r="O153" s="43">
        <v>3</v>
      </c>
      <c r="P153" s="43">
        <v>3</v>
      </c>
      <c r="Q153" s="43">
        <v>3</v>
      </c>
      <c r="R153" s="43">
        <v>3</v>
      </c>
      <c r="S153" s="43">
        <v>4</v>
      </c>
      <c r="T153" s="43">
        <v>81</v>
      </c>
    </row>
    <row r="154" spans="1:20" x14ac:dyDescent="0.25">
      <c r="A154" s="43" t="s">
        <v>173</v>
      </c>
      <c r="B154" s="43">
        <v>4</v>
      </c>
      <c r="C154" s="43">
        <v>3</v>
      </c>
      <c r="D154" s="43">
        <v>3</v>
      </c>
      <c r="E154" s="43">
        <v>3</v>
      </c>
      <c r="F154" s="43">
        <v>3</v>
      </c>
      <c r="G154" s="43">
        <v>3</v>
      </c>
      <c r="H154" s="43">
        <v>3</v>
      </c>
      <c r="I154" s="43">
        <v>3</v>
      </c>
      <c r="J154" s="43">
        <v>3</v>
      </c>
      <c r="K154" s="43">
        <v>3</v>
      </c>
      <c r="L154" s="43">
        <v>3</v>
      </c>
      <c r="M154" s="43">
        <v>3</v>
      </c>
      <c r="N154" s="43">
        <v>3</v>
      </c>
      <c r="O154" s="43">
        <v>3</v>
      </c>
      <c r="P154" s="43">
        <v>3</v>
      </c>
      <c r="Q154" s="43">
        <v>3</v>
      </c>
      <c r="R154" s="43">
        <v>3</v>
      </c>
      <c r="S154" s="43">
        <v>3</v>
      </c>
      <c r="T154" s="43">
        <v>57</v>
      </c>
    </row>
    <row r="155" spans="1:20" x14ac:dyDescent="0.25">
      <c r="A155" s="43" t="s">
        <v>174</v>
      </c>
      <c r="B155" s="43">
        <v>4</v>
      </c>
      <c r="C155" s="43">
        <v>4</v>
      </c>
      <c r="D155" s="43">
        <v>4</v>
      </c>
      <c r="E155" s="43">
        <v>4</v>
      </c>
      <c r="F155" s="43">
        <v>3</v>
      </c>
      <c r="G155" s="43">
        <v>4</v>
      </c>
      <c r="H155" s="43">
        <v>4</v>
      </c>
      <c r="I155" s="43">
        <v>4</v>
      </c>
      <c r="J155" s="43">
        <v>4</v>
      </c>
      <c r="K155" s="43">
        <v>4</v>
      </c>
      <c r="L155" s="43">
        <v>4</v>
      </c>
      <c r="M155" s="43">
        <v>4</v>
      </c>
      <c r="N155" s="43">
        <v>4</v>
      </c>
      <c r="O155" s="43">
        <v>4</v>
      </c>
      <c r="P155" s="43">
        <v>4</v>
      </c>
      <c r="Q155" s="43">
        <v>4</v>
      </c>
      <c r="R155" s="43">
        <v>4</v>
      </c>
      <c r="S155" s="43">
        <v>4</v>
      </c>
      <c r="T155" s="43">
        <v>45</v>
      </c>
    </row>
    <row r="156" spans="1:20" x14ac:dyDescent="0.25">
      <c r="A156" s="43" t="s">
        <v>175</v>
      </c>
      <c r="B156" s="43">
        <v>5</v>
      </c>
      <c r="C156" s="43">
        <v>5</v>
      </c>
      <c r="D156" s="43">
        <v>4</v>
      </c>
      <c r="E156" s="43">
        <v>4</v>
      </c>
      <c r="F156" s="43">
        <v>4</v>
      </c>
      <c r="G156" s="43">
        <v>4</v>
      </c>
      <c r="H156" s="43">
        <v>4</v>
      </c>
      <c r="I156" s="43">
        <v>5</v>
      </c>
      <c r="J156" s="43">
        <v>5</v>
      </c>
      <c r="K156" s="43">
        <v>5</v>
      </c>
      <c r="L156" s="43">
        <v>5</v>
      </c>
      <c r="M156" s="43">
        <v>4</v>
      </c>
      <c r="N156" s="43">
        <v>5</v>
      </c>
      <c r="O156" s="43">
        <v>4</v>
      </c>
      <c r="P156" s="43">
        <v>5</v>
      </c>
      <c r="Q156" s="43">
        <v>4</v>
      </c>
      <c r="R156" s="43">
        <v>4</v>
      </c>
      <c r="S156" s="43">
        <v>5</v>
      </c>
      <c r="T156" s="43">
        <v>80</v>
      </c>
    </row>
    <row r="157" spans="1:20" x14ac:dyDescent="0.25">
      <c r="A157" s="43" t="s">
        <v>176</v>
      </c>
      <c r="B157" s="43">
        <v>3</v>
      </c>
      <c r="C157" s="43">
        <v>3</v>
      </c>
      <c r="D157" s="43">
        <v>3</v>
      </c>
      <c r="E157" s="43">
        <v>3</v>
      </c>
      <c r="F157" s="43">
        <v>2</v>
      </c>
      <c r="G157" s="43">
        <v>2</v>
      </c>
      <c r="H157" s="43">
        <v>3</v>
      </c>
      <c r="I157" s="43">
        <v>3</v>
      </c>
      <c r="J157" s="43">
        <v>3</v>
      </c>
      <c r="K157" s="43">
        <v>3</v>
      </c>
      <c r="L157" s="43">
        <v>3</v>
      </c>
      <c r="M157" s="43">
        <v>3</v>
      </c>
      <c r="N157" s="43">
        <v>3</v>
      </c>
      <c r="O157" s="43">
        <v>3</v>
      </c>
      <c r="P157" s="43">
        <v>3</v>
      </c>
      <c r="Q157" s="43">
        <v>3</v>
      </c>
      <c r="R157" s="43">
        <v>2</v>
      </c>
      <c r="S157" s="43">
        <v>3</v>
      </c>
      <c r="T157" s="43">
        <v>51</v>
      </c>
    </row>
    <row r="158" spans="1:20" x14ac:dyDescent="0.25">
      <c r="A158" s="43" t="s">
        <v>177</v>
      </c>
      <c r="B158" s="43">
        <v>3</v>
      </c>
      <c r="C158" s="43">
        <v>3</v>
      </c>
      <c r="D158" s="43">
        <v>3</v>
      </c>
      <c r="E158" s="43">
        <v>3</v>
      </c>
      <c r="F158" s="43">
        <v>3</v>
      </c>
      <c r="G158" s="43">
        <v>3</v>
      </c>
      <c r="H158" s="43">
        <v>3</v>
      </c>
      <c r="I158" s="43">
        <v>3</v>
      </c>
      <c r="J158" s="43">
        <v>3</v>
      </c>
      <c r="K158" s="43">
        <v>2</v>
      </c>
      <c r="L158" s="43">
        <v>3</v>
      </c>
      <c r="M158" s="43">
        <v>3</v>
      </c>
      <c r="N158" s="43">
        <v>3</v>
      </c>
      <c r="O158" s="43">
        <v>3</v>
      </c>
      <c r="P158" s="43">
        <v>3</v>
      </c>
      <c r="Q158" s="43">
        <v>3</v>
      </c>
      <c r="R158" s="43">
        <v>3</v>
      </c>
      <c r="S158" s="43">
        <v>3</v>
      </c>
      <c r="T158" s="43">
        <v>79</v>
      </c>
    </row>
    <row r="159" spans="1:20" x14ac:dyDescent="0.25">
      <c r="A159" s="43" t="s">
        <v>178</v>
      </c>
      <c r="B159" s="43">
        <v>3</v>
      </c>
      <c r="C159" s="43">
        <v>3</v>
      </c>
      <c r="D159" s="43">
        <v>3</v>
      </c>
      <c r="E159" s="43">
        <v>3</v>
      </c>
      <c r="F159" s="43">
        <v>3</v>
      </c>
      <c r="G159" s="43">
        <v>3</v>
      </c>
      <c r="H159" s="43">
        <v>3</v>
      </c>
      <c r="I159" s="43">
        <v>4</v>
      </c>
      <c r="J159" s="43">
        <v>3</v>
      </c>
      <c r="K159" s="43">
        <v>3</v>
      </c>
      <c r="L159" s="43">
        <v>3</v>
      </c>
      <c r="M159" s="43">
        <v>3</v>
      </c>
      <c r="N159" s="43">
        <v>3</v>
      </c>
      <c r="O159" s="43">
        <v>3</v>
      </c>
      <c r="P159" s="43">
        <v>3</v>
      </c>
      <c r="Q159" s="43">
        <v>3</v>
      </c>
      <c r="R159" s="43">
        <v>3</v>
      </c>
      <c r="S159" s="43">
        <v>3</v>
      </c>
      <c r="T159" s="43">
        <v>77</v>
      </c>
    </row>
    <row r="160" spans="1:20" x14ac:dyDescent="0.25">
      <c r="A160" s="43" t="s">
        <v>179</v>
      </c>
      <c r="B160" s="43">
        <v>3</v>
      </c>
      <c r="C160" s="43">
        <v>3</v>
      </c>
      <c r="D160" s="43">
        <v>3</v>
      </c>
      <c r="E160" s="43">
        <v>3</v>
      </c>
      <c r="F160" s="43">
        <v>2</v>
      </c>
      <c r="G160" s="43">
        <v>2</v>
      </c>
      <c r="H160" s="43">
        <v>3</v>
      </c>
      <c r="I160" s="43">
        <v>3</v>
      </c>
      <c r="J160" s="43">
        <v>2</v>
      </c>
      <c r="K160" s="43">
        <v>3</v>
      </c>
      <c r="L160" s="43">
        <v>3</v>
      </c>
      <c r="M160" s="43">
        <v>3</v>
      </c>
      <c r="N160" s="43">
        <v>2</v>
      </c>
      <c r="O160" s="43">
        <v>3</v>
      </c>
      <c r="P160" s="43">
        <v>3</v>
      </c>
      <c r="Q160" s="43">
        <v>3</v>
      </c>
      <c r="R160" s="43">
        <v>2</v>
      </c>
      <c r="S160" s="43">
        <v>3</v>
      </c>
      <c r="T160" s="43">
        <v>46</v>
      </c>
    </row>
    <row r="161" spans="1:20" x14ac:dyDescent="0.25">
      <c r="A161" s="43" t="s">
        <v>180</v>
      </c>
      <c r="B161" s="43">
        <v>3</v>
      </c>
      <c r="C161" s="43">
        <v>3</v>
      </c>
      <c r="D161" s="43">
        <v>3</v>
      </c>
      <c r="E161" s="43">
        <v>3</v>
      </c>
      <c r="F161" s="43">
        <v>3</v>
      </c>
      <c r="G161" s="43">
        <v>3</v>
      </c>
      <c r="H161" s="43">
        <v>3</v>
      </c>
      <c r="I161" s="43">
        <v>3</v>
      </c>
      <c r="J161" s="43">
        <v>3</v>
      </c>
      <c r="K161" s="43">
        <v>3</v>
      </c>
      <c r="L161" s="43">
        <v>3</v>
      </c>
      <c r="M161" s="43">
        <v>3</v>
      </c>
      <c r="N161" s="43">
        <v>3</v>
      </c>
      <c r="O161" s="43">
        <v>3</v>
      </c>
      <c r="P161" s="43">
        <v>3</v>
      </c>
      <c r="Q161" s="43">
        <v>3</v>
      </c>
      <c r="R161" s="43">
        <v>2</v>
      </c>
      <c r="S161" s="43">
        <v>3</v>
      </c>
      <c r="T161" s="43">
        <v>25</v>
      </c>
    </row>
    <row r="162" spans="1:20" x14ac:dyDescent="0.25">
      <c r="A162" s="43" t="s">
        <v>181</v>
      </c>
      <c r="B162" s="43">
        <v>3</v>
      </c>
      <c r="C162" s="43">
        <v>2</v>
      </c>
      <c r="D162" s="43">
        <v>3</v>
      </c>
      <c r="E162" s="43">
        <v>2</v>
      </c>
      <c r="F162" s="43">
        <v>2</v>
      </c>
      <c r="G162" s="43">
        <v>3</v>
      </c>
      <c r="H162" s="43">
        <v>3</v>
      </c>
      <c r="I162" s="43">
        <v>3</v>
      </c>
      <c r="J162" s="43">
        <v>2</v>
      </c>
      <c r="K162" s="43">
        <v>2</v>
      </c>
      <c r="L162" s="43">
        <v>3</v>
      </c>
      <c r="M162" s="43">
        <v>3</v>
      </c>
      <c r="N162" s="43">
        <v>2</v>
      </c>
      <c r="O162" s="43">
        <v>3</v>
      </c>
      <c r="P162" s="43">
        <v>2</v>
      </c>
      <c r="Q162" s="43">
        <v>3</v>
      </c>
      <c r="R162" s="43">
        <v>2</v>
      </c>
      <c r="S162" s="43">
        <v>3</v>
      </c>
      <c r="T162" s="43">
        <v>85</v>
      </c>
    </row>
    <row r="163" spans="1:20" x14ac:dyDescent="0.25">
      <c r="A163" s="43" t="s">
        <v>182</v>
      </c>
      <c r="B163" s="43">
        <v>4</v>
      </c>
      <c r="C163" s="43">
        <v>4</v>
      </c>
      <c r="D163" s="43">
        <v>4</v>
      </c>
      <c r="E163" s="43">
        <v>3</v>
      </c>
      <c r="F163" s="43">
        <v>3</v>
      </c>
      <c r="G163" s="43">
        <v>3</v>
      </c>
      <c r="H163" s="43">
        <v>3</v>
      </c>
      <c r="I163" s="43">
        <v>3</v>
      </c>
      <c r="J163" s="43">
        <v>3</v>
      </c>
      <c r="K163" s="43">
        <v>3</v>
      </c>
      <c r="L163" s="43">
        <v>3</v>
      </c>
      <c r="M163" s="43">
        <v>3</v>
      </c>
      <c r="N163" s="43">
        <v>3</v>
      </c>
      <c r="O163" s="43">
        <v>3</v>
      </c>
      <c r="P163" s="43">
        <v>3</v>
      </c>
      <c r="Q163" s="43">
        <v>3</v>
      </c>
      <c r="R163" s="43">
        <v>3</v>
      </c>
      <c r="S163" s="43">
        <v>4</v>
      </c>
      <c r="T163" s="43">
        <v>65</v>
      </c>
    </row>
    <row r="164" spans="1:20" x14ac:dyDescent="0.25">
      <c r="A164" s="43" t="s">
        <v>183</v>
      </c>
      <c r="B164" s="43">
        <v>3</v>
      </c>
      <c r="C164" s="43">
        <v>3</v>
      </c>
      <c r="D164" s="43">
        <v>3</v>
      </c>
      <c r="E164" s="43">
        <v>3</v>
      </c>
      <c r="F164" s="43">
        <v>3</v>
      </c>
      <c r="G164" s="43">
        <v>3</v>
      </c>
      <c r="H164" s="43">
        <v>3</v>
      </c>
      <c r="I164" s="43">
        <v>3</v>
      </c>
      <c r="J164" s="43">
        <v>3</v>
      </c>
      <c r="K164" s="43">
        <v>3</v>
      </c>
      <c r="L164" s="43">
        <v>3</v>
      </c>
      <c r="M164" s="43">
        <v>3</v>
      </c>
      <c r="N164" s="43">
        <v>3</v>
      </c>
      <c r="O164" s="43">
        <v>3</v>
      </c>
      <c r="P164" s="43">
        <v>3</v>
      </c>
      <c r="Q164" s="43">
        <v>2</v>
      </c>
      <c r="R164" s="43">
        <v>2</v>
      </c>
      <c r="S164" s="43">
        <v>3</v>
      </c>
      <c r="T164" s="43">
        <v>18</v>
      </c>
    </row>
    <row r="165" spans="1:20" x14ac:dyDescent="0.25">
      <c r="A165" s="43" t="s">
        <v>184</v>
      </c>
      <c r="B165" s="43">
        <v>4</v>
      </c>
      <c r="C165" s="43">
        <v>4</v>
      </c>
      <c r="D165" s="43">
        <v>5</v>
      </c>
      <c r="E165" s="43">
        <v>4</v>
      </c>
      <c r="F165" s="43">
        <v>4</v>
      </c>
      <c r="G165" s="43">
        <v>5</v>
      </c>
      <c r="H165" s="43">
        <v>4</v>
      </c>
      <c r="I165" s="43">
        <v>4</v>
      </c>
      <c r="J165" s="43">
        <v>4</v>
      </c>
      <c r="K165" s="43">
        <v>4</v>
      </c>
      <c r="L165" s="43">
        <v>4</v>
      </c>
      <c r="M165" s="43">
        <v>4</v>
      </c>
      <c r="N165" s="43">
        <v>4</v>
      </c>
      <c r="O165" s="43">
        <v>4</v>
      </c>
      <c r="P165" s="43">
        <v>4</v>
      </c>
      <c r="Q165" s="43">
        <v>4</v>
      </c>
      <c r="R165" s="43">
        <v>4</v>
      </c>
      <c r="S165" s="43">
        <v>4</v>
      </c>
      <c r="T165" s="43">
        <v>75</v>
      </c>
    </row>
    <row r="166" spans="1:20" x14ac:dyDescent="0.25">
      <c r="A166" s="43" t="s">
        <v>185</v>
      </c>
      <c r="B166" s="43">
        <v>4</v>
      </c>
      <c r="C166" s="43">
        <v>4</v>
      </c>
      <c r="D166" s="43">
        <v>5</v>
      </c>
      <c r="E166" s="43">
        <v>4</v>
      </c>
      <c r="F166" s="43">
        <v>4</v>
      </c>
      <c r="G166" s="43">
        <v>4</v>
      </c>
      <c r="H166" s="43">
        <v>4</v>
      </c>
      <c r="I166" s="43">
        <v>4</v>
      </c>
      <c r="J166" s="43">
        <v>4</v>
      </c>
      <c r="K166" s="43">
        <v>4</v>
      </c>
      <c r="L166" s="43">
        <v>4</v>
      </c>
      <c r="M166" s="43">
        <v>4</v>
      </c>
      <c r="N166" s="43">
        <v>4</v>
      </c>
      <c r="O166" s="43">
        <v>4</v>
      </c>
      <c r="P166" s="43">
        <v>4</v>
      </c>
      <c r="Q166" s="43">
        <v>4</v>
      </c>
      <c r="R166" s="43">
        <v>4</v>
      </c>
      <c r="S166" s="43">
        <v>4</v>
      </c>
      <c r="T166" s="43">
        <v>62</v>
      </c>
    </row>
    <row r="167" spans="1:20" x14ac:dyDescent="0.25">
      <c r="A167" s="43" t="s">
        <v>186</v>
      </c>
      <c r="B167" s="43">
        <v>4</v>
      </c>
      <c r="C167" s="43">
        <v>3</v>
      </c>
      <c r="D167" s="43">
        <v>3</v>
      </c>
      <c r="E167" s="43">
        <v>3</v>
      </c>
      <c r="F167" s="43">
        <v>3</v>
      </c>
      <c r="G167" s="43">
        <v>3</v>
      </c>
      <c r="H167" s="43">
        <v>3</v>
      </c>
      <c r="I167" s="43">
        <v>3</v>
      </c>
      <c r="J167" s="43">
        <v>3</v>
      </c>
      <c r="K167" s="43">
        <v>3</v>
      </c>
      <c r="L167" s="43">
        <v>4</v>
      </c>
      <c r="M167" s="43">
        <v>3</v>
      </c>
      <c r="N167" s="43">
        <v>3</v>
      </c>
      <c r="O167" s="43">
        <v>3</v>
      </c>
      <c r="P167" s="43">
        <v>3</v>
      </c>
      <c r="Q167" s="43">
        <v>3</v>
      </c>
      <c r="R167" s="43">
        <v>3</v>
      </c>
      <c r="S167" s="43">
        <v>3</v>
      </c>
      <c r="T167" s="43">
        <v>43</v>
      </c>
    </row>
    <row r="168" spans="1:20" x14ac:dyDescent="0.25">
      <c r="A168" s="43" t="s">
        <v>187</v>
      </c>
      <c r="B168" s="43">
        <v>3</v>
      </c>
      <c r="C168" s="43">
        <v>3</v>
      </c>
      <c r="D168" s="43">
        <v>3</v>
      </c>
      <c r="E168" s="43">
        <v>3</v>
      </c>
      <c r="F168" s="43">
        <v>3</v>
      </c>
      <c r="G168" s="43">
        <v>3</v>
      </c>
      <c r="H168" s="43">
        <v>3</v>
      </c>
      <c r="I168" s="43">
        <v>3</v>
      </c>
      <c r="J168" s="43">
        <v>3</v>
      </c>
      <c r="K168" s="43">
        <v>3</v>
      </c>
      <c r="L168" s="43">
        <v>4</v>
      </c>
      <c r="M168" s="43">
        <v>3</v>
      </c>
      <c r="N168" s="43">
        <v>3</v>
      </c>
      <c r="O168" s="43">
        <v>4</v>
      </c>
      <c r="P168" s="43">
        <v>3</v>
      </c>
      <c r="Q168" s="43">
        <v>4</v>
      </c>
      <c r="R168" s="43">
        <v>3</v>
      </c>
      <c r="S168" s="43">
        <v>4</v>
      </c>
      <c r="T168" s="43">
        <v>46</v>
      </c>
    </row>
    <row r="169" spans="1:20" x14ac:dyDescent="0.25">
      <c r="A169" s="43" t="s">
        <v>188</v>
      </c>
      <c r="B169" s="43">
        <v>4</v>
      </c>
      <c r="C169" s="43">
        <v>3</v>
      </c>
      <c r="D169" s="43">
        <v>4</v>
      </c>
      <c r="E169" s="43">
        <v>3</v>
      </c>
      <c r="F169" s="43">
        <v>3</v>
      </c>
      <c r="G169" s="43">
        <v>3</v>
      </c>
      <c r="H169" s="43">
        <v>3</v>
      </c>
      <c r="I169" s="43">
        <v>3</v>
      </c>
      <c r="J169" s="43">
        <v>3</v>
      </c>
      <c r="K169" s="43">
        <v>4</v>
      </c>
      <c r="L169" s="43">
        <v>3</v>
      </c>
      <c r="M169" s="43">
        <v>4</v>
      </c>
      <c r="N169" s="43">
        <v>3</v>
      </c>
      <c r="O169" s="43">
        <v>3</v>
      </c>
      <c r="P169" s="43">
        <v>3</v>
      </c>
      <c r="Q169" s="43">
        <v>3</v>
      </c>
      <c r="R169" s="43">
        <v>3</v>
      </c>
      <c r="S169" s="43">
        <v>3</v>
      </c>
      <c r="T169" s="43">
        <v>48</v>
      </c>
    </row>
    <row r="170" spans="1:20" x14ac:dyDescent="0.25">
      <c r="A170" s="43" t="s">
        <v>189</v>
      </c>
      <c r="B170" s="43">
        <v>4</v>
      </c>
      <c r="C170" s="43">
        <v>3</v>
      </c>
      <c r="D170" s="43">
        <v>4</v>
      </c>
      <c r="E170" s="43">
        <v>3</v>
      </c>
      <c r="F170" s="43">
        <v>3</v>
      </c>
      <c r="G170" s="43">
        <v>3</v>
      </c>
      <c r="H170" s="43">
        <v>3</v>
      </c>
      <c r="I170" s="43">
        <v>4</v>
      </c>
      <c r="J170" s="43">
        <v>3</v>
      </c>
      <c r="K170" s="43">
        <v>3</v>
      </c>
      <c r="L170" s="43">
        <v>3</v>
      </c>
      <c r="M170" s="43">
        <v>3</v>
      </c>
      <c r="N170" s="43">
        <v>3</v>
      </c>
      <c r="O170" s="43">
        <v>3</v>
      </c>
      <c r="P170" s="43">
        <v>3</v>
      </c>
      <c r="Q170" s="43">
        <v>3</v>
      </c>
      <c r="R170" s="43">
        <v>3</v>
      </c>
      <c r="S170" s="43">
        <v>3</v>
      </c>
      <c r="T170" s="43">
        <v>49</v>
      </c>
    </row>
    <row r="171" spans="1:20" x14ac:dyDescent="0.25">
      <c r="A171" s="43" t="s">
        <v>190</v>
      </c>
      <c r="B171" s="43">
        <v>3</v>
      </c>
      <c r="C171" s="43">
        <v>3</v>
      </c>
      <c r="D171" s="43">
        <v>3</v>
      </c>
      <c r="E171" s="43">
        <v>3</v>
      </c>
      <c r="F171" s="43">
        <v>3</v>
      </c>
      <c r="G171" s="43">
        <v>4</v>
      </c>
      <c r="H171" s="43">
        <v>3</v>
      </c>
      <c r="I171" s="43">
        <v>3</v>
      </c>
      <c r="J171" s="43">
        <v>3</v>
      </c>
      <c r="K171" s="43">
        <v>3</v>
      </c>
      <c r="L171" s="43">
        <v>3</v>
      </c>
      <c r="M171" s="43">
        <v>3</v>
      </c>
      <c r="N171" s="43">
        <v>3</v>
      </c>
      <c r="O171" s="43">
        <v>3</v>
      </c>
      <c r="P171" s="43">
        <v>2</v>
      </c>
      <c r="Q171" s="43">
        <v>3</v>
      </c>
      <c r="R171" s="43">
        <v>3</v>
      </c>
      <c r="S171" s="43">
        <v>3</v>
      </c>
      <c r="T171" s="43">
        <v>51</v>
      </c>
    </row>
    <row r="172" spans="1:20" x14ac:dyDescent="0.25">
      <c r="A172" s="43" t="s">
        <v>191</v>
      </c>
      <c r="B172" s="43">
        <v>4</v>
      </c>
      <c r="C172" s="43">
        <v>4</v>
      </c>
      <c r="D172" s="43">
        <v>4</v>
      </c>
      <c r="E172" s="43">
        <v>4</v>
      </c>
      <c r="F172" s="43">
        <v>3</v>
      </c>
      <c r="G172" s="43">
        <v>4</v>
      </c>
      <c r="H172" s="43">
        <v>3</v>
      </c>
      <c r="I172" s="43">
        <v>4</v>
      </c>
      <c r="J172" s="43">
        <v>4</v>
      </c>
      <c r="K172" s="43">
        <v>4</v>
      </c>
      <c r="L172" s="43">
        <v>4</v>
      </c>
      <c r="M172" s="43">
        <v>4</v>
      </c>
      <c r="N172" s="43">
        <v>4</v>
      </c>
      <c r="O172" s="43">
        <v>4</v>
      </c>
      <c r="P172" s="43">
        <v>3</v>
      </c>
      <c r="Q172" s="43">
        <v>3</v>
      </c>
      <c r="R172" s="43">
        <v>3</v>
      </c>
      <c r="S172" s="43">
        <v>3</v>
      </c>
      <c r="T172" s="43">
        <v>79</v>
      </c>
    </row>
    <row r="173" spans="1:20" x14ac:dyDescent="0.25">
      <c r="A173" s="43" t="s">
        <v>192</v>
      </c>
      <c r="B173" s="43">
        <v>4</v>
      </c>
      <c r="C173" s="43">
        <v>3</v>
      </c>
      <c r="D173" s="43">
        <v>4</v>
      </c>
      <c r="E173" s="43">
        <v>3</v>
      </c>
      <c r="F173" s="43">
        <v>3</v>
      </c>
      <c r="G173" s="43">
        <v>3</v>
      </c>
      <c r="H173" s="43">
        <v>3</v>
      </c>
      <c r="I173" s="43">
        <v>4</v>
      </c>
      <c r="J173" s="43">
        <v>4</v>
      </c>
      <c r="K173" s="43">
        <v>3</v>
      </c>
      <c r="L173" s="43">
        <v>3</v>
      </c>
      <c r="M173" s="43">
        <v>3</v>
      </c>
      <c r="N173" s="43">
        <v>3</v>
      </c>
      <c r="O173" s="43">
        <v>3</v>
      </c>
      <c r="P173" s="43">
        <v>3</v>
      </c>
      <c r="Q173" s="43">
        <v>3</v>
      </c>
      <c r="R173" s="43">
        <v>3</v>
      </c>
      <c r="S173" s="43">
        <v>3</v>
      </c>
      <c r="T173" s="43">
        <v>53</v>
      </c>
    </row>
    <row r="174" spans="1:20" x14ac:dyDescent="0.25">
      <c r="A174" s="43" t="s">
        <v>193</v>
      </c>
      <c r="B174" s="43">
        <v>3</v>
      </c>
      <c r="C174" s="43">
        <v>2</v>
      </c>
      <c r="D174" s="43">
        <v>2</v>
      </c>
      <c r="E174" s="43">
        <v>2</v>
      </c>
      <c r="F174" s="43">
        <v>2</v>
      </c>
      <c r="G174" s="43">
        <v>2</v>
      </c>
      <c r="H174" s="43">
        <v>2</v>
      </c>
      <c r="I174" s="43">
        <v>2</v>
      </c>
      <c r="J174" s="43">
        <v>2</v>
      </c>
      <c r="K174" s="43">
        <v>2</v>
      </c>
      <c r="L174" s="43">
        <v>3</v>
      </c>
      <c r="M174" s="43">
        <v>2</v>
      </c>
      <c r="N174" s="43">
        <v>2</v>
      </c>
      <c r="O174" s="43">
        <v>2</v>
      </c>
      <c r="P174" s="43">
        <v>1</v>
      </c>
      <c r="Q174" s="43">
        <v>2</v>
      </c>
      <c r="R174" s="43">
        <v>2</v>
      </c>
      <c r="S174" s="43">
        <v>2</v>
      </c>
      <c r="T174" s="43">
        <v>29</v>
      </c>
    </row>
    <row r="175" spans="1:20" x14ac:dyDescent="0.25">
      <c r="A175" s="43" t="s">
        <v>194</v>
      </c>
      <c r="B175" s="43">
        <v>3</v>
      </c>
      <c r="C175" s="43">
        <v>3</v>
      </c>
      <c r="D175" s="43">
        <v>3</v>
      </c>
      <c r="E175" s="43">
        <v>3</v>
      </c>
      <c r="F175" s="43">
        <v>3</v>
      </c>
      <c r="G175" s="43">
        <v>3</v>
      </c>
      <c r="H175" s="43">
        <v>3</v>
      </c>
      <c r="I175" s="43">
        <v>3</v>
      </c>
      <c r="J175" s="43">
        <v>2</v>
      </c>
      <c r="K175" s="43">
        <v>3</v>
      </c>
      <c r="L175" s="43">
        <v>3</v>
      </c>
      <c r="M175" s="43">
        <v>3</v>
      </c>
      <c r="N175" s="43">
        <v>3</v>
      </c>
      <c r="O175" s="43">
        <v>3</v>
      </c>
      <c r="P175" s="43">
        <v>2</v>
      </c>
      <c r="Q175" s="43">
        <v>3</v>
      </c>
      <c r="R175" s="43">
        <v>2</v>
      </c>
      <c r="S175" s="43">
        <v>3</v>
      </c>
      <c r="T175" s="43">
        <v>52</v>
      </c>
    </row>
    <row r="176" spans="1:20" x14ac:dyDescent="0.25">
      <c r="A176" s="43" t="s">
        <v>195</v>
      </c>
      <c r="B176" s="43">
        <v>2</v>
      </c>
      <c r="C176" s="43">
        <v>2</v>
      </c>
      <c r="D176" s="43">
        <v>2</v>
      </c>
      <c r="E176" s="43">
        <v>2</v>
      </c>
      <c r="F176" s="43">
        <v>2</v>
      </c>
      <c r="G176" s="43">
        <v>2</v>
      </c>
      <c r="H176" s="43">
        <v>2</v>
      </c>
      <c r="I176" s="43">
        <v>2</v>
      </c>
      <c r="J176" s="43">
        <v>2</v>
      </c>
      <c r="K176" s="43">
        <v>2</v>
      </c>
      <c r="L176" s="43">
        <v>2</v>
      </c>
      <c r="M176" s="43">
        <v>2</v>
      </c>
      <c r="N176" s="43">
        <v>2</v>
      </c>
      <c r="O176" s="43">
        <v>2</v>
      </c>
      <c r="P176" s="43">
        <v>2</v>
      </c>
      <c r="Q176" s="43">
        <v>2</v>
      </c>
      <c r="R176" s="43">
        <v>1</v>
      </c>
      <c r="S176" s="43">
        <v>2</v>
      </c>
      <c r="T176" s="43">
        <v>59</v>
      </c>
    </row>
    <row r="177" spans="1:20" x14ac:dyDescent="0.25">
      <c r="A177" s="43" t="s">
        <v>196</v>
      </c>
      <c r="B177" s="43">
        <v>4</v>
      </c>
      <c r="C177" s="43">
        <v>3</v>
      </c>
      <c r="D177" s="43">
        <v>3</v>
      </c>
      <c r="E177" s="43">
        <v>3</v>
      </c>
      <c r="F177" s="43">
        <v>4</v>
      </c>
      <c r="G177" s="43">
        <v>3</v>
      </c>
      <c r="H177" s="43">
        <v>3</v>
      </c>
      <c r="I177" s="43">
        <v>4</v>
      </c>
      <c r="J177" s="43">
        <v>3</v>
      </c>
      <c r="K177" s="43">
        <v>3</v>
      </c>
      <c r="L177" s="43">
        <v>3</v>
      </c>
      <c r="M177" s="43">
        <v>3</v>
      </c>
      <c r="N177" s="43">
        <v>3</v>
      </c>
      <c r="O177" s="43">
        <v>3</v>
      </c>
      <c r="P177" s="43">
        <v>3</v>
      </c>
      <c r="Q177" s="43">
        <v>3</v>
      </c>
      <c r="R177" s="43">
        <v>3</v>
      </c>
      <c r="S177" s="43">
        <v>4</v>
      </c>
      <c r="T177" s="43">
        <v>61</v>
      </c>
    </row>
    <row r="178" spans="1:20" x14ac:dyDescent="0.25">
      <c r="A178" s="43" t="s">
        <v>197</v>
      </c>
      <c r="B178" s="43">
        <v>3</v>
      </c>
      <c r="C178" s="43">
        <v>3</v>
      </c>
      <c r="D178" s="43">
        <v>3</v>
      </c>
      <c r="E178" s="43">
        <v>2</v>
      </c>
      <c r="F178" s="43">
        <v>3</v>
      </c>
      <c r="G178" s="43">
        <v>3</v>
      </c>
      <c r="H178" s="43">
        <v>3</v>
      </c>
      <c r="I178" s="43">
        <v>3</v>
      </c>
      <c r="J178" s="43">
        <v>2</v>
      </c>
      <c r="K178" s="43">
        <v>3</v>
      </c>
      <c r="L178" s="43">
        <v>3</v>
      </c>
      <c r="M178" s="43">
        <v>3</v>
      </c>
      <c r="N178" s="43">
        <v>3</v>
      </c>
      <c r="O178" s="43">
        <v>3</v>
      </c>
      <c r="P178" s="43">
        <v>2</v>
      </c>
      <c r="Q178" s="43">
        <v>3</v>
      </c>
      <c r="R178" s="43">
        <v>2</v>
      </c>
      <c r="S178" s="43">
        <v>2</v>
      </c>
      <c r="T178" s="43">
        <v>77</v>
      </c>
    </row>
    <row r="179" spans="1:20" x14ac:dyDescent="0.25">
      <c r="A179" s="43" t="s">
        <v>198</v>
      </c>
      <c r="B179" s="43">
        <v>3</v>
      </c>
      <c r="C179" s="43">
        <v>2</v>
      </c>
      <c r="D179" s="43">
        <v>3</v>
      </c>
      <c r="E179" s="43">
        <v>2</v>
      </c>
      <c r="F179" s="43">
        <v>2</v>
      </c>
      <c r="G179" s="43">
        <v>3</v>
      </c>
      <c r="H179" s="43">
        <v>2</v>
      </c>
      <c r="I179" s="43">
        <v>3</v>
      </c>
      <c r="J179" s="43">
        <v>2</v>
      </c>
      <c r="K179" s="43">
        <v>3</v>
      </c>
      <c r="L179" s="43">
        <v>2</v>
      </c>
      <c r="M179" s="43">
        <v>3</v>
      </c>
      <c r="N179" s="43">
        <v>2</v>
      </c>
      <c r="O179" s="43">
        <v>2</v>
      </c>
      <c r="P179" s="43">
        <v>2</v>
      </c>
      <c r="Q179" s="43">
        <v>3</v>
      </c>
      <c r="R179" s="43">
        <v>2</v>
      </c>
      <c r="S179" s="43">
        <v>2</v>
      </c>
      <c r="T179" s="43">
        <v>43</v>
      </c>
    </row>
    <row r="180" spans="1:20" x14ac:dyDescent="0.25">
      <c r="A180" s="43" t="s">
        <v>199</v>
      </c>
      <c r="B180" s="43">
        <v>4</v>
      </c>
      <c r="C180" s="43">
        <v>4</v>
      </c>
      <c r="D180" s="43">
        <v>4</v>
      </c>
      <c r="E180" s="43">
        <v>3</v>
      </c>
      <c r="F180" s="43">
        <v>3</v>
      </c>
      <c r="G180" s="43">
        <v>4</v>
      </c>
      <c r="H180" s="43">
        <v>4</v>
      </c>
      <c r="I180" s="43">
        <v>4</v>
      </c>
      <c r="J180" s="43">
        <v>4</v>
      </c>
      <c r="K180" s="43">
        <v>4</v>
      </c>
      <c r="L180" s="43">
        <v>4</v>
      </c>
      <c r="M180" s="43">
        <v>3</v>
      </c>
      <c r="N180" s="43">
        <v>4</v>
      </c>
      <c r="O180" s="43">
        <v>3</v>
      </c>
      <c r="P180" s="43">
        <v>3</v>
      </c>
      <c r="Q180" s="43">
        <v>3</v>
      </c>
      <c r="R180" s="43">
        <v>3</v>
      </c>
      <c r="S180" s="43">
        <v>4</v>
      </c>
      <c r="T180" s="43">
        <v>18</v>
      </c>
    </row>
    <row r="181" spans="1:20" x14ac:dyDescent="0.25">
      <c r="A181" s="43" t="s">
        <v>200</v>
      </c>
      <c r="B181" s="43">
        <v>4</v>
      </c>
      <c r="C181" s="43">
        <v>4</v>
      </c>
      <c r="D181" s="43">
        <v>4</v>
      </c>
      <c r="E181" s="43">
        <v>4</v>
      </c>
      <c r="F181" s="43">
        <v>4</v>
      </c>
      <c r="G181" s="43">
        <v>4</v>
      </c>
      <c r="H181" s="43">
        <v>4</v>
      </c>
      <c r="I181" s="43">
        <v>4</v>
      </c>
      <c r="J181" s="43">
        <v>4</v>
      </c>
      <c r="K181" s="43">
        <v>4</v>
      </c>
      <c r="L181" s="43">
        <v>4</v>
      </c>
      <c r="M181" s="43">
        <v>4</v>
      </c>
      <c r="N181" s="43">
        <v>4</v>
      </c>
      <c r="O181" s="43">
        <v>5</v>
      </c>
      <c r="P181" s="43">
        <v>4</v>
      </c>
      <c r="Q181" s="43">
        <v>4</v>
      </c>
      <c r="R181" s="43">
        <v>3</v>
      </c>
      <c r="S181" s="43">
        <v>4</v>
      </c>
      <c r="T181" s="43">
        <v>77</v>
      </c>
    </row>
    <row r="182" spans="1:20" x14ac:dyDescent="0.25">
      <c r="A182" s="43" t="s">
        <v>201</v>
      </c>
      <c r="B182" s="43">
        <v>3</v>
      </c>
      <c r="C182" s="43">
        <v>3</v>
      </c>
      <c r="D182" s="43">
        <v>4</v>
      </c>
      <c r="E182" s="43">
        <v>3</v>
      </c>
      <c r="F182" s="43">
        <v>3</v>
      </c>
      <c r="G182" s="43">
        <v>3</v>
      </c>
      <c r="H182" s="43">
        <v>3</v>
      </c>
      <c r="I182" s="43">
        <v>3</v>
      </c>
      <c r="J182" s="43">
        <v>3</v>
      </c>
      <c r="K182" s="43">
        <v>3</v>
      </c>
      <c r="L182" s="43">
        <v>4</v>
      </c>
      <c r="M182" s="43">
        <v>3</v>
      </c>
      <c r="N182" s="43">
        <v>3</v>
      </c>
      <c r="O182" s="43">
        <v>3</v>
      </c>
      <c r="P182" s="43">
        <v>3</v>
      </c>
      <c r="Q182" s="43">
        <v>3</v>
      </c>
      <c r="R182" s="43">
        <v>3</v>
      </c>
      <c r="S182" s="43">
        <v>3</v>
      </c>
      <c r="T182" s="43">
        <v>63</v>
      </c>
    </row>
    <row r="183" spans="1:20" x14ac:dyDescent="0.25">
      <c r="A183" s="43" t="s">
        <v>202</v>
      </c>
      <c r="B183" s="43">
        <v>4</v>
      </c>
      <c r="C183" s="43">
        <v>3</v>
      </c>
      <c r="D183" s="43">
        <v>3</v>
      </c>
      <c r="E183" s="43">
        <v>4</v>
      </c>
      <c r="F183" s="43">
        <v>3</v>
      </c>
      <c r="G183" s="43">
        <v>4</v>
      </c>
      <c r="H183" s="43">
        <v>3</v>
      </c>
      <c r="I183" s="43">
        <v>4</v>
      </c>
      <c r="J183" s="43">
        <v>3</v>
      </c>
      <c r="K183" s="43">
        <v>3</v>
      </c>
      <c r="L183" s="43">
        <v>3</v>
      </c>
      <c r="M183" s="43">
        <v>3</v>
      </c>
      <c r="N183" s="43">
        <v>3</v>
      </c>
      <c r="O183" s="43">
        <v>3</v>
      </c>
      <c r="P183" s="43">
        <v>3</v>
      </c>
      <c r="Q183" s="43">
        <v>4</v>
      </c>
      <c r="R183" s="43">
        <v>3</v>
      </c>
      <c r="S183" s="43">
        <v>3</v>
      </c>
      <c r="T183" s="43">
        <v>46</v>
      </c>
    </row>
    <row r="184" spans="1:20" x14ac:dyDescent="0.25">
      <c r="A184" s="43" t="s">
        <v>203</v>
      </c>
      <c r="B184" s="43">
        <v>3</v>
      </c>
      <c r="C184" s="43">
        <v>3</v>
      </c>
      <c r="D184" s="43">
        <v>3</v>
      </c>
      <c r="E184" s="43">
        <v>2</v>
      </c>
      <c r="F184" s="43">
        <v>3</v>
      </c>
      <c r="G184" s="43">
        <v>2</v>
      </c>
      <c r="H184" s="43">
        <v>2</v>
      </c>
      <c r="I184" s="43">
        <v>2</v>
      </c>
      <c r="J184" s="43">
        <v>2</v>
      </c>
      <c r="K184" s="43">
        <v>2</v>
      </c>
      <c r="L184" s="43">
        <v>2</v>
      </c>
      <c r="M184" s="43">
        <v>2</v>
      </c>
      <c r="N184" s="43">
        <v>2</v>
      </c>
      <c r="O184" s="43">
        <v>3</v>
      </c>
      <c r="P184" s="43">
        <v>3</v>
      </c>
      <c r="Q184" s="43">
        <v>2</v>
      </c>
      <c r="R184" s="43">
        <v>2</v>
      </c>
      <c r="S184" s="43">
        <v>3</v>
      </c>
      <c r="T184" s="43">
        <v>60</v>
      </c>
    </row>
    <row r="185" spans="1:20" x14ac:dyDescent="0.25">
      <c r="A185" s="43" t="s">
        <v>204</v>
      </c>
      <c r="B185" s="43">
        <v>4</v>
      </c>
      <c r="C185" s="43">
        <v>3</v>
      </c>
      <c r="D185" s="43">
        <v>4</v>
      </c>
      <c r="E185" s="43">
        <v>4</v>
      </c>
      <c r="F185" s="43">
        <v>4</v>
      </c>
      <c r="G185" s="43">
        <v>4</v>
      </c>
      <c r="H185" s="43">
        <v>3</v>
      </c>
      <c r="I185" s="43">
        <v>4</v>
      </c>
      <c r="J185" s="43">
        <v>3</v>
      </c>
      <c r="K185" s="43">
        <v>4</v>
      </c>
      <c r="L185" s="43">
        <v>4</v>
      </c>
      <c r="M185" s="43">
        <v>4</v>
      </c>
      <c r="N185" s="43">
        <v>3</v>
      </c>
      <c r="O185" s="43">
        <v>4</v>
      </c>
      <c r="P185" s="43">
        <v>4</v>
      </c>
      <c r="Q185" s="43">
        <v>3</v>
      </c>
      <c r="R185" s="43">
        <v>3</v>
      </c>
      <c r="S185" s="43">
        <v>4</v>
      </c>
      <c r="T185" s="43">
        <v>56</v>
      </c>
    </row>
    <row r="186" spans="1:20" x14ac:dyDescent="0.25">
      <c r="A186" s="43" t="s">
        <v>205</v>
      </c>
      <c r="B186" s="43">
        <v>4</v>
      </c>
      <c r="C186" s="43">
        <v>4</v>
      </c>
      <c r="D186" s="43">
        <v>3</v>
      </c>
      <c r="E186" s="43">
        <v>4</v>
      </c>
      <c r="F186" s="43">
        <v>4</v>
      </c>
      <c r="G186" s="43">
        <v>3</v>
      </c>
      <c r="H186" s="43">
        <v>3</v>
      </c>
      <c r="I186" s="43">
        <v>3</v>
      </c>
      <c r="J186" s="43">
        <v>4</v>
      </c>
      <c r="K186" s="43">
        <v>4</v>
      </c>
      <c r="L186" s="43">
        <v>4</v>
      </c>
      <c r="M186" s="43">
        <v>4</v>
      </c>
      <c r="N186" s="43">
        <v>4</v>
      </c>
      <c r="O186" s="43">
        <v>4</v>
      </c>
      <c r="P186" s="43">
        <v>4</v>
      </c>
      <c r="Q186" s="43">
        <v>4</v>
      </c>
      <c r="R186" s="43">
        <v>3</v>
      </c>
      <c r="S186" s="43">
        <v>4</v>
      </c>
      <c r="T186" s="43">
        <v>52</v>
      </c>
    </row>
    <row r="187" spans="1:20" x14ac:dyDescent="0.25">
      <c r="A187" s="43" t="s">
        <v>206</v>
      </c>
      <c r="B187" s="43">
        <v>4</v>
      </c>
      <c r="C187" s="43">
        <v>4</v>
      </c>
      <c r="D187" s="43">
        <v>3</v>
      </c>
      <c r="E187" s="43">
        <v>4</v>
      </c>
      <c r="F187" s="43">
        <v>3</v>
      </c>
      <c r="G187" s="43">
        <v>3</v>
      </c>
      <c r="H187" s="43">
        <v>3</v>
      </c>
      <c r="I187" s="43">
        <v>4</v>
      </c>
      <c r="J187" s="43">
        <v>4</v>
      </c>
      <c r="K187" s="43">
        <v>4</v>
      </c>
      <c r="L187" s="43">
        <v>4</v>
      </c>
      <c r="M187" s="43">
        <v>3</v>
      </c>
      <c r="N187" s="43">
        <v>3</v>
      </c>
      <c r="O187" s="43">
        <v>3</v>
      </c>
      <c r="P187" s="43">
        <v>3</v>
      </c>
      <c r="Q187" s="43">
        <v>3</v>
      </c>
      <c r="R187" s="43">
        <v>3</v>
      </c>
      <c r="S187" s="43">
        <v>4</v>
      </c>
      <c r="T187" s="43">
        <v>79</v>
      </c>
    </row>
    <row r="188" spans="1:20" x14ac:dyDescent="0.25">
      <c r="A188" s="43" t="s">
        <v>207</v>
      </c>
      <c r="B188" s="43">
        <v>3</v>
      </c>
      <c r="C188" s="43">
        <v>3</v>
      </c>
      <c r="D188" s="43">
        <v>3</v>
      </c>
      <c r="E188" s="43">
        <v>3</v>
      </c>
      <c r="F188" s="43">
        <v>3</v>
      </c>
      <c r="G188" s="43">
        <v>3</v>
      </c>
      <c r="H188" s="43">
        <v>3</v>
      </c>
      <c r="I188" s="43">
        <v>3</v>
      </c>
      <c r="J188" s="43">
        <v>3</v>
      </c>
      <c r="K188" s="43">
        <v>3</v>
      </c>
      <c r="L188" s="43">
        <v>3</v>
      </c>
      <c r="M188" s="43">
        <v>3</v>
      </c>
      <c r="N188" s="43">
        <v>3</v>
      </c>
      <c r="O188" s="43">
        <v>4</v>
      </c>
      <c r="P188" s="43">
        <v>3</v>
      </c>
      <c r="Q188" s="43">
        <v>4</v>
      </c>
      <c r="R188" s="43">
        <v>3</v>
      </c>
      <c r="S188" s="43">
        <v>3</v>
      </c>
      <c r="T188" s="43">
        <v>46</v>
      </c>
    </row>
    <row r="189" spans="1:20" x14ac:dyDescent="0.25">
      <c r="A189" s="43" t="s">
        <v>208</v>
      </c>
      <c r="B189" s="43">
        <v>4</v>
      </c>
      <c r="C189" s="43">
        <v>3</v>
      </c>
      <c r="D189" s="43">
        <v>4</v>
      </c>
      <c r="E189" s="43">
        <v>3</v>
      </c>
      <c r="F189" s="43">
        <v>3</v>
      </c>
      <c r="G189" s="43">
        <v>3</v>
      </c>
      <c r="H189" s="43">
        <v>4</v>
      </c>
      <c r="I189" s="43">
        <v>3</v>
      </c>
      <c r="J189" s="43">
        <v>3</v>
      </c>
      <c r="K189" s="43">
        <v>3</v>
      </c>
      <c r="L189" s="43">
        <v>4</v>
      </c>
      <c r="M189" s="43">
        <v>3</v>
      </c>
      <c r="N189" s="43">
        <v>3</v>
      </c>
      <c r="O189" s="43">
        <v>3</v>
      </c>
      <c r="P189" s="43">
        <v>3</v>
      </c>
      <c r="Q189" s="43">
        <v>3</v>
      </c>
      <c r="R189" s="43">
        <v>3</v>
      </c>
      <c r="S189" s="43">
        <v>3</v>
      </c>
      <c r="T189" s="43">
        <v>53</v>
      </c>
    </row>
    <row r="190" spans="1:20" x14ac:dyDescent="0.25">
      <c r="A190" s="43" t="s">
        <v>209</v>
      </c>
      <c r="B190" s="43">
        <v>3</v>
      </c>
      <c r="C190" s="43">
        <v>3</v>
      </c>
      <c r="D190" s="43">
        <v>3</v>
      </c>
      <c r="E190" s="43">
        <v>4</v>
      </c>
      <c r="F190" s="43">
        <v>3</v>
      </c>
      <c r="G190" s="43">
        <v>4</v>
      </c>
      <c r="H190" s="43">
        <v>3</v>
      </c>
      <c r="I190" s="43">
        <v>3</v>
      </c>
      <c r="J190" s="43">
        <v>3</v>
      </c>
      <c r="K190" s="43">
        <v>4</v>
      </c>
      <c r="L190" s="43">
        <v>3</v>
      </c>
      <c r="M190" s="43">
        <v>4</v>
      </c>
      <c r="N190" s="43">
        <v>3</v>
      </c>
      <c r="O190" s="43">
        <v>3</v>
      </c>
      <c r="P190" s="43">
        <v>3</v>
      </c>
      <c r="Q190" s="43">
        <v>3</v>
      </c>
      <c r="R190" s="43">
        <v>3</v>
      </c>
      <c r="S190" s="43">
        <v>4</v>
      </c>
      <c r="T190" s="43">
        <v>60</v>
      </c>
    </row>
    <row r="191" spans="1:20" x14ac:dyDescent="0.25">
      <c r="A191" s="43" t="s">
        <v>210</v>
      </c>
      <c r="B191" s="43">
        <v>4</v>
      </c>
      <c r="C191" s="43">
        <v>4</v>
      </c>
      <c r="D191" s="43">
        <v>3</v>
      </c>
      <c r="E191" s="43">
        <v>4</v>
      </c>
      <c r="F191" s="43">
        <v>3</v>
      </c>
      <c r="G191" s="43">
        <v>3</v>
      </c>
      <c r="H191" s="43">
        <v>3</v>
      </c>
      <c r="I191" s="43">
        <v>3</v>
      </c>
      <c r="J191" s="43">
        <v>3</v>
      </c>
      <c r="K191" s="43">
        <v>3</v>
      </c>
      <c r="L191" s="43">
        <v>3</v>
      </c>
      <c r="M191" s="43">
        <v>3</v>
      </c>
      <c r="N191" s="43">
        <v>3</v>
      </c>
      <c r="O191" s="43">
        <v>3</v>
      </c>
      <c r="P191" s="43">
        <v>3</v>
      </c>
      <c r="Q191" s="43">
        <v>3</v>
      </c>
      <c r="R191" s="43">
        <v>3</v>
      </c>
      <c r="S191" s="43">
        <v>4</v>
      </c>
      <c r="T191" s="43">
        <v>54</v>
      </c>
    </row>
    <row r="192" spans="1:20" x14ac:dyDescent="0.25">
      <c r="A192" s="43" t="s">
        <v>211</v>
      </c>
      <c r="B192" s="43">
        <v>4</v>
      </c>
      <c r="C192" s="43">
        <v>4</v>
      </c>
      <c r="D192" s="43">
        <v>4</v>
      </c>
      <c r="E192" s="43">
        <v>3</v>
      </c>
      <c r="F192" s="43">
        <v>4</v>
      </c>
      <c r="G192" s="43">
        <v>3</v>
      </c>
      <c r="H192" s="43">
        <v>3</v>
      </c>
      <c r="I192" s="43">
        <v>4</v>
      </c>
      <c r="J192" s="43">
        <v>4</v>
      </c>
      <c r="K192" s="43">
        <v>4</v>
      </c>
      <c r="L192" s="43">
        <v>4</v>
      </c>
      <c r="M192" s="43">
        <v>4</v>
      </c>
      <c r="N192" s="43">
        <v>4</v>
      </c>
      <c r="O192" s="43">
        <v>4</v>
      </c>
      <c r="P192" s="43">
        <v>4</v>
      </c>
      <c r="Q192" s="43">
        <v>4</v>
      </c>
      <c r="R192" s="43">
        <v>3</v>
      </c>
      <c r="S192" s="43">
        <v>4</v>
      </c>
      <c r="T192" s="43">
        <v>28</v>
      </c>
    </row>
    <row r="193" spans="1:20" x14ac:dyDescent="0.25">
      <c r="A193" s="43" t="s">
        <v>212</v>
      </c>
      <c r="B193" s="43">
        <v>3</v>
      </c>
      <c r="C193" s="43">
        <v>4</v>
      </c>
      <c r="D193" s="43">
        <v>4</v>
      </c>
      <c r="E193" s="43">
        <v>4</v>
      </c>
      <c r="F193" s="43">
        <v>3</v>
      </c>
      <c r="G193" s="43">
        <v>4</v>
      </c>
      <c r="H193" s="43">
        <v>3</v>
      </c>
      <c r="I193" s="43">
        <v>4</v>
      </c>
      <c r="J193" s="43">
        <v>4</v>
      </c>
      <c r="K193" s="43">
        <v>4</v>
      </c>
      <c r="L193" s="43">
        <v>4</v>
      </c>
      <c r="M193" s="43">
        <v>3</v>
      </c>
      <c r="N193" s="43">
        <v>3</v>
      </c>
      <c r="O193" s="43">
        <v>3</v>
      </c>
      <c r="P193" s="43">
        <v>3</v>
      </c>
      <c r="Q193" s="43">
        <v>3</v>
      </c>
      <c r="R193" s="43">
        <v>4</v>
      </c>
      <c r="S193" s="43">
        <v>4</v>
      </c>
      <c r="T193" s="43">
        <v>53</v>
      </c>
    </row>
    <row r="194" spans="1:20" x14ac:dyDescent="0.25">
      <c r="A194" s="43" t="s">
        <v>213</v>
      </c>
      <c r="B194" s="43">
        <v>2</v>
      </c>
      <c r="C194" s="43">
        <v>2</v>
      </c>
      <c r="D194" s="43">
        <v>2</v>
      </c>
      <c r="E194" s="43">
        <v>1</v>
      </c>
      <c r="F194" s="43">
        <v>2</v>
      </c>
      <c r="G194" s="43">
        <v>2</v>
      </c>
      <c r="H194" s="43">
        <v>2</v>
      </c>
      <c r="I194" s="43">
        <v>2</v>
      </c>
      <c r="J194" s="43">
        <v>2</v>
      </c>
      <c r="K194" s="43">
        <v>2</v>
      </c>
      <c r="L194" s="43">
        <v>2</v>
      </c>
      <c r="M194" s="43">
        <v>2</v>
      </c>
      <c r="N194" s="43">
        <v>2</v>
      </c>
      <c r="O194" s="43">
        <v>2</v>
      </c>
      <c r="P194" s="43">
        <v>2</v>
      </c>
      <c r="Q194" s="43">
        <v>1</v>
      </c>
      <c r="R194" s="43">
        <v>2</v>
      </c>
      <c r="S194" s="43">
        <v>2</v>
      </c>
      <c r="T194" s="43">
        <v>49</v>
      </c>
    </row>
    <row r="195" spans="1:20" x14ac:dyDescent="0.25">
      <c r="A195" s="43" t="s">
        <v>214</v>
      </c>
      <c r="B195" s="43">
        <v>4</v>
      </c>
      <c r="C195" s="43">
        <v>4</v>
      </c>
      <c r="D195" s="43">
        <v>3</v>
      </c>
      <c r="E195" s="43">
        <v>3</v>
      </c>
      <c r="F195" s="43">
        <v>4</v>
      </c>
      <c r="G195" s="43">
        <v>4</v>
      </c>
      <c r="H195" s="43">
        <v>4</v>
      </c>
      <c r="I195" s="43">
        <v>4</v>
      </c>
      <c r="J195" s="43">
        <v>4</v>
      </c>
      <c r="K195" s="43">
        <v>3</v>
      </c>
      <c r="L195" s="43">
        <v>4</v>
      </c>
      <c r="M195" s="43">
        <v>3</v>
      </c>
      <c r="N195" s="43">
        <v>4</v>
      </c>
      <c r="O195" s="43">
        <v>4</v>
      </c>
      <c r="P195" s="43">
        <v>4</v>
      </c>
      <c r="Q195" s="43">
        <v>3</v>
      </c>
      <c r="R195" s="43">
        <v>3</v>
      </c>
      <c r="S195" s="43">
        <v>3</v>
      </c>
      <c r="T195" s="43">
        <v>27</v>
      </c>
    </row>
    <row r="196" spans="1:20" x14ac:dyDescent="0.25">
      <c r="A196" s="43" t="s">
        <v>215</v>
      </c>
      <c r="B196" s="43">
        <v>4</v>
      </c>
      <c r="C196" s="43">
        <v>4</v>
      </c>
      <c r="D196" s="43">
        <v>4</v>
      </c>
      <c r="E196" s="43">
        <v>4</v>
      </c>
      <c r="F196" s="43">
        <v>4</v>
      </c>
      <c r="G196" s="43">
        <v>4</v>
      </c>
      <c r="H196" s="43">
        <v>4</v>
      </c>
      <c r="I196" s="43">
        <v>4</v>
      </c>
      <c r="J196" s="43">
        <v>4</v>
      </c>
      <c r="K196" s="43">
        <v>4</v>
      </c>
      <c r="L196" s="43">
        <v>4</v>
      </c>
      <c r="M196" s="43">
        <v>4</v>
      </c>
      <c r="N196" s="43">
        <v>4</v>
      </c>
      <c r="O196" s="43">
        <v>4</v>
      </c>
      <c r="P196" s="43">
        <v>4</v>
      </c>
      <c r="Q196" s="43">
        <v>4</v>
      </c>
      <c r="R196" s="43">
        <v>4</v>
      </c>
      <c r="S196" s="43">
        <v>5</v>
      </c>
      <c r="T196" s="43">
        <v>83</v>
      </c>
    </row>
    <row r="197" spans="1:20" x14ac:dyDescent="0.25">
      <c r="A197" s="43" t="s">
        <v>216</v>
      </c>
      <c r="B197" s="43">
        <v>3</v>
      </c>
      <c r="C197" s="43">
        <v>3</v>
      </c>
      <c r="D197" s="43">
        <v>3</v>
      </c>
      <c r="E197" s="43">
        <v>3</v>
      </c>
      <c r="F197" s="43">
        <v>3</v>
      </c>
      <c r="G197" s="43">
        <v>3</v>
      </c>
      <c r="H197" s="43">
        <v>2</v>
      </c>
      <c r="I197" s="43">
        <v>3</v>
      </c>
      <c r="J197" s="43">
        <v>3</v>
      </c>
      <c r="K197" s="43">
        <v>3</v>
      </c>
      <c r="L197" s="43">
        <v>3</v>
      </c>
      <c r="M197" s="43">
        <v>3</v>
      </c>
      <c r="N197" s="43">
        <v>2</v>
      </c>
      <c r="O197" s="43">
        <v>3</v>
      </c>
      <c r="P197" s="43">
        <v>3</v>
      </c>
      <c r="Q197" s="43">
        <v>3</v>
      </c>
      <c r="R197" s="43">
        <v>3</v>
      </c>
      <c r="S197" s="43">
        <v>3</v>
      </c>
      <c r="T197" s="43">
        <v>18</v>
      </c>
    </row>
    <row r="198" spans="1:20" x14ac:dyDescent="0.25">
      <c r="A198" s="43" t="s">
        <v>217</v>
      </c>
      <c r="B198" s="43">
        <v>4</v>
      </c>
      <c r="C198" s="43">
        <v>4</v>
      </c>
      <c r="D198" s="43">
        <v>4</v>
      </c>
      <c r="E198" s="43">
        <v>4</v>
      </c>
      <c r="F198" s="43">
        <v>3</v>
      </c>
      <c r="G198" s="43">
        <v>4</v>
      </c>
      <c r="H198" s="43">
        <v>4</v>
      </c>
      <c r="I198" s="43">
        <v>4</v>
      </c>
      <c r="J198" s="43">
        <v>3</v>
      </c>
      <c r="K198" s="43">
        <v>3</v>
      </c>
      <c r="L198" s="43">
        <v>4</v>
      </c>
      <c r="M198" s="43">
        <v>4</v>
      </c>
      <c r="N198" s="43">
        <v>4</v>
      </c>
      <c r="O198" s="43">
        <v>3</v>
      </c>
      <c r="P198" s="43">
        <v>3</v>
      </c>
      <c r="Q198" s="43">
        <v>4</v>
      </c>
      <c r="R198" s="43">
        <v>4</v>
      </c>
      <c r="S198" s="43">
        <v>4</v>
      </c>
      <c r="T198" s="43">
        <v>83</v>
      </c>
    </row>
    <row r="199" spans="1:20" x14ac:dyDescent="0.25">
      <c r="A199" s="43" t="s">
        <v>218</v>
      </c>
      <c r="B199" s="43">
        <v>4</v>
      </c>
      <c r="C199" s="43">
        <v>4</v>
      </c>
      <c r="D199" s="43">
        <v>4</v>
      </c>
      <c r="E199" s="43">
        <v>3</v>
      </c>
      <c r="F199" s="43">
        <v>3</v>
      </c>
      <c r="G199" s="43">
        <v>4</v>
      </c>
      <c r="H199" s="43">
        <v>4</v>
      </c>
      <c r="I199" s="43">
        <v>4</v>
      </c>
      <c r="J199" s="43">
        <v>4</v>
      </c>
      <c r="K199" s="43">
        <v>4</v>
      </c>
      <c r="L199" s="43">
        <v>4</v>
      </c>
      <c r="M199" s="43">
        <v>4</v>
      </c>
      <c r="N199" s="43">
        <v>3</v>
      </c>
      <c r="O199" s="43">
        <v>3</v>
      </c>
      <c r="P199" s="43">
        <v>4</v>
      </c>
      <c r="Q199" s="43">
        <v>4</v>
      </c>
      <c r="R199" s="43">
        <v>3</v>
      </c>
      <c r="S199" s="43">
        <v>4</v>
      </c>
      <c r="T199" s="43">
        <v>46</v>
      </c>
    </row>
    <row r="200" spans="1:20" x14ac:dyDescent="0.25">
      <c r="A200" s="43" t="s">
        <v>219</v>
      </c>
      <c r="B200" s="43">
        <v>2</v>
      </c>
      <c r="C200" s="43">
        <v>1</v>
      </c>
      <c r="D200" s="43">
        <v>2</v>
      </c>
      <c r="E200" s="43">
        <v>2</v>
      </c>
      <c r="F200" s="43">
        <v>2</v>
      </c>
      <c r="G200" s="43">
        <v>2</v>
      </c>
      <c r="H200" s="43">
        <v>2</v>
      </c>
      <c r="I200" s="43">
        <v>2</v>
      </c>
      <c r="J200" s="43">
        <v>2</v>
      </c>
      <c r="K200" s="43">
        <v>2</v>
      </c>
      <c r="L200" s="43">
        <v>2</v>
      </c>
      <c r="M200" s="43">
        <v>2</v>
      </c>
      <c r="N200" s="43">
        <v>2</v>
      </c>
      <c r="O200" s="43">
        <v>2</v>
      </c>
      <c r="P200" s="43">
        <v>1</v>
      </c>
      <c r="Q200" s="43">
        <v>2</v>
      </c>
      <c r="R200" s="43">
        <v>1</v>
      </c>
      <c r="S200" s="43">
        <v>2</v>
      </c>
      <c r="T200" s="43">
        <v>43</v>
      </c>
    </row>
    <row r="201" spans="1:20" x14ac:dyDescent="0.25">
      <c r="A201" s="43" t="s">
        <v>220</v>
      </c>
      <c r="B201" s="43">
        <v>4</v>
      </c>
      <c r="C201" s="43">
        <v>4</v>
      </c>
      <c r="D201" s="43">
        <v>3</v>
      </c>
      <c r="E201" s="43">
        <v>4</v>
      </c>
      <c r="F201" s="43">
        <v>3</v>
      </c>
      <c r="G201" s="43">
        <v>3</v>
      </c>
      <c r="H201" s="43">
        <v>4</v>
      </c>
      <c r="I201" s="43">
        <v>4</v>
      </c>
      <c r="J201" s="43">
        <v>3</v>
      </c>
      <c r="K201" s="43">
        <v>4</v>
      </c>
      <c r="L201" s="43">
        <v>3</v>
      </c>
      <c r="M201" s="43">
        <v>3</v>
      </c>
      <c r="N201" s="43">
        <v>3</v>
      </c>
      <c r="O201" s="43">
        <v>4</v>
      </c>
      <c r="P201" s="43">
        <v>3</v>
      </c>
      <c r="Q201" s="43">
        <v>4</v>
      </c>
      <c r="R201" s="43">
        <v>3</v>
      </c>
      <c r="S201" s="43">
        <v>3</v>
      </c>
      <c r="T201" s="43">
        <v>55</v>
      </c>
    </row>
    <row r="202" spans="1:20" x14ac:dyDescent="0.25">
      <c r="A202" s="43" t="s">
        <v>221</v>
      </c>
      <c r="B202" s="43">
        <v>3</v>
      </c>
      <c r="C202" s="43">
        <v>3</v>
      </c>
      <c r="D202" s="43">
        <v>3</v>
      </c>
      <c r="E202" s="43">
        <v>3</v>
      </c>
      <c r="F202" s="43">
        <v>3</v>
      </c>
      <c r="G202" s="43">
        <v>3</v>
      </c>
      <c r="H202" s="43">
        <v>3</v>
      </c>
      <c r="I202" s="43">
        <v>3</v>
      </c>
      <c r="J202" s="43">
        <v>3</v>
      </c>
      <c r="K202" s="43">
        <v>3</v>
      </c>
      <c r="L202" s="43">
        <v>3</v>
      </c>
      <c r="M202" s="43">
        <v>3</v>
      </c>
      <c r="N202" s="43">
        <v>3</v>
      </c>
      <c r="O202" s="43">
        <v>3</v>
      </c>
      <c r="P202" s="43">
        <v>2</v>
      </c>
      <c r="Q202" s="43">
        <v>3</v>
      </c>
      <c r="R202" s="43">
        <v>3</v>
      </c>
      <c r="S202" s="43">
        <v>3</v>
      </c>
      <c r="T202" s="43">
        <v>78</v>
      </c>
    </row>
    <row r="203" spans="1:20" x14ac:dyDescent="0.25">
      <c r="A203" s="43" t="s">
        <v>222</v>
      </c>
      <c r="B203" s="43">
        <v>3</v>
      </c>
      <c r="C203" s="43">
        <v>3</v>
      </c>
      <c r="D203" s="43">
        <v>3</v>
      </c>
      <c r="E203" s="43">
        <v>2</v>
      </c>
      <c r="F203" s="43">
        <v>2</v>
      </c>
      <c r="G203" s="43">
        <v>3</v>
      </c>
      <c r="H203" s="43">
        <v>3</v>
      </c>
      <c r="I203" s="43">
        <v>3</v>
      </c>
      <c r="J203" s="43">
        <v>3</v>
      </c>
      <c r="K203" s="43">
        <v>3</v>
      </c>
      <c r="L203" s="43">
        <v>3</v>
      </c>
      <c r="M203" s="43">
        <v>3</v>
      </c>
      <c r="N203" s="43">
        <v>2</v>
      </c>
      <c r="O203" s="43">
        <v>2</v>
      </c>
      <c r="P203" s="43">
        <v>3</v>
      </c>
      <c r="Q203" s="43">
        <v>3</v>
      </c>
      <c r="R203" s="43">
        <v>2</v>
      </c>
      <c r="S203" s="43">
        <v>3</v>
      </c>
      <c r="T203" s="43">
        <v>72</v>
      </c>
    </row>
    <row r="204" spans="1:20" x14ac:dyDescent="0.25">
      <c r="A204" s="43" t="s">
        <v>223</v>
      </c>
      <c r="B204" s="43">
        <v>3</v>
      </c>
      <c r="C204" s="43">
        <v>3</v>
      </c>
      <c r="D204" s="43">
        <v>3</v>
      </c>
      <c r="E204" s="43">
        <v>3</v>
      </c>
      <c r="F204" s="43">
        <v>3</v>
      </c>
      <c r="G204" s="43">
        <v>3</v>
      </c>
      <c r="H204" s="43">
        <v>3</v>
      </c>
      <c r="I204" s="43">
        <v>3</v>
      </c>
      <c r="J204" s="43">
        <v>3</v>
      </c>
      <c r="K204" s="43">
        <v>3</v>
      </c>
      <c r="L204" s="43">
        <v>4</v>
      </c>
      <c r="M204" s="43">
        <v>3</v>
      </c>
      <c r="N204" s="43">
        <v>3</v>
      </c>
      <c r="O204" s="43">
        <v>3</v>
      </c>
      <c r="P204" s="43">
        <v>4</v>
      </c>
      <c r="Q204" s="43">
        <v>3</v>
      </c>
      <c r="R204" s="43">
        <v>3</v>
      </c>
      <c r="S204" s="43">
        <v>3</v>
      </c>
      <c r="T204" s="43">
        <v>25</v>
      </c>
    </row>
    <row r="205" spans="1:20" x14ac:dyDescent="0.25">
      <c r="A205" s="43" t="s">
        <v>224</v>
      </c>
      <c r="B205" s="43">
        <v>3</v>
      </c>
      <c r="C205" s="43">
        <v>3</v>
      </c>
      <c r="D205" s="43">
        <v>3</v>
      </c>
      <c r="E205" s="43">
        <v>3</v>
      </c>
      <c r="F205" s="43">
        <v>3</v>
      </c>
      <c r="G205" s="43">
        <v>3</v>
      </c>
      <c r="H205" s="43">
        <v>3</v>
      </c>
      <c r="I205" s="43">
        <v>3</v>
      </c>
      <c r="J205" s="43">
        <v>3</v>
      </c>
      <c r="K205" s="43">
        <v>3</v>
      </c>
      <c r="L205" s="43">
        <v>3</v>
      </c>
      <c r="M205" s="43">
        <v>3</v>
      </c>
      <c r="N205" s="43">
        <v>3</v>
      </c>
      <c r="O205" s="43">
        <v>3</v>
      </c>
      <c r="P205" s="43">
        <v>3</v>
      </c>
      <c r="Q205" s="43">
        <v>3</v>
      </c>
      <c r="R205" s="43">
        <v>3</v>
      </c>
      <c r="S205" s="43">
        <v>3</v>
      </c>
      <c r="T205" s="43">
        <v>80</v>
      </c>
    </row>
    <row r="206" spans="1:20" x14ac:dyDescent="0.25">
      <c r="A206" s="43" t="s">
        <v>225</v>
      </c>
      <c r="B206" s="43">
        <v>4</v>
      </c>
      <c r="C206" s="43">
        <v>4</v>
      </c>
      <c r="D206" s="43">
        <v>4</v>
      </c>
      <c r="E206" s="43">
        <v>3</v>
      </c>
      <c r="F206" s="43">
        <v>4</v>
      </c>
      <c r="G206" s="43">
        <v>4</v>
      </c>
      <c r="H206" s="43">
        <v>4</v>
      </c>
      <c r="I206" s="43">
        <v>3</v>
      </c>
      <c r="J206" s="43">
        <v>4</v>
      </c>
      <c r="K206" s="43">
        <v>4</v>
      </c>
      <c r="L206" s="43">
        <v>3</v>
      </c>
      <c r="M206" s="43">
        <v>3</v>
      </c>
      <c r="N206" s="43">
        <v>3</v>
      </c>
      <c r="O206" s="43">
        <v>4</v>
      </c>
      <c r="P206" s="43">
        <v>4</v>
      </c>
      <c r="Q206" s="43">
        <v>3</v>
      </c>
      <c r="R206" s="43">
        <v>3</v>
      </c>
      <c r="S206" s="43">
        <v>3</v>
      </c>
      <c r="T206" s="43">
        <v>77</v>
      </c>
    </row>
    <row r="207" spans="1:20" x14ac:dyDescent="0.25">
      <c r="A207" s="43" t="s">
        <v>226</v>
      </c>
      <c r="B207" s="43">
        <v>3</v>
      </c>
      <c r="C207" s="43">
        <v>3</v>
      </c>
      <c r="D207" s="43">
        <v>3</v>
      </c>
      <c r="E207" s="43">
        <v>2</v>
      </c>
      <c r="F207" s="43">
        <v>2</v>
      </c>
      <c r="G207" s="43">
        <v>3</v>
      </c>
      <c r="H207" s="43">
        <v>3</v>
      </c>
      <c r="I207" s="43">
        <v>3</v>
      </c>
      <c r="J207" s="43">
        <v>3</v>
      </c>
      <c r="K207" s="43">
        <v>2</v>
      </c>
      <c r="L207" s="43">
        <v>3</v>
      </c>
      <c r="M207" s="43">
        <v>3</v>
      </c>
      <c r="N207" s="43">
        <v>3</v>
      </c>
      <c r="O207" s="43">
        <v>3</v>
      </c>
      <c r="P207" s="43">
        <v>3</v>
      </c>
      <c r="Q207" s="43">
        <v>3</v>
      </c>
      <c r="R207" s="43">
        <v>2</v>
      </c>
      <c r="S207" s="43">
        <v>3</v>
      </c>
      <c r="T207" s="43">
        <v>23</v>
      </c>
    </row>
    <row r="208" spans="1:20" x14ac:dyDescent="0.25">
      <c r="A208" s="43" t="s">
        <v>227</v>
      </c>
      <c r="B208" s="43">
        <v>4</v>
      </c>
      <c r="C208" s="43">
        <v>4</v>
      </c>
      <c r="D208" s="43">
        <v>4</v>
      </c>
      <c r="E208" s="43">
        <v>4</v>
      </c>
      <c r="F208" s="43">
        <v>4</v>
      </c>
      <c r="G208" s="43">
        <v>4</v>
      </c>
      <c r="H208" s="43">
        <v>4</v>
      </c>
      <c r="I208" s="43">
        <v>4</v>
      </c>
      <c r="J208" s="43">
        <v>4</v>
      </c>
      <c r="K208" s="43">
        <v>4</v>
      </c>
      <c r="L208" s="43">
        <v>4</v>
      </c>
      <c r="M208" s="43">
        <v>4</v>
      </c>
      <c r="N208" s="43">
        <v>3</v>
      </c>
      <c r="O208" s="43">
        <v>4</v>
      </c>
      <c r="P208" s="43">
        <v>4</v>
      </c>
      <c r="Q208" s="43">
        <v>4</v>
      </c>
      <c r="R208" s="43">
        <v>4</v>
      </c>
      <c r="S208" s="43">
        <v>4</v>
      </c>
      <c r="T208" s="43">
        <v>30</v>
      </c>
    </row>
    <row r="209" spans="1:20" x14ac:dyDescent="0.25">
      <c r="A209" s="43" t="s">
        <v>228</v>
      </c>
      <c r="B209" s="43">
        <v>3</v>
      </c>
      <c r="C209" s="43">
        <v>3</v>
      </c>
      <c r="D209" s="43">
        <v>3</v>
      </c>
      <c r="E209" s="43">
        <v>3</v>
      </c>
      <c r="F209" s="43">
        <v>3</v>
      </c>
      <c r="G209" s="43">
        <v>3</v>
      </c>
      <c r="H209" s="43">
        <v>3</v>
      </c>
      <c r="I209" s="43">
        <v>3</v>
      </c>
      <c r="J209" s="43">
        <v>3</v>
      </c>
      <c r="K209" s="43">
        <v>3</v>
      </c>
      <c r="L209" s="43">
        <v>3</v>
      </c>
      <c r="M209" s="43">
        <v>3</v>
      </c>
      <c r="N209" s="43">
        <v>3</v>
      </c>
      <c r="O209" s="43">
        <v>3</v>
      </c>
      <c r="P209" s="43">
        <v>3</v>
      </c>
      <c r="Q209" s="43">
        <v>3</v>
      </c>
      <c r="R209" s="43">
        <v>2</v>
      </c>
      <c r="S209" s="43">
        <v>3</v>
      </c>
      <c r="T209" s="43">
        <v>27</v>
      </c>
    </row>
    <row r="210" spans="1:20" x14ac:dyDescent="0.25">
      <c r="A210" s="43" t="s">
        <v>229</v>
      </c>
      <c r="B210" s="43">
        <v>3</v>
      </c>
      <c r="C210" s="43">
        <v>3</v>
      </c>
      <c r="D210" s="43">
        <v>3</v>
      </c>
      <c r="E210" s="43">
        <v>3</v>
      </c>
      <c r="F210" s="43">
        <v>3</v>
      </c>
      <c r="G210" s="43">
        <v>3</v>
      </c>
      <c r="H210" s="43">
        <v>3</v>
      </c>
      <c r="I210" s="43">
        <v>3</v>
      </c>
      <c r="J210" s="43">
        <v>2</v>
      </c>
      <c r="K210" s="43">
        <v>3</v>
      </c>
      <c r="L210" s="43">
        <v>3</v>
      </c>
      <c r="M210" s="43">
        <v>3</v>
      </c>
      <c r="N210" s="43">
        <v>3</v>
      </c>
      <c r="O210" s="43">
        <v>3</v>
      </c>
      <c r="P210" s="43">
        <v>3</v>
      </c>
      <c r="Q210" s="43">
        <v>3</v>
      </c>
      <c r="R210" s="43">
        <v>2</v>
      </c>
      <c r="S210" s="43">
        <v>3</v>
      </c>
      <c r="T210" s="43">
        <v>34</v>
      </c>
    </row>
    <row r="211" spans="1:20" x14ac:dyDescent="0.25">
      <c r="A211" s="43" t="s">
        <v>230</v>
      </c>
      <c r="B211" s="43">
        <v>3</v>
      </c>
      <c r="C211" s="43">
        <v>3</v>
      </c>
      <c r="D211" s="43">
        <v>3</v>
      </c>
      <c r="E211" s="43">
        <v>3</v>
      </c>
      <c r="F211" s="43">
        <v>3</v>
      </c>
      <c r="G211" s="43">
        <v>3</v>
      </c>
      <c r="H211" s="43">
        <v>3</v>
      </c>
      <c r="I211" s="43">
        <v>3</v>
      </c>
      <c r="J211" s="43">
        <v>3</v>
      </c>
      <c r="K211" s="43">
        <v>2</v>
      </c>
      <c r="L211" s="43">
        <v>2</v>
      </c>
      <c r="M211" s="43">
        <v>3</v>
      </c>
      <c r="N211" s="43">
        <v>3</v>
      </c>
      <c r="O211" s="43">
        <v>3</v>
      </c>
      <c r="P211" s="43">
        <v>2</v>
      </c>
      <c r="Q211" s="43">
        <v>3</v>
      </c>
      <c r="R211" s="43">
        <v>2</v>
      </c>
      <c r="S211" s="43">
        <v>3</v>
      </c>
      <c r="T211" s="43">
        <v>23</v>
      </c>
    </row>
    <row r="212" spans="1:20" x14ac:dyDescent="0.25">
      <c r="A212" s="43" t="s">
        <v>231</v>
      </c>
      <c r="B212" s="43">
        <v>3</v>
      </c>
      <c r="C212" s="43">
        <v>3</v>
      </c>
      <c r="D212" s="43">
        <v>3</v>
      </c>
      <c r="E212" s="43">
        <v>3</v>
      </c>
      <c r="F212" s="43">
        <v>3</v>
      </c>
      <c r="G212" s="43">
        <v>3</v>
      </c>
      <c r="H212" s="43">
        <v>3</v>
      </c>
      <c r="I212" s="43">
        <v>3</v>
      </c>
      <c r="J212" s="43">
        <v>3</v>
      </c>
      <c r="K212" s="43">
        <v>3</v>
      </c>
      <c r="L212" s="43">
        <v>3</v>
      </c>
      <c r="M212" s="43">
        <v>3</v>
      </c>
      <c r="N212" s="43">
        <v>3</v>
      </c>
      <c r="O212" s="43">
        <v>3</v>
      </c>
      <c r="P212" s="43">
        <v>3</v>
      </c>
      <c r="Q212" s="43">
        <v>3</v>
      </c>
      <c r="R212" s="43">
        <v>3</v>
      </c>
      <c r="S212" s="43">
        <v>3</v>
      </c>
      <c r="T212" s="43">
        <v>32</v>
      </c>
    </row>
    <row r="213" spans="1:20" x14ac:dyDescent="0.25">
      <c r="A213" s="43" t="s">
        <v>232</v>
      </c>
      <c r="B213" s="43">
        <v>4</v>
      </c>
      <c r="C213" s="43">
        <v>4</v>
      </c>
      <c r="D213" s="43">
        <v>4</v>
      </c>
      <c r="E213" s="43">
        <v>3</v>
      </c>
      <c r="F213" s="43">
        <v>3</v>
      </c>
      <c r="G213" s="43">
        <v>3</v>
      </c>
      <c r="H213" s="43">
        <v>3</v>
      </c>
      <c r="I213" s="43">
        <v>3</v>
      </c>
      <c r="J213" s="43">
        <v>3</v>
      </c>
      <c r="K213" s="43">
        <v>3</v>
      </c>
      <c r="L213" s="43">
        <v>4</v>
      </c>
      <c r="M213" s="43">
        <v>3</v>
      </c>
      <c r="N213" s="43">
        <v>3</v>
      </c>
      <c r="O213" s="43">
        <v>4</v>
      </c>
      <c r="P213" s="43">
        <v>3</v>
      </c>
      <c r="Q213" s="43">
        <v>3</v>
      </c>
      <c r="R213" s="43">
        <v>3</v>
      </c>
      <c r="S213" s="43">
        <v>3</v>
      </c>
      <c r="T213" s="43">
        <v>30</v>
      </c>
    </row>
    <row r="214" spans="1:20" x14ac:dyDescent="0.25">
      <c r="A214" s="43" t="s">
        <v>233</v>
      </c>
      <c r="B214" s="43">
        <v>2</v>
      </c>
      <c r="C214" s="43">
        <v>2</v>
      </c>
      <c r="D214" s="43">
        <v>3</v>
      </c>
      <c r="E214" s="43">
        <v>2</v>
      </c>
      <c r="F214" s="43">
        <v>2</v>
      </c>
      <c r="G214" s="43">
        <v>2</v>
      </c>
      <c r="H214" s="43">
        <v>2</v>
      </c>
      <c r="I214" s="43">
        <v>3</v>
      </c>
      <c r="J214" s="43">
        <v>2</v>
      </c>
      <c r="K214" s="43">
        <v>2</v>
      </c>
      <c r="L214" s="43">
        <v>3</v>
      </c>
      <c r="M214" s="43">
        <v>2</v>
      </c>
      <c r="N214" s="43">
        <v>2</v>
      </c>
      <c r="O214" s="43">
        <v>2</v>
      </c>
      <c r="P214" s="43">
        <v>3</v>
      </c>
      <c r="Q214" s="43">
        <v>2</v>
      </c>
      <c r="R214" s="43">
        <v>3</v>
      </c>
      <c r="S214" s="43">
        <v>2</v>
      </c>
      <c r="T214" s="43">
        <v>23</v>
      </c>
    </row>
    <row r="215" spans="1:20" x14ac:dyDescent="0.25">
      <c r="A215" s="43" t="s">
        <v>234</v>
      </c>
      <c r="B215" s="43">
        <v>3</v>
      </c>
      <c r="C215" s="43">
        <v>3</v>
      </c>
      <c r="D215" s="43">
        <v>3</v>
      </c>
      <c r="E215" s="43">
        <v>3</v>
      </c>
      <c r="F215" s="43">
        <v>3</v>
      </c>
      <c r="G215" s="43">
        <v>3</v>
      </c>
      <c r="H215" s="43">
        <v>3</v>
      </c>
      <c r="I215" s="43">
        <v>3</v>
      </c>
      <c r="J215" s="43">
        <v>3</v>
      </c>
      <c r="K215" s="43">
        <v>3</v>
      </c>
      <c r="L215" s="43">
        <v>3</v>
      </c>
      <c r="M215" s="43">
        <v>3</v>
      </c>
      <c r="N215" s="43">
        <v>2</v>
      </c>
      <c r="O215" s="43">
        <v>3</v>
      </c>
      <c r="P215" s="43">
        <v>3</v>
      </c>
      <c r="Q215" s="43">
        <v>3</v>
      </c>
      <c r="R215" s="43">
        <v>3</v>
      </c>
      <c r="S215" s="43">
        <v>3</v>
      </c>
      <c r="T215" s="43">
        <v>18</v>
      </c>
    </row>
    <row r="216" spans="1:20" x14ac:dyDescent="0.25">
      <c r="A216" s="43" t="s">
        <v>235</v>
      </c>
      <c r="B216" s="43">
        <v>3</v>
      </c>
      <c r="C216" s="43">
        <v>3</v>
      </c>
      <c r="D216" s="43">
        <v>3</v>
      </c>
      <c r="E216" s="43">
        <v>3</v>
      </c>
      <c r="F216" s="43">
        <v>3</v>
      </c>
      <c r="G216" s="43">
        <v>3</v>
      </c>
      <c r="H216" s="43">
        <v>2</v>
      </c>
      <c r="I216" s="43">
        <v>3</v>
      </c>
      <c r="J216" s="43">
        <v>3</v>
      </c>
      <c r="K216" s="43">
        <v>3</v>
      </c>
      <c r="L216" s="43">
        <v>3</v>
      </c>
      <c r="M216" s="43">
        <v>3</v>
      </c>
      <c r="N216" s="43">
        <v>3</v>
      </c>
      <c r="O216" s="43">
        <v>3</v>
      </c>
      <c r="P216" s="43">
        <v>3</v>
      </c>
      <c r="Q216" s="43">
        <v>3</v>
      </c>
      <c r="R216" s="43">
        <v>3</v>
      </c>
      <c r="S216" s="43">
        <v>3</v>
      </c>
      <c r="T216" s="43">
        <v>26</v>
      </c>
    </row>
    <row r="217" spans="1:20" x14ac:dyDescent="0.25">
      <c r="A217" s="43" t="s">
        <v>236</v>
      </c>
      <c r="B217" s="43">
        <v>3</v>
      </c>
      <c r="C217" s="43">
        <v>2</v>
      </c>
      <c r="D217" s="43">
        <v>2</v>
      </c>
      <c r="E217" s="43">
        <v>2</v>
      </c>
      <c r="F217" s="43">
        <v>2</v>
      </c>
      <c r="G217" s="43">
        <v>2</v>
      </c>
      <c r="H217" s="43">
        <v>3</v>
      </c>
      <c r="I217" s="43">
        <v>3</v>
      </c>
      <c r="J217" s="43">
        <v>2</v>
      </c>
      <c r="K217" s="43">
        <v>2</v>
      </c>
      <c r="L217" s="43">
        <v>3</v>
      </c>
      <c r="M217" s="43">
        <v>2</v>
      </c>
      <c r="N217" s="43">
        <v>2</v>
      </c>
      <c r="O217" s="43">
        <v>3</v>
      </c>
      <c r="P217" s="43">
        <v>2</v>
      </c>
      <c r="Q217" s="43">
        <v>3</v>
      </c>
      <c r="R217" s="43">
        <v>2</v>
      </c>
      <c r="S217" s="43">
        <v>2</v>
      </c>
      <c r="T217" s="43">
        <v>33</v>
      </c>
    </row>
    <row r="218" spans="1:20" x14ac:dyDescent="0.25">
      <c r="A218" s="43" t="s">
        <v>237</v>
      </c>
      <c r="B218" s="43">
        <v>4</v>
      </c>
      <c r="C218" s="43">
        <v>4</v>
      </c>
      <c r="D218" s="43">
        <v>4</v>
      </c>
      <c r="E218" s="43">
        <v>4</v>
      </c>
      <c r="F218" s="43">
        <v>3</v>
      </c>
      <c r="G218" s="43">
        <v>4</v>
      </c>
      <c r="H218" s="43">
        <v>3</v>
      </c>
      <c r="I218" s="43">
        <v>4</v>
      </c>
      <c r="J218" s="43">
        <v>3</v>
      </c>
      <c r="K218" s="43">
        <v>3</v>
      </c>
      <c r="L218" s="43">
        <v>4</v>
      </c>
      <c r="M218" s="43">
        <v>4</v>
      </c>
      <c r="N218" s="43">
        <v>4</v>
      </c>
      <c r="O218" s="43">
        <v>4</v>
      </c>
      <c r="P218" s="43">
        <v>3</v>
      </c>
      <c r="Q218" s="43">
        <v>4</v>
      </c>
      <c r="R218" s="43">
        <v>3</v>
      </c>
      <c r="S218" s="43">
        <v>4</v>
      </c>
      <c r="T218" s="43">
        <v>19</v>
      </c>
    </row>
    <row r="219" spans="1:20" x14ac:dyDescent="0.25">
      <c r="A219" s="43" t="s">
        <v>238</v>
      </c>
      <c r="B219" s="43">
        <v>3</v>
      </c>
      <c r="C219" s="43">
        <v>2</v>
      </c>
      <c r="D219" s="43">
        <v>3</v>
      </c>
      <c r="E219" s="43">
        <v>2</v>
      </c>
      <c r="F219" s="43">
        <v>2</v>
      </c>
      <c r="G219" s="43">
        <v>2</v>
      </c>
      <c r="H219" s="43">
        <v>2</v>
      </c>
      <c r="I219" s="43">
        <v>2</v>
      </c>
      <c r="J219" s="43">
        <v>2</v>
      </c>
      <c r="K219" s="43">
        <v>2</v>
      </c>
      <c r="L219" s="43">
        <v>3</v>
      </c>
      <c r="M219" s="43">
        <v>3</v>
      </c>
      <c r="N219" s="43">
        <v>2</v>
      </c>
      <c r="O219" s="43">
        <v>2</v>
      </c>
      <c r="P219" s="43">
        <v>2</v>
      </c>
      <c r="Q219" s="43">
        <v>2</v>
      </c>
      <c r="R219" s="43">
        <v>2</v>
      </c>
      <c r="S219" s="43">
        <v>3</v>
      </c>
      <c r="T219" s="43">
        <v>18</v>
      </c>
    </row>
    <row r="220" spans="1:20" x14ac:dyDescent="0.25">
      <c r="A220" s="43" t="s">
        <v>239</v>
      </c>
      <c r="B220" s="43">
        <v>3</v>
      </c>
      <c r="C220" s="43">
        <v>3</v>
      </c>
      <c r="D220" s="43">
        <v>3</v>
      </c>
      <c r="E220" s="43">
        <v>3</v>
      </c>
      <c r="F220" s="43">
        <v>3</v>
      </c>
      <c r="G220" s="43">
        <v>3</v>
      </c>
      <c r="H220" s="43">
        <v>3</v>
      </c>
      <c r="I220" s="43">
        <v>3</v>
      </c>
      <c r="J220" s="43">
        <v>3</v>
      </c>
      <c r="K220" s="43">
        <v>3</v>
      </c>
      <c r="L220" s="43">
        <v>3</v>
      </c>
      <c r="M220" s="43">
        <v>3</v>
      </c>
      <c r="N220" s="43">
        <v>3</v>
      </c>
      <c r="O220" s="43">
        <v>3</v>
      </c>
      <c r="P220" s="43">
        <v>3</v>
      </c>
      <c r="Q220" s="43">
        <v>3</v>
      </c>
      <c r="R220" s="43">
        <v>3</v>
      </c>
      <c r="S220" s="43">
        <v>3</v>
      </c>
      <c r="T220" s="43">
        <v>30</v>
      </c>
    </row>
    <row r="221" spans="1:20" x14ac:dyDescent="0.25">
      <c r="A221" s="43" t="s">
        <v>240</v>
      </c>
      <c r="B221" s="43">
        <v>3</v>
      </c>
      <c r="C221" s="43">
        <v>2</v>
      </c>
      <c r="D221" s="43">
        <v>2</v>
      </c>
      <c r="E221" s="43">
        <v>2</v>
      </c>
      <c r="F221" s="43">
        <v>1</v>
      </c>
      <c r="G221" s="43">
        <v>2</v>
      </c>
      <c r="H221" s="43">
        <v>2</v>
      </c>
      <c r="I221" s="43">
        <v>2</v>
      </c>
      <c r="J221" s="43">
        <v>2</v>
      </c>
      <c r="K221" s="43">
        <v>2</v>
      </c>
      <c r="L221" s="43">
        <v>3</v>
      </c>
      <c r="M221" s="43">
        <v>2</v>
      </c>
      <c r="N221" s="43">
        <v>2</v>
      </c>
      <c r="O221" s="43">
        <v>2</v>
      </c>
      <c r="P221" s="43">
        <v>2</v>
      </c>
      <c r="Q221" s="43">
        <v>2</v>
      </c>
      <c r="R221" s="43">
        <v>2</v>
      </c>
      <c r="S221" s="43">
        <v>2</v>
      </c>
      <c r="T221" s="43">
        <v>32</v>
      </c>
    </row>
    <row r="222" spans="1:20" x14ac:dyDescent="0.25">
      <c r="A222" s="43" t="s">
        <v>241</v>
      </c>
      <c r="B222" s="43">
        <v>3</v>
      </c>
      <c r="C222" s="43">
        <v>3</v>
      </c>
      <c r="D222" s="43">
        <v>3</v>
      </c>
      <c r="E222" s="43">
        <v>3</v>
      </c>
      <c r="F222" s="43">
        <v>3</v>
      </c>
      <c r="G222" s="43">
        <v>3</v>
      </c>
      <c r="H222" s="43">
        <v>3</v>
      </c>
      <c r="I222" s="43">
        <v>3</v>
      </c>
      <c r="J222" s="43">
        <v>3</v>
      </c>
      <c r="K222" s="43">
        <v>3</v>
      </c>
      <c r="L222" s="43">
        <v>3</v>
      </c>
      <c r="M222" s="43">
        <v>3</v>
      </c>
      <c r="N222" s="43">
        <v>3</v>
      </c>
      <c r="O222" s="43">
        <v>4</v>
      </c>
      <c r="P222" s="43">
        <v>3</v>
      </c>
      <c r="Q222" s="43">
        <v>3</v>
      </c>
      <c r="R222" s="43">
        <v>3</v>
      </c>
      <c r="S222" s="43">
        <v>3</v>
      </c>
      <c r="T222" s="43">
        <v>30</v>
      </c>
    </row>
    <row r="223" spans="1:20" x14ac:dyDescent="0.25">
      <c r="A223" s="43" t="s">
        <v>242</v>
      </c>
      <c r="B223" s="43">
        <v>3</v>
      </c>
      <c r="C223" s="43">
        <v>4</v>
      </c>
      <c r="D223" s="43">
        <v>3</v>
      </c>
      <c r="E223" s="43">
        <v>3</v>
      </c>
      <c r="F223" s="43">
        <v>3</v>
      </c>
      <c r="G223" s="43">
        <v>3</v>
      </c>
      <c r="H223" s="43">
        <v>3</v>
      </c>
      <c r="I223" s="43">
        <v>3</v>
      </c>
      <c r="J223" s="43">
        <v>3</v>
      </c>
      <c r="K223" s="43">
        <v>3</v>
      </c>
      <c r="L223" s="43">
        <v>3</v>
      </c>
      <c r="M223" s="43">
        <v>3</v>
      </c>
      <c r="N223" s="43">
        <v>3</v>
      </c>
      <c r="O223" s="43">
        <v>3</v>
      </c>
      <c r="P223" s="43">
        <v>3</v>
      </c>
      <c r="Q223" s="43">
        <v>3</v>
      </c>
      <c r="R223" s="43">
        <v>3</v>
      </c>
      <c r="S223" s="43">
        <v>3</v>
      </c>
      <c r="T223" s="43">
        <v>18</v>
      </c>
    </row>
    <row r="224" spans="1:20" x14ac:dyDescent="0.25">
      <c r="A224" s="43" t="s">
        <v>243</v>
      </c>
      <c r="B224" s="43">
        <v>3</v>
      </c>
      <c r="C224" s="43">
        <v>3</v>
      </c>
      <c r="D224" s="43">
        <v>3</v>
      </c>
      <c r="E224" s="43">
        <v>3</v>
      </c>
      <c r="F224" s="43">
        <v>3</v>
      </c>
      <c r="G224" s="43">
        <v>3</v>
      </c>
      <c r="H224" s="43">
        <v>3</v>
      </c>
      <c r="I224" s="43">
        <v>3</v>
      </c>
      <c r="J224" s="43">
        <v>3</v>
      </c>
      <c r="K224" s="43">
        <v>3</v>
      </c>
      <c r="L224" s="43">
        <v>3</v>
      </c>
      <c r="M224" s="43">
        <v>2</v>
      </c>
      <c r="N224" s="43">
        <v>3</v>
      </c>
      <c r="O224" s="43">
        <v>3</v>
      </c>
      <c r="P224" s="43">
        <v>3</v>
      </c>
      <c r="Q224" s="43">
        <v>3</v>
      </c>
      <c r="R224" s="43">
        <v>3</v>
      </c>
      <c r="S224" s="43">
        <v>3</v>
      </c>
      <c r="T224" s="43">
        <v>19</v>
      </c>
    </row>
    <row r="225" spans="1:20" x14ac:dyDescent="0.25">
      <c r="A225" s="43" t="s">
        <v>244</v>
      </c>
      <c r="B225" s="43">
        <v>3</v>
      </c>
      <c r="C225" s="43">
        <v>3</v>
      </c>
      <c r="D225" s="43">
        <v>3</v>
      </c>
      <c r="E225" s="43">
        <v>2</v>
      </c>
      <c r="F225" s="43">
        <v>2</v>
      </c>
      <c r="G225" s="43">
        <v>2</v>
      </c>
      <c r="H225" s="43">
        <v>2</v>
      </c>
      <c r="I225" s="43">
        <v>2</v>
      </c>
      <c r="J225" s="43">
        <v>2</v>
      </c>
      <c r="K225" s="43">
        <v>2</v>
      </c>
      <c r="L225" s="43">
        <v>3</v>
      </c>
      <c r="M225" s="43">
        <v>2</v>
      </c>
      <c r="N225" s="43">
        <v>2</v>
      </c>
      <c r="O225" s="43">
        <v>2</v>
      </c>
      <c r="P225" s="43">
        <v>2</v>
      </c>
      <c r="Q225" s="43">
        <v>2</v>
      </c>
      <c r="R225" s="43">
        <v>2</v>
      </c>
      <c r="S225" s="43">
        <v>2</v>
      </c>
      <c r="T225" s="43">
        <v>34</v>
      </c>
    </row>
    <row r="226" spans="1:20" x14ac:dyDescent="0.25">
      <c r="A226" s="43" t="s">
        <v>245</v>
      </c>
      <c r="B226" s="43">
        <v>3</v>
      </c>
      <c r="C226" s="43">
        <v>3</v>
      </c>
      <c r="D226" s="43">
        <v>3</v>
      </c>
      <c r="E226" s="43">
        <v>3</v>
      </c>
      <c r="F226" s="43">
        <v>3</v>
      </c>
      <c r="G226" s="43">
        <v>3</v>
      </c>
      <c r="H226" s="43">
        <v>3</v>
      </c>
      <c r="I226" s="43">
        <v>3</v>
      </c>
      <c r="J226" s="43">
        <v>3</v>
      </c>
      <c r="K226" s="43">
        <v>3</v>
      </c>
      <c r="L226" s="43">
        <v>2</v>
      </c>
      <c r="M226" s="43">
        <v>3</v>
      </c>
      <c r="N226" s="43">
        <v>3</v>
      </c>
      <c r="O226" s="43">
        <v>3</v>
      </c>
      <c r="P226" s="43">
        <v>3</v>
      </c>
      <c r="Q226" s="43">
        <v>3</v>
      </c>
      <c r="R226" s="43">
        <v>3</v>
      </c>
      <c r="S226" s="43">
        <v>3</v>
      </c>
      <c r="T226" s="43">
        <v>18</v>
      </c>
    </row>
    <row r="227" spans="1:20" x14ac:dyDescent="0.25">
      <c r="A227" s="43" t="s">
        <v>246</v>
      </c>
      <c r="B227" s="43">
        <v>3</v>
      </c>
      <c r="C227" s="43">
        <v>3</v>
      </c>
      <c r="D227" s="43">
        <v>3</v>
      </c>
      <c r="E227" s="43">
        <v>3</v>
      </c>
      <c r="F227" s="43">
        <v>3</v>
      </c>
      <c r="G227" s="43">
        <v>3</v>
      </c>
      <c r="H227" s="43">
        <v>3</v>
      </c>
      <c r="I227" s="43">
        <v>4</v>
      </c>
      <c r="J227" s="43">
        <v>4</v>
      </c>
      <c r="K227" s="43">
        <v>4</v>
      </c>
      <c r="L227" s="43">
        <v>4</v>
      </c>
      <c r="M227" s="43">
        <v>3</v>
      </c>
      <c r="N227" s="43">
        <v>3</v>
      </c>
      <c r="O227" s="43">
        <v>4</v>
      </c>
      <c r="P227" s="43">
        <v>3</v>
      </c>
      <c r="Q227" s="43">
        <v>3</v>
      </c>
      <c r="R227" s="43">
        <v>3</v>
      </c>
      <c r="S227" s="43">
        <v>4</v>
      </c>
      <c r="T227" s="43">
        <v>26</v>
      </c>
    </row>
    <row r="228" spans="1:20" x14ac:dyDescent="0.25">
      <c r="A228" s="43" t="s">
        <v>247</v>
      </c>
      <c r="B228" s="43">
        <v>4</v>
      </c>
      <c r="C228" s="43">
        <v>4</v>
      </c>
      <c r="D228" s="43">
        <v>5</v>
      </c>
      <c r="E228" s="43">
        <v>4</v>
      </c>
      <c r="F228" s="43">
        <v>4</v>
      </c>
      <c r="G228" s="43">
        <v>4</v>
      </c>
      <c r="H228" s="43">
        <v>5</v>
      </c>
      <c r="I228" s="43">
        <v>4</v>
      </c>
      <c r="J228" s="43">
        <v>4</v>
      </c>
      <c r="K228" s="43">
        <v>4</v>
      </c>
      <c r="L228" s="43">
        <v>4</v>
      </c>
      <c r="M228" s="43">
        <v>4</v>
      </c>
      <c r="N228" s="43">
        <v>4</v>
      </c>
      <c r="O228" s="43">
        <v>4</v>
      </c>
      <c r="P228" s="43">
        <v>4</v>
      </c>
      <c r="Q228" s="43">
        <v>4</v>
      </c>
      <c r="R228" s="43">
        <v>4</v>
      </c>
      <c r="S228" s="43">
        <v>4</v>
      </c>
      <c r="T228" s="43">
        <v>35</v>
      </c>
    </row>
    <row r="229" spans="1:20" x14ac:dyDescent="0.25">
      <c r="A229" s="43" t="s">
        <v>248</v>
      </c>
      <c r="B229" s="43">
        <v>4</v>
      </c>
      <c r="C229" s="43">
        <v>3</v>
      </c>
      <c r="D229" s="43">
        <v>4</v>
      </c>
      <c r="E229" s="43">
        <v>3</v>
      </c>
      <c r="F229" s="43">
        <v>3</v>
      </c>
      <c r="G229" s="43">
        <v>3</v>
      </c>
      <c r="H229" s="43">
        <v>3</v>
      </c>
      <c r="I229" s="43">
        <v>4</v>
      </c>
      <c r="J229" s="43">
        <v>4</v>
      </c>
      <c r="K229" s="43">
        <v>3</v>
      </c>
      <c r="L229" s="43">
        <v>4</v>
      </c>
      <c r="M229" s="43">
        <v>4</v>
      </c>
      <c r="N229" s="43">
        <v>3</v>
      </c>
      <c r="O229" s="43">
        <v>3</v>
      </c>
      <c r="P229" s="43">
        <v>3</v>
      </c>
      <c r="Q229" s="43">
        <v>3</v>
      </c>
      <c r="R229" s="43">
        <v>3</v>
      </c>
      <c r="S229" s="43">
        <v>3</v>
      </c>
      <c r="T229" s="43">
        <v>39</v>
      </c>
    </row>
    <row r="230" spans="1:20" x14ac:dyDescent="0.25">
      <c r="A230" s="43" t="s">
        <v>249</v>
      </c>
      <c r="B230" s="43">
        <v>3</v>
      </c>
      <c r="C230" s="43">
        <v>3</v>
      </c>
      <c r="D230" s="43">
        <v>3</v>
      </c>
      <c r="E230" s="43">
        <v>3</v>
      </c>
      <c r="F230" s="43">
        <v>3</v>
      </c>
      <c r="G230" s="43">
        <v>3</v>
      </c>
      <c r="H230" s="43">
        <v>4</v>
      </c>
      <c r="I230" s="43">
        <v>3</v>
      </c>
      <c r="J230" s="43">
        <v>3</v>
      </c>
      <c r="K230" s="43">
        <v>3</v>
      </c>
      <c r="L230" s="43">
        <v>3</v>
      </c>
      <c r="M230" s="43">
        <v>3</v>
      </c>
      <c r="N230" s="43">
        <v>3</v>
      </c>
      <c r="O230" s="43">
        <v>3</v>
      </c>
      <c r="P230" s="43">
        <v>3</v>
      </c>
      <c r="Q230" s="43">
        <v>3</v>
      </c>
      <c r="R230" s="43">
        <v>3</v>
      </c>
      <c r="S230" s="43">
        <v>3</v>
      </c>
      <c r="T230" s="43">
        <v>40</v>
      </c>
    </row>
    <row r="231" spans="1:20" x14ac:dyDescent="0.25">
      <c r="A231" s="43" t="s">
        <v>250</v>
      </c>
      <c r="B231" s="43">
        <v>2</v>
      </c>
      <c r="C231" s="43">
        <v>2</v>
      </c>
      <c r="D231" s="43">
        <v>3</v>
      </c>
      <c r="E231" s="43">
        <v>2</v>
      </c>
      <c r="F231" s="43">
        <v>2</v>
      </c>
      <c r="G231" s="43">
        <v>2</v>
      </c>
      <c r="H231" s="43">
        <v>2</v>
      </c>
      <c r="I231" s="43">
        <v>2</v>
      </c>
      <c r="J231" s="43">
        <v>2</v>
      </c>
      <c r="K231" s="43">
        <v>2</v>
      </c>
      <c r="L231" s="43">
        <v>2</v>
      </c>
      <c r="M231" s="43">
        <v>2</v>
      </c>
      <c r="N231" s="43">
        <v>2</v>
      </c>
      <c r="O231" s="43">
        <v>2</v>
      </c>
      <c r="P231" s="43">
        <v>2</v>
      </c>
      <c r="Q231" s="43">
        <v>2</v>
      </c>
      <c r="R231" s="43">
        <v>2</v>
      </c>
      <c r="S231" s="43">
        <v>2</v>
      </c>
      <c r="T231" s="43">
        <v>33</v>
      </c>
    </row>
    <row r="232" spans="1:20" x14ac:dyDescent="0.25">
      <c r="A232" s="43" t="s">
        <v>251</v>
      </c>
      <c r="B232" s="43">
        <v>4</v>
      </c>
      <c r="C232" s="43">
        <v>3</v>
      </c>
      <c r="D232" s="43">
        <v>4</v>
      </c>
      <c r="E232" s="43">
        <v>4</v>
      </c>
      <c r="F232" s="43">
        <v>4</v>
      </c>
      <c r="G232" s="43">
        <v>4</v>
      </c>
      <c r="H232" s="43">
        <v>4</v>
      </c>
      <c r="I232" s="43">
        <v>4</v>
      </c>
      <c r="J232" s="43">
        <v>4</v>
      </c>
      <c r="K232" s="43">
        <v>4</v>
      </c>
      <c r="L232" s="43">
        <v>4</v>
      </c>
      <c r="M232" s="43">
        <v>4</v>
      </c>
      <c r="N232" s="43">
        <v>4</v>
      </c>
      <c r="O232" s="43">
        <v>4</v>
      </c>
      <c r="P232" s="43">
        <v>4</v>
      </c>
      <c r="Q232" s="43">
        <v>3</v>
      </c>
      <c r="R232" s="43">
        <v>4</v>
      </c>
      <c r="S232" s="43">
        <v>4</v>
      </c>
      <c r="T232" s="43">
        <v>18</v>
      </c>
    </row>
    <row r="233" spans="1:20" x14ac:dyDescent="0.25">
      <c r="A233" s="43" t="s">
        <v>252</v>
      </c>
      <c r="B233" s="43">
        <v>4</v>
      </c>
      <c r="C233" s="43">
        <v>3</v>
      </c>
      <c r="D233" s="43">
        <v>3</v>
      </c>
      <c r="E233" s="43">
        <v>4</v>
      </c>
      <c r="F233" s="43">
        <v>3</v>
      </c>
      <c r="G233" s="43">
        <v>3</v>
      </c>
      <c r="H233" s="43">
        <v>3</v>
      </c>
      <c r="I233" s="43">
        <v>4</v>
      </c>
      <c r="J233" s="43">
        <v>3</v>
      </c>
      <c r="K233" s="43">
        <v>3</v>
      </c>
      <c r="L233" s="43">
        <v>4</v>
      </c>
      <c r="M233" s="43">
        <v>4</v>
      </c>
      <c r="N233" s="43">
        <v>3</v>
      </c>
      <c r="O233" s="43">
        <v>3</v>
      </c>
      <c r="P233" s="43">
        <v>3</v>
      </c>
      <c r="Q233" s="43">
        <v>3</v>
      </c>
      <c r="R233" s="43">
        <v>3</v>
      </c>
      <c r="S233" s="43">
        <v>3</v>
      </c>
      <c r="T233" s="43">
        <v>38</v>
      </c>
    </row>
    <row r="234" spans="1:20" x14ac:dyDescent="0.25">
      <c r="A234" s="43" t="s">
        <v>253</v>
      </c>
      <c r="B234" s="43">
        <v>3</v>
      </c>
      <c r="C234" s="43">
        <v>2</v>
      </c>
      <c r="D234" s="43">
        <v>2</v>
      </c>
      <c r="E234" s="43">
        <v>2</v>
      </c>
      <c r="F234" s="43">
        <v>2</v>
      </c>
      <c r="G234" s="43">
        <v>2</v>
      </c>
      <c r="H234" s="43">
        <v>2</v>
      </c>
      <c r="I234" s="43">
        <v>2</v>
      </c>
      <c r="J234" s="43">
        <v>2</v>
      </c>
      <c r="K234" s="43">
        <v>2</v>
      </c>
      <c r="L234" s="43">
        <v>2</v>
      </c>
      <c r="M234" s="43">
        <v>2</v>
      </c>
      <c r="N234" s="43">
        <v>2</v>
      </c>
      <c r="O234" s="43">
        <v>2</v>
      </c>
      <c r="P234" s="43">
        <v>2</v>
      </c>
      <c r="Q234" s="43">
        <v>2</v>
      </c>
      <c r="R234" s="43">
        <v>2</v>
      </c>
      <c r="S234" s="43">
        <v>2</v>
      </c>
      <c r="T234" s="43">
        <v>30</v>
      </c>
    </row>
    <row r="235" spans="1:20" x14ac:dyDescent="0.25">
      <c r="A235" s="43" t="s">
        <v>254</v>
      </c>
      <c r="B235" s="43">
        <v>4</v>
      </c>
      <c r="C235" s="43">
        <v>5</v>
      </c>
      <c r="D235" s="43">
        <v>4</v>
      </c>
      <c r="E235" s="43">
        <v>5</v>
      </c>
      <c r="F235" s="43">
        <v>5</v>
      </c>
      <c r="G235" s="43">
        <v>5</v>
      </c>
      <c r="H235" s="43">
        <v>5</v>
      </c>
      <c r="I235" s="43">
        <v>5</v>
      </c>
      <c r="J235" s="43">
        <v>5</v>
      </c>
      <c r="K235" s="43">
        <v>4</v>
      </c>
      <c r="L235" s="43">
        <v>5</v>
      </c>
      <c r="M235" s="43">
        <v>5</v>
      </c>
      <c r="N235" s="43">
        <v>5</v>
      </c>
      <c r="O235" s="43">
        <v>5</v>
      </c>
      <c r="P235" s="43">
        <v>5</v>
      </c>
      <c r="Q235" s="43">
        <v>5</v>
      </c>
      <c r="R235" s="43">
        <v>5</v>
      </c>
      <c r="S235" s="43">
        <v>4</v>
      </c>
      <c r="T235" s="43">
        <v>19</v>
      </c>
    </row>
    <row r="236" spans="1:20" x14ac:dyDescent="0.25">
      <c r="A236" s="43" t="s">
        <v>255</v>
      </c>
      <c r="B236" s="43">
        <v>4</v>
      </c>
      <c r="C236" s="43">
        <v>4</v>
      </c>
      <c r="D236" s="43">
        <v>4</v>
      </c>
      <c r="E236" s="43">
        <v>4</v>
      </c>
      <c r="F236" s="43">
        <v>3</v>
      </c>
      <c r="G236" s="43">
        <v>3</v>
      </c>
      <c r="H236" s="43">
        <v>3</v>
      </c>
      <c r="I236" s="43">
        <v>4</v>
      </c>
      <c r="J236" s="43">
        <v>4</v>
      </c>
      <c r="K236" s="43">
        <v>3</v>
      </c>
      <c r="L236" s="43">
        <v>3</v>
      </c>
      <c r="M236" s="43">
        <v>4</v>
      </c>
      <c r="N236" s="43">
        <v>4</v>
      </c>
      <c r="O236" s="43">
        <v>3</v>
      </c>
      <c r="P236" s="43">
        <v>4</v>
      </c>
      <c r="Q236" s="43">
        <v>4</v>
      </c>
      <c r="R236" s="43">
        <v>3</v>
      </c>
      <c r="S236" s="43">
        <v>4</v>
      </c>
      <c r="T236" s="43">
        <v>28</v>
      </c>
    </row>
    <row r="237" spans="1:20" x14ac:dyDescent="0.25">
      <c r="A237" s="43" t="s">
        <v>256</v>
      </c>
      <c r="B237" s="43">
        <v>2</v>
      </c>
      <c r="C237" s="43">
        <v>2</v>
      </c>
      <c r="D237" s="43">
        <v>2</v>
      </c>
      <c r="E237" s="43">
        <v>2</v>
      </c>
      <c r="F237" s="43">
        <v>2</v>
      </c>
      <c r="G237" s="43">
        <v>2</v>
      </c>
      <c r="H237" s="43">
        <v>2</v>
      </c>
      <c r="I237" s="43">
        <v>2</v>
      </c>
      <c r="J237" s="43">
        <v>2</v>
      </c>
      <c r="K237" s="43">
        <v>2</v>
      </c>
      <c r="L237" s="43">
        <v>2</v>
      </c>
      <c r="M237" s="43">
        <v>2</v>
      </c>
      <c r="N237" s="43">
        <v>2</v>
      </c>
      <c r="O237" s="43">
        <v>2</v>
      </c>
      <c r="P237" s="43">
        <v>2</v>
      </c>
      <c r="Q237" s="43">
        <v>2</v>
      </c>
      <c r="R237" s="43">
        <v>2</v>
      </c>
      <c r="S237" s="43">
        <v>2</v>
      </c>
      <c r="T237" s="43">
        <v>31</v>
      </c>
    </row>
    <row r="238" spans="1:20" x14ac:dyDescent="0.25">
      <c r="A238" s="43" t="s">
        <v>257</v>
      </c>
      <c r="B238" s="43">
        <v>3</v>
      </c>
      <c r="C238" s="43">
        <v>2</v>
      </c>
      <c r="D238" s="43">
        <v>2</v>
      </c>
      <c r="E238" s="43">
        <v>2</v>
      </c>
      <c r="F238" s="43">
        <v>2</v>
      </c>
      <c r="G238" s="43">
        <v>2</v>
      </c>
      <c r="H238" s="43">
        <v>2</v>
      </c>
      <c r="I238" s="43">
        <v>3</v>
      </c>
      <c r="J238" s="43">
        <v>2</v>
      </c>
      <c r="K238" s="43">
        <v>2</v>
      </c>
      <c r="L238" s="43">
        <v>2</v>
      </c>
      <c r="M238" s="43">
        <v>3</v>
      </c>
      <c r="N238" s="43">
        <v>2</v>
      </c>
      <c r="O238" s="43">
        <v>3</v>
      </c>
      <c r="P238" s="43">
        <v>2</v>
      </c>
      <c r="Q238" s="43">
        <v>2</v>
      </c>
      <c r="R238" s="43">
        <v>2</v>
      </c>
      <c r="S238" s="43">
        <v>3</v>
      </c>
      <c r="T238" s="43">
        <v>18</v>
      </c>
    </row>
    <row r="239" spans="1:20" x14ac:dyDescent="0.25">
      <c r="A239" s="43" t="s">
        <v>258</v>
      </c>
      <c r="B239" s="43">
        <v>2</v>
      </c>
      <c r="C239" s="43">
        <v>2</v>
      </c>
      <c r="D239" s="43">
        <v>2</v>
      </c>
      <c r="E239" s="43">
        <v>1</v>
      </c>
      <c r="F239" s="43">
        <v>2</v>
      </c>
      <c r="G239" s="43">
        <v>1</v>
      </c>
      <c r="H239" s="43">
        <v>1</v>
      </c>
      <c r="I239" s="43">
        <v>2</v>
      </c>
      <c r="J239" s="43">
        <v>1</v>
      </c>
      <c r="K239" s="43">
        <v>2</v>
      </c>
      <c r="L239" s="43">
        <v>2</v>
      </c>
      <c r="M239" s="43">
        <v>1</v>
      </c>
      <c r="N239" s="43">
        <v>1</v>
      </c>
      <c r="O239" s="43">
        <v>2</v>
      </c>
      <c r="P239" s="43">
        <v>1</v>
      </c>
      <c r="Q239" s="43">
        <v>2</v>
      </c>
      <c r="R239" s="43">
        <v>2</v>
      </c>
      <c r="S239" s="43">
        <v>1</v>
      </c>
      <c r="T239" s="43">
        <v>18</v>
      </c>
    </row>
    <row r="240" spans="1:20" x14ac:dyDescent="0.25">
      <c r="A240" s="43" t="s">
        <v>259</v>
      </c>
      <c r="B240" s="43">
        <v>2</v>
      </c>
      <c r="C240" s="43">
        <v>2</v>
      </c>
      <c r="D240" s="43">
        <v>3</v>
      </c>
      <c r="E240" s="43">
        <v>2</v>
      </c>
      <c r="F240" s="43">
        <v>2</v>
      </c>
      <c r="G240" s="43">
        <v>2</v>
      </c>
      <c r="H240" s="43">
        <v>2</v>
      </c>
      <c r="I240" s="43">
        <v>3</v>
      </c>
      <c r="J240" s="43">
        <v>2</v>
      </c>
      <c r="K240" s="43">
        <v>2</v>
      </c>
      <c r="L240" s="43">
        <v>3</v>
      </c>
      <c r="M240" s="43">
        <v>2</v>
      </c>
      <c r="N240" s="43">
        <v>2</v>
      </c>
      <c r="O240" s="43">
        <v>2</v>
      </c>
      <c r="P240" s="43">
        <v>3</v>
      </c>
      <c r="Q240" s="43">
        <v>2</v>
      </c>
      <c r="R240" s="43">
        <v>2</v>
      </c>
      <c r="S240" s="43">
        <v>3</v>
      </c>
      <c r="T240" s="43">
        <v>36</v>
      </c>
    </row>
    <row r="241" spans="1:20" x14ac:dyDescent="0.25">
      <c r="A241" s="43" t="s">
        <v>260</v>
      </c>
      <c r="B241" s="43">
        <v>3</v>
      </c>
      <c r="C241" s="43">
        <v>3</v>
      </c>
      <c r="D241" s="43">
        <v>2</v>
      </c>
      <c r="E241" s="43">
        <v>2</v>
      </c>
      <c r="F241" s="43">
        <v>2</v>
      </c>
      <c r="G241" s="43">
        <v>2</v>
      </c>
      <c r="H241" s="43">
        <v>2</v>
      </c>
      <c r="I241" s="43">
        <v>3</v>
      </c>
      <c r="J241" s="43">
        <v>2</v>
      </c>
      <c r="K241" s="43">
        <v>3</v>
      </c>
      <c r="L241" s="43">
        <v>3</v>
      </c>
      <c r="M241" s="43">
        <v>2</v>
      </c>
      <c r="N241" s="43">
        <v>2</v>
      </c>
      <c r="O241" s="43">
        <v>2</v>
      </c>
      <c r="P241" s="43">
        <v>2</v>
      </c>
      <c r="Q241" s="43">
        <v>2</v>
      </c>
      <c r="R241" s="43">
        <v>1</v>
      </c>
      <c r="S241" s="43">
        <v>3</v>
      </c>
      <c r="T241" s="43">
        <v>26</v>
      </c>
    </row>
    <row r="242" spans="1:20" x14ac:dyDescent="0.25">
      <c r="A242" s="43" t="s">
        <v>261</v>
      </c>
      <c r="B242" s="43">
        <v>3</v>
      </c>
      <c r="C242" s="43">
        <v>4</v>
      </c>
      <c r="D242" s="43">
        <v>4</v>
      </c>
      <c r="E242" s="43">
        <v>4</v>
      </c>
      <c r="F242" s="43">
        <v>3</v>
      </c>
      <c r="G242" s="43">
        <v>4</v>
      </c>
      <c r="H242" s="43">
        <v>3</v>
      </c>
      <c r="I242" s="43">
        <v>3</v>
      </c>
      <c r="J242" s="43">
        <v>4</v>
      </c>
      <c r="K242" s="43">
        <v>3</v>
      </c>
      <c r="L242" s="43">
        <v>3</v>
      </c>
      <c r="M242" s="43">
        <v>3</v>
      </c>
      <c r="N242" s="43">
        <v>3</v>
      </c>
      <c r="O242" s="43">
        <v>3</v>
      </c>
      <c r="P242" s="43">
        <v>3</v>
      </c>
      <c r="Q242" s="43">
        <v>3</v>
      </c>
      <c r="R242" s="43">
        <v>3</v>
      </c>
      <c r="S242" s="43">
        <v>4</v>
      </c>
      <c r="T242" s="43">
        <v>18</v>
      </c>
    </row>
    <row r="243" spans="1:20" x14ac:dyDescent="0.25">
      <c r="A243" s="43" t="s">
        <v>262</v>
      </c>
      <c r="B243" s="43">
        <v>1</v>
      </c>
      <c r="C243" s="43">
        <v>1</v>
      </c>
      <c r="D243" s="43">
        <v>1</v>
      </c>
      <c r="E243" s="43">
        <v>1</v>
      </c>
      <c r="F243" s="43">
        <v>1</v>
      </c>
      <c r="G243" s="43">
        <v>1</v>
      </c>
      <c r="H243" s="43">
        <v>1</v>
      </c>
      <c r="I243" s="43">
        <v>1</v>
      </c>
      <c r="J243" s="43">
        <v>1</v>
      </c>
      <c r="K243" s="43">
        <v>1</v>
      </c>
      <c r="L243" s="43">
        <v>1</v>
      </c>
      <c r="M243" s="43">
        <v>1</v>
      </c>
      <c r="N243" s="43">
        <v>1</v>
      </c>
      <c r="O243" s="43">
        <v>1</v>
      </c>
      <c r="P243" s="43">
        <v>1</v>
      </c>
      <c r="Q243" s="43">
        <v>1</v>
      </c>
      <c r="R243" s="43">
        <v>1</v>
      </c>
      <c r="S243" s="43">
        <v>1</v>
      </c>
      <c r="T243" s="43">
        <v>25</v>
      </c>
    </row>
    <row r="244" spans="1:20" x14ac:dyDescent="0.25">
      <c r="A244" s="43" t="s">
        <v>263</v>
      </c>
      <c r="B244" s="43">
        <v>4</v>
      </c>
      <c r="C244" s="43">
        <v>4</v>
      </c>
      <c r="D244" s="43">
        <v>4</v>
      </c>
      <c r="E244" s="43">
        <v>4</v>
      </c>
      <c r="F244" s="43">
        <v>4</v>
      </c>
      <c r="G244" s="43">
        <v>4</v>
      </c>
      <c r="H244" s="43">
        <v>4</v>
      </c>
      <c r="I244" s="43">
        <v>4</v>
      </c>
      <c r="J244" s="43">
        <v>4</v>
      </c>
      <c r="K244" s="43">
        <v>4</v>
      </c>
      <c r="L244" s="43">
        <v>4</v>
      </c>
      <c r="M244" s="43">
        <v>4</v>
      </c>
      <c r="N244" s="43">
        <v>4</v>
      </c>
      <c r="O244" s="43">
        <v>3</v>
      </c>
      <c r="P244" s="43">
        <v>4</v>
      </c>
      <c r="Q244" s="43">
        <v>4</v>
      </c>
      <c r="R244" s="43">
        <v>3</v>
      </c>
      <c r="S244" s="43">
        <v>4</v>
      </c>
      <c r="T244" s="43">
        <v>36</v>
      </c>
    </row>
    <row r="245" spans="1:20" x14ac:dyDescent="0.25">
      <c r="A245" s="43" t="s">
        <v>264</v>
      </c>
      <c r="B245" s="43">
        <v>4</v>
      </c>
      <c r="C245" s="43">
        <v>4</v>
      </c>
      <c r="D245" s="43">
        <v>3</v>
      </c>
      <c r="E245" s="43">
        <v>4</v>
      </c>
      <c r="F245" s="43">
        <v>3</v>
      </c>
      <c r="G245" s="43">
        <v>3</v>
      </c>
      <c r="H245" s="43">
        <v>3</v>
      </c>
      <c r="I245" s="43">
        <v>3</v>
      </c>
      <c r="J245" s="43">
        <v>3</v>
      </c>
      <c r="K245" s="43">
        <v>3</v>
      </c>
      <c r="L245" s="43">
        <v>3</v>
      </c>
      <c r="M245" s="43">
        <v>4</v>
      </c>
      <c r="N245" s="43">
        <v>3</v>
      </c>
      <c r="O245" s="43">
        <v>3</v>
      </c>
      <c r="P245" s="43">
        <v>3</v>
      </c>
      <c r="Q245" s="43">
        <v>3</v>
      </c>
      <c r="R245" s="43">
        <v>3</v>
      </c>
      <c r="S245" s="43">
        <v>3</v>
      </c>
      <c r="T245" s="43">
        <v>26</v>
      </c>
    </row>
    <row r="246" spans="1:20" x14ac:dyDescent="0.25">
      <c r="A246" s="43" t="s">
        <v>265</v>
      </c>
      <c r="B246" s="43">
        <v>3</v>
      </c>
      <c r="C246" s="43">
        <v>3</v>
      </c>
      <c r="D246" s="43">
        <v>3</v>
      </c>
      <c r="E246" s="43">
        <v>3</v>
      </c>
      <c r="F246" s="43">
        <v>3</v>
      </c>
      <c r="G246" s="43">
        <v>3</v>
      </c>
      <c r="H246" s="43">
        <v>3</v>
      </c>
      <c r="I246" s="43">
        <v>3</v>
      </c>
      <c r="J246" s="43">
        <v>3</v>
      </c>
      <c r="K246" s="43">
        <v>3</v>
      </c>
      <c r="L246" s="43">
        <v>3</v>
      </c>
      <c r="M246" s="43">
        <v>2</v>
      </c>
      <c r="N246" s="43">
        <v>3</v>
      </c>
      <c r="O246" s="43">
        <v>3</v>
      </c>
      <c r="P246" s="43">
        <v>3</v>
      </c>
      <c r="Q246" s="43">
        <v>3</v>
      </c>
      <c r="R246" s="43">
        <v>3</v>
      </c>
      <c r="S246" s="43">
        <v>3</v>
      </c>
      <c r="T246" s="43">
        <v>30</v>
      </c>
    </row>
    <row r="247" spans="1:20" x14ac:dyDescent="0.25">
      <c r="A247" s="43" t="s">
        <v>266</v>
      </c>
      <c r="B247" s="43">
        <v>4</v>
      </c>
      <c r="C247" s="43">
        <v>4</v>
      </c>
      <c r="D247" s="43">
        <v>4</v>
      </c>
      <c r="E247" s="43">
        <v>4</v>
      </c>
      <c r="F247" s="43">
        <v>4</v>
      </c>
      <c r="G247" s="43">
        <v>4</v>
      </c>
      <c r="H247" s="43">
        <v>4</v>
      </c>
      <c r="I247" s="43">
        <v>5</v>
      </c>
      <c r="J247" s="43">
        <v>4</v>
      </c>
      <c r="K247" s="43">
        <v>4</v>
      </c>
      <c r="L247" s="43">
        <v>5</v>
      </c>
      <c r="M247" s="43">
        <v>5</v>
      </c>
      <c r="N247" s="43">
        <v>5</v>
      </c>
      <c r="O247" s="43">
        <v>5</v>
      </c>
      <c r="P247" s="43">
        <v>4</v>
      </c>
      <c r="Q247" s="43">
        <v>4</v>
      </c>
      <c r="R247" s="43">
        <v>4</v>
      </c>
      <c r="S247" s="43">
        <v>5</v>
      </c>
      <c r="T247" s="43">
        <v>30</v>
      </c>
    </row>
    <row r="248" spans="1:20" x14ac:dyDescent="0.25">
      <c r="A248" s="43" t="s">
        <v>267</v>
      </c>
      <c r="B248" s="43">
        <v>3</v>
      </c>
      <c r="C248" s="43">
        <v>3</v>
      </c>
      <c r="D248" s="43">
        <v>3</v>
      </c>
      <c r="E248" s="43">
        <v>3</v>
      </c>
      <c r="F248" s="43">
        <v>3</v>
      </c>
      <c r="G248" s="43">
        <v>3</v>
      </c>
      <c r="H248" s="43">
        <v>3</v>
      </c>
      <c r="I248" s="43">
        <v>3</v>
      </c>
      <c r="J248" s="43">
        <v>3</v>
      </c>
      <c r="K248" s="43">
        <v>3</v>
      </c>
      <c r="L248" s="43">
        <v>3</v>
      </c>
      <c r="M248" s="43">
        <v>3</v>
      </c>
      <c r="N248" s="43">
        <v>3</v>
      </c>
      <c r="O248" s="43">
        <v>3</v>
      </c>
      <c r="P248" s="43">
        <v>3</v>
      </c>
      <c r="Q248" s="43">
        <v>3</v>
      </c>
      <c r="R248" s="43">
        <v>3</v>
      </c>
      <c r="S248" s="43">
        <v>3</v>
      </c>
      <c r="T248" s="43">
        <v>30</v>
      </c>
    </row>
    <row r="249" spans="1:20" x14ac:dyDescent="0.25">
      <c r="A249" s="43" t="s">
        <v>268</v>
      </c>
      <c r="B249" s="43">
        <v>4</v>
      </c>
      <c r="C249" s="43">
        <v>3</v>
      </c>
      <c r="D249" s="43">
        <v>3</v>
      </c>
      <c r="E249" s="43">
        <v>3</v>
      </c>
      <c r="F249" s="43">
        <v>3</v>
      </c>
      <c r="G249" s="43">
        <v>3</v>
      </c>
      <c r="H249" s="43">
        <v>3</v>
      </c>
      <c r="I249" s="43">
        <v>4</v>
      </c>
      <c r="J249" s="43">
        <v>3</v>
      </c>
      <c r="K249" s="43">
        <v>3</v>
      </c>
      <c r="L249" s="43">
        <v>3</v>
      </c>
      <c r="M249" s="43">
        <v>3</v>
      </c>
      <c r="N249" s="43">
        <v>3</v>
      </c>
      <c r="O249" s="43">
        <v>3</v>
      </c>
      <c r="P249" s="43">
        <v>4</v>
      </c>
      <c r="Q249" s="43">
        <v>3</v>
      </c>
      <c r="R249" s="43">
        <v>3</v>
      </c>
      <c r="S249" s="43">
        <v>3</v>
      </c>
      <c r="T249" s="43">
        <v>35</v>
      </c>
    </row>
    <row r="250" spans="1:20" x14ac:dyDescent="0.25">
      <c r="A250" s="43" t="s">
        <v>269</v>
      </c>
      <c r="B250" s="43">
        <v>3</v>
      </c>
      <c r="C250" s="43">
        <v>3</v>
      </c>
      <c r="D250" s="43">
        <v>3</v>
      </c>
      <c r="E250" s="43">
        <v>3</v>
      </c>
      <c r="F250" s="43">
        <v>2</v>
      </c>
      <c r="G250" s="43">
        <v>3</v>
      </c>
      <c r="H250" s="43">
        <v>3</v>
      </c>
      <c r="I250" s="43">
        <v>3</v>
      </c>
      <c r="J250" s="43">
        <v>3</v>
      </c>
      <c r="K250" s="43">
        <v>3</v>
      </c>
      <c r="L250" s="43">
        <v>3</v>
      </c>
      <c r="M250" s="43">
        <v>3</v>
      </c>
      <c r="N250" s="43">
        <v>3</v>
      </c>
      <c r="O250" s="43">
        <v>3</v>
      </c>
      <c r="P250" s="43">
        <v>3</v>
      </c>
      <c r="Q250" s="43">
        <v>3</v>
      </c>
      <c r="R250" s="43">
        <v>2</v>
      </c>
      <c r="S250" s="43">
        <v>3</v>
      </c>
      <c r="T250" s="43">
        <v>29</v>
      </c>
    </row>
    <row r="251" spans="1:20" x14ac:dyDescent="0.25">
      <c r="A251" s="43" t="s">
        <v>270</v>
      </c>
      <c r="B251" s="43">
        <v>3</v>
      </c>
      <c r="C251" s="43">
        <v>3</v>
      </c>
      <c r="D251" s="43">
        <v>2</v>
      </c>
      <c r="E251" s="43">
        <v>3</v>
      </c>
      <c r="F251" s="43">
        <v>2</v>
      </c>
      <c r="G251" s="43">
        <v>2</v>
      </c>
      <c r="H251" s="43">
        <v>3</v>
      </c>
      <c r="I251" s="43">
        <v>3</v>
      </c>
      <c r="J251" s="43">
        <v>2</v>
      </c>
      <c r="K251" s="43">
        <v>2</v>
      </c>
      <c r="L251" s="43">
        <v>3</v>
      </c>
      <c r="M251" s="43">
        <v>3</v>
      </c>
      <c r="N251" s="43">
        <v>2</v>
      </c>
      <c r="O251" s="43">
        <v>3</v>
      </c>
      <c r="P251" s="43">
        <v>2</v>
      </c>
      <c r="Q251" s="43">
        <v>3</v>
      </c>
      <c r="R251" s="43">
        <v>2</v>
      </c>
      <c r="S251" s="43">
        <v>2</v>
      </c>
      <c r="T251" s="43">
        <v>21</v>
      </c>
    </row>
    <row r="252" spans="1:20" x14ac:dyDescent="0.25">
      <c r="A252" s="43" t="s">
        <v>271</v>
      </c>
      <c r="B252" s="43">
        <v>4</v>
      </c>
      <c r="C252" s="43">
        <v>3</v>
      </c>
      <c r="D252" s="43">
        <v>3</v>
      </c>
      <c r="E252" s="43">
        <v>3</v>
      </c>
      <c r="F252" s="43">
        <v>3</v>
      </c>
      <c r="G252" s="43">
        <v>3</v>
      </c>
      <c r="H252" s="43">
        <v>3</v>
      </c>
      <c r="I252" s="43">
        <v>3</v>
      </c>
      <c r="J252" s="43">
        <v>3</v>
      </c>
      <c r="K252" s="43">
        <v>3</v>
      </c>
      <c r="L252" s="43">
        <v>3</v>
      </c>
      <c r="M252" s="43">
        <v>3</v>
      </c>
      <c r="N252" s="43">
        <v>3</v>
      </c>
      <c r="O252" s="43">
        <v>3</v>
      </c>
      <c r="P252" s="43">
        <v>3</v>
      </c>
      <c r="Q252" s="43">
        <v>3</v>
      </c>
      <c r="R252" s="43">
        <v>3</v>
      </c>
      <c r="S252" s="43">
        <v>3</v>
      </c>
      <c r="T252" s="43">
        <v>30</v>
      </c>
    </row>
    <row r="253" spans="1:20" x14ac:dyDescent="0.25">
      <c r="A253" s="43" t="s">
        <v>272</v>
      </c>
      <c r="B253" s="43">
        <v>3</v>
      </c>
      <c r="C253" s="43">
        <v>3</v>
      </c>
      <c r="D253" s="43">
        <v>3</v>
      </c>
      <c r="E253" s="43">
        <v>3</v>
      </c>
      <c r="F253" s="43">
        <v>3</v>
      </c>
      <c r="G253" s="43">
        <v>3</v>
      </c>
      <c r="H253" s="43">
        <v>3</v>
      </c>
      <c r="I253" s="43">
        <v>3</v>
      </c>
      <c r="J253" s="43">
        <v>2</v>
      </c>
      <c r="K253" s="43">
        <v>3</v>
      </c>
      <c r="L253" s="43">
        <v>3</v>
      </c>
      <c r="M253" s="43">
        <v>3</v>
      </c>
      <c r="N253" s="43">
        <v>3</v>
      </c>
      <c r="O253" s="43">
        <v>3</v>
      </c>
      <c r="P253" s="43">
        <v>3</v>
      </c>
      <c r="Q253" s="43">
        <v>3</v>
      </c>
      <c r="R253" s="43">
        <v>3</v>
      </c>
      <c r="S253" s="43">
        <v>3</v>
      </c>
      <c r="T253" s="43">
        <v>29</v>
      </c>
    </row>
    <row r="254" spans="1:20" x14ac:dyDescent="0.25">
      <c r="A254" s="43" t="s">
        <v>273</v>
      </c>
      <c r="B254" s="43">
        <v>4</v>
      </c>
      <c r="C254" s="43">
        <v>4</v>
      </c>
      <c r="D254" s="43">
        <v>4</v>
      </c>
      <c r="E254" s="43">
        <v>4</v>
      </c>
      <c r="F254" s="43">
        <v>4</v>
      </c>
      <c r="G254" s="43">
        <v>4</v>
      </c>
      <c r="H254" s="43">
        <v>4</v>
      </c>
      <c r="I254" s="43">
        <v>4</v>
      </c>
      <c r="J254" s="43">
        <v>4</v>
      </c>
      <c r="K254" s="43">
        <v>4</v>
      </c>
      <c r="L254" s="43">
        <v>5</v>
      </c>
      <c r="M254" s="43">
        <v>4</v>
      </c>
      <c r="N254" s="43">
        <v>4</v>
      </c>
      <c r="O254" s="43">
        <v>4</v>
      </c>
      <c r="P254" s="43">
        <v>4</v>
      </c>
      <c r="Q254" s="43">
        <v>4</v>
      </c>
      <c r="R254" s="43">
        <v>4</v>
      </c>
      <c r="S254" s="43">
        <v>4</v>
      </c>
      <c r="T254" s="43">
        <v>39</v>
      </c>
    </row>
    <row r="255" spans="1:20" x14ac:dyDescent="0.25">
      <c r="A255" s="43" t="s">
        <v>274</v>
      </c>
      <c r="B255" s="43">
        <v>4</v>
      </c>
      <c r="C255" s="43">
        <v>3</v>
      </c>
      <c r="D255" s="43">
        <v>4</v>
      </c>
      <c r="E255" s="43">
        <v>3</v>
      </c>
      <c r="F255" s="43">
        <v>3</v>
      </c>
      <c r="G255" s="43">
        <v>3</v>
      </c>
      <c r="H255" s="43">
        <v>3</v>
      </c>
      <c r="I255" s="43">
        <v>3</v>
      </c>
      <c r="J255" s="43">
        <v>3</v>
      </c>
      <c r="K255" s="43">
        <v>3</v>
      </c>
      <c r="L255" s="43">
        <v>3</v>
      </c>
      <c r="M255" s="43">
        <v>4</v>
      </c>
      <c r="N255" s="43">
        <v>3</v>
      </c>
      <c r="O255" s="43">
        <v>3</v>
      </c>
      <c r="P255" s="43">
        <v>3</v>
      </c>
      <c r="Q255" s="43">
        <v>3</v>
      </c>
      <c r="R255" s="43">
        <v>3</v>
      </c>
      <c r="S255" s="43">
        <v>4</v>
      </c>
      <c r="T255" s="43">
        <v>19</v>
      </c>
    </row>
    <row r="256" spans="1:20" x14ac:dyDescent="0.25">
      <c r="A256" s="43" t="s">
        <v>275</v>
      </c>
      <c r="B256" s="43">
        <v>3</v>
      </c>
      <c r="C256" s="43">
        <v>3</v>
      </c>
      <c r="D256" s="43">
        <v>3</v>
      </c>
      <c r="E256" s="43">
        <v>3</v>
      </c>
      <c r="F256" s="43">
        <v>2</v>
      </c>
      <c r="G256" s="43">
        <v>2</v>
      </c>
      <c r="H256" s="43">
        <v>2</v>
      </c>
      <c r="I256" s="43">
        <v>3</v>
      </c>
      <c r="J256" s="43">
        <v>3</v>
      </c>
      <c r="K256" s="43">
        <v>3</v>
      </c>
      <c r="L256" s="43">
        <v>2</v>
      </c>
      <c r="M256" s="43">
        <v>3</v>
      </c>
      <c r="N256" s="43">
        <v>2</v>
      </c>
      <c r="O256" s="43">
        <v>3</v>
      </c>
      <c r="P256" s="43">
        <v>3</v>
      </c>
      <c r="Q256" s="43">
        <v>2</v>
      </c>
      <c r="R256" s="43">
        <v>2</v>
      </c>
      <c r="S256" s="43">
        <v>2</v>
      </c>
      <c r="T256" s="43">
        <v>29</v>
      </c>
    </row>
    <row r="257" spans="1:20" x14ac:dyDescent="0.25">
      <c r="A257" s="43" t="s">
        <v>276</v>
      </c>
      <c r="B257" s="43">
        <v>3</v>
      </c>
      <c r="C257" s="43">
        <v>3</v>
      </c>
      <c r="D257" s="43">
        <v>3</v>
      </c>
      <c r="E257" s="43">
        <v>3</v>
      </c>
      <c r="F257" s="43">
        <v>3</v>
      </c>
      <c r="G257" s="43">
        <v>2</v>
      </c>
      <c r="H257" s="43">
        <v>3</v>
      </c>
      <c r="I257" s="43">
        <v>3</v>
      </c>
      <c r="J257" s="43">
        <v>3</v>
      </c>
      <c r="K257" s="43">
        <v>3</v>
      </c>
      <c r="L257" s="43">
        <v>3</v>
      </c>
      <c r="M257" s="43">
        <v>3</v>
      </c>
      <c r="N257" s="43">
        <v>2</v>
      </c>
      <c r="O257" s="43">
        <v>2</v>
      </c>
      <c r="P257" s="43">
        <v>2</v>
      </c>
      <c r="Q257" s="43">
        <v>3</v>
      </c>
      <c r="R257" s="43">
        <v>2</v>
      </c>
      <c r="S257" s="43">
        <v>3</v>
      </c>
      <c r="T257" s="43">
        <v>33</v>
      </c>
    </row>
    <row r="258" spans="1:20" x14ac:dyDescent="0.25">
      <c r="A258" s="43" t="s">
        <v>277</v>
      </c>
      <c r="B258" s="43">
        <v>4</v>
      </c>
      <c r="C258" s="43">
        <v>3</v>
      </c>
      <c r="D258" s="43">
        <v>3</v>
      </c>
      <c r="E258" s="43">
        <v>3</v>
      </c>
      <c r="F258" s="43">
        <v>4</v>
      </c>
      <c r="G258" s="43">
        <v>3</v>
      </c>
      <c r="H258" s="43">
        <v>3</v>
      </c>
      <c r="I258" s="43">
        <v>4</v>
      </c>
      <c r="J258" s="43">
        <v>3</v>
      </c>
      <c r="K258" s="43">
        <v>3</v>
      </c>
      <c r="L258" s="43">
        <v>4</v>
      </c>
      <c r="M258" s="43">
        <v>4</v>
      </c>
      <c r="N258" s="43">
        <v>4</v>
      </c>
      <c r="O258" s="43">
        <v>4</v>
      </c>
      <c r="P258" s="43">
        <v>4</v>
      </c>
      <c r="Q258" s="43">
        <v>4</v>
      </c>
      <c r="R258" s="43">
        <v>3</v>
      </c>
      <c r="S258" s="43">
        <v>3</v>
      </c>
      <c r="T258" s="43">
        <v>32</v>
      </c>
    </row>
    <row r="259" spans="1:20" x14ac:dyDescent="0.25">
      <c r="A259" s="43" t="s">
        <v>278</v>
      </c>
      <c r="B259" s="43">
        <v>2</v>
      </c>
      <c r="C259" s="43">
        <v>2</v>
      </c>
      <c r="D259" s="43">
        <v>3</v>
      </c>
      <c r="E259" s="43">
        <v>2</v>
      </c>
      <c r="F259" s="43">
        <v>2</v>
      </c>
      <c r="G259" s="43">
        <v>2</v>
      </c>
      <c r="H259" s="43">
        <v>2</v>
      </c>
      <c r="I259" s="43">
        <v>2</v>
      </c>
      <c r="J259" s="43">
        <v>2</v>
      </c>
      <c r="K259" s="43">
        <v>2</v>
      </c>
      <c r="L259" s="43">
        <v>2</v>
      </c>
      <c r="M259" s="43">
        <v>2</v>
      </c>
      <c r="N259" s="43">
        <v>2</v>
      </c>
      <c r="O259" s="43">
        <v>2</v>
      </c>
      <c r="P259" s="43">
        <v>3</v>
      </c>
      <c r="Q259" s="43">
        <v>2</v>
      </c>
      <c r="R259" s="43">
        <v>1</v>
      </c>
      <c r="S259" s="43">
        <v>2</v>
      </c>
      <c r="T259" s="43">
        <v>40</v>
      </c>
    </row>
    <row r="260" spans="1:20" x14ac:dyDescent="0.25">
      <c r="A260" s="43" t="s">
        <v>279</v>
      </c>
      <c r="B260" s="43">
        <v>2</v>
      </c>
      <c r="C260" s="43">
        <v>2</v>
      </c>
      <c r="D260" s="43">
        <v>2</v>
      </c>
      <c r="E260" s="43">
        <v>2</v>
      </c>
      <c r="F260" s="43">
        <v>2</v>
      </c>
      <c r="G260" s="43">
        <v>2</v>
      </c>
      <c r="H260" s="43">
        <v>2</v>
      </c>
      <c r="I260" s="43">
        <v>3</v>
      </c>
      <c r="J260" s="43">
        <v>2</v>
      </c>
      <c r="K260" s="43">
        <v>2</v>
      </c>
      <c r="L260" s="43">
        <v>2</v>
      </c>
      <c r="M260" s="43">
        <v>2</v>
      </c>
      <c r="N260" s="43">
        <v>2</v>
      </c>
      <c r="O260" s="43">
        <v>2</v>
      </c>
      <c r="P260" s="43">
        <v>2</v>
      </c>
      <c r="Q260" s="43">
        <v>2</v>
      </c>
      <c r="R260" s="43">
        <v>2</v>
      </c>
      <c r="S260" s="43">
        <v>2</v>
      </c>
      <c r="T260" s="43">
        <v>22</v>
      </c>
    </row>
    <row r="261" spans="1:20" x14ac:dyDescent="0.25">
      <c r="A261" s="43" t="s">
        <v>280</v>
      </c>
      <c r="B261" s="43">
        <v>4</v>
      </c>
      <c r="C261" s="43">
        <v>4</v>
      </c>
      <c r="D261" s="43">
        <v>4</v>
      </c>
      <c r="E261" s="43">
        <v>3</v>
      </c>
      <c r="F261" s="43">
        <v>3</v>
      </c>
      <c r="G261" s="43">
        <v>3</v>
      </c>
      <c r="H261" s="43">
        <v>3</v>
      </c>
      <c r="I261" s="43">
        <v>4</v>
      </c>
      <c r="J261" s="43">
        <v>4</v>
      </c>
      <c r="K261" s="43">
        <v>4</v>
      </c>
      <c r="L261" s="43">
        <v>4</v>
      </c>
      <c r="M261" s="43">
        <v>3</v>
      </c>
      <c r="N261" s="43">
        <v>3</v>
      </c>
      <c r="O261" s="43">
        <v>4</v>
      </c>
      <c r="P261" s="43">
        <v>3</v>
      </c>
      <c r="Q261" s="43">
        <v>4</v>
      </c>
      <c r="R261" s="43">
        <v>3</v>
      </c>
      <c r="S261" s="43">
        <v>3</v>
      </c>
      <c r="T261" s="43">
        <v>39</v>
      </c>
    </row>
    <row r="262" spans="1:20" x14ac:dyDescent="0.25">
      <c r="A262" s="43" t="s">
        <v>281</v>
      </c>
      <c r="B262" s="43">
        <v>3</v>
      </c>
      <c r="C262" s="43">
        <v>2</v>
      </c>
      <c r="D262" s="43">
        <v>2</v>
      </c>
      <c r="E262" s="43">
        <v>2</v>
      </c>
      <c r="F262" s="43">
        <v>2</v>
      </c>
      <c r="G262" s="43">
        <v>2</v>
      </c>
      <c r="H262" s="43">
        <v>2</v>
      </c>
      <c r="I262" s="43">
        <v>3</v>
      </c>
      <c r="J262" s="43">
        <v>2</v>
      </c>
      <c r="K262" s="43">
        <v>2</v>
      </c>
      <c r="L262" s="43">
        <v>2</v>
      </c>
      <c r="M262" s="43">
        <v>3</v>
      </c>
      <c r="N262" s="43">
        <v>2</v>
      </c>
      <c r="O262" s="43">
        <v>2</v>
      </c>
      <c r="P262" s="43">
        <v>2</v>
      </c>
      <c r="Q262" s="43">
        <v>2</v>
      </c>
      <c r="R262" s="43">
        <v>2</v>
      </c>
      <c r="S262" s="43">
        <v>2</v>
      </c>
      <c r="T262" s="43">
        <v>25</v>
      </c>
    </row>
    <row r="263" spans="1:20" x14ac:dyDescent="0.25">
      <c r="A263" s="43" t="s">
        <v>282</v>
      </c>
      <c r="B263" s="43">
        <v>3</v>
      </c>
      <c r="C263" s="43">
        <v>3</v>
      </c>
      <c r="D263" s="43">
        <v>3</v>
      </c>
      <c r="E263" s="43">
        <v>2</v>
      </c>
      <c r="F263" s="43">
        <v>2</v>
      </c>
      <c r="G263" s="43">
        <v>3</v>
      </c>
      <c r="H263" s="43">
        <v>3</v>
      </c>
      <c r="I263" s="43">
        <v>3</v>
      </c>
      <c r="J263" s="43">
        <v>2</v>
      </c>
      <c r="K263" s="43">
        <v>2</v>
      </c>
      <c r="L263" s="43">
        <v>2</v>
      </c>
      <c r="M263" s="43">
        <v>3</v>
      </c>
      <c r="N263" s="43">
        <v>2</v>
      </c>
      <c r="O263" s="43">
        <v>3</v>
      </c>
      <c r="P263" s="43">
        <v>2</v>
      </c>
      <c r="Q263" s="43">
        <v>2</v>
      </c>
      <c r="R263" s="43">
        <v>2</v>
      </c>
      <c r="S263" s="43">
        <v>2</v>
      </c>
      <c r="T263" s="43">
        <v>40</v>
      </c>
    </row>
    <row r="264" spans="1:20" x14ac:dyDescent="0.25">
      <c r="A264" s="43" t="s">
        <v>283</v>
      </c>
      <c r="B264" s="43">
        <v>4</v>
      </c>
      <c r="C264" s="43">
        <v>4</v>
      </c>
      <c r="D264" s="43">
        <v>4</v>
      </c>
      <c r="E264" s="43">
        <v>4</v>
      </c>
      <c r="F264" s="43">
        <v>4</v>
      </c>
      <c r="G264" s="43">
        <v>4</v>
      </c>
      <c r="H264" s="43">
        <v>4</v>
      </c>
      <c r="I264" s="43">
        <v>4</v>
      </c>
      <c r="J264" s="43">
        <v>4</v>
      </c>
      <c r="K264" s="43">
        <v>4</v>
      </c>
      <c r="L264" s="43">
        <v>4</v>
      </c>
      <c r="M264" s="43">
        <v>4</v>
      </c>
      <c r="N264" s="43">
        <v>4</v>
      </c>
      <c r="O264" s="43">
        <v>4</v>
      </c>
      <c r="P264" s="43">
        <v>4</v>
      </c>
      <c r="Q264" s="43">
        <v>4</v>
      </c>
      <c r="R264" s="43">
        <v>4</v>
      </c>
      <c r="S264" s="43">
        <v>4</v>
      </c>
      <c r="T264" s="43">
        <v>32</v>
      </c>
    </row>
    <row r="265" spans="1:20" x14ac:dyDescent="0.25">
      <c r="A265" s="43" t="s">
        <v>284</v>
      </c>
      <c r="B265" s="43">
        <v>3</v>
      </c>
      <c r="C265" s="43">
        <v>3</v>
      </c>
      <c r="D265" s="43">
        <v>3</v>
      </c>
      <c r="E265" s="43">
        <v>3</v>
      </c>
      <c r="F265" s="43">
        <v>3</v>
      </c>
      <c r="G265" s="43">
        <v>3</v>
      </c>
      <c r="H265" s="43">
        <v>3</v>
      </c>
      <c r="I265" s="43">
        <v>3</v>
      </c>
      <c r="J265" s="43">
        <v>3</v>
      </c>
      <c r="K265" s="43">
        <v>3</v>
      </c>
      <c r="L265" s="43">
        <v>3</v>
      </c>
      <c r="M265" s="43">
        <v>3</v>
      </c>
      <c r="N265" s="43">
        <v>3</v>
      </c>
      <c r="O265" s="43">
        <v>3</v>
      </c>
      <c r="P265" s="43">
        <v>3</v>
      </c>
      <c r="Q265" s="43">
        <v>3</v>
      </c>
      <c r="R265" s="43">
        <v>3</v>
      </c>
      <c r="S265" s="43">
        <v>3</v>
      </c>
      <c r="T265" s="43">
        <v>37</v>
      </c>
    </row>
    <row r="266" spans="1:20" x14ac:dyDescent="0.25">
      <c r="A266" s="43" t="s">
        <v>285</v>
      </c>
      <c r="B266" s="43">
        <v>3</v>
      </c>
      <c r="C266" s="43">
        <v>3</v>
      </c>
      <c r="D266" s="43">
        <v>3</v>
      </c>
      <c r="E266" s="43">
        <v>3</v>
      </c>
      <c r="F266" s="43">
        <v>3</v>
      </c>
      <c r="G266" s="43">
        <v>3</v>
      </c>
      <c r="H266" s="43">
        <v>3</v>
      </c>
      <c r="I266" s="43">
        <v>3</v>
      </c>
      <c r="J266" s="43">
        <v>3</v>
      </c>
      <c r="K266" s="43">
        <v>2</v>
      </c>
      <c r="L266" s="43">
        <v>3</v>
      </c>
      <c r="M266" s="43">
        <v>3</v>
      </c>
      <c r="N266" s="43">
        <v>3</v>
      </c>
      <c r="O266" s="43">
        <v>3</v>
      </c>
      <c r="P266" s="43">
        <v>3</v>
      </c>
      <c r="Q266" s="43">
        <v>3</v>
      </c>
      <c r="R266" s="43">
        <v>3</v>
      </c>
      <c r="S266" s="43">
        <v>3</v>
      </c>
      <c r="T266" s="43">
        <v>25</v>
      </c>
    </row>
    <row r="267" spans="1:20" x14ac:dyDescent="0.25">
      <c r="A267" s="43" t="s">
        <v>286</v>
      </c>
      <c r="B267" s="43">
        <v>4</v>
      </c>
      <c r="C267" s="43">
        <v>4</v>
      </c>
      <c r="D267" s="43">
        <v>4</v>
      </c>
      <c r="E267" s="43">
        <v>3</v>
      </c>
      <c r="F267" s="43">
        <v>3</v>
      </c>
      <c r="G267" s="43">
        <v>4</v>
      </c>
      <c r="H267" s="43">
        <v>3</v>
      </c>
      <c r="I267" s="43">
        <v>3</v>
      </c>
      <c r="J267" s="43">
        <v>3</v>
      </c>
      <c r="K267" s="43">
        <v>3</v>
      </c>
      <c r="L267" s="43">
        <v>3</v>
      </c>
      <c r="M267" s="43">
        <v>3</v>
      </c>
      <c r="N267" s="43">
        <v>3</v>
      </c>
      <c r="O267" s="43">
        <v>4</v>
      </c>
      <c r="P267" s="43">
        <v>3</v>
      </c>
      <c r="Q267" s="43">
        <v>3</v>
      </c>
      <c r="R267" s="43">
        <v>3</v>
      </c>
      <c r="S267" s="43">
        <v>4</v>
      </c>
      <c r="T267" s="43">
        <v>36</v>
      </c>
    </row>
    <row r="268" spans="1:20" x14ac:dyDescent="0.25">
      <c r="A268" s="43" t="s">
        <v>287</v>
      </c>
      <c r="B268" s="43">
        <v>3</v>
      </c>
      <c r="C268" s="43">
        <v>2</v>
      </c>
      <c r="D268" s="43">
        <v>2</v>
      </c>
      <c r="E268" s="43">
        <v>2</v>
      </c>
      <c r="F268" s="43">
        <v>2</v>
      </c>
      <c r="G268" s="43">
        <v>2</v>
      </c>
      <c r="H268" s="43">
        <v>2</v>
      </c>
      <c r="I268" s="43">
        <v>2</v>
      </c>
      <c r="J268" s="43">
        <v>2</v>
      </c>
      <c r="K268" s="43">
        <v>2</v>
      </c>
      <c r="L268" s="43">
        <v>2</v>
      </c>
      <c r="M268" s="43">
        <v>2</v>
      </c>
      <c r="N268" s="43">
        <v>2</v>
      </c>
      <c r="O268" s="43">
        <v>3</v>
      </c>
      <c r="P268" s="43">
        <v>2</v>
      </c>
      <c r="Q268" s="43">
        <v>2</v>
      </c>
      <c r="R268" s="43">
        <v>2</v>
      </c>
      <c r="S268" s="43">
        <v>2</v>
      </c>
      <c r="T268" s="43">
        <v>29</v>
      </c>
    </row>
    <row r="269" spans="1:20" x14ac:dyDescent="0.25">
      <c r="A269" s="43" t="s">
        <v>288</v>
      </c>
      <c r="B269" s="43">
        <v>3</v>
      </c>
      <c r="C269" s="43">
        <v>3</v>
      </c>
      <c r="D269" s="43">
        <v>2</v>
      </c>
      <c r="E269" s="43">
        <v>2</v>
      </c>
      <c r="F269" s="43">
        <v>2</v>
      </c>
      <c r="G269" s="43">
        <v>2</v>
      </c>
      <c r="H269" s="43">
        <v>2</v>
      </c>
      <c r="I269" s="43">
        <v>3</v>
      </c>
      <c r="J269" s="43">
        <v>2</v>
      </c>
      <c r="K269" s="43">
        <v>3</v>
      </c>
      <c r="L269" s="43">
        <v>3</v>
      </c>
      <c r="M269" s="43">
        <v>2</v>
      </c>
      <c r="N269" s="43">
        <v>2</v>
      </c>
      <c r="O269" s="43">
        <v>3</v>
      </c>
      <c r="P269" s="43">
        <v>2</v>
      </c>
      <c r="Q269" s="43">
        <v>3</v>
      </c>
      <c r="R269" s="43">
        <v>2</v>
      </c>
      <c r="S269" s="43">
        <v>3</v>
      </c>
      <c r="T269" s="43">
        <v>39</v>
      </c>
    </row>
    <row r="270" spans="1:20" x14ac:dyDescent="0.25">
      <c r="A270" s="43" t="s">
        <v>289</v>
      </c>
      <c r="B270" s="43">
        <v>4</v>
      </c>
      <c r="C270" s="43">
        <v>4</v>
      </c>
      <c r="D270" s="43">
        <v>4</v>
      </c>
      <c r="E270" s="43">
        <v>5</v>
      </c>
      <c r="F270" s="43">
        <v>4</v>
      </c>
      <c r="G270" s="43">
        <v>4</v>
      </c>
      <c r="H270" s="43">
        <v>4</v>
      </c>
      <c r="I270" s="43">
        <v>4</v>
      </c>
      <c r="J270" s="43">
        <v>4</v>
      </c>
      <c r="K270" s="43">
        <v>4</v>
      </c>
      <c r="L270" s="43">
        <v>4</v>
      </c>
      <c r="M270" s="43">
        <v>4</v>
      </c>
      <c r="N270" s="43">
        <v>4</v>
      </c>
      <c r="O270" s="43">
        <v>4</v>
      </c>
      <c r="P270" s="43">
        <v>4</v>
      </c>
      <c r="Q270" s="43">
        <v>4</v>
      </c>
      <c r="R270" s="43">
        <v>4</v>
      </c>
      <c r="S270" s="43">
        <v>5</v>
      </c>
      <c r="T270" s="43">
        <v>39</v>
      </c>
    </row>
    <row r="271" spans="1:20" x14ac:dyDescent="0.25">
      <c r="A271" s="43" t="s">
        <v>290</v>
      </c>
      <c r="B271" s="43">
        <v>3</v>
      </c>
      <c r="C271" s="43">
        <v>2</v>
      </c>
      <c r="D271" s="43">
        <v>3</v>
      </c>
      <c r="E271" s="43">
        <v>3</v>
      </c>
      <c r="F271" s="43">
        <v>3</v>
      </c>
      <c r="G271" s="43">
        <v>3</v>
      </c>
      <c r="H271" s="43">
        <v>3</v>
      </c>
      <c r="I271" s="43">
        <v>3</v>
      </c>
      <c r="J271" s="43">
        <v>3</v>
      </c>
      <c r="K271" s="43">
        <v>2</v>
      </c>
      <c r="L271" s="43">
        <v>2</v>
      </c>
      <c r="M271" s="43">
        <v>3</v>
      </c>
      <c r="N271" s="43">
        <v>2</v>
      </c>
      <c r="O271" s="43">
        <v>3</v>
      </c>
      <c r="P271" s="43">
        <v>3</v>
      </c>
      <c r="Q271" s="43">
        <v>2</v>
      </c>
      <c r="R271" s="43">
        <v>3</v>
      </c>
      <c r="S271" s="43">
        <v>2</v>
      </c>
      <c r="T271" s="43">
        <v>35</v>
      </c>
    </row>
    <row r="272" spans="1:20" x14ac:dyDescent="0.25">
      <c r="A272" s="43" t="s">
        <v>291</v>
      </c>
      <c r="B272" s="43">
        <v>3</v>
      </c>
      <c r="C272" s="43">
        <v>3</v>
      </c>
      <c r="D272" s="43">
        <v>3</v>
      </c>
      <c r="E272" s="43">
        <v>3</v>
      </c>
      <c r="F272" s="43">
        <v>3</v>
      </c>
      <c r="G272" s="43">
        <v>3</v>
      </c>
      <c r="H272" s="43">
        <v>3</v>
      </c>
      <c r="I272" s="43">
        <v>4</v>
      </c>
      <c r="J272" s="43">
        <v>3</v>
      </c>
      <c r="K272" s="43">
        <v>3</v>
      </c>
      <c r="L272" s="43">
        <v>3</v>
      </c>
      <c r="M272" s="43">
        <v>3</v>
      </c>
      <c r="N272" s="43">
        <v>3</v>
      </c>
      <c r="O272" s="43">
        <v>3</v>
      </c>
      <c r="P272" s="43">
        <v>3</v>
      </c>
      <c r="Q272" s="43">
        <v>3</v>
      </c>
      <c r="R272" s="43">
        <v>3</v>
      </c>
      <c r="S272" s="43">
        <v>3</v>
      </c>
      <c r="T272" s="43">
        <v>31</v>
      </c>
    </row>
    <row r="273" spans="1:20" x14ac:dyDescent="0.25">
      <c r="A273" s="43" t="s">
        <v>292</v>
      </c>
      <c r="B273" s="43">
        <v>4</v>
      </c>
      <c r="C273" s="43">
        <v>4</v>
      </c>
      <c r="D273" s="43">
        <v>4</v>
      </c>
      <c r="E273" s="43">
        <v>4</v>
      </c>
      <c r="F273" s="43">
        <v>4</v>
      </c>
      <c r="G273" s="43">
        <v>4</v>
      </c>
      <c r="H273" s="43">
        <v>4</v>
      </c>
      <c r="I273" s="43">
        <v>4</v>
      </c>
      <c r="J273" s="43">
        <v>4</v>
      </c>
      <c r="K273" s="43">
        <v>4</v>
      </c>
      <c r="L273" s="43">
        <v>4</v>
      </c>
      <c r="M273" s="43">
        <v>4</v>
      </c>
      <c r="N273" s="43">
        <v>4</v>
      </c>
      <c r="O273" s="43">
        <v>4</v>
      </c>
      <c r="P273" s="43">
        <v>4</v>
      </c>
      <c r="Q273" s="43">
        <v>4</v>
      </c>
      <c r="R273" s="43">
        <v>4</v>
      </c>
      <c r="S273" s="43">
        <v>4</v>
      </c>
      <c r="T273" s="43">
        <v>35</v>
      </c>
    </row>
    <row r="274" spans="1:20" x14ac:dyDescent="0.25">
      <c r="A274" s="43" t="s">
        <v>293</v>
      </c>
      <c r="B274" s="43">
        <v>3</v>
      </c>
      <c r="C274" s="43">
        <v>3</v>
      </c>
      <c r="D274" s="43">
        <v>3</v>
      </c>
      <c r="E274" s="43">
        <v>3</v>
      </c>
      <c r="F274" s="43">
        <v>3</v>
      </c>
      <c r="G274" s="43">
        <v>3</v>
      </c>
      <c r="H274" s="43">
        <v>3</v>
      </c>
      <c r="I274" s="43">
        <v>3</v>
      </c>
      <c r="J274" s="43">
        <v>3</v>
      </c>
      <c r="K274" s="43">
        <v>3</v>
      </c>
      <c r="L274" s="43">
        <v>3</v>
      </c>
      <c r="M274" s="43">
        <v>3</v>
      </c>
      <c r="N274" s="43">
        <v>3</v>
      </c>
      <c r="O274" s="43">
        <v>3</v>
      </c>
      <c r="P274" s="43">
        <v>3</v>
      </c>
      <c r="Q274" s="43">
        <v>3</v>
      </c>
      <c r="R274" s="43">
        <v>3</v>
      </c>
      <c r="S274" s="43">
        <v>3</v>
      </c>
      <c r="T274" s="43">
        <v>32</v>
      </c>
    </row>
    <row r="275" spans="1:20" x14ac:dyDescent="0.25">
      <c r="A275" s="43" t="s">
        <v>294</v>
      </c>
      <c r="B275" s="43">
        <v>2</v>
      </c>
      <c r="C275" s="43">
        <v>1</v>
      </c>
      <c r="D275" s="43">
        <v>1</v>
      </c>
      <c r="E275" s="43">
        <v>1</v>
      </c>
      <c r="F275" s="43">
        <v>2</v>
      </c>
      <c r="G275" s="43">
        <v>1</v>
      </c>
      <c r="H275" s="43">
        <v>1</v>
      </c>
      <c r="I275" s="43">
        <v>1</v>
      </c>
      <c r="J275" s="43">
        <v>1</v>
      </c>
      <c r="K275" s="43">
        <v>1</v>
      </c>
      <c r="L275" s="43">
        <v>1</v>
      </c>
      <c r="M275" s="43">
        <v>2</v>
      </c>
      <c r="N275" s="43">
        <v>1</v>
      </c>
      <c r="O275" s="43">
        <v>1</v>
      </c>
      <c r="P275" s="43">
        <v>1</v>
      </c>
      <c r="Q275" s="43">
        <v>1</v>
      </c>
      <c r="R275" s="43">
        <v>1</v>
      </c>
      <c r="S275" s="43">
        <v>1</v>
      </c>
      <c r="T275" s="43">
        <v>27</v>
      </c>
    </row>
    <row r="276" spans="1:20" x14ac:dyDescent="0.25">
      <c r="A276" s="43" t="s">
        <v>295</v>
      </c>
      <c r="B276" s="43">
        <v>4</v>
      </c>
      <c r="C276" s="43">
        <v>3</v>
      </c>
      <c r="D276" s="43">
        <v>4</v>
      </c>
      <c r="E276" s="43">
        <v>3</v>
      </c>
      <c r="F276" s="43">
        <v>4</v>
      </c>
      <c r="G276" s="43">
        <v>3</v>
      </c>
      <c r="H276" s="43">
        <v>3</v>
      </c>
      <c r="I276" s="43">
        <v>4</v>
      </c>
      <c r="J276" s="43">
        <v>3</v>
      </c>
      <c r="K276" s="43">
        <v>3</v>
      </c>
      <c r="L276" s="43">
        <v>4</v>
      </c>
      <c r="M276" s="43">
        <v>4</v>
      </c>
      <c r="N276" s="43">
        <v>3</v>
      </c>
      <c r="O276" s="43">
        <v>3</v>
      </c>
      <c r="P276" s="43">
        <v>3</v>
      </c>
      <c r="Q276" s="43">
        <v>4</v>
      </c>
      <c r="R276" s="43">
        <v>3</v>
      </c>
      <c r="S276" s="43">
        <v>3</v>
      </c>
      <c r="T276" s="43">
        <v>21</v>
      </c>
    </row>
    <row r="277" spans="1:20" x14ac:dyDescent="0.25">
      <c r="A277" s="43" t="s">
        <v>296</v>
      </c>
      <c r="B277" s="43">
        <v>4</v>
      </c>
      <c r="C277" s="43">
        <v>3</v>
      </c>
      <c r="D277" s="43">
        <v>3</v>
      </c>
      <c r="E277" s="43">
        <v>3</v>
      </c>
      <c r="F277" s="43">
        <v>3</v>
      </c>
      <c r="G277" s="43">
        <v>3</v>
      </c>
      <c r="H277" s="43">
        <v>3</v>
      </c>
      <c r="I277" s="43">
        <v>3</v>
      </c>
      <c r="J277" s="43">
        <v>3</v>
      </c>
      <c r="K277" s="43">
        <v>4</v>
      </c>
      <c r="L277" s="43">
        <v>3</v>
      </c>
      <c r="M277" s="43">
        <v>3</v>
      </c>
      <c r="N277" s="43">
        <v>3</v>
      </c>
      <c r="O277" s="43">
        <v>3</v>
      </c>
      <c r="P277" s="43">
        <v>4</v>
      </c>
      <c r="Q277" s="43">
        <v>3</v>
      </c>
      <c r="R277" s="43">
        <v>3</v>
      </c>
      <c r="S277" s="43">
        <v>4</v>
      </c>
      <c r="T277" s="43">
        <v>39</v>
      </c>
    </row>
    <row r="278" spans="1:20" x14ac:dyDescent="0.25">
      <c r="A278" s="43" t="s">
        <v>297</v>
      </c>
      <c r="B278" s="43">
        <v>3</v>
      </c>
      <c r="C278" s="43">
        <v>2</v>
      </c>
      <c r="D278" s="43">
        <v>3</v>
      </c>
      <c r="E278" s="43">
        <v>2</v>
      </c>
      <c r="F278" s="43">
        <v>2</v>
      </c>
      <c r="G278" s="43">
        <v>2</v>
      </c>
      <c r="H278" s="43">
        <v>2</v>
      </c>
      <c r="I278" s="43">
        <v>2</v>
      </c>
      <c r="J278" s="43">
        <v>2</v>
      </c>
      <c r="K278" s="43">
        <v>2</v>
      </c>
      <c r="L278" s="43">
        <v>2</v>
      </c>
      <c r="M278" s="43">
        <v>2</v>
      </c>
      <c r="N278" s="43">
        <v>2</v>
      </c>
      <c r="O278" s="43">
        <v>3</v>
      </c>
      <c r="P278" s="43">
        <v>2</v>
      </c>
      <c r="Q278" s="43">
        <v>2</v>
      </c>
      <c r="R278" s="43">
        <v>2</v>
      </c>
      <c r="S278" s="43">
        <v>2</v>
      </c>
      <c r="T278" s="43">
        <v>31</v>
      </c>
    </row>
    <row r="279" spans="1:20" x14ac:dyDescent="0.25">
      <c r="A279" s="43" t="s">
        <v>298</v>
      </c>
      <c r="B279" s="43">
        <v>3</v>
      </c>
      <c r="C279" s="43">
        <v>3</v>
      </c>
      <c r="D279" s="43">
        <v>3</v>
      </c>
      <c r="E279" s="43">
        <v>3</v>
      </c>
      <c r="F279" s="43">
        <v>3</v>
      </c>
      <c r="G279" s="43">
        <v>3</v>
      </c>
      <c r="H279" s="43">
        <v>3</v>
      </c>
      <c r="I279" s="43">
        <v>3</v>
      </c>
      <c r="J279" s="43">
        <v>3</v>
      </c>
      <c r="K279" s="43">
        <v>3</v>
      </c>
      <c r="L279" s="43">
        <v>4</v>
      </c>
      <c r="M279" s="43">
        <v>3</v>
      </c>
      <c r="N279" s="43">
        <v>3</v>
      </c>
      <c r="O279" s="43">
        <v>3</v>
      </c>
      <c r="P279" s="43">
        <v>3</v>
      </c>
      <c r="Q279" s="43">
        <v>2</v>
      </c>
      <c r="R279" s="43">
        <v>3</v>
      </c>
      <c r="S279" s="43">
        <v>3</v>
      </c>
      <c r="T279" s="43">
        <v>18</v>
      </c>
    </row>
    <row r="280" spans="1:20" x14ac:dyDescent="0.25">
      <c r="A280" s="43" t="s">
        <v>299</v>
      </c>
      <c r="B280" s="43">
        <v>2</v>
      </c>
      <c r="C280" s="43">
        <v>2</v>
      </c>
      <c r="D280" s="43">
        <v>2</v>
      </c>
      <c r="E280" s="43">
        <v>2</v>
      </c>
      <c r="F280" s="43">
        <v>2</v>
      </c>
      <c r="G280" s="43">
        <v>2</v>
      </c>
      <c r="H280" s="43">
        <v>2</v>
      </c>
      <c r="I280" s="43">
        <v>2</v>
      </c>
      <c r="J280" s="43">
        <v>2</v>
      </c>
      <c r="K280" s="43">
        <v>2</v>
      </c>
      <c r="L280" s="43">
        <v>2</v>
      </c>
      <c r="M280" s="43">
        <v>2</v>
      </c>
      <c r="N280" s="43">
        <v>1</v>
      </c>
      <c r="O280" s="43">
        <v>2</v>
      </c>
      <c r="P280" s="43">
        <v>2</v>
      </c>
      <c r="Q280" s="43">
        <v>2</v>
      </c>
      <c r="R280" s="43">
        <v>1</v>
      </c>
      <c r="S280" s="43">
        <v>2</v>
      </c>
      <c r="T280" s="43">
        <v>41</v>
      </c>
    </row>
    <row r="281" spans="1:20" x14ac:dyDescent="0.25">
      <c r="A281" s="43" t="s">
        <v>300</v>
      </c>
      <c r="B281" s="43">
        <v>4</v>
      </c>
      <c r="C281" s="43">
        <v>4</v>
      </c>
      <c r="D281" s="43">
        <v>4</v>
      </c>
      <c r="E281" s="43">
        <v>4</v>
      </c>
      <c r="F281" s="43">
        <v>4</v>
      </c>
      <c r="G281" s="43">
        <v>4</v>
      </c>
      <c r="H281" s="43">
        <v>4</v>
      </c>
      <c r="I281" s="43">
        <v>4</v>
      </c>
      <c r="J281" s="43">
        <v>4</v>
      </c>
      <c r="K281" s="43">
        <v>4</v>
      </c>
      <c r="L281" s="43">
        <v>4</v>
      </c>
      <c r="M281" s="43">
        <v>4</v>
      </c>
      <c r="N281" s="43">
        <v>4</v>
      </c>
      <c r="O281" s="43">
        <v>4</v>
      </c>
      <c r="P281" s="43">
        <v>4</v>
      </c>
      <c r="Q281" s="43">
        <v>4</v>
      </c>
      <c r="R281" s="43">
        <v>4</v>
      </c>
      <c r="S281" s="43">
        <v>4</v>
      </c>
      <c r="T281" s="43">
        <v>30</v>
      </c>
    </row>
    <row r="282" spans="1:20" x14ac:dyDescent="0.25">
      <c r="A282" s="43" t="s">
        <v>301</v>
      </c>
      <c r="B282" s="43">
        <v>4</v>
      </c>
      <c r="C282" s="43">
        <v>3</v>
      </c>
      <c r="D282" s="43">
        <v>3</v>
      </c>
      <c r="E282" s="43">
        <v>3</v>
      </c>
      <c r="F282" s="43">
        <v>3</v>
      </c>
      <c r="G282" s="43">
        <v>4</v>
      </c>
      <c r="H282" s="43">
        <v>3</v>
      </c>
      <c r="I282" s="43">
        <v>3</v>
      </c>
      <c r="J282" s="43">
        <v>3</v>
      </c>
      <c r="K282" s="43">
        <v>4</v>
      </c>
      <c r="L282" s="43">
        <v>3</v>
      </c>
      <c r="M282" s="43">
        <v>3</v>
      </c>
      <c r="N282" s="43">
        <v>3</v>
      </c>
      <c r="O282" s="43">
        <v>3</v>
      </c>
      <c r="P282" s="43">
        <v>3</v>
      </c>
      <c r="Q282" s="43">
        <v>3</v>
      </c>
      <c r="R282" s="43">
        <v>3</v>
      </c>
      <c r="S282" s="43">
        <v>4</v>
      </c>
      <c r="T282" s="43">
        <v>32</v>
      </c>
    </row>
    <row r="283" spans="1:20" x14ac:dyDescent="0.25">
      <c r="A283" s="43" t="s">
        <v>302</v>
      </c>
      <c r="B283" s="43">
        <v>3</v>
      </c>
      <c r="C283" s="43">
        <v>3</v>
      </c>
      <c r="D283" s="43">
        <v>3</v>
      </c>
      <c r="E283" s="43">
        <v>3</v>
      </c>
      <c r="F283" s="43">
        <v>3</v>
      </c>
      <c r="G283" s="43">
        <v>3</v>
      </c>
      <c r="H283" s="43">
        <v>3</v>
      </c>
      <c r="I283" s="43">
        <v>3</v>
      </c>
      <c r="J283" s="43">
        <v>3</v>
      </c>
      <c r="K283" s="43">
        <v>3</v>
      </c>
      <c r="L283" s="43">
        <v>3</v>
      </c>
      <c r="M283" s="43">
        <v>3</v>
      </c>
      <c r="N283" s="43">
        <v>3</v>
      </c>
      <c r="O283" s="43">
        <v>3</v>
      </c>
      <c r="P283" s="43">
        <v>3</v>
      </c>
      <c r="Q283" s="43">
        <v>3</v>
      </c>
      <c r="R283" s="43">
        <v>3</v>
      </c>
      <c r="S283" s="43">
        <v>3</v>
      </c>
      <c r="T283" s="43">
        <v>29</v>
      </c>
    </row>
    <row r="284" spans="1:20" x14ac:dyDescent="0.25">
      <c r="A284" s="43" t="s">
        <v>303</v>
      </c>
      <c r="B284" s="43">
        <v>3</v>
      </c>
      <c r="C284" s="43">
        <v>3</v>
      </c>
      <c r="D284" s="43">
        <v>3</v>
      </c>
      <c r="E284" s="43">
        <v>3</v>
      </c>
      <c r="F284" s="43">
        <v>3</v>
      </c>
      <c r="G284" s="43">
        <v>3</v>
      </c>
      <c r="H284" s="43">
        <v>3</v>
      </c>
      <c r="I284" s="43">
        <v>3</v>
      </c>
      <c r="J284" s="43">
        <v>2</v>
      </c>
      <c r="K284" s="43">
        <v>3</v>
      </c>
      <c r="L284" s="43">
        <v>3</v>
      </c>
      <c r="M284" s="43">
        <v>3</v>
      </c>
      <c r="N284" s="43">
        <v>3</v>
      </c>
      <c r="O284" s="43">
        <v>3</v>
      </c>
      <c r="P284" s="43">
        <v>3</v>
      </c>
      <c r="Q284" s="43">
        <v>3</v>
      </c>
      <c r="R284" s="43">
        <v>2</v>
      </c>
      <c r="S284" s="43">
        <v>3</v>
      </c>
      <c r="T284" s="43">
        <v>25</v>
      </c>
    </row>
    <row r="285" spans="1:20" x14ac:dyDescent="0.25">
      <c r="A285" s="43" t="s">
        <v>304</v>
      </c>
      <c r="B285" s="43">
        <v>3</v>
      </c>
      <c r="C285" s="43">
        <v>2</v>
      </c>
      <c r="D285" s="43">
        <v>3</v>
      </c>
      <c r="E285" s="43">
        <v>3</v>
      </c>
      <c r="F285" s="43">
        <v>2</v>
      </c>
      <c r="G285" s="43">
        <v>2</v>
      </c>
      <c r="H285" s="43">
        <v>2</v>
      </c>
      <c r="I285" s="43">
        <v>2</v>
      </c>
      <c r="J285" s="43">
        <v>2</v>
      </c>
      <c r="K285" s="43">
        <v>3</v>
      </c>
      <c r="L285" s="43">
        <v>2</v>
      </c>
      <c r="M285" s="43">
        <v>3</v>
      </c>
      <c r="N285" s="43">
        <v>2</v>
      </c>
      <c r="O285" s="43">
        <v>2</v>
      </c>
      <c r="P285" s="43">
        <v>2</v>
      </c>
      <c r="Q285" s="43">
        <v>2</v>
      </c>
      <c r="R285" s="43">
        <v>2</v>
      </c>
      <c r="S285" s="43">
        <v>2</v>
      </c>
      <c r="T285" s="43">
        <v>20</v>
      </c>
    </row>
    <row r="286" spans="1:20" x14ac:dyDescent="0.25">
      <c r="A286" s="43" t="s">
        <v>305</v>
      </c>
      <c r="B286" s="43">
        <v>2</v>
      </c>
      <c r="C286" s="43">
        <v>2</v>
      </c>
      <c r="D286" s="43">
        <v>2</v>
      </c>
      <c r="E286" s="43">
        <v>2</v>
      </c>
      <c r="F286" s="43">
        <v>2</v>
      </c>
      <c r="G286" s="43">
        <v>2</v>
      </c>
      <c r="H286" s="43">
        <v>2</v>
      </c>
      <c r="I286" s="43">
        <v>2</v>
      </c>
      <c r="J286" s="43">
        <v>2</v>
      </c>
      <c r="K286" s="43">
        <v>2</v>
      </c>
      <c r="L286" s="43">
        <v>1</v>
      </c>
      <c r="M286" s="43">
        <v>2</v>
      </c>
      <c r="N286" s="43">
        <v>1</v>
      </c>
      <c r="O286" s="43">
        <v>2</v>
      </c>
      <c r="P286" s="43">
        <v>2</v>
      </c>
      <c r="Q286" s="43">
        <v>2</v>
      </c>
      <c r="R286" s="43">
        <v>2</v>
      </c>
      <c r="S286" s="43">
        <v>2</v>
      </c>
      <c r="T286" s="43">
        <v>32</v>
      </c>
    </row>
    <row r="287" spans="1:20" x14ac:dyDescent="0.25">
      <c r="A287" s="43" t="s">
        <v>306</v>
      </c>
      <c r="B287" s="43">
        <v>3</v>
      </c>
      <c r="C287" s="43">
        <v>3</v>
      </c>
      <c r="D287" s="43">
        <v>3</v>
      </c>
      <c r="E287" s="43">
        <v>3</v>
      </c>
      <c r="F287" s="43">
        <v>3</v>
      </c>
      <c r="G287" s="43">
        <v>3</v>
      </c>
      <c r="H287" s="43">
        <v>3</v>
      </c>
      <c r="I287" s="43">
        <v>4</v>
      </c>
      <c r="J287" s="43">
        <v>3</v>
      </c>
      <c r="K287" s="43">
        <v>3</v>
      </c>
      <c r="L287" s="43">
        <v>3</v>
      </c>
      <c r="M287" s="43">
        <v>3</v>
      </c>
      <c r="N287" s="43">
        <v>3</v>
      </c>
      <c r="O287" s="43">
        <v>3</v>
      </c>
      <c r="P287" s="43">
        <v>3</v>
      </c>
      <c r="Q287" s="43">
        <v>3</v>
      </c>
      <c r="R287" s="43">
        <v>3</v>
      </c>
      <c r="S287" s="43">
        <v>4</v>
      </c>
      <c r="T287" s="43">
        <v>28</v>
      </c>
    </row>
    <row r="288" spans="1:20" x14ac:dyDescent="0.25">
      <c r="A288" s="43" t="s">
        <v>307</v>
      </c>
      <c r="B288" s="43">
        <v>3</v>
      </c>
      <c r="C288" s="43">
        <v>3</v>
      </c>
      <c r="D288" s="43">
        <v>3</v>
      </c>
      <c r="E288" s="43">
        <v>2</v>
      </c>
      <c r="F288" s="43">
        <v>3</v>
      </c>
      <c r="G288" s="43">
        <v>3</v>
      </c>
      <c r="H288" s="43">
        <v>3</v>
      </c>
      <c r="I288" s="43">
        <v>3</v>
      </c>
      <c r="J288" s="43">
        <v>3</v>
      </c>
      <c r="K288" s="43">
        <v>3</v>
      </c>
      <c r="L288" s="43">
        <v>3</v>
      </c>
      <c r="M288" s="43">
        <v>3</v>
      </c>
      <c r="N288" s="43">
        <v>3</v>
      </c>
      <c r="O288" s="43">
        <v>3</v>
      </c>
      <c r="P288" s="43">
        <v>3</v>
      </c>
      <c r="Q288" s="43">
        <v>3</v>
      </c>
      <c r="R288" s="43">
        <v>3</v>
      </c>
      <c r="S288" s="43">
        <v>3</v>
      </c>
      <c r="T288" s="43">
        <v>24</v>
      </c>
    </row>
    <row r="289" spans="1:20" x14ac:dyDescent="0.25">
      <c r="A289" s="43" t="s">
        <v>308</v>
      </c>
      <c r="B289" s="43">
        <v>3</v>
      </c>
      <c r="C289" s="43">
        <v>3</v>
      </c>
      <c r="D289" s="43">
        <v>3</v>
      </c>
      <c r="E289" s="43">
        <v>2</v>
      </c>
      <c r="F289" s="43">
        <v>2</v>
      </c>
      <c r="G289" s="43">
        <v>3</v>
      </c>
      <c r="H289" s="43">
        <v>2</v>
      </c>
      <c r="I289" s="43">
        <v>3</v>
      </c>
      <c r="J289" s="43">
        <v>2</v>
      </c>
      <c r="K289" s="43">
        <v>3</v>
      </c>
      <c r="L289" s="43">
        <v>3</v>
      </c>
      <c r="M289" s="43">
        <v>3</v>
      </c>
      <c r="N289" s="43">
        <v>2</v>
      </c>
      <c r="O289" s="43">
        <v>2</v>
      </c>
      <c r="P289" s="43">
        <v>3</v>
      </c>
      <c r="Q289" s="43">
        <v>3</v>
      </c>
      <c r="R289" s="43">
        <v>2</v>
      </c>
      <c r="S289" s="43">
        <v>3</v>
      </c>
      <c r="T289" s="43">
        <v>19</v>
      </c>
    </row>
    <row r="290" spans="1:20" x14ac:dyDescent="0.25">
      <c r="A290" s="43" t="s">
        <v>309</v>
      </c>
      <c r="B290" s="43">
        <v>3</v>
      </c>
      <c r="C290" s="43">
        <v>3</v>
      </c>
      <c r="D290" s="43">
        <v>3</v>
      </c>
      <c r="E290" s="43">
        <v>3</v>
      </c>
      <c r="F290" s="43">
        <v>3</v>
      </c>
      <c r="G290" s="43">
        <v>3</v>
      </c>
      <c r="H290" s="43">
        <v>3</v>
      </c>
      <c r="I290" s="43">
        <v>3</v>
      </c>
      <c r="J290" s="43">
        <v>3</v>
      </c>
      <c r="K290" s="43">
        <v>3</v>
      </c>
      <c r="L290" s="43">
        <v>3</v>
      </c>
      <c r="M290" s="43">
        <v>3</v>
      </c>
      <c r="N290" s="43">
        <v>2</v>
      </c>
      <c r="O290" s="43">
        <v>3</v>
      </c>
      <c r="P290" s="43">
        <v>3</v>
      </c>
      <c r="Q290" s="43">
        <v>3</v>
      </c>
      <c r="R290" s="43">
        <v>3</v>
      </c>
      <c r="S290" s="43">
        <v>3</v>
      </c>
      <c r="T290" s="43">
        <v>36</v>
      </c>
    </row>
    <row r="291" spans="1:20" x14ac:dyDescent="0.25">
      <c r="A291" s="43" t="s">
        <v>310</v>
      </c>
      <c r="B291" s="43">
        <v>3</v>
      </c>
      <c r="C291" s="43">
        <v>3</v>
      </c>
      <c r="D291" s="43">
        <v>3</v>
      </c>
      <c r="E291" s="43">
        <v>3</v>
      </c>
      <c r="F291" s="43">
        <v>3</v>
      </c>
      <c r="G291" s="43">
        <v>2</v>
      </c>
      <c r="H291" s="43">
        <v>3</v>
      </c>
      <c r="I291" s="43">
        <v>2</v>
      </c>
      <c r="J291" s="43">
        <v>2</v>
      </c>
      <c r="K291" s="43">
        <v>3</v>
      </c>
      <c r="L291" s="43">
        <v>3</v>
      </c>
      <c r="M291" s="43">
        <v>2</v>
      </c>
      <c r="N291" s="43">
        <v>3</v>
      </c>
      <c r="O291" s="43">
        <v>3</v>
      </c>
      <c r="P291" s="43">
        <v>2</v>
      </c>
      <c r="Q291" s="43">
        <v>3</v>
      </c>
      <c r="R291" s="43">
        <v>3</v>
      </c>
      <c r="S291" s="43">
        <v>3</v>
      </c>
      <c r="T291" s="43">
        <v>26</v>
      </c>
    </row>
    <row r="292" spans="1:20" x14ac:dyDescent="0.25">
      <c r="A292" s="43" t="s">
        <v>311</v>
      </c>
      <c r="B292" s="43">
        <v>2</v>
      </c>
      <c r="C292" s="43">
        <v>2</v>
      </c>
      <c r="D292" s="43">
        <v>2</v>
      </c>
      <c r="E292" s="43">
        <v>2</v>
      </c>
      <c r="F292" s="43">
        <v>2</v>
      </c>
      <c r="G292" s="43">
        <v>2</v>
      </c>
      <c r="H292" s="43">
        <v>2</v>
      </c>
      <c r="I292" s="43">
        <v>2</v>
      </c>
      <c r="J292" s="43">
        <v>3</v>
      </c>
      <c r="K292" s="43">
        <v>2</v>
      </c>
      <c r="L292" s="43">
        <v>2</v>
      </c>
      <c r="M292" s="43">
        <v>2</v>
      </c>
      <c r="N292" s="43">
        <v>2</v>
      </c>
      <c r="O292" s="43">
        <v>2</v>
      </c>
      <c r="P292" s="43">
        <v>2</v>
      </c>
      <c r="Q292" s="43">
        <v>3</v>
      </c>
      <c r="R292" s="43">
        <v>2</v>
      </c>
      <c r="S292" s="43">
        <v>2</v>
      </c>
      <c r="T292" s="43">
        <v>27</v>
      </c>
    </row>
    <row r="293" spans="1:20" x14ac:dyDescent="0.25">
      <c r="A293" s="43" t="s">
        <v>312</v>
      </c>
      <c r="B293" s="43">
        <v>4</v>
      </c>
      <c r="C293" s="43">
        <v>3</v>
      </c>
      <c r="D293" s="43">
        <v>4</v>
      </c>
      <c r="E293" s="43">
        <v>4</v>
      </c>
      <c r="F293" s="43">
        <v>4</v>
      </c>
      <c r="G293" s="43">
        <v>4</v>
      </c>
      <c r="H293" s="43">
        <v>4</v>
      </c>
      <c r="I293" s="43">
        <v>5</v>
      </c>
      <c r="J293" s="43">
        <v>4</v>
      </c>
      <c r="K293" s="43">
        <v>4</v>
      </c>
      <c r="L293" s="43">
        <v>4</v>
      </c>
      <c r="M293" s="43">
        <v>4</v>
      </c>
      <c r="N293" s="43">
        <v>4</v>
      </c>
      <c r="O293" s="43">
        <v>4</v>
      </c>
      <c r="P293" s="43">
        <v>4</v>
      </c>
      <c r="Q293" s="43">
        <v>4</v>
      </c>
      <c r="R293" s="43">
        <v>3</v>
      </c>
      <c r="S293" s="43">
        <v>4</v>
      </c>
      <c r="T293" s="43">
        <v>28</v>
      </c>
    </row>
    <row r="294" spans="1:20" x14ac:dyDescent="0.25">
      <c r="A294" t="s">
        <v>313</v>
      </c>
      <c r="B294">
        <f t="shared" ref="B294:T294" si="0">SUM(B5:B293)</f>
        <v>948</v>
      </c>
      <c r="C294">
        <f t="shared" si="0"/>
        <v>886</v>
      </c>
      <c r="D294">
        <f t="shared" si="0"/>
        <v>906</v>
      </c>
      <c r="E294">
        <f t="shared" si="0"/>
        <v>856</v>
      </c>
      <c r="F294">
        <f t="shared" si="0"/>
        <v>853</v>
      </c>
      <c r="G294">
        <f t="shared" si="0"/>
        <v>872</v>
      </c>
      <c r="H294">
        <f t="shared" si="0"/>
        <v>853</v>
      </c>
      <c r="I294">
        <f t="shared" si="0"/>
        <v>924</v>
      </c>
      <c r="J294">
        <f t="shared" si="0"/>
        <v>863</v>
      </c>
      <c r="K294">
        <f t="shared" si="0"/>
        <v>869</v>
      </c>
      <c r="L294">
        <f t="shared" si="0"/>
        <v>889</v>
      </c>
      <c r="M294">
        <f t="shared" si="0"/>
        <v>887</v>
      </c>
      <c r="N294">
        <f t="shared" si="0"/>
        <v>834</v>
      </c>
      <c r="O294">
        <f t="shared" si="0"/>
        <v>880</v>
      </c>
      <c r="P294">
        <f t="shared" si="0"/>
        <v>844</v>
      </c>
      <c r="Q294">
        <f t="shared" si="0"/>
        <v>873</v>
      </c>
      <c r="R294">
        <f t="shared" si="0"/>
        <v>802</v>
      </c>
      <c r="S294">
        <f t="shared" si="0"/>
        <v>894</v>
      </c>
      <c r="T294">
        <f t="shared" si="0"/>
        <v>13279</v>
      </c>
    </row>
    <row r="295" spans="1:20" x14ac:dyDescent="0.25">
      <c r="A295" t="s">
        <v>314</v>
      </c>
      <c r="B295">
        <f t="shared" ref="B295:T295" si="1">MODE(B5:B293)</f>
        <v>3</v>
      </c>
      <c r="C295">
        <f t="shared" si="1"/>
        <v>3</v>
      </c>
      <c r="D295">
        <f t="shared" si="1"/>
        <v>3</v>
      </c>
      <c r="E295">
        <f t="shared" si="1"/>
        <v>3</v>
      </c>
      <c r="F295">
        <f t="shared" si="1"/>
        <v>3</v>
      </c>
      <c r="G295">
        <f t="shared" si="1"/>
        <v>3</v>
      </c>
      <c r="H295">
        <f t="shared" si="1"/>
        <v>3</v>
      </c>
      <c r="I295">
        <f t="shared" si="1"/>
        <v>3</v>
      </c>
      <c r="J295">
        <f t="shared" si="1"/>
        <v>3</v>
      </c>
      <c r="K295">
        <f t="shared" si="1"/>
        <v>3</v>
      </c>
      <c r="L295">
        <f t="shared" si="1"/>
        <v>3</v>
      </c>
      <c r="M295">
        <f t="shared" si="1"/>
        <v>3</v>
      </c>
      <c r="N295">
        <f t="shared" si="1"/>
        <v>3</v>
      </c>
      <c r="O295">
        <f t="shared" si="1"/>
        <v>3</v>
      </c>
      <c r="P295">
        <f t="shared" si="1"/>
        <v>3</v>
      </c>
      <c r="Q295">
        <f t="shared" si="1"/>
        <v>3</v>
      </c>
      <c r="R295">
        <f t="shared" si="1"/>
        <v>3</v>
      </c>
      <c r="S295">
        <f t="shared" si="1"/>
        <v>3</v>
      </c>
      <c r="T295">
        <f t="shared" si="1"/>
        <v>18</v>
      </c>
    </row>
    <row r="296" spans="1:20" x14ac:dyDescent="0.25">
      <c r="A296" t="s">
        <v>315</v>
      </c>
      <c r="B296">
        <f t="shared" ref="B296:T296" si="2">(B294/289)</f>
        <v>3.2802768166089966</v>
      </c>
      <c r="C296">
        <f t="shared" si="2"/>
        <v>3.0657439446366781</v>
      </c>
      <c r="D296">
        <f t="shared" si="2"/>
        <v>3.1349480968858132</v>
      </c>
      <c r="E296">
        <f t="shared" si="2"/>
        <v>2.9619377162629759</v>
      </c>
      <c r="F296">
        <f t="shared" si="2"/>
        <v>2.9515570934256057</v>
      </c>
      <c r="G296">
        <f t="shared" si="2"/>
        <v>3.0173010380622838</v>
      </c>
      <c r="H296">
        <f t="shared" si="2"/>
        <v>2.9515570934256057</v>
      </c>
      <c r="I296">
        <f t="shared" si="2"/>
        <v>3.1972318339100347</v>
      </c>
      <c r="J296">
        <f t="shared" si="2"/>
        <v>2.9861591695501728</v>
      </c>
      <c r="K296">
        <f t="shared" si="2"/>
        <v>3.0069204152249136</v>
      </c>
      <c r="L296">
        <f t="shared" si="2"/>
        <v>3.0761245674740483</v>
      </c>
      <c r="M296">
        <f t="shared" si="2"/>
        <v>3.0692041522491351</v>
      </c>
      <c r="N296">
        <f t="shared" si="2"/>
        <v>2.8858131487889271</v>
      </c>
      <c r="O296">
        <f t="shared" si="2"/>
        <v>3.0449826989619377</v>
      </c>
      <c r="P296">
        <f t="shared" si="2"/>
        <v>2.9204152249134947</v>
      </c>
      <c r="Q296">
        <f t="shared" si="2"/>
        <v>3.0207612456747404</v>
      </c>
      <c r="R296">
        <f t="shared" si="2"/>
        <v>2.7750865051903113</v>
      </c>
      <c r="S296">
        <f t="shared" si="2"/>
        <v>3.0934256055363321</v>
      </c>
      <c r="T296">
        <f t="shared" si="2"/>
        <v>45.94809688581315</v>
      </c>
    </row>
    <row r="297" spans="1:20" x14ac:dyDescent="0.25">
      <c r="A297" t="s">
        <v>316</v>
      </c>
      <c r="B297">
        <f t="shared" ref="B297:T297" si="3">MEDIAN(B5:B293)</f>
        <v>3</v>
      </c>
      <c r="C297">
        <f t="shared" si="3"/>
        <v>3</v>
      </c>
      <c r="D297">
        <f t="shared" si="3"/>
        <v>3</v>
      </c>
      <c r="E297">
        <f t="shared" si="3"/>
        <v>3</v>
      </c>
      <c r="F297">
        <f t="shared" si="3"/>
        <v>3</v>
      </c>
      <c r="G297">
        <f t="shared" si="3"/>
        <v>3</v>
      </c>
      <c r="H297">
        <f t="shared" si="3"/>
        <v>3</v>
      </c>
      <c r="I297">
        <f t="shared" si="3"/>
        <v>3</v>
      </c>
      <c r="J297">
        <f t="shared" si="3"/>
        <v>3</v>
      </c>
      <c r="K297">
        <f t="shared" si="3"/>
        <v>3</v>
      </c>
      <c r="L297">
        <f t="shared" si="3"/>
        <v>3</v>
      </c>
      <c r="M297">
        <f t="shared" si="3"/>
        <v>3</v>
      </c>
      <c r="N297">
        <f t="shared" si="3"/>
        <v>3</v>
      </c>
      <c r="O297">
        <f t="shared" si="3"/>
        <v>3</v>
      </c>
      <c r="P297">
        <f t="shared" si="3"/>
        <v>3</v>
      </c>
      <c r="Q297">
        <f t="shared" si="3"/>
        <v>3</v>
      </c>
      <c r="R297">
        <f t="shared" si="3"/>
        <v>3</v>
      </c>
      <c r="S297">
        <f t="shared" si="3"/>
        <v>3</v>
      </c>
      <c r="T297">
        <f t="shared" si="3"/>
        <v>45</v>
      </c>
    </row>
    <row r="298" spans="1:20" x14ac:dyDescent="0.25">
      <c r="A298" t="s">
        <v>317</v>
      </c>
      <c r="B298">
        <f t="shared" ref="B298:T298" si="4">ROUND(STDEV(B5:B293),2)</f>
        <v>0.72</v>
      </c>
      <c r="C298">
        <f t="shared" si="4"/>
        <v>0.76</v>
      </c>
      <c r="D298">
        <f t="shared" si="4"/>
        <v>0.75</v>
      </c>
      <c r="E298">
        <f t="shared" si="4"/>
        <v>0.81</v>
      </c>
      <c r="F298">
        <f t="shared" si="4"/>
        <v>0.75</v>
      </c>
      <c r="G298">
        <f t="shared" si="4"/>
        <v>0.77</v>
      </c>
      <c r="H298">
        <f t="shared" si="4"/>
        <v>0.77</v>
      </c>
      <c r="I298">
        <f t="shared" si="4"/>
        <v>0.76</v>
      </c>
      <c r="J298">
        <f t="shared" si="4"/>
        <v>0.78</v>
      </c>
      <c r="K298">
        <f t="shared" si="4"/>
        <v>0.76</v>
      </c>
      <c r="L298">
        <f t="shared" si="4"/>
        <v>0.78</v>
      </c>
      <c r="M298">
        <f t="shared" si="4"/>
        <v>0.74</v>
      </c>
      <c r="N298">
        <f t="shared" si="4"/>
        <v>0.82</v>
      </c>
      <c r="O298">
        <f t="shared" si="4"/>
        <v>0.76</v>
      </c>
      <c r="P298">
        <f t="shared" si="4"/>
        <v>0.8</v>
      </c>
      <c r="Q298">
        <f t="shared" si="4"/>
        <v>0.75</v>
      </c>
      <c r="R298">
        <f t="shared" si="4"/>
        <v>0.79</v>
      </c>
      <c r="S298">
        <f t="shared" si="4"/>
        <v>0.8</v>
      </c>
      <c r="T298">
        <f t="shared" si="4"/>
        <v>19.57</v>
      </c>
    </row>
    <row r="299" spans="1:20" x14ac:dyDescent="0.25">
      <c r="A299" t="s">
        <v>318</v>
      </c>
      <c r="B299" s="2">
        <f t="shared" ref="B299:T299" si="5">(B298/B296)</f>
        <v>0.21949367088607594</v>
      </c>
      <c r="C299" s="2">
        <f t="shared" si="5"/>
        <v>0.24790067720090295</v>
      </c>
      <c r="D299" s="2">
        <f t="shared" si="5"/>
        <v>0.23923841059602649</v>
      </c>
      <c r="E299" s="2">
        <f t="shared" si="5"/>
        <v>0.27346962616822429</v>
      </c>
      <c r="F299" s="2">
        <f t="shared" si="5"/>
        <v>0.25410316529894489</v>
      </c>
      <c r="G299" s="2">
        <f t="shared" si="5"/>
        <v>0.25519495412844034</v>
      </c>
      <c r="H299" s="2">
        <f t="shared" si="5"/>
        <v>0.26087924970691678</v>
      </c>
      <c r="I299" s="2">
        <f t="shared" si="5"/>
        <v>0.2377056277056277</v>
      </c>
      <c r="J299" s="2">
        <f t="shared" si="5"/>
        <v>0.26120509849362689</v>
      </c>
      <c r="K299" s="2">
        <f t="shared" si="5"/>
        <v>0.25275028768699653</v>
      </c>
      <c r="L299" s="2">
        <f t="shared" si="5"/>
        <v>0.25356580427446573</v>
      </c>
      <c r="M299" s="2">
        <f t="shared" si="5"/>
        <v>0.24110484780157834</v>
      </c>
      <c r="N299" s="2">
        <f t="shared" si="5"/>
        <v>0.28414868105515589</v>
      </c>
      <c r="O299" s="2">
        <f t="shared" si="5"/>
        <v>0.24959090909090909</v>
      </c>
      <c r="P299" s="2">
        <f t="shared" si="5"/>
        <v>0.27393364928909958</v>
      </c>
      <c r="Q299" s="2">
        <f t="shared" si="5"/>
        <v>0.24828178694158076</v>
      </c>
      <c r="R299" s="2">
        <f t="shared" si="5"/>
        <v>0.28467581047381546</v>
      </c>
      <c r="S299" s="2">
        <f t="shared" si="5"/>
        <v>0.25861297539149891</v>
      </c>
      <c r="T299" s="2">
        <f t="shared" si="5"/>
        <v>0.42591535507191808</v>
      </c>
    </row>
    <row r="300" spans="1:20" x14ac:dyDescent="0.25">
      <c r="A300" t="s">
        <v>319</v>
      </c>
      <c r="B300">
        <f>COUNTIF($B$5:$B$293,$A1289)</f>
        <v>1</v>
      </c>
      <c r="C300">
        <f>COUNTIF($C$5:$C$293,$A1289)</f>
        <v>4</v>
      </c>
      <c r="D300">
        <f>COUNTIF($D$5:$D$293,$A1289)</f>
        <v>3</v>
      </c>
      <c r="E300">
        <f>COUNTIF($E$5:$E$293,$A1289)</f>
        <v>6</v>
      </c>
      <c r="F300">
        <f>COUNTIF($F$5:$F$293,$A1289)</f>
        <v>3</v>
      </c>
      <c r="G300">
        <f>COUNTIF($G$5:$G$293,$A1289)</f>
        <v>4</v>
      </c>
      <c r="H300">
        <f>COUNTIF($H$5:$H$293,$A1289)</f>
        <v>4</v>
      </c>
      <c r="I300">
        <f>COUNTIF($I$5:$I$293,$A1289)</f>
        <v>2</v>
      </c>
      <c r="J300">
        <f>COUNTIF($J$5:$J$293,$A1289)</f>
        <v>4</v>
      </c>
      <c r="K300">
        <f>COUNTIF($K$5:$K$293,$A1289)</f>
        <v>3</v>
      </c>
      <c r="L300">
        <f>COUNTIF($L$5:$L$293,$A1289)</f>
        <v>4</v>
      </c>
      <c r="M300">
        <f>COUNTIF($M$5:$M$293,$A1289)</f>
        <v>2</v>
      </c>
      <c r="N300">
        <f>COUNTIF($N$5:$N$293,$A1289)</f>
        <v>8</v>
      </c>
      <c r="O300">
        <f>COUNTIF($O$5:$O$293,$A1289)</f>
        <v>2</v>
      </c>
      <c r="P300">
        <f>COUNTIF($P$5:$P$293,$A1289)</f>
        <v>7</v>
      </c>
      <c r="Q300">
        <f>COUNTIF($Q$5:$Q$293,$A1289)</f>
        <v>4</v>
      </c>
      <c r="R300">
        <f>COUNTIF($R$5:$R$293,$A1289)</f>
        <v>9</v>
      </c>
      <c r="S300">
        <f>COUNTIF($S$5:$S$293,$A1289)</f>
        <v>4</v>
      </c>
    </row>
    <row r="301" spans="1:20" x14ac:dyDescent="0.25">
      <c r="A301" t="s">
        <v>320</v>
      </c>
      <c r="B301">
        <f>COUNTIF($B$5:$B$293,$A1290)</f>
        <v>34</v>
      </c>
      <c r="C301">
        <f>COUNTIF($C$5:$C$293,$A1290)</f>
        <v>57</v>
      </c>
      <c r="D301">
        <f>COUNTIF($D$5:$D$293,$A1290)</f>
        <v>47</v>
      </c>
      <c r="E301">
        <f>COUNTIF($E$5:$E$293,$A1290)</f>
        <v>75</v>
      </c>
      <c r="F301">
        <f>COUNTIF($F$5:$F$293,$A1290)</f>
        <v>76</v>
      </c>
      <c r="G301">
        <f>COUNTIF($G$5:$G$293,$A1290)</f>
        <v>64</v>
      </c>
      <c r="H301">
        <f>COUNTIF($H$5:$H$293,$A1290)</f>
        <v>74</v>
      </c>
      <c r="I301">
        <f>COUNTIF($I$5:$I$293,$A1290)</f>
        <v>44</v>
      </c>
      <c r="J301">
        <f>COUNTIF($J$5:$J$293,$A1290)</f>
        <v>73</v>
      </c>
      <c r="K301">
        <f>COUNTIF($K$5:$K$293,$A1290)</f>
        <v>69</v>
      </c>
      <c r="L301">
        <f>COUNTIF($L$5:$L$293,$A1290)</f>
        <v>58</v>
      </c>
      <c r="M301">
        <f>COUNTIF($M$5:$M$293,$A1290)</f>
        <v>58</v>
      </c>
      <c r="N301">
        <f>COUNTIF($N$5:$N$293,$A1290)</f>
        <v>85</v>
      </c>
      <c r="O301">
        <f>COUNTIF($O$5:$O$293,$A1290)</f>
        <v>64</v>
      </c>
      <c r="P301">
        <f>COUNTIF($P$5:$P$293,$A1290)</f>
        <v>77</v>
      </c>
      <c r="Q301">
        <f>COUNTIF($Q$5:$Q$293,$A1290)</f>
        <v>59</v>
      </c>
      <c r="R301">
        <f>COUNTIF($R$5:$R$293,$A1290)</f>
        <v>97</v>
      </c>
      <c r="S301">
        <f>COUNTIF($S$5:$S$293,$A1290)</f>
        <v>58</v>
      </c>
    </row>
    <row r="302" spans="1:20" x14ac:dyDescent="0.25">
      <c r="A302" t="s">
        <v>321</v>
      </c>
      <c r="B302">
        <f>COUNTIF($B$5:$B$293,$A1291)</f>
        <v>146</v>
      </c>
      <c r="C302">
        <f>COUNTIF($C$5:$C$293,$A1291)</f>
        <v>150</v>
      </c>
      <c r="D302">
        <f>COUNTIF($D$5:$D$293,$A1291)</f>
        <v>155</v>
      </c>
      <c r="E302">
        <f>COUNTIF($E$5:$E$293,$A1291)</f>
        <v>140</v>
      </c>
      <c r="F302">
        <f>COUNTIF($F$5:$F$293,$A1291)</f>
        <v>145</v>
      </c>
      <c r="G302">
        <f>COUNTIF($G$5:$G$293,$A1291)</f>
        <v>151</v>
      </c>
      <c r="H302">
        <f>COUNTIF($H$5:$H$293,$A1291)</f>
        <v>150</v>
      </c>
      <c r="I302">
        <f>COUNTIF($I$5:$I$293,$A1291)</f>
        <v>148</v>
      </c>
      <c r="J302">
        <f>COUNTIF($J$5:$J$293,$A1291)</f>
        <v>140</v>
      </c>
      <c r="K302">
        <f>COUNTIF($K$5:$K$293,$A1291)</f>
        <v>145</v>
      </c>
      <c r="L302">
        <f>COUNTIF($L$5:$L$293,$A1291)</f>
        <v>147</v>
      </c>
      <c r="M302">
        <f>COUNTIF($M$5:$M$293,$A1291)</f>
        <v>152</v>
      </c>
      <c r="N302">
        <f>COUNTIF($N$5:$N$293,$A1291)</f>
        <v>135</v>
      </c>
      <c r="O302">
        <f>COUNTIF($O$5:$O$293,$A1291)</f>
        <v>150</v>
      </c>
      <c r="P302">
        <f>COUNTIF($P$5:$P$293,$A1291)</f>
        <v>143</v>
      </c>
      <c r="Q302">
        <f>COUNTIF($Q$5:$Q$293,$A1291)</f>
        <v>159</v>
      </c>
      <c r="R302">
        <f>COUNTIF($R$5:$R$293,$A1291)</f>
        <v>138</v>
      </c>
      <c r="S302">
        <f>COUNTIF($S$5:$S$293,$A1291)</f>
        <v>143</v>
      </c>
    </row>
    <row r="303" spans="1:20" x14ac:dyDescent="0.25">
      <c r="A303" t="s">
        <v>322</v>
      </c>
      <c r="B303">
        <f>COUNTIF($B$5:$B$293,$A1292)</f>
        <v>99</v>
      </c>
      <c r="C303">
        <f>COUNTIF($C$5:$C$293,$A1292)</f>
        <v>72</v>
      </c>
      <c r="D303">
        <f>COUNTIF($D$5:$D$293,$A1292)</f>
        <v>76</v>
      </c>
      <c r="E303">
        <f>COUNTIF($E$5:$E$293,$A1292)</f>
        <v>60</v>
      </c>
      <c r="F303">
        <f>COUNTIF($F$5:$F$293,$A1292)</f>
        <v>62</v>
      </c>
      <c r="G303">
        <f>COUNTIF($G$5:$G$293,$A1292)</f>
        <v>63</v>
      </c>
      <c r="H303">
        <f>COUNTIF($H$5:$H$293,$A1292)</f>
        <v>54</v>
      </c>
      <c r="I303">
        <f>COUNTIF($I$5:$I$293,$A1292)</f>
        <v>85</v>
      </c>
      <c r="J303">
        <f>COUNTIF($J$5:$J$293,$A1292)</f>
        <v>67</v>
      </c>
      <c r="K303">
        <f>COUNTIF($K$5:$K$293,$A1292)</f>
        <v>67</v>
      </c>
      <c r="L303">
        <f>COUNTIF($L$5:$L$293,$A1292)</f>
        <v>72</v>
      </c>
      <c r="M303">
        <f>COUNTIF($M$5:$M$293,$A1292)</f>
        <v>72</v>
      </c>
      <c r="N303">
        <f>COUNTIF($N$5:$N$293,$A1292)</f>
        <v>54</v>
      </c>
      <c r="O303">
        <f>COUNTIF($O$5:$O$293,$A1292)</f>
        <v>65</v>
      </c>
      <c r="P303">
        <f>COUNTIF($P$5:$P$293,$A1292)</f>
        <v>56</v>
      </c>
      <c r="Q303">
        <f>COUNTIF($Q$5:$Q$293,$A1292)</f>
        <v>61</v>
      </c>
      <c r="R303">
        <f>COUNTIF($R$5:$R$293,$A1292)</f>
        <v>40</v>
      </c>
      <c r="S303">
        <f>COUNTIF($S$5:$S$293,$A1292)</f>
        <v>75</v>
      </c>
    </row>
    <row r="304" spans="1:20" x14ac:dyDescent="0.25">
      <c r="A304" t="s">
        <v>323</v>
      </c>
      <c r="B304">
        <f>COUNTIF($B$5:$B$293,$A1293)</f>
        <v>9</v>
      </c>
      <c r="C304">
        <f>COUNTIF($C$5:$C$293,$A1293)</f>
        <v>6</v>
      </c>
      <c r="D304">
        <f>COUNTIF($D$5:$D$293,$A1293)</f>
        <v>8</v>
      </c>
      <c r="E304">
        <f>COUNTIF($E$5:$E$293,$A1293)</f>
        <v>8</v>
      </c>
      <c r="F304">
        <f>COUNTIF($F$5:$F$293,$A1293)</f>
        <v>3</v>
      </c>
      <c r="G304">
        <f>COUNTIF($G$5:$G$293,$A1293)</f>
        <v>7</v>
      </c>
      <c r="H304">
        <f>COUNTIF($H$5:$H$293,$A1293)</f>
        <v>7</v>
      </c>
      <c r="I304">
        <f>COUNTIF($I$5:$I$293,$A1293)</f>
        <v>10</v>
      </c>
      <c r="J304">
        <f>COUNTIF($J$5:$J$293,$A1293)</f>
        <v>5</v>
      </c>
      <c r="K304">
        <f>COUNTIF($K$5:$K$293,$A1293)</f>
        <v>5</v>
      </c>
      <c r="L304">
        <f>COUNTIF($L$5:$L$293,$A1293)</f>
        <v>8</v>
      </c>
      <c r="M304">
        <f>COUNTIF($M$5:$M$293,$A1293)</f>
        <v>5</v>
      </c>
      <c r="N304">
        <f>COUNTIF($N$5:$N$293,$A1293)</f>
        <v>7</v>
      </c>
      <c r="O304">
        <f>COUNTIF($O$5:$O$293,$A1293)</f>
        <v>8</v>
      </c>
      <c r="P304">
        <f>COUNTIF($P$5:$P$293,$A1293)</f>
        <v>6</v>
      </c>
      <c r="Q304">
        <f>COUNTIF($Q$5:$Q$293,$A1293)</f>
        <v>6</v>
      </c>
      <c r="R304">
        <f>COUNTIF($R$5:$R$293,$A1293)</f>
        <v>5</v>
      </c>
      <c r="S304">
        <f>COUNTIF($S$5:$S$293,$A1293)</f>
        <v>9</v>
      </c>
    </row>
    <row r="305" spans="1:19" x14ac:dyDescent="0.25">
      <c r="A305" t="s">
        <v>4</v>
      </c>
      <c r="B305">
        <f>SUM($B300:$B304)</f>
        <v>289</v>
      </c>
      <c r="C305">
        <f>SUM($C300:$C304)</f>
        <v>289</v>
      </c>
      <c r="D305">
        <f>SUM($D300:$D304)</f>
        <v>289</v>
      </c>
      <c r="E305">
        <f>SUM($E300:$E304)</f>
        <v>289</v>
      </c>
      <c r="F305">
        <f>SUM($F300:$F304)</f>
        <v>289</v>
      </c>
      <c r="G305">
        <f>SUM($G300:$G304)</f>
        <v>289</v>
      </c>
      <c r="H305">
        <f>SUM($H300:$H304)</f>
        <v>289</v>
      </c>
      <c r="I305">
        <f>SUM($I300:$I304)</f>
        <v>289</v>
      </c>
      <c r="J305">
        <f>SUM($J300:$J304)</f>
        <v>289</v>
      </c>
      <c r="K305">
        <f>SUM($K300:$K304)</f>
        <v>289</v>
      </c>
      <c r="L305">
        <f>SUM($L300:$L304)</f>
        <v>289</v>
      </c>
      <c r="M305">
        <f>SUM($M300:$M304)</f>
        <v>289</v>
      </c>
      <c r="N305">
        <f>SUM($N300:$N304)</f>
        <v>289</v>
      </c>
      <c r="O305">
        <f>SUM($O300:$O304)</f>
        <v>289</v>
      </c>
      <c r="P305">
        <f>SUM($P300:$P304)</f>
        <v>289</v>
      </c>
      <c r="Q305">
        <f>SUM($Q300:$Q304)</f>
        <v>289</v>
      </c>
      <c r="R305">
        <f>SUM($R300:$R304)</f>
        <v>289</v>
      </c>
      <c r="S305">
        <f>SUM($S300:$S304)</f>
        <v>289</v>
      </c>
    </row>
    <row r="306" spans="1:19" x14ac:dyDescent="0.25">
      <c r="A306" t="s">
        <v>324</v>
      </c>
      <c r="B306" s="2">
        <f>($B300/$B305)</f>
        <v>3.4602076124567475E-3</v>
      </c>
      <c r="C306" s="2">
        <f>($C300/$C305)</f>
        <v>1.384083044982699E-2</v>
      </c>
      <c r="D306" s="2">
        <f>($D300/$D305)</f>
        <v>1.0380622837370242E-2</v>
      </c>
      <c r="E306" s="2">
        <f>($E300/$E305)</f>
        <v>2.0761245674740483E-2</v>
      </c>
      <c r="F306" s="2">
        <f>($F300/$F305)</f>
        <v>1.0380622837370242E-2</v>
      </c>
      <c r="G306" s="2">
        <f>($G300/$G305)</f>
        <v>1.384083044982699E-2</v>
      </c>
      <c r="H306" s="2">
        <f>($H300/$H305)</f>
        <v>1.384083044982699E-2</v>
      </c>
      <c r="I306" s="2">
        <f>($I300/$I305)</f>
        <v>6.920415224913495E-3</v>
      </c>
      <c r="J306" s="2">
        <f>($J300/$J305)</f>
        <v>1.384083044982699E-2</v>
      </c>
      <c r="K306" s="2">
        <f>($K300/$K305)</f>
        <v>1.0380622837370242E-2</v>
      </c>
      <c r="L306" s="2">
        <f>($L300/$L305)</f>
        <v>1.384083044982699E-2</v>
      </c>
      <c r="M306" s="2">
        <f>($M300/$M305)</f>
        <v>6.920415224913495E-3</v>
      </c>
      <c r="N306" s="2">
        <f>($N300/$N305)</f>
        <v>2.768166089965398E-2</v>
      </c>
      <c r="O306" s="2">
        <f>($O300/$O305)</f>
        <v>6.920415224913495E-3</v>
      </c>
      <c r="P306" s="2">
        <f>($P300/$P305)</f>
        <v>2.4221453287197232E-2</v>
      </c>
      <c r="Q306" s="2">
        <f>($Q300/$Q305)</f>
        <v>1.384083044982699E-2</v>
      </c>
      <c r="R306" s="2">
        <f>($R300/$R305)</f>
        <v>3.1141868512110725E-2</v>
      </c>
      <c r="S306" s="2">
        <f>($S300/$S305)</f>
        <v>1.384083044982699E-2</v>
      </c>
    </row>
    <row r="307" spans="1:19" x14ac:dyDescent="0.25">
      <c r="A307" t="s">
        <v>325</v>
      </c>
      <c r="B307" s="2">
        <f>($B301/$B305)</f>
        <v>0.11764705882352941</v>
      </c>
      <c r="C307" s="2">
        <f>($C301/$C305)</f>
        <v>0.1972318339100346</v>
      </c>
      <c r="D307" s="2">
        <f>($D301/$D305)</f>
        <v>0.16262975778546712</v>
      </c>
      <c r="E307" s="2">
        <f>($E301/$E305)</f>
        <v>0.25951557093425603</v>
      </c>
      <c r="F307" s="2">
        <f>($F301/$F305)</f>
        <v>0.26297577854671278</v>
      </c>
      <c r="G307" s="2">
        <f>($G301/$G305)</f>
        <v>0.22145328719723184</v>
      </c>
      <c r="H307" s="2">
        <f>($H301/$H305)</f>
        <v>0.25605536332179929</v>
      </c>
      <c r="I307" s="2">
        <f>($I301/$I305)</f>
        <v>0.15224913494809689</v>
      </c>
      <c r="J307" s="2">
        <f>($J301/$J305)</f>
        <v>0.25259515570934254</v>
      </c>
      <c r="K307" s="2">
        <f>($K301/$K305)</f>
        <v>0.23875432525951557</v>
      </c>
      <c r="L307" s="2">
        <f>($L301/$L305)</f>
        <v>0.20069204152249134</v>
      </c>
      <c r="M307" s="2">
        <f>($M301/$M305)</f>
        <v>0.20069204152249134</v>
      </c>
      <c r="N307" s="2">
        <f>($N301/$N305)</f>
        <v>0.29411764705882354</v>
      </c>
      <c r="O307" s="2">
        <f>($O301/$O305)</f>
        <v>0.22145328719723184</v>
      </c>
      <c r="P307" s="2">
        <f>($P301/$P305)</f>
        <v>0.26643598615916952</v>
      </c>
      <c r="Q307" s="2">
        <f>($Q301/$Q305)</f>
        <v>0.20415224913494809</v>
      </c>
      <c r="R307" s="2">
        <f>($R301/$R305)</f>
        <v>0.33564013840830448</v>
      </c>
      <c r="S307" s="2">
        <f>($S301/$S305)</f>
        <v>0.20069204152249134</v>
      </c>
    </row>
    <row r="308" spans="1:19" x14ac:dyDescent="0.25">
      <c r="A308" t="s">
        <v>326</v>
      </c>
      <c r="B308" s="2">
        <f>($B302/$B305)</f>
        <v>0.50519031141868509</v>
      </c>
      <c r="C308" s="2">
        <f>($C302/$C305)</f>
        <v>0.51903114186851207</v>
      </c>
      <c r="D308" s="2">
        <f>($D302/$D305)</f>
        <v>0.53633217993079585</v>
      </c>
      <c r="E308" s="2">
        <f>($E302/$E305)</f>
        <v>0.48442906574394462</v>
      </c>
      <c r="F308" s="2">
        <f>($F302/$F305)</f>
        <v>0.5017301038062284</v>
      </c>
      <c r="G308" s="2">
        <f>($G302/$G305)</f>
        <v>0.52249134948096887</v>
      </c>
      <c r="H308" s="2">
        <f>($H302/$H305)</f>
        <v>0.51903114186851207</v>
      </c>
      <c r="I308" s="2">
        <f>($I302/$I305)</f>
        <v>0.51211072664359858</v>
      </c>
      <c r="J308" s="2">
        <f>($J302/$J305)</f>
        <v>0.48442906574394462</v>
      </c>
      <c r="K308" s="2">
        <f>($K302/$K305)</f>
        <v>0.5017301038062284</v>
      </c>
      <c r="L308" s="2">
        <f>($L302/$L305)</f>
        <v>0.50865051903114189</v>
      </c>
      <c r="M308" s="2">
        <f>($M302/$M305)</f>
        <v>0.52595155709342556</v>
      </c>
      <c r="N308" s="2">
        <f>($N302/$N305)</f>
        <v>0.4671280276816609</v>
      </c>
      <c r="O308" s="2">
        <f>($O302/$O305)</f>
        <v>0.51903114186851207</v>
      </c>
      <c r="P308" s="2">
        <f>($P302/$P305)</f>
        <v>0.49480968858131485</v>
      </c>
      <c r="Q308" s="2">
        <f>($Q302/$Q305)</f>
        <v>0.55017301038062283</v>
      </c>
      <c r="R308" s="2">
        <f>($R302/$R305)</f>
        <v>0.47750865051903113</v>
      </c>
      <c r="S308" s="2">
        <f>($S302/$S305)</f>
        <v>0.49480968858131485</v>
      </c>
    </row>
    <row r="309" spans="1:19" x14ac:dyDescent="0.25">
      <c r="A309" t="s">
        <v>327</v>
      </c>
      <c r="B309" s="2">
        <f>($B303/$B305)</f>
        <v>0.34256055363321797</v>
      </c>
      <c r="C309" s="2">
        <f>($C303/$C305)</f>
        <v>0.2491349480968858</v>
      </c>
      <c r="D309" s="2">
        <f>($D303/$D305)</f>
        <v>0.26297577854671278</v>
      </c>
      <c r="E309" s="2">
        <f>($E303/$E305)</f>
        <v>0.20761245674740483</v>
      </c>
      <c r="F309" s="2">
        <f>($F303/$F305)</f>
        <v>0.21453287197231835</v>
      </c>
      <c r="G309" s="2">
        <f>($G303/$G305)</f>
        <v>0.2179930795847751</v>
      </c>
      <c r="H309" s="2">
        <f>($H303/$H305)</f>
        <v>0.18685121107266436</v>
      </c>
      <c r="I309" s="2">
        <f>($I303/$I305)</f>
        <v>0.29411764705882354</v>
      </c>
      <c r="J309" s="2">
        <f>($J303/$J305)</f>
        <v>0.23183391003460208</v>
      </c>
      <c r="K309" s="2">
        <f>($K303/$K305)</f>
        <v>0.23183391003460208</v>
      </c>
      <c r="L309" s="2">
        <f>($L303/$L305)</f>
        <v>0.2491349480968858</v>
      </c>
      <c r="M309" s="2">
        <f>($M303/$M305)</f>
        <v>0.2491349480968858</v>
      </c>
      <c r="N309" s="2">
        <f>($N303/$N305)</f>
        <v>0.18685121107266436</v>
      </c>
      <c r="O309" s="2">
        <f>($O303/$O305)</f>
        <v>0.22491349480968859</v>
      </c>
      <c r="P309" s="2">
        <f>($P303/$P305)</f>
        <v>0.19377162629757785</v>
      </c>
      <c r="Q309" s="2">
        <f>($Q303/$Q305)</f>
        <v>0.21107266435986158</v>
      </c>
      <c r="R309" s="2">
        <f>($R303/$R305)</f>
        <v>0.13840830449826991</v>
      </c>
      <c r="S309" s="2">
        <f>($S303/$S305)</f>
        <v>0.25951557093425603</v>
      </c>
    </row>
    <row r="310" spans="1:19" x14ac:dyDescent="0.25">
      <c r="A310" t="s">
        <v>328</v>
      </c>
      <c r="B310" s="2">
        <f>($B304/$B305)</f>
        <v>3.1141868512110725E-2</v>
      </c>
      <c r="C310" s="2">
        <f>($C304/$C305)</f>
        <v>2.0761245674740483E-2</v>
      </c>
      <c r="D310" s="2">
        <f>($D304/$D305)</f>
        <v>2.768166089965398E-2</v>
      </c>
      <c r="E310" s="2">
        <f>($E304/$E305)</f>
        <v>2.768166089965398E-2</v>
      </c>
      <c r="F310" s="2">
        <f>($F304/$F305)</f>
        <v>1.0380622837370242E-2</v>
      </c>
      <c r="G310" s="2">
        <f>($G304/$G305)</f>
        <v>2.4221453287197232E-2</v>
      </c>
      <c r="H310" s="2">
        <f>($H304/$H305)</f>
        <v>2.4221453287197232E-2</v>
      </c>
      <c r="I310" s="2">
        <f>($I304/$I305)</f>
        <v>3.4602076124567477E-2</v>
      </c>
      <c r="J310" s="2">
        <f>($J304/$J305)</f>
        <v>1.7301038062283738E-2</v>
      </c>
      <c r="K310" s="2">
        <f>($K304/$K305)</f>
        <v>1.7301038062283738E-2</v>
      </c>
      <c r="L310" s="2">
        <f>($L304/$L305)</f>
        <v>2.768166089965398E-2</v>
      </c>
      <c r="M310" s="2">
        <f>($M304/$M305)</f>
        <v>1.7301038062283738E-2</v>
      </c>
      <c r="N310" s="2">
        <f>($N304/$N305)</f>
        <v>2.4221453287197232E-2</v>
      </c>
      <c r="O310" s="2">
        <f>($O304/$O305)</f>
        <v>2.768166089965398E-2</v>
      </c>
      <c r="P310" s="2">
        <f>($P304/$P305)</f>
        <v>2.0761245674740483E-2</v>
      </c>
      <c r="Q310" s="2">
        <f>($Q304/$Q305)</f>
        <v>2.0761245674740483E-2</v>
      </c>
      <c r="R310" s="2">
        <f>($R304/$R305)</f>
        <v>1.7301038062283738E-2</v>
      </c>
      <c r="S310" s="2">
        <f>($S304/$S305)</f>
        <v>3.1141868512110725E-2</v>
      </c>
    </row>
    <row r="311" spans="1:19" x14ac:dyDescent="0.25">
      <c r="A311" t="s">
        <v>329</v>
      </c>
      <c r="B311" s="2">
        <f>SUM($B306:$B310)</f>
        <v>1</v>
      </c>
      <c r="C311" s="2">
        <f>SUM($C306:$C310)</f>
        <v>0.99999999999999989</v>
      </c>
      <c r="D311" s="2">
        <f>SUM($D306:$D310)</f>
        <v>1</v>
      </c>
      <c r="E311" s="2">
        <f>SUM($E306:$E310)</f>
        <v>0.99999999999999989</v>
      </c>
      <c r="F311" s="2">
        <f>SUM($F306:$F310)</f>
        <v>1</v>
      </c>
      <c r="G311" s="2">
        <f>SUM($G306:$G310)</f>
        <v>1</v>
      </c>
      <c r="H311" s="2">
        <f>SUM($H306:$H310)</f>
        <v>0.99999999999999989</v>
      </c>
      <c r="I311" s="2">
        <f>SUM($I306:$I310)</f>
        <v>0.99999999999999989</v>
      </c>
      <c r="J311" s="2">
        <f>SUM($J306:$J310)</f>
        <v>1</v>
      </c>
      <c r="K311" s="2">
        <f>SUM($K306:$K310)</f>
        <v>1</v>
      </c>
      <c r="L311" s="2">
        <f>SUM($L306:$L310)</f>
        <v>1</v>
      </c>
      <c r="M311" s="2">
        <f>SUM($M306:$M310)</f>
        <v>1</v>
      </c>
      <c r="N311" s="2">
        <f>SUM($N306:$N310)</f>
        <v>1</v>
      </c>
      <c r="O311" s="2">
        <f>SUM($O306:$O310)</f>
        <v>0.99999999999999989</v>
      </c>
      <c r="P311" s="2">
        <f>SUM($P306:$P310)</f>
        <v>0.99999999999999989</v>
      </c>
      <c r="Q311" s="2">
        <f>SUM($Q306:$Q310)</f>
        <v>1</v>
      </c>
      <c r="R311" s="2">
        <f>SUM($R306:$R310)</f>
        <v>1</v>
      </c>
      <c r="S311" s="2">
        <f>SUM($S306:$S310)</f>
        <v>1</v>
      </c>
    </row>
    <row r="1289" spans="1:19" x14ac:dyDescent="0.25">
      <c r="A1289" s="1">
        <v>1</v>
      </c>
    </row>
    <row r="1290" spans="1:19" x14ac:dyDescent="0.25">
      <c r="A1290" s="1">
        <v>2</v>
      </c>
    </row>
    <row r="1291" spans="1:19" x14ac:dyDescent="0.25">
      <c r="A1291" s="1">
        <v>3</v>
      </c>
    </row>
    <row r="1292" spans="1:19" x14ac:dyDescent="0.25">
      <c r="A1292" s="1">
        <v>4</v>
      </c>
    </row>
    <row r="1293" spans="1:19" x14ac:dyDescent="0.25">
      <c r="A1293" s="1">
        <v>5</v>
      </c>
    </row>
    <row r="1294" spans="1:19" x14ac:dyDescent="0.25">
      <c r="B1294">
        <f>SUM($B1289:$B1293)</f>
        <v>0</v>
      </c>
      <c r="C1294">
        <f>SUM($C1289:$C1293)</f>
        <v>0</v>
      </c>
      <c r="D1294">
        <f>SUM($D1289:$D1293)</f>
        <v>0</v>
      </c>
      <c r="E1294">
        <f>SUM($E1289:$E1293)</f>
        <v>0</v>
      </c>
      <c r="F1294">
        <f>SUM($F1289:$F1293)</f>
        <v>0</v>
      </c>
      <c r="G1294">
        <f>SUM($G1289:$G1293)</f>
        <v>0</v>
      </c>
      <c r="H1294">
        <f>SUM($H1289:$H1293)</f>
        <v>0</v>
      </c>
      <c r="I1294">
        <f>SUM($I1289:$I1293)</f>
        <v>0</v>
      </c>
      <c r="J1294">
        <f>SUM($J1289:$J1293)</f>
        <v>0</v>
      </c>
      <c r="K1294">
        <f>SUM($K1289:$K1293)</f>
        <v>0</v>
      </c>
      <c r="L1294">
        <f>SUM($L1289:$L1293)</f>
        <v>0</v>
      </c>
      <c r="M1294">
        <f>SUM($M1289:$M1293)</f>
        <v>0</v>
      </c>
      <c r="N1294">
        <f>SUM($N1289:$N1293)</f>
        <v>0</v>
      </c>
      <c r="O1294">
        <f>SUM($O1289:$O1293)</f>
        <v>0</v>
      </c>
      <c r="P1294">
        <f>SUM($P1289:$P1293)</f>
        <v>0</v>
      </c>
      <c r="Q1294">
        <f>SUM($Q1289:$Q1293)</f>
        <v>0</v>
      </c>
      <c r="R1294">
        <f>SUM($R1289:$R1293)</f>
        <v>0</v>
      </c>
      <c r="S1294">
        <f>SUM($S1289:$S1293)</f>
        <v>0</v>
      </c>
    </row>
    <row r="1295" spans="1:19" x14ac:dyDescent="0.25">
      <c r="B1295" s="2"/>
      <c r="C1295" s="2"/>
      <c r="D1295" s="2"/>
      <c r="E1295" s="2"/>
      <c r="F1295" s="2"/>
      <c r="G1295" s="2"/>
      <c r="H1295" s="2"/>
      <c r="I1295" s="2"/>
      <c r="J1295" s="2"/>
      <c r="K1295" s="2"/>
      <c r="L1295" s="2"/>
      <c r="M1295" s="2"/>
      <c r="N1295" s="2"/>
      <c r="O1295" s="2"/>
      <c r="P1295" s="2"/>
      <c r="Q1295" s="2"/>
      <c r="R1295" s="2"/>
      <c r="S1295" s="2"/>
    </row>
    <row r="1296" spans="1:19" x14ac:dyDescent="0.25">
      <c r="B1296" s="2"/>
      <c r="C1296" s="2"/>
      <c r="D1296" s="2"/>
      <c r="E1296" s="2"/>
      <c r="F1296" s="2"/>
      <c r="G1296" s="2"/>
      <c r="H1296" s="2"/>
      <c r="I1296" s="2"/>
      <c r="J1296" s="2"/>
      <c r="K1296" s="2"/>
      <c r="L1296" s="2"/>
      <c r="M1296" s="2"/>
      <c r="N1296" s="2"/>
      <c r="O1296" s="2"/>
      <c r="P1296" s="2"/>
      <c r="Q1296" s="2"/>
      <c r="R1296" s="2"/>
      <c r="S1296" s="2"/>
    </row>
    <row r="1297" spans="2:19" x14ac:dyDescent="0.25">
      <c r="B1297" s="2"/>
      <c r="C1297" s="2"/>
      <c r="D1297" s="2"/>
      <c r="E1297" s="2"/>
      <c r="F1297" s="2"/>
      <c r="G1297" s="2"/>
      <c r="H1297" s="2"/>
      <c r="I1297" s="2"/>
      <c r="J1297" s="2"/>
      <c r="K1297" s="2"/>
      <c r="L1297" s="2"/>
      <c r="M1297" s="2"/>
      <c r="N1297" s="2"/>
      <c r="O1297" s="2"/>
      <c r="P1297" s="2"/>
      <c r="Q1297" s="2"/>
      <c r="R1297" s="2"/>
      <c r="S1297" s="2"/>
    </row>
    <row r="1298" spans="2:19" x14ac:dyDescent="0.25">
      <c r="B1298" s="2"/>
      <c r="C1298" s="2"/>
      <c r="D1298" s="2"/>
      <c r="E1298" s="2"/>
      <c r="F1298" s="2"/>
      <c r="G1298" s="2"/>
      <c r="H1298" s="2"/>
      <c r="I1298" s="2"/>
      <c r="J1298" s="2"/>
      <c r="K1298" s="2"/>
      <c r="L1298" s="2"/>
      <c r="M1298" s="2"/>
      <c r="N1298" s="2"/>
      <c r="O1298" s="2"/>
      <c r="P1298" s="2"/>
      <c r="Q1298" s="2"/>
      <c r="R1298" s="2"/>
      <c r="S1298" s="2"/>
    </row>
    <row r="1299" spans="2:19" x14ac:dyDescent="0.25">
      <c r="B1299" s="2"/>
      <c r="C1299" s="2"/>
      <c r="D1299" s="2"/>
      <c r="E1299" s="2"/>
      <c r="F1299" s="2"/>
      <c r="G1299" s="2"/>
      <c r="H1299" s="2"/>
      <c r="I1299" s="2"/>
      <c r="J1299" s="2"/>
      <c r="K1299" s="2"/>
      <c r="L1299" s="2"/>
      <c r="M1299" s="2"/>
      <c r="N1299" s="2"/>
      <c r="O1299" s="2"/>
      <c r="P1299" s="2"/>
      <c r="Q1299" s="2"/>
      <c r="R1299" s="2"/>
      <c r="S1299" s="2"/>
    </row>
    <row r="1300" spans="2:19" x14ac:dyDescent="0.25">
      <c r="B1300" s="2">
        <f>SUM($B1295:$B1299)</f>
        <v>0</v>
      </c>
      <c r="C1300" s="2">
        <f>SUM($C1295:$C1299)</f>
        <v>0</v>
      </c>
      <c r="D1300" s="2">
        <f>SUM($D1295:$D1299)</f>
        <v>0</v>
      </c>
      <c r="E1300" s="2">
        <f>SUM($E1295:$E1299)</f>
        <v>0</v>
      </c>
      <c r="F1300" s="2">
        <f>SUM($F1295:$F1299)</f>
        <v>0</v>
      </c>
      <c r="G1300" s="2">
        <f>SUM($G1295:$G1299)</f>
        <v>0</v>
      </c>
      <c r="H1300" s="2">
        <f>SUM($H1295:$H1299)</f>
        <v>0</v>
      </c>
      <c r="I1300" s="2">
        <f>SUM($I1295:$I1299)</f>
        <v>0</v>
      </c>
      <c r="J1300" s="2">
        <f>SUM($J1295:$J1299)</f>
        <v>0</v>
      </c>
      <c r="K1300" s="2">
        <f>SUM($K1295:$K1299)</f>
        <v>0</v>
      </c>
      <c r="L1300" s="2">
        <f>SUM($L1295:$L1299)</f>
        <v>0</v>
      </c>
      <c r="M1300" s="2">
        <f>SUM($M1295:$M1299)</f>
        <v>0</v>
      </c>
      <c r="N1300" s="2">
        <f>SUM($N1295:$N1299)</f>
        <v>0</v>
      </c>
      <c r="O1300" s="2">
        <f>SUM($O1295:$O1299)</f>
        <v>0</v>
      </c>
      <c r="P1300" s="2">
        <f>SUM($P1295:$P1299)</f>
        <v>0</v>
      </c>
      <c r="Q1300" s="2">
        <f>SUM($Q1295:$Q1299)</f>
        <v>0</v>
      </c>
      <c r="R1300" s="2">
        <f>SUM($R1295:$R1299)</f>
        <v>0</v>
      </c>
      <c r="S1300" s="2">
        <f>SUM($S1295:$S1299)</f>
        <v>0</v>
      </c>
    </row>
  </sheetData>
  <sheetProtection formatCells="0" formatColumns="0" formatRows="0" insertColumns="0" insertRows="0" insertHyperlinks="0" deleteColumns="0" deleteRows="0" sort="0" autoFilter="0" pivotTables="0"/>
  <mergeCells count="5804">
    <mergeCell ref="P293"/>
    <mergeCell ref="Q293"/>
    <mergeCell ref="R293"/>
    <mergeCell ref="S293"/>
    <mergeCell ref="T293"/>
    <mergeCell ref="K293"/>
    <mergeCell ref="L293"/>
    <mergeCell ref="M293"/>
    <mergeCell ref="N293"/>
    <mergeCell ref="O293"/>
    <mergeCell ref="F293"/>
    <mergeCell ref="G293"/>
    <mergeCell ref="H293"/>
    <mergeCell ref="I293"/>
    <mergeCell ref="J293"/>
    <mergeCell ref="A293"/>
    <mergeCell ref="B293"/>
    <mergeCell ref="C293"/>
    <mergeCell ref="D293"/>
    <mergeCell ref="E293"/>
    <mergeCell ref="P292"/>
    <mergeCell ref="Q292"/>
    <mergeCell ref="R292"/>
    <mergeCell ref="S292"/>
    <mergeCell ref="T292"/>
    <mergeCell ref="K292"/>
    <mergeCell ref="L292"/>
    <mergeCell ref="M292"/>
    <mergeCell ref="N292"/>
    <mergeCell ref="O292"/>
    <mergeCell ref="F292"/>
    <mergeCell ref="G292"/>
    <mergeCell ref="H292"/>
    <mergeCell ref="I292"/>
    <mergeCell ref="J292"/>
    <mergeCell ref="A292"/>
    <mergeCell ref="B292"/>
    <mergeCell ref="C292"/>
    <mergeCell ref="D292"/>
    <mergeCell ref="E292"/>
    <mergeCell ref="P291"/>
    <mergeCell ref="Q291"/>
    <mergeCell ref="R291"/>
    <mergeCell ref="S291"/>
    <mergeCell ref="T291"/>
    <mergeCell ref="K291"/>
    <mergeCell ref="L291"/>
    <mergeCell ref="M291"/>
    <mergeCell ref="N291"/>
    <mergeCell ref="O291"/>
    <mergeCell ref="F291"/>
    <mergeCell ref="G291"/>
    <mergeCell ref="H291"/>
    <mergeCell ref="I291"/>
    <mergeCell ref="J291"/>
    <mergeCell ref="A291"/>
    <mergeCell ref="B291"/>
    <mergeCell ref="C291"/>
    <mergeCell ref="D291"/>
    <mergeCell ref="E291"/>
    <mergeCell ref="P290"/>
    <mergeCell ref="Q290"/>
    <mergeCell ref="R290"/>
    <mergeCell ref="S290"/>
    <mergeCell ref="T290"/>
    <mergeCell ref="K290"/>
    <mergeCell ref="L290"/>
    <mergeCell ref="M290"/>
    <mergeCell ref="N290"/>
    <mergeCell ref="O290"/>
    <mergeCell ref="F290"/>
    <mergeCell ref="G290"/>
    <mergeCell ref="H290"/>
    <mergeCell ref="I290"/>
    <mergeCell ref="J290"/>
    <mergeCell ref="A290"/>
    <mergeCell ref="B290"/>
    <mergeCell ref="C290"/>
    <mergeCell ref="D290"/>
    <mergeCell ref="E290"/>
    <mergeCell ref="P289"/>
    <mergeCell ref="Q289"/>
    <mergeCell ref="R289"/>
    <mergeCell ref="S289"/>
    <mergeCell ref="T289"/>
    <mergeCell ref="K289"/>
    <mergeCell ref="L289"/>
    <mergeCell ref="M289"/>
    <mergeCell ref="N289"/>
    <mergeCell ref="O289"/>
    <mergeCell ref="F289"/>
    <mergeCell ref="G289"/>
    <mergeCell ref="H289"/>
    <mergeCell ref="I289"/>
    <mergeCell ref="J289"/>
    <mergeCell ref="A289"/>
    <mergeCell ref="B289"/>
    <mergeCell ref="C289"/>
    <mergeCell ref="D289"/>
    <mergeCell ref="E289"/>
    <mergeCell ref="P288"/>
    <mergeCell ref="Q288"/>
    <mergeCell ref="R288"/>
    <mergeCell ref="S288"/>
    <mergeCell ref="T288"/>
    <mergeCell ref="K288"/>
    <mergeCell ref="L288"/>
    <mergeCell ref="M288"/>
    <mergeCell ref="N288"/>
    <mergeCell ref="O288"/>
    <mergeCell ref="F288"/>
    <mergeCell ref="G288"/>
    <mergeCell ref="H288"/>
    <mergeCell ref="I288"/>
    <mergeCell ref="J288"/>
    <mergeCell ref="A288"/>
    <mergeCell ref="B288"/>
    <mergeCell ref="C288"/>
    <mergeCell ref="D288"/>
    <mergeCell ref="E288"/>
    <mergeCell ref="P287"/>
    <mergeCell ref="Q287"/>
    <mergeCell ref="R287"/>
    <mergeCell ref="S287"/>
    <mergeCell ref="T287"/>
    <mergeCell ref="K287"/>
    <mergeCell ref="L287"/>
    <mergeCell ref="M287"/>
    <mergeCell ref="N287"/>
    <mergeCell ref="O287"/>
    <mergeCell ref="F287"/>
    <mergeCell ref="G287"/>
    <mergeCell ref="H287"/>
    <mergeCell ref="I287"/>
    <mergeCell ref="J287"/>
    <mergeCell ref="A287"/>
    <mergeCell ref="B287"/>
    <mergeCell ref="C287"/>
    <mergeCell ref="D287"/>
    <mergeCell ref="E287"/>
    <mergeCell ref="P286"/>
    <mergeCell ref="Q286"/>
    <mergeCell ref="R286"/>
    <mergeCell ref="S286"/>
    <mergeCell ref="T286"/>
    <mergeCell ref="K286"/>
    <mergeCell ref="L286"/>
    <mergeCell ref="M286"/>
    <mergeCell ref="N286"/>
    <mergeCell ref="O286"/>
    <mergeCell ref="F286"/>
    <mergeCell ref="G286"/>
    <mergeCell ref="H286"/>
    <mergeCell ref="I286"/>
    <mergeCell ref="J286"/>
    <mergeCell ref="A286"/>
    <mergeCell ref="B286"/>
    <mergeCell ref="C286"/>
    <mergeCell ref="D286"/>
    <mergeCell ref="E286"/>
    <mergeCell ref="P285"/>
    <mergeCell ref="Q285"/>
    <mergeCell ref="R285"/>
    <mergeCell ref="S285"/>
    <mergeCell ref="T285"/>
    <mergeCell ref="K285"/>
    <mergeCell ref="L285"/>
    <mergeCell ref="M285"/>
    <mergeCell ref="N285"/>
    <mergeCell ref="O285"/>
    <mergeCell ref="F285"/>
    <mergeCell ref="G285"/>
    <mergeCell ref="H285"/>
    <mergeCell ref="I285"/>
    <mergeCell ref="J285"/>
    <mergeCell ref="A285"/>
    <mergeCell ref="B285"/>
    <mergeCell ref="C285"/>
    <mergeCell ref="D285"/>
    <mergeCell ref="E285"/>
    <mergeCell ref="P284"/>
    <mergeCell ref="Q284"/>
    <mergeCell ref="R284"/>
    <mergeCell ref="S284"/>
    <mergeCell ref="T284"/>
    <mergeCell ref="K284"/>
    <mergeCell ref="L284"/>
    <mergeCell ref="M284"/>
    <mergeCell ref="N284"/>
    <mergeCell ref="O284"/>
    <mergeCell ref="F284"/>
    <mergeCell ref="G284"/>
    <mergeCell ref="H284"/>
    <mergeCell ref="I284"/>
    <mergeCell ref="J284"/>
    <mergeCell ref="A284"/>
    <mergeCell ref="B284"/>
    <mergeCell ref="C284"/>
    <mergeCell ref="D284"/>
    <mergeCell ref="E284"/>
    <mergeCell ref="P283"/>
    <mergeCell ref="Q283"/>
    <mergeCell ref="R283"/>
    <mergeCell ref="S283"/>
    <mergeCell ref="T283"/>
    <mergeCell ref="K283"/>
    <mergeCell ref="L283"/>
    <mergeCell ref="M283"/>
    <mergeCell ref="N283"/>
    <mergeCell ref="O283"/>
    <mergeCell ref="F283"/>
    <mergeCell ref="G283"/>
    <mergeCell ref="H283"/>
    <mergeCell ref="I283"/>
    <mergeCell ref="J283"/>
    <mergeCell ref="A283"/>
    <mergeCell ref="B283"/>
    <mergeCell ref="C283"/>
    <mergeCell ref="D283"/>
    <mergeCell ref="E283"/>
    <mergeCell ref="P282"/>
    <mergeCell ref="Q282"/>
    <mergeCell ref="R282"/>
    <mergeCell ref="S282"/>
    <mergeCell ref="T282"/>
    <mergeCell ref="K282"/>
    <mergeCell ref="L282"/>
    <mergeCell ref="M282"/>
    <mergeCell ref="N282"/>
    <mergeCell ref="O282"/>
    <mergeCell ref="F282"/>
    <mergeCell ref="G282"/>
    <mergeCell ref="H282"/>
    <mergeCell ref="I282"/>
    <mergeCell ref="J282"/>
    <mergeCell ref="A282"/>
    <mergeCell ref="B282"/>
    <mergeCell ref="C282"/>
    <mergeCell ref="D282"/>
    <mergeCell ref="E282"/>
    <mergeCell ref="P281"/>
    <mergeCell ref="Q281"/>
    <mergeCell ref="R281"/>
    <mergeCell ref="S281"/>
    <mergeCell ref="T281"/>
    <mergeCell ref="K281"/>
    <mergeCell ref="L281"/>
    <mergeCell ref="M281"/>
    <mergeCell ref="N281"/>
    <mergeCell ref="O281"/>
    <mergeCell ref="F281"/>
    <mergeCell ref="G281"/>
    <mergeCell ref="H281"/>
    <mergeCell ref="I281"/>
    <mergeCell ref="J281"/>
    <mergeCell ref="A281"/>
    <mergeCell ref="B281"/>
    <mergeCell ref="C281"/>
    <mergeCell ref="D281"/>
    <mergeCell ref="E281"/>
    <mergeCell ref="P280"/>
    <mergeCell ref="Q280"/>
    <mergeCell ref="R280"/>
    <mergeCell ref="S280"/>
    <mergeCell ref="T280"/>
    <mergeCell ref="K280"/>
    <mergeCell ref="L280"/>
    <mergeCell ref="M280"/>
    <mergeCell ref="N280"/>
    <mergeCell ref="O280"/>
    <mergeCell ref="F280"/>
    <mergeCell ref="G280"/>
    <mergeCell ref="H280"/>
    <mergeCell ref="I280"/>
    <mergeCell ref="J280"/>
    <mergeCell ref="A280"/>
    <mergeCell ref="B280"/>
    <mergeCell ref="C280"/>
    <mergeCell ref="D280"/>
    <mergeCell ref="E280"/>
    <mergeCell ref="P279"/>
    <mergeCell ref="Q279"/>
    <mergeCell ref="R279"/>
    <mergeCell ref="S279"/>
    <mergeCell ref="T279"/>
    <mergeCell ref="K279"/>
    <mergeCell ref="L279"/>
    <mergeCell ref="M279"/>
    <mergeCell ref="N279"/>
    <mergeCell ref="O279"/>
    <mergeCell ref="F279"/>
    <mergeCell ref="G279"/>
    <mergeCell ref="H279"/>
    <mergeCell ref="I279"/>
    <mergeCell ref="J279"/>
    <mergeCell ref="A279"/>
    <mergeCell ref="B279"/>
    <mergeCell ref="C279"/>
    <mergeCell ref="D279"/>
    <mergeCell ref="E279"/>
    <mergeCell ref="P278"/>
    <mergeCell ref="Q278"/>
    <mergeCell ref="R278"/>
    <mergeCell ref="S278"/>
    <mergeCell ref="T278"/>
    <mergeCell ref="K278"/>
    <mergeCell ref="L278"/>
    <mergeCell ref="M278"/>
    <mergeCell ref="N278"/>
    <mergeCell ref="O278"/>
    <mergeCell ref="F278"/>
    <mergeCell ref="G278"/>
    <mergeCell ref="H278"/>
    <mergeCell ref="I278"/>
    <mergeCell ref="J278"/>
    <mergeCell ref="A278"/>
    <mergeCell ref="B278"/>
    <mergeCell ref="C278"/>
    <mergeCell ref="D278"/>
    <mergeCell ref="E278"/>
    <mergeCell ref="P277"/>
    <mergeCell ref="Q277"/>
    <mergeCell ref="R277"/>
    <mergeCell ref="S277"/>
    <mergeCell ref="T277"/>
    <mergeCell ref="K277"/>
    <mergeCell ref="L277"/>
    <mergeCell ref="M277"/>
    <mergeCell ref="N277"/>
    <mergeCell ref="O277"/>
    <mergeCell ref="F277"/>
    <mergeCell ref="G277"/>
    <mergeCell ref="H277"/>
    <mergeCell ref="I277"/>
    <mergeCell ref="J277"/>
    <mergeCell ref="A277"/>
    <mergeCell ref="B277"/>
    <mergeCell ref="C277"/>
    <mergeCell ref="D277"/>
    <mergeCell ref="E277"/>
    <mergeCell ref="P276"/>
    <mergeCell ref="Q276"/>
    <mergeCell ref="R276"/>
    <mergeCell ref="S276"/>
    <mergeCell ref="T276"/>
    <mergeCell ref="K276"/>
    <mergeCell ref="L276"/>
    <mergeCell ref="M276"/>
    <mergeCell ref="N276"/>
    <mergeCell ref="O276"/>
    <mergeCell ref="F276"/>
    <mergeCell ref="G276"/>
    <mergeCell ref="H276"/>
    <mergeCell ref="I276"/>
    <mergeCell ref="J276"/>
    <mergeCell ref="A276"/>
    <mergeCell ref="B276"/>
    <mergeCell ref="C276"/>
    <mergeCell ref="D276"/>
    <mergeCell ref="E276"/>
    <mergeCell ref="P275"/>
    <mergeCell ref="Q275"/>
    <mergeCell ref="R275"/>
    <mergeCell ref="S275"/>
    <mergeCell ref="T275"/>
    <mergeCell ref="K275"/>
    <mergeCell ref="L275"/>
    <mergeCell ref="M275"/>
    <mergeCell ref="N275"/>
    <mergeCell ref="O275"/>
    <mergeCell ref="F275"/>
    <mergeCell ref="G275"/>
    <mergeCell ref="H275"/>
    <mergeCell ref="I275"/>
    <mergeCell ref="J275"/>
    <mergeCell ref="A275"/>
    <mergeCell ref="B275"/>
    <mergeCell ref="C275"/>
    <mergeCell ref="D275"/>
    <mergeCell ref="E275"/>
    <mergeCell ref="P274"/>
    <mergeCell ref="Q274"/>
    <mergeCell ref="R274"/>
    <mergeCell ref="S274"/>
    <mergeCell ref="T274"/>
    <mergeCell ref="K274"/>
    <mergeCell ref="L274"/>
    <mergeCell ref="M274"/>
    <mergeCell ref="N274"/>
    <mergeCell ref="O274"/>
    <mergeCell ref="F274"/>
    <mergeCell ref="G274"/>
    <mergeCell ref="H274"/>
    <mergeCell ref="I274"/>
    <mergeCell ref="J274"/>
    <mergeCell ref="A274"/>
    <mergeCell ref="B274"/>
    <mergeCell ref="C274"/>
    <mergeCell ref="D274"/>
    <mergeCell ref="E274"/>
    <mergeCell ref="P273"/>
    <mergeCell ref="Q273"/>
    <mergeCell ref="R273"/>
    <mergeCell ref="S273"/>
    <mergeCell ref="T273"/>
    <mergeCell ref="K273"/>
    <mergeCell ref="L273"/>
    <mergeCell ref="M273"/>
    <mergeCell ref="N273"/>
    <mergeCell ref="O273"/>
    <mergeCell ref="F273"/>
    <mergeCell ref="G273"/>
    <mergeCell ref="H273"/>
    <mergeCell ref="I273"/>
    <mergeCell ref="J273"/>
    <mergeCell ref="A273"/>
    <mergeCell ref="B273"/>
    <mergeCell ref="C273"/>
    <mergeCell ref="D273"/>
    <mergeCell ref="E273"/>
    <mergeCell ref="P272"/>
    <mergeCell ref="Q272"/>
    <mergeCell ref="R272"/>
    <mergeCell ref="S272"/>
    <mergeCell ref="T272"/>
    <mergeCell ref="K272"/>
    <mergeCell ref="L272"/>
    <mergeCell ref="M272"/>
    <mergeCell ref="N272"/>
    <mergeCell ref="O272"/>
    <mergeCell ref="F272"/>
    <mergeCell ref="G272"/>
    <mergeCell ref="H272"/>
    <mergeCell ref="I272"/>
    <mergeCell ref="J272"/>
    <mergeCell ref="A272"/>
    <mergeCell ref="B272"/>
    <mergeCell ref="C272"/>
    <mergeCell ref="D272"/>
    <mergeCell ref="E272"/>
    <mergeCell ref="P271"/>
    <mergeCell ref="Q271"/>
    <mergeCell ref="R271"/>
    <mergeCell ref="S271"/>
    <mergeCell ref="T271"/>
    <mergeCell ref="K271"/>
    <mergeCell ref="L271"/>
    <mergeCell ref="M271"/>
    <mergeCell ref="N271"/>
    <mergeCell ref="O271"/>
    <mergeCell ref="F271"/>
    <mergeCell ref="G271"/>
    <mergeCell ref="H271"/>
    <mergeCell ref="I271"/>
    <mergeCell ref="J271"/>
    <mergeCell ref="A271"/>
    <mergeCell ref="B271"/>
    <mergeCell ref="C271"/>
    <mergeCell ref="D271"/>
    <mergeCell ref="E271"/>
    <mergeCell ref="P270"/>
    <mergeCell ref="Q270"/>
    <mergeCell ref="R270"/>
    <mergeCell ref="S270"/>
    <mergeCell ref="T270"/>
    <mergeCell ref="K270"/>
    <mergeCell ref="L270"/>
    <mergeCell ref="M270"/>
    <mergeCell ref="N270"/>
    <mergeCell ref="O270"/>
    <mergeCell ref="F270"/>
    <mergeCell ref="G270"/>
    <mergeCell ref="H270"/>
    <mergeCell ref="I270"/>
    <mergeCell ref="J270"/>
    <mergeCell ref="A270"/>
    <mergeCell ref="B270"/>
    <mergeCell ref="C270"/>
    <mergeCell ref="D270"/>
    <mergeCell ref="E270"/>
    <mergeCell ref="P269"/>
    <mergeCell ref="Q269"/>
    <mergeCell ref="R269"/>
    <mergeCell ref="S269"/>
    <mergeCell ref="T269"/>
    <mergeCell ref="K269"/>
    <mergeCell ref="L269"/>
    <mergeCell ref="M269"/>
    <mergeCell ref="N269"/>
    <mergeCell ref="O269"/>
    <mergeCell ref="F269"/>
    <mergeCell ref="G269"/>
    <mergeCell ref="H269"/>
    <mergeCell ref="I269"/>
    <mergeCell ref="J269"/>
    <mergeCell ref="A269"/>
    <mergeCell ref="B269"/>
    <mergeCell ref="C269"/>
    <mergeCell ref="D269"/>
    <mergeCell ref="E269"/>
    <mergeCell ref="P268"/>
    <mergeCell ref="Q268"/>
    <mergeCell ref="R268"/>
    <mergeCell ref="S268"/>
    <mergeCell ref="T268"/>
    <mergeCell ref="K268"/>
    <mergeCell ref="L268"/>
    <mergeCell ref="M268"/>
    <mergeCell ref="N268"/>
    <mergeCell ref="O268"/>
    <mergeCell ref="F268"/>
    <mergeCell ref="G268"/>
    <mergeCell ref="H268"/>
    <mergeCell ref="I268"/>
    <mergeCell ref="J268"/>
    <mergeCell ref="A268"/>
    <mergeCell ref="B268"/>
    <mergeCell ref="C268"/>
    <mergeCell ref="D268"/>
    <mergeCell ref="E268"/>
    <mergeCell ref="P267"/>
    <mergeCell ref="Q267"/>
    <mergeCell ref="R267"/>
    <mergeCell ref="S267"/>
    <mergeCell ref="T267"/>
    <mergeCell ref="K267"/>
    <mergeCell ref="L267"/>
    <mergeCell ref="M267"/>
    <mergeCell ref="N267"/>
    <mergeCell ref="O267"/>
    <mergeCell ref="F267"/>
    <mergeCell ref="G267"/>
    <mergeCell ref="H267"/>
    <mergeCell ref="I267"/>
    <mergeCell ref="J267"/>
    <mergeCell ref="A267"/>
    <mergeCell ref="B267"/>
    <mergeCell ref="C267"/>
    <mergeCell ref="D267"/>
    <mergeCell ref="E267"/>
    <mergeCell ref="P266"/>
    <mergeCell ref="Q266"/>
    <mergeCell ref="R266"/>
    <mergeCell ref="S266"/>
    <mergeCell ref="T266"/>
    <mergeCell ref="K266"/>
    <mergeCell ref="L266"/>
    <mergeCell ref="M266"/>
    <mergeCell ref="N266"/>
    <mergeCell ref="O266"/>
    <mergeCell ref="F266"/>
    <mergeCell ref="G266"/>
    <mergeCell ref="H266"/>
    <mergeCell ref="I266"/>
    <mergeCell ref="J266"/>
    <mergeCell ref="A266"/>
    <mergeCell ref="B266"/>
    <mergeCell ref="C266"/>
    <mergeCell ref="D266"/>
    <mergeCell ref="E266"/>
    <mergeCell ref="P265"/>
    <mergeCell ref="Q265"/>
    <mergeCell ref="R265"/>
    <mergeCell ref="S265"/>
    <mergeCell ref="T265"/>
    <mergeCell ref="K265"/>
    <mergeCell ref="L265"/>
    <mergeCell ref="M265"/>
    <mergeCell ref="N265"/>
    <mergeCell ref="O265"/>
    <mergeCell ref="F265"/>
    <mergeCell ref="G265"/>
    <mergeCell ref="H265"/>
    <mergeCell ref="I265"/>
    <mergeCell ref="J265"/>
    <mergeCell ref="A265"/>
    <mergeCell ref="B265"/>
    <mergeCell ref="C265"/>
    <mergeCell ref="D265"/>
    <mergeCell ref="E265"/>
    <mergeCell ref="P264"/>
    <mergeCell ref="Q264"/>
    <mergeCell ref="R264"/>
    <mergeCell ref="S264"/>
    <mergeCell ref="T264"/>
    <mergeCell ref="K264"/>
    <mergeCell ref="L264"/>
    <mergeCell ref="M264"/>
    <mergeCell ref="N264"/>
    <mergeCell ref="O264"/>
    <mergeCell ref="F264"/>
    <mergeCell ref="G264"/>
    <mergeCell ref="H264"/>
    <mergeCell ref="I264"/>
    <mergeCell ref="J264"/>
    <mergeCell ref="A264"/>
    <mergeCell ref="B264"/>
    <mergeCell ref="C264"/>
    <mergeCell ref="D264"/>
    <mergeCell ref="E264"/>
    <mergeCell ref="P263"/>
    <mergeCell ref="Q263"/>
    <mergeCell ref="R263"/>
    <mergeCell ref="S263"/>
    <mergeCell ref="T263"/>
    <mergeCell ref="K263"/>
    <mergeCell ref="L263"/>
    <mergeCell ref="M263"/>
    <mergeCell ref="N263"/>
    <mergeCell ref="O263"/>
    <mergeCell ref="F263"/>
    <mergeCell ref="G263"/>
    <mergeCell ref="H263"/>
    <mergeCell ref="I263"/>
    <mergeCell ref="J263"/>
    <mergeCell ref="A263"/>
    <mergeCell ref="B263"/>
    <mergeCell ref="C263"/>
    <mergeCell ref="D263"/>
    <mergeCell ref="E263"/>
    <mergeCell ref="P262"/>
    <mergeCell ref="Q262"/>
    <mergeCell ref="R262"/>
    <mergeCell ref="S262"/>
    <mergeCell ref="T262"/>
    <mergeCell ref="K262"/>
    <mergeCell ref="L262"/>
    <mergeCell ref="M262"/>
    <mergeCell ref="N262"/>
    <mergeCell ref="O262"/>
    <mergeCell ref="F262"/>
    <mergeCell ref="G262"/>
    <mergeCell ref="H262"/>
    <mergeCell ref="I262"/>
    <mergeCell ref="J262"/>
    <mergeCell ref="A262"/>
    <mergeCell ref="B262"/>
    <mergeCell ref="C262"/>
    <mergeCell ref="D262"/>
    <mergeCell ref="E262"/>
    <mergeCell ref="P261"/>
    <mergeCell ref="Q261"/>
    <mergeCell ref="R261"/>
    <mergeCell ref="S261"/>
    <mergeCell ref="T261"/>
    <mergeCell ref="K261"/>
    <mergeCell ref="L261"/>
    <mergeCell ref="M261"/>
    <mergeCell ref="N261"/>
    <mergeCell ref="O261"/>
    <mergeCell ref="F261"/>
    <mergeCell ref="G261"/>
    <mergeCell ref="H261"/>
    <mergeCell ref="I261"/>
    <mergeCell ref="J261"/>
    <mergeCell ref="A261"/>
    <mergeCell ref="B261"/>
    <mergeCell ref="C261"/>
    <mergeCell ref="D261"/>
    <mergeCell ref="E261"/>
    <mergeCell ref="P260"/>
    <mergeCell ref="Q260"/>
    <mergeCell ref="R260"/>
    <mergeCell ref="S260"/>
    <mergeCell ref="T260"/>
    <mergeCell ref="K260"/>
    <mergeCell ref="L260"/>
    <mergeCell ref="M260"/>
    <mergeCell ref="N260"/>
    <mergeCell ref="O260"/>
    <mergeCell ref="F260"/>
    <mergeCell ref="G260"/>
    <mergeCell ref="H260"/>
    <mergeCell ref="I260"/>
    <mergeCell ref="J260"/>
    <mergeCell ref="A260"/>
    <mergeCell ref="B260"/>
    <mergeCell ref="C260"/>
    <mergeCell ref="D260"/>
    <mergeCell ref="E260"/>
    <mergeCell ref="P259"/>
    <mergeCell ref="Q259"/>
    <mergeCell ref="R259"/>
    <mergeCell ref="S259"/>
    <mergeCell ref="T259"/>
    <mergeCell ref="K259"/>
    <mergeCell ref="L259"/>
    <mergeCell ref="M259"/>
    <mergeCell ref="N259"/>
    <mergeCell ref="O259"/>
    <mergeCell ref="F259"/>
    <mergeCell ref="G259"/>
    <mergeCell ref="H259"/>
    <mergeCell ref="I259"/>
    <mergeCell ref="J259"/>
    <mergeCell ref="A259"/>
    <mergeCell ref="B259"/>
    <mergeCell ref="C259"/>
    <mergeCell ref="D259"/>
    <mergeCell ref="E259"/>
    <mergeCell ref="P258"/>
    <mergeCell ref="Q258"/>
    <mergeCell ref="R258"/>
    <mergeCell ref="S258"/>
    <mergeCell ref="T258"/>
    <mergeCell ref="K258"/>
    <mergeCell ref="L258"/>
    <mergeCell ref="M258"/>
    <mergeCell ref="N258"/>
    <mergeCell ref="O258"/>
    <mergeCell ref="F258"/>
    <mergeCell ref="G258"/>
    <mergeCell ref="H258"/>
    <mergeCell ref="I258"/>
    <mergeCell ref="J258"/>
    <mergeCell ref="A258"/>
    <mergeCell ref="B258"/>
    <mergeCell ref="C258"/>
    <mergeCell ref="D258"/>
    <mergeCell ref="E258"/>
    <mergeCell ref="P257"/>
    <mergeCell ref="Q257"/>
    <mergeCell ref="R257"/>
    <mergeCell ref="S257"/>
    <mergeCell ref="T257"/>
    <mergeCell ref="K257"/>
    <mergeCell ref="L257"/>
    <mergeCell ref="M257"/>
    <mergeCell ref="N257"/>
    <mergeCell ref="O257"/>
    <mergeCell ref="F257"/>
    <mergeCell ref="G257"/>
    <mergeCell ref="H257"/>
    <mergeCell ref="I257"/>
    <mergeCell ref="J257"/>
    <mergeCell ref="A257"/>
    <mergeCell ref="B257"/>
    <mergeCell ref="C257"/>
    <mergeCell ref="D257"/>
    <mergeCell ref="E257"/>
    <mergeCell ref="P256"/>
    <mergeCell ref="Q256"/>
    <mergeCell ref="R256"/>
    <mergeCell ref="S256"/>
    <mergeCell ref="T256"/>
    <mergeCell ref="K256"/>
    <mergeCell ref="L256"/>
    <mergeCell ref="M256"/>
    <mergeCell ref="N256"/>
    <mergeCell ref="O256"/>
    <mergeCell ref="F256"/>
    <mergeCell ref="G256"/>
    <mergeCell ref="H256"/>
    <mergeCell ref="I256"/>
    <mergeCell ref="J256"/>
    <mergeCell ref="A256"/>
    <mergeCell ref="B256"/>
    <mergeCell ref="C256"/>
    <mergeCell ref="D256"/>
    <mergeCell ref="E256"/>
    <mergeCell ref="P255"/>
    <mergeCell ref="Q255"/>
    <mergeCell ref="R255"/>
    <mergeCell ref="S255"/>
    <mergeCell ref="T255"/>
    <mergeCell ref="K255"/>
    <mergeCell ref="L255"/>
    <mergeCell ref="M255"/>
    <mergeCell ref="N255"/>
    <mergeCell ref="O255"/>
    <mergeCell ref="F255"/>
    <mergeCell ref="G255"/>
    <mergeCell ref="H255"/>
    <mergeCell ref="I255"/>
    <mergeCell ref="J255"/>
    <mergeCell ref="A255"/>
    <mergeCell ref="B255"/>
    <mergeCell ref="C255"/>
    <mergeCell ref="D255"/>
    <mergeCell ref="E255"/>
    <mergeCell ref="P254"/>
    <mergeCell ref="Q254"/>
    <mergeCell ref="R254"/>
    <mergeCell ref="S254"/>
    <mergeCell ref="T254"/>
    <mergeCell ref="K254"/>
    <mergeCell ref="L254"/>
    <mergeCell ref="M254"/>
    <mergeCell ref="N254"/>
    <mergeCell ref="O254"/>
    <mergeCell ref="F254"/>
    <mergeCell ref="G254"/>
    <mergeCell ref="H254"/>
    <mergeCell ref="I254"/>
    <mergeCell ref="J254"/>
    <mergeCell ref="A254"/>
    <mergeCell ref="B254"/>
    <mergeCell ref="C254"/>
    <mergeCell ref="D254"/>
    <mergeCell ref="E254"/>
    <mergeCell ref="P253"/>
    <mergeCell ref="Q253"/>
    <mergeCell ref="R253"/>
    <mergeCell ref="S253"/>
    <mergeCell ref="T253"/>
    <mergeCell ref="K253"/>
    <mergeCell ref="L253"/>
    <mergeCell ref="M253"/>
    <mergeCell ref="N253"/>
    <mergeCell ref="O253"/>
    <mergeCell ref="F253"/>
    <mergeCell ref="G253"/>
    <mergeCell ref="H253"/>
    <mergeCell ref="I253"/>
    <mergeCell ref="J253"/>
    <mergeCell ref="A253"/>
    <mergeCell ref="B253"/>
    <mergeCell ref="C253"/>
    <mergeCell ref="D253"/>
    <mergeCell ref="E253"/>
    <mergeCell ref="P252"/>
    <mergeCell ref="Q252"/>
    <mergeCell ref="R252"/>
    <mergeCell ref="S252"/>
    <mergeCell ref="T252"/>
    <mergeCell ref="K252"/>
    <mergeCell ref="L252"/>
    <mergeCell ref="M252"/>
    <mergeCell ref="N252"/>
    <mergeCell ref="O252"/>
    <mergeCell ref="F252"/>
    <mergeCell ref="G252"/>
    <mergeCell ref="H252"/>
    <mergeCell ref="I252"/>
    <mergeCell ref="J252"/>
    <mergeCell ref="A252"/>
    <mergeCell ref="B252"/>
    <mergeCell ref="C252"/>
    <mergeCell ref="D252"/>
    <mergeCell ref="E252"/>
    <mergeCell ref="P251"/>
    <mergeCell ref="Q251"/>
    <mergeCell ref="R251"/>
    <mergeCell ref="S251"/>
    <mergeCell ref="T251"/>
    <mergeCell ref="K251"/>
    <mergeCell ref="L251"/>
    <mergeCell ref="M251"/>
    <mergeCell ref="N251"/>
    <mergeCell ref="O251"/>
    <mergeCell ref="F251"/>
    <mergeCell ref="G251"/>
    <mergeCell ref="H251"/>
    <mergeCell ref="I251"/>
    <mergeCell ref="J251"/>
    <mergeCell ref="A251"/>
    <mergeCell ref="B251"/>
    <mergeCell ref="C251"/>
    <mergeCell ref="D251"/>
    <mergeCell ref="E251"/>
    <mergeCell ref="P250"/>
    <mergeCell ref="Q250"/>
    <mergeCell ref="R250"/>
    <mergeCell ref="S250"/>
    <mergeCell ref="T250"/>
    <mergeCell ref="K250"/>
    <mergeCell ref="L250"/>
    <mergeCell ref="M250"/>
    <mergeCell ref="N250"/>
    <mergeCell ref="O250"/>
    <mergeCell ref="F250"/>
    <mergeCell ref="G250"/>
    <mergeCell ref="H250"/>
    <mergeCell ref="I250"/>
    <mergeCell ref="J250"/>
    <mergeCell ref="A250"/>
    <mergeCell ref="B250"/>
    <mergeCell ref="C250"/>
    <mergeCell ref="D250"/>
    <mergeCell ref="E250"/>
    <mergeCell ref="P249"/>
    <mergeCell ref="Q249"/>
    <mergeCell ref="R249"/>
    <mergeCell ref="S249"/>
    <mergeCell ref="T249"/>
    <mergeCell ref="K249"/>
    <mergeCell ref="L249"/>
    <mergeCell ref="M249"/>
    <mergeCell ref="N249"/>
    <mergeCell ref="O249"/>
    <mergeCell ref="F249"/>
    <mergeCell ref="G249"/>
    <mergeCell ref="H249"/>
    <mergeCell ref="I249"/>
    <mergeCell ref="J249"/>
    <mergeCell ref="A249"/>
    <mergeCell ref="B249"/>
    <mergeCell ref="C249"/>
    <mergeCell ref="D249"/>
    <mergeCell ref="E249"/>
    <mergeCell ref="P248"/>
    <mergeCell ref="Q248"/>
    <mergeCell ref="R248"/>
    <mergeCell ref="S248"/>
    <mergeCell ref="T248"/>
    <mergeCell ref="K248"/>
    <mergeCell ref="L248"/>
    <mergeCell ref="M248"/>
    <mergeCell ref="N248"/>
    <mergeCell ref="O248"/>
    <mergeCell ref="F248"/>
    <mergeCell ref="G248"/>
    <mergeCell ref="H248"/>
    <mergeCell ref="I248"/>
    <mergeCell ref="J248"/>
    <mergeCell ref="A248"/>
    <mergeCell ref="B248"/>
    <mergeCell ref="C248"/>
    <mergeCell ref="D248"/>
    <mergeCell ref="E248"/>
    <mergeCell ref="P247"/>
    <mergeCell ref="Q247"/>
    <mergeCell ref="R247"/>
    <mergeCell ref="S247"/>
    <mergeCell ref="T247"/>
    <mergeCell ref="K247"/>
    <mergeCell ref="L247"/>
    <mergeCell ref="M247"/>
    <mergeCell ref="N247"/>
    <mergeCell ref="O247"/>
    <mergeCell ref="F247"/>
    <mergeCell ref="G247"/>
    <mergeCell ref="H247"/>
    <mergeCell ref="I247"/>
    <mergeCell ref="J247"/>
    <mergeCell ref="A247"/>
    <mergeCell ref="B247"/>
    <mergeCell ref="C247"/>
    <mergeCell ref="D247"/>
    <mergeCell ref="E247"/>
    <mergeCell ref="P246"/>
    <mergeCell ref="Q246"/>
    <mergeCell ref="R246"/>
    <mergeCell ref="S246"/>
    <mergeCell ref="T246"/>
    <mergeCell ref="K246"/>
    <mergeCell ref="L246"/>
    <mergeCell ref="M246"/>
    <mergeCell ref="N246"/>
    <mergeCell ref="O246"/>
    <mergeCell ref="F246"/>
    <mergeCell ref="G246"/>
    <mergeCell ref="H246"/>
    <mergeCell ref="I246"/>
    <mergeCell ref="J246"/>
    <mergeCell ref="A246"/>
    <mergeCell ref="B246"/>
    <mergeCell ref="C246"/>
    <mergeCell ref="D246"/>
    <mergeCell ref="E246"/>
    <mergeCell ref="P245"/>
    <mergeCell ref="Q245"/>
    <mergeCell ref="R245"/>
    <mergeCell ref="S245"/>
    <mergeCell ref="T245"/>
    <mergeCell ref="K245"/>
    <mergeCell ref="L245"/>
    <mergeCell ref="M245"/>
    <mergeCell ref="N245"/>
    <mergeCell ref="O245"/>
    <mergeCell ref="F245"/>
    <mergeCell ref="G245"/>
    <mergeCell ref="H245"/>
    <mergeCell ref="I245"/>
    <mergeCell ref="J245"/>
    <mergeCell ref="A245"/>
    <mergeCell ref="B245"/>
    <mergeCell ref="C245"/>
    <mergeCell ref="D245"/>
    <mergeCell ref="E245"/>
    <mergeCell ref="P244"/>
    <mergeCell ref="Q244"/>
    <mergeCell ref="R244"/>
    <mergeCell ref="S244"/>
    <mergeCell ref="T244"/>
    <mergeCell ref="K244"/>
    <mergeCell ref="L244"/>
    <mergeCell ref="M244"/>
    <mergeCell ref="N244"/>
    <mergeCell ref="O244"/>
    <mergeCell ref="F244"/>
    <mergeCell ref="G244"/>
    <mergeCell ref="H244"/>
    <mergeCell ref="I244"/>
    <mergeCell ref="J244"/>
    <mergeCell ref="A244"/>
    <mergeCell ref="B244"/>
    <mergeCell ref="C244"/>
    <mergeCell ref="D244"/>
    <mergeCell ref="E244"/>
    <mergeCell ref="P243"/>
    <mergeCell ref="Q243"/>
    <mergeCell ref="R243"/>
    <mergeCell ref="S243"/>
    <mergeCell ref="T243"/>
    <mergeCell ref="K243"/>
    <mergeCell ref="L243"/>
    <mergeCell ref="M243"/>
    <mergeCell ref="N243"/>
    <mergeCell ref="O243"/>
    <mergeCell ref="F243"/>
    <mergeCell ref="G243"/>
    <mergeCell ref="H243"/>
    <mergeCell ref="I243"/>
    <mergeCell ref="J243"/>
    <mergeCell ref="A243"/>
    <mergeCell ref="B243"/>
    <mergeCell ref="C243"/>
    <mergeCell ref="D243"/>
    <mergeCell ref="E243"/>
    <mergeCell ref="P242"/>
    <mergeCell ref="Q242"/>
    <mergeCell ref="R242"/>
    <mergeCell ref="S242"/>
    <mergeCell ref="T242"/>
    <mergeCell ref="K242"/>
    <mergeCell ref="L242"/>
    <mergeCell ref="M242"/>
    <mergeCell ref="N242"/>
    <mergeCell ref="O242"/>
    <mergeCell ref="F242"/>
    <mergeCell ref="G242"/>
    <mergeCell ref="H242"/>
    <mergeCell ref="I242"/>
    <mergeCell ref="J242"/>
    <mergeCell ref="A242"/>
    <mergeCell ref="B242"/>
    <mergeCell ref="C242"/>
    <mergeCell ref="D242"/>
    <mergeCell ref="E242"/>
    <mergeCell ref="P241"/>
    <mergeCell ref="Q241"/>
    <mergeCell ref="R241"/>
    <mergeCell ref="S241"/>
    <mergeCell ref="T241"/>
    <mergeCell ref="K241"/>
    <mergeCell ref="L241"/>
    <mergeCell ref="M241"/>
    <mergeCell ref="N241"/>
    <mergeCell ref="O241"/>
    <mergeCell ref="F241"/>
    <mergeCell ref="G241"/>
    <mergeCell ref="H241"/>
    <mergeCell ref="I241"/>
    <mergeCell ref="J241"/>
    <mergeCell ref="A241"/>
    <mergeCell ref="B241"/>
    <mergeCell ref="C241"/>
    <mergeCell ref="D241"/>
    <mergeCell ref="E241"/>
    <mergeCell ref="P240"/>
    <mergeCell ref="Q240"/>
    <mergeCell ref="R240"/>
    <mergeCell ref="S240"/>
    <mergeCell ref="T240"/>
    <mergeCell ref="K240"/>
    <mergeCell ref="L240"/>
    <mergeCell ref="M240"/>
    <mergeCell ref="N240"/>
    <mergeCell ref="O240"/>
    <mergeCell ref="F240"/>
    <mergeCell ref="G240"/>
    <mergeCell ref="H240"/>
    <mergeCell ref="I240"/>
    <mergeCell ref="J240"/>
    <mergeCell ref="A240"/>
    <mergeCell ref="B240"/>
    <mergeCell ref="C240"/>
    <mergeCell ref="D240"/>
    <mergeCell ref="E240"/>
    <mergeCell ref="P239"/>
    <mergeCell ref="Q239"/>
    <mergeCell ref="R239"/>
    <mergeCell ref="S239"/>
    <mergeCell ref="T239"/>
    <mergeCell ref="K239"/>
    <mergeCell ref="L239"/>
    <mergeCell ref="M239"/>
    <mergeCell ref="N239"/>
    <mergeCell ref="O239"/>
    <mergeCell ref="F239"/>
    <mergeCell ref="G239"/>
    <mergeCell ref="H239"/>
    <mergeCell ref="I239"/>
    <mergeCell ref="J239"/>
    <mergeCell ref="A239"/>
    <mergeCell ref="B239"/>
    <mergeCell ref="C239"/>
    <mergeCell ref="D239"/>
    <mergeCell ref="E239"/>
    <mergeCell ref="P238"/>
    <mergeCell ref="Q238"/>
    <mergeCell ref="R238"/>
    <mergeCell ref="S238"/>
    <mergeCell ref="T238"/>
    <mergeCell ref="K238"/>
    <mergeCell ref="L238"/>
    <mergeCell ref="M238"/>
    <mergeCell ref="N238"/>
    <mergeCell ref="O238"/>
    <mergeCell ref="F238"/>
    <mergeCell ref="G238"/>
    <mergeCell ref="H238"/>
    <mergeCell ref="I238"/>
    <mergeCell ref="J238"/>
    <mergeCell ref="A238"/>
    <mergeCell ref="B238"/>
    <mergeCell ref="C238"/>
    <mergeCell ref="D238"/>
    <mergeCell ref="E238"/>
    <mergeCell ref="P237"/>
    <mergeCell ref="Q237"/>
    <mergeCell ref="R237"/>
    <mergeCell ref="S237"/>
    <mergeCell ref="T237"/>
    <mergeCell ref="K237"/>
    <mergeCell ref="L237"/>
    <mergeCell ref="M237"/>
    <mergeCell ref="N237"/>
    <mergeCell ref="O237"/>
    <mergeCell ref="F237"/>
    <mergeCell ref="G237"/>
    <mergeCell ref="H237"/>
    <mergeCell ref="I237"/>
    <mergeCell ref="J237"/>
    <mergeCell ref="A237"/>
    <mergeCell ref="B237"/>
    <mergeCell ref="C237"/>
    <mergeCell ref="D237"/>
    <mergeCell ref="E237"/>
    <mergeCell ref="P236"/>
    <mergeCell ref="Q236"/>
    <mergeCell ref="R236"/>
    <mergeCell ref="S236"/>
    <mergeCell ref="T236"/>
    <mergeCell ref="K236"/>
    <mergeCell ref="L236"/>
    <mergeCell ref="M236"/>
    <mergeCell ref="N236"/>
    <mergeCell ref="O236"/>
    <mergeCell ref="F236"/>
    <mergeCell ref="G236"/>
    <mergeCell ref="H236"/>
    <mergeCell ref="I236"/>
    <mergeCell ref="J236"/>
    <mergeCell ref="A236"/>
    <mergeCell ref="B236"/>
    <mergeCell ref="C236"/>
    <mergeCell ref="D236"/>
    <mergeCell ref="E236"/>
    <mergeCell ref="P235"/>
    <mergeCell ref="Q235"/>
    <mergeCell ref="R235"/>
    <mergeCell ref="S235"/>
    <mergeCell ref="T235"/>
    <mergeCell ref="K235"/>
    <mergeCell ref="L235"/>
    <mergeCell ref="M235"/>
    <mergeCell ref="N235"/>
    <mergeCell ref="O235"/>
    <mergeCell ref="F235"/>
    <mergeCell ref="G235"/>
    <mergeCell ref="H235"/>
    <mergeCell ref="I235"/>
    <mergeCell ref="J235"/>
    <mergeCell ref="A235"/>
    <mergeCell ref="B235"/>
    <mergeCell ref="C235"/>
    <mergeCell ref="D235"/>
    <mergeCell ref="E235"/>
    <mergeCell ref="P234"/>
    <mergeCell ref="Q234"/>
    <mergeCell ref="R234"/>
    <mergeCell ref="S234"/>
    <mergeCell ref="T234"/>
    <mergeCell ref="K234"/>
    <mergeCell ref="L234"/>
    <mergeCell ref="M234"/>
    <mergeCell ref="N234"/>
    <mergeCell ref="O234"/>
    <mergeCell ref="F234"/>
    <mergeCell ref="G234"/>
    <mergeCell ref="H234"/>
    <mergeCell ref="I234"/>
    <mergeCell ref="J234"/>
    <mergeCell ref="A234"/>
    <mergeCell ref="B234"/>
    <mergeCell ref="C234"/>
    <mergeCell ref="D234"/>
    <mergeCell ref="E234"/>
    <mergeCell ref="P233"/>
    <mergeCell ref="Q233"/>
    <mergeCell ref="R233"/>
    <mergeCell ref="S233"/>
    <mergeCell ref="T233"/>
    <mergeCell ref="K233"/>
    <mergeCell ref="L233"/>
    <mergeCell ref="M233"/>
    <mergeCell ref="N233"/>
    <mergeCell ref="O233"/>
    <mergeCell ref="F233"/>
    <mergeCell ref="G233"/>
    <mergeCell ref="H233"/>
    <mergeCell ref="I233"/>
    <mergeCell ref="J233"/>
    <mergeCell ref="A233"/>
    <mergeCell ref="B233"/>
    <mergeCell ref="C233"/>
    <mergeCell ref="D233"/>
    <mergeCell ref="E233"/>
    <mergeCell ref="P232"/>
    <mergeCell ref="Q232"/>
    <mergeCell ref="R232"/>
    <mergeCell ref="S232"/>
    <mergeCell ref="T232"/>
    <mergeCell ref="K232"/>
    <mergeCell ref="L232"/>
    <mergeCell ref="M232"/>
    <mergeCell ref="N232"/>
    <mergeCell ref="O232"/>
    <mergeCell ref="F232"/>
    <mergeCell ref="G232"/>
    <mergeCell ref="H232"/>
    <mergeCell ref="I232"/>
    <mergeCell ref="J232"/>
    <mergeCell ref="A232"/>
    <mergeCell ref="B232"/>
    <mergeCell ref="C232"/>
    <mergeCell ref="D232"/>
    <mergeCell ref="E232"/>
    <mergeCell ref="P231"/>
    <mergeCell ref="Q231"/>
    <mergeCell ref="R231"/>
    <mergeCell ref="S231"/>
    <mergeCell ref="T231"/>
    <mergeCell ref="K231"/>
    <mergeCell ref="L231"/>
    <mergeCell ref="M231"/>
    <mergeCell ref="N231"/>
    <mergeCell ref="O231"/>
    <mergeCell ref="F231"/>
    <mergeCell ref="G231"/>
    <mergeCell ref="H231"/>
    <mergeCell ref="I231"/>
    <mergeCell ref="J231"/>
    <mergeCell ref="A231"/>
    <mergeCell ref="B231"/>
    <mergeCell ref="C231"/>
    <mergeCell ref="D231"/>
    <mergeCell ref="E231"/>
    <mergeCell ref="P230"/>
    <mergeCell ref="Q230"/>
    <mergeCell ref="R230"/>
    <mergeCell ref="S230"/>
    <mergeCell ref="T230"/>
    <mergeCell ref="K230"/>
    <mergeCell ref="L230"/>
    <mergeCell ref="M230"/>
    <mergeCell ref="N230"/>
    <mergeCell ref="O230"/>
    <mergeCell ref="F230"/>
    <mergeCell ref="G230"/>
    <mergeCell ref="H230"/>
    <mergeCell ref="I230"/>
    <mergeCell ref="J230"/>
    <mergeCell ref="A230"/>
    <mergeCell ref="B230"/>
    <mergeCell ref="C230"/>
    <mergeCell ref="D230"/>
    <mergeCell ref="E230"/>
    <mergeCell ref="P229"/>
    <mergeCell ref="Q229"/>
    <mergeCell ref="R229"/>
    <mergeCell ref="S229"/>
    <mergeCell ref="T229"/>
    <mergeCell ref="K229"/>
    <mergeCell ref="L229"/>
    <mergeCell ref="M229"/>
    <mergeCell ref="N229"/>
    <mergeCell ref="O229"/>
    <mergeCell ref="F229"/>
    <mergeCell ref="G229"/>
    <mergeCell ref="H229"/>
    <mergeCell ref="I229"/>
    <mergeCell ref="J229"/>
    <mergeCell ref="A229"/>
    <mergeCell ref="B229"/>
    <mergeCell ref="C229"/>
    <mergeCell ref="D229"/>
    <mergeCell ref="E229"/>
    <mergeCell ref="P228"/>
    <mergeCell ref="Q228"/>
    <mergeCell ref="R228"/>
    <mergeCell ref="S228"/>
    <mergeCell ref="T228"/>
    <mergeCell ref="K228"/>
    <mergeCell ref="L228"/>
    <mergeCell ref="M228"/>
    <mergeCell ref="N228"/>
    <mergeCell ref="O228"/>
    <mergeCell ref="F228"/>
    <mergeCell ref="G228"/>
    <mergeCell ref="H228"/>
    <mergeCell ref="I228"/>
    <mergeCell ref="J228"/>
    <mergeCell ref="A228"/>
    <mergeCell ref="B228"/>
    <mergeCell ref="C228"/>
    <mergeCell ref="D228"/>
    <mergeCell ref="E228"/>
    <mergeCell ref="P227"/>
    <mergeCell ref="Q227"/>
    <mergeCell ref="R227"/>
    <mergeCell ref="S227"/>
    <mergeCell ref="T227"/>
    <mergeCell ref="K227"/>
    <mergeCell ref="L227"/>
    <mergeCell ref="M227"/>
    <mergeCell ref="N227"/>
    <mergeCell ref="O227"/>
    <mergeCell ref="F227"/>
    <mergeCell ref="G227"/>
    <mergeCell ref="H227"/>
    <mergeCell ref="I227"/>
    <mergeCell ref="J227"/>
    <mergeCell ref="A227"/>
    <mergeCell ref="B227"/>
    <mergeCell ref="C227"/>
    <mergeCell ref="D227"/>
    <mergeCell ref="E227"/>
    <mergeCell ref="P226"/>
    <mergeCell ref="Q226"/>
    <mergeCell ref="R226"/>
    <mergeCell ref="S226"/>
    <mergeCell ref="T226"/>
    <mergeCell ref="K226"/>
    <mergeCell ref="L226"/>
    <mergeCell ref="M226"/>
    <mergeCell ref="N226"/>
    <mergeCell ref="O226"/>
    <mergeCell ref="F226"/>
    <mergeCell ref="G226"/>
    <mergeCell ref="H226"/>
    <mergeCell ref="I226"/>
    <mergeCell ref="J226"/>
    <mergeCell ref="A226"/>
    <mergeCell ref="B226"/>
    <mergeCell ref="C226"/>
    <mergeCell ref="D226"/>
    <mergeCell ref="E226"/>
    <mergeCell ref="P225"/>
    <mergeCell ref="Q225"/>
    <mergeCell ref="R225"/>
    <mergeCell ref="S225"/>
    <mergeCell ref="T225"/>
    <mergeCell ref="K225"/>
    <mergeCell ref="L225"/>
    <mergeCell ref="M225"/>
    <mergeCell ref="N225"/>
    <mergeCell ref="O225"/>
    <mergeCell ref="F225"/>
    <mergeCell ref="G225"/>
    <mergeCell ref="H225"/>
    <mergeCell ref="I225"/>
    <mergeCell ref="J225"/>
    <mergeCell ref="A225"/>
    <mergeCell ref="B225"/>
    <mergeCell ref="C225"/>
    <mergeCell ref="D225"/>
    <mergeCell ref="E225"/>
    <mergeCell ref="P224"/>
    <mergeCell ref="Q224"/>
    <mergeCell ref="R224"/>
    <mergeCell ref="S224"/>
    <mergeCell ref="T224"/>
    <mergeCell ref="K224"/>
    <mergeCell ref="L224"/>
    <mergeCell ref="M224"/>
    <mergeCell ref="N224"/>
    <mergeCell ref="O224"/>
    <mergeCell ref="F224"/>
    <mergeCell ref="G224"/>
    <mergeCell ref="H224"/>
    <mergeCell ref="I224"/>
    <mergeCell ref="J224"/>
    <mergeCell ref="A224"/>
    <mergeCell ref="B224"/>
    <mergeCell ref="C224"/>
    <mergeCell ref="D224"/>
    <mergeCell ref="E224"/>
    <mergeCell ref="P223"/>
    <mergeCell ref="Q223"/>
    <mergeCell ref="R223"/>
    <mergeCell ref="S223"/>
    <mergeCell ref="T223"/>
    <mergeCell ref="K223"/>
    <mergeCell ref="L223"/>
    <mergeCell ref="M223"/>
    <mergeCell ref="N223"/>
    <mergeCell ref="O223"/>
    <mergeCell ref="F223"/>
    <mergeCell ref="G223"/>
    <mergeCell ref="H223"/>
    <mergeCell ref="I223"/>
    <mergeCell ref="J223"/>
    <mergeCell ref="A223"/>
    <mergeCell ref="B223"/>
    <mergeCell ref="C223"/>
    <mergeCell ref="D223"/>
    <mergeCell ref="E223"/>
    <mergeCell ref="P222"/>
    <mergeCell ref="Q222"/>
    <mergeCell ref="R222"/>
    <mergeCell ref="S222"/>
    <mergeCell ref="T222"/>
    <mergeCell ref="K222"/>
    <mergeCell ref="L222"/>
    <mergeCell ref="M222"/>
    <mergeCell ref="N222"/>
    <mergeCell ref="O222"/>
    <mergeCell ref="F222"/>
    <mergeCell ref="G222"/>
    <mergeCell ref="H222"/>
    <mergeCell ref="I222"/>
    <mergeCell ref="J222"/>
    <mergeCell ref="A222"/>
    <mergeCell ref="B222"/>
    <mergeCell ref="C222"/>
    <mergeCell ref="D222"/>
    <mergeCell ref="E222"/>
    <mergeCell ref="P221"/>
    <mergeCell ref="Q221"/>
    <mergeCell ref="R221"/>
    <mergeCell ref="S221"/>
    <mergeCell ref="T221"/>
    <mergeCell ref="K221"/>
    <mergeCell ref="L221"/>
    <mergeCell ref="M221"/>
    <mergeCell ref="N221"/>
    <mergeCell ref="O221"/>
    <mergeCell ref="F221"/>
    <mergeCell ref="G221"/>
    <mergeCell ref="H221"/>
    <mergeCell ref="I221"/>
    <mergeCell ref="J221"/>
    <mergeCell ref="A221"/>
    <mergeCell ref="B221"/>
    <mergeCell ref="C221"/>
    <mergeCell ref="D221"/>
    <mergeCell ref="E221"/>
    <mergeCell ref="P220"/>
    <mergeCell ref="Q220"/>
    <mergeCell ref="R220"/>
    <mergeCell ref="S220"/>
    <mergeCell ref="T220"/>
    <mergeCell ref="K220"/>
    <mergeCell ref="L220"/>
    <mergeCell ref="M220"/>
    <mergeCell ref="N220"/>
    <mergeCell ref="O220"/>
    <mergeCell ref="F220"/>
    <mergeCell ref="G220"/>
    <mergeCell ref="H220"/>
    <mergeCell ref="I220"/>
    <mergeCell ref="J220"/>
    <mergeCell ref="A220"/>
    <mergeCell ref="B220"/>
    <mergeCell ref="C220"/>
    <mergeCell ref="D220"/>
    <mergeCell ref="E220"/>
    <mergeCell ref="P219"/>
    <mergeCell ref="Q219"/>
    <mergeCell ref="R219"/>
    <mergeCell ref="S219"/>
    <mergeCell ref="T219"/>
    <mergeCell ref="K219"/>
    <mergeCell ref="L219"/>
    <mergeCell ref="M219"/>
    <mergeCell ref="N219"/>
    <mergeCell ref="O219"/>
    <mergeCell ref="F219"/>
    <mergeCell ref="G219"/>
    <mergeCell ref="H219"/>
    <mergeCell ref="I219"/>
    <mergeCell ref="J219"/>
    <mergeCell ref="A219"/>
    <mergeCell ref="B219"/>
    <mergeCell ref="C219"/>
    <mergeCell ref="D219"/>
    <mergeCell ref="E219"/>
    <mergeCell ref="P218"/>
    <mergeCell ref="Q218"/>
    <mergeCell ref="R218"/>
    <mergeCell ref="S218"/>
    <mergeCell ref="T218"/>
    <mergeCell ref="K218"/>
    <mergeCell ref="L218"/>
    <mergeCell ref="M218"/>
    <mergeCell ref="N218"/>
    <mergeCell ref="O218"/>
    <mergeCell ref="F218"/>
    <mergeCell ref="G218"/>
    <mergeCell ref="H218"/>
    <mergeCell ref="I218"/>
    <mergeCell ref="J218"/>
    <mergeCell ref="A218"/>
    <mergeCell ref="B218"/>
    <mergeCell ref="C218"/>
    <mergeCell ref="D218"/>
    <mergeCell ref="E218"/>
    <mergeCell ref="P217"/>
    <mergeCell ref="Q217"/>
    <mergeCell ref="R217"/>
    <mergeCell ref="S217"/>
    <mergeCell ref="T217"/>
    <mergeCell ref="K217"/>
    <mergeCell ref="L217"/>
    <mergeCell ref="M217"/>
    <mergeCell ref="N217"/>
    <mergeCell ref="O217"/>
    <mergeCell ref="F217"/>
    <mergeCell ref="G217"/>
    <mergeCell ref="H217"/>
    <mergeCell ref="I217"/>
    <mergeCell ref="J217"/>
    <mergeCell ref="A217"/>
    <mergeCell ref="B217"/>
    <mergeCell ref="C217"/>
    <mergeCell ref="D217"/>
    <mergeCell ref="E217"/>
    <mergeCell ref="P216"/>
    <mergeCell ref="Q216"/>
    <mergeCell ref="R216"/>
    <mergeCell ref="S216"/>
    <mergeCell ref="T216"/>
    <mergeCell ref="K216"/>
    <mergeCell ref="L216"/>
    <mergeCell ref="M216"/>
    <mergeCell ref="N216"/>
    <mergeCell ref="O216"/>
    <mergeCell ref="F216"/>
    <mergeCell ref="G216"/>
    <mergeCell ref="H216"/>
    <mergeCell ref="I216"/>
    <mergeCell ref="J216"/>
    <mergeCell ref="A216"/>
    <mergeCell ref="B216"/>
    <mergeCell ref="C216"/>
    <mergeCell ref="D216"/>
    <mergeCell ref="E216"/>
    <mergeCell ref="P215"/>
    <mergeCell ref="Q215"/>
    <mergeCell ref="R215"/>
    <mergeCell ref="S215"/>
    <mergeCell ref="T215"/>
    <mergeCell ref="K215"/>
    <mergeCell ref="L215"/>
    <mergeCell ref="M215"/>
    <mergeCell ref="N215"/>
    <mergeCell ref="O215"/>
    <mergeCell ref="F215"/>
    <mergeCell ref="G215"/>
    <mergeCell ref="H215"/>
    <mergeCell ref="I215"/>
    <mergeCell ref="J215"/>
    <mergeCell ref="A215"/>
    <mergeCell ref="B215"/>
    <mergeCell ref="C215"/>
    <mergeCell ref="D215"/>
    <mergeCell ref="E215"/>
    <mergeCell ref="P214"/>
    <mergeCell ref="Q214"/>
    <mergeCell ref="R214"/>
    <mergeCell ref="S214"/>
    <mergeCell ref="T214"/>
    <mergeCell ref="K214"/>
    <mergeCell ref="L214"/>
    <mergeCell ref="M214"/>
    <mergeCell ref="N214"/>
    <mergeCell ref="O214"/>
    <mergeCell ref="F214"/>
    <mergeCell ref="G214"/>
    <mergeCell ref="H214"/>
    <mergeCell ref="I214"/>
    <mergeCell ref="J214"/>
    <mergeCell ref="A214"/>
    <mergeCell ref="B214"/>
    <mergeCell ref="C214"/>
    <mergeCell ref="D214"/>
    <mergeCell ref="E214"/>
    <mergeCell ref="P213"/>
    <mergeCell ref="Q213"/>
    <mergeCell ref="R213"/>
    <mergeCell ref="S213"/>
    <mergeCell ref="T213"/>
    <mergeCell ref="K213"/>
    <mergeCell ref="L213"/>
    <mergeCell ref="M213"/>
    <mergeCell ref="N213"/>
    <mergeCell ref="O213"/>
    <mergeCell ref="F213"/>
    <mergeCell ref="G213"/>
    <mergeCell ref="H213"/>
    <mergeCell ref="I213"/>
    <mergeCell ref="J213"/>
    <mergeCell ref="A213"/>
    <mergeCell ref="B213"/>
    <mergeCell ref="C213"/>
    <mergeCell ref="D213"/>
    <mergeCell ref="E213"/>
    <mergeCell ref="P212"/>
    <mergeCell ref="Q212"/>
    <mergeCell ref="R212"/>
    <mergeCell ref="S212"/>
    <mergeCell ref="T212"/>
    <mergeCell ref="K212"/>
    <mergeCell ref="L212"/>
    <mergeCell ref="M212"/>
    <mergeCell ref="N212"/>
    <mergeCell ref="O212"/>
    <mergeCell ref="F212"/>
    <mergeCell ref="G212"/>
    <mergeCell ref="H212"/>
    <mergeCell ref="I212"/>
    <mergeCell ref="J212"/>
    <mergeCell ref="A212"/>
    <mergeCell ref="B212"/>
    <mergeCell ref="C212"/>
    <mergeCell ref="D212"/>
    <mergeCell ref="E212"/>
    <mergeCell ref="P211"/>
    <mergeCell ref="Q211"/>
    <mergeCell ref="R211"/>
    <mergeCell ref="S211"/>
    <mergeCell ref="T211"/>
    <mergeCell ref="K211"/>
    <mergeCell ref="L211"/>
    <mergeCell ref="M211"/>
    <mergeCell ref="N211"/>
    <mergeCell ref="O211"/>
    <mergeCell ref="F211"/>
    <mergeCell ref="G211"/>
    <mergeCell ref="H211"/>
    <mergeCell ref="I211"/>
    <mergeCell ref="J211"/>
    <mergeCell ref="A211"/>
    <mergeCell ref="B211"/>
    <mergeCell ref="C211"/>
    <mergeCell ref="D211"/>
    <mergeCell ref="E211"/>
    <mergeCell ref="P210"/>
    <mergeCell ref="Q210"/>
    <mergeCell ref="R210"/>
    <mergeCell ref="S210"/>
    <mergeCell ref="T210"/>
    <mergeCell ref="K210"/>
    <mergeCell ref="L210"/>
    <mergeCell ref="M210"/>
    <mergeCell ref="N210"/>
    <mergeCell ref="O210"/>
    <mergeCell ref="F210"/>
    <mergeCell ref="G210"/>
    <mergeCell ref="H210"/>
    <mergeCell ref="I210"/>
    <mergeCell ref="J210"/>
    <mergeCell ref="A210"/>
    <mergeCell ref="B210"/>
    <mergeCell ref="C210"/>
    <mergeCell ref="D210"/>
    <mergeCell ref="E210"/>
    <mergeCell ref="P209"/>
    <mergeCell ref="Q209"/>
    <mergeCell ref="R209"/>
    <mergeCell ref="S209"/>
    <mergeCell ref="T209"/>
    <mergeCell ref="K209"/>
    <mergeCell ref="L209"/>
    <mergeCell ref="M209"/>
    <mergeCell ref="N209"/>
    <mergeCell ref="O209"/>
    <mergeCell ref="F209"/>
    <mergeCell ref="G209"/>
    <mergeCell ref="H209"/>
    <mergeCell ref="I209"/>
    <mergeCell ref="J209"/>
    <mergeCell ref="A209"/>
    <mergeCell ref="B209"/>
    <mergeCell ref="C209"/>
    <mergeCell ref="D209"/>
    <mergeCell ref="E209"/>
    <mergeCell ref="P208"/>
    <mergeCell ref="Q208"/>
    <mergeCell ref="R208"/>
    <mergeCell ref="S208"/>
    <mergeCell ref="T208"/>
    <mergeCell ref="K208"/>
    <mergeCell ref="L208"/>
    <mergeCell ref="M208"/>
    <mergeCell ref="N208"/>
    <mergeCell ref="O208"/>
    <mergeCell ref="F208"/>
    <mergeCell ref="G208"/>
    <mergeCell ref="H208"/>
    <mergeCell ref="I208"/>
    <mergeCell ref="J208"/>
    <mergeCell ref="A208"/>
    <mergeCell ref="B208"/>
    <mergeCell ref="C208"/>
    <mergeCell ref="D208"/>
    <mergeCell ref="E208"/>
    <mergeCell ref="P207"/>
    <mergeCell ref="Q207"/>
    <mergeCell ref="R207"/>
    <mergeCell ref="S207"/>
    <mergeCell ref="T207"/>
    <mergeCell ref="K207"/>
    <mergeCell ref="L207"/>
    <mergeCell ref="M207"/>
    <mergeCell ref="N207"/>
    <mergeCell ref="O207"/>
    <mergeCell ref="F207"/>
    <mergeCell ref="G207"/>
    <mergeCell ref="H207"/>
    <mergeCell ref="I207"/>
    <mergeCell ref="J207"/>
    <mergeCell ref="A207"/>
    <mergeCell ref="B207"/>
    <mergeCell ref="C207"/>
    <mergeCell ref="D207"/>
    <mergeCell ref="E207"/>
    <mergeCell ref="P206"/>
    <mergeCell ref="Q206"/>
    <mergeCell ref="R206"/>
    <mergeCell ref="S206"/>
    <mergeCell ref="T206"/>
    <mergeCell ref="K206"/>
    <mergeCell ref="L206"/>
    <mergeCell ref="M206"/>
    <mergeCell ref="N206"/>
    <mergeCell ref="O206"/>
    <mergeCell ref="F206"/>
    <mergeCell ref="G206"/>
    <mergeCell ref="H206"/>
    <mergeCell ref="I206"/>
    <mergeCell ref="J206"/>
    <mergeCell ref="A206"/>
    <mergeCell ref="B206"/>
    <mergeCell ref="C206"/>
    <mergeCell ref="D206"/>
    <mergeCell ref="E206"/>
    <mergeCell ref="P205"/>
    <mergeCell ref="Q205"/>
    <mergeCell ref="R205"/>
    <mergeCell ref="S205"/>
    <mergeCell ref="T205"/>
    <mergeCell ref="K205"/>
    <mergeCell ref="L205"/>
    <mergeCell ref="M205"/>
    <mergeCell ref="N205"/>
    <mergeCell ref="O205"/>
    <mergeCell ref="F205"/>
    <mergeCell ref="G205"/>
    <mergeCell ref="H205"/>
    <mergeCell ref="I205"/>
    <mergeCell ref="J205"/>
    <mergeCell ref="A205"/>
    <mergeCell ref="B205"/>
    <mergeCell ref="C205"/>
    <mergeCell ref="D205"/>
    <mergeCell ref="E205"/>
    <mergeCell ref="P204"/>
    <mergeCell ref="Q204"/>
    <mergeCell ref="R204"/>
    <mergeCell ref="S204"/>
    <mergeCell ref="T204"/>
    <mergeCell ref="K204"/>
    <mergeCell ref="L204"/>
    <mergeCell ref="M204"/>
    <mergeCell ref="N204"/>
    <mergeCell ref="O204"/>
    <mergeCell ref="F204"/>
    <mergeCell ref="G204"/>
    <mergeCell ref="H204"/>
    <mergeCell ref="I204"/>
    <mergeCell ref="J204"/>
    <mergeCell ref="A204"/>
    <mergeCell ref="B204"/>
    <mergeCell ref="C204"/>
    <mergeCell ref="D204"/>
    <mergeCell ref="E204"/>
    <mergeCell ref="P203"/>
    <mergeCell ref="Q203"/>
    <mergeCell ref="R203"/>
    <mergeCell ref="S203"/>
    <mergeCell ref="T203"/>
    <mergeCell ref="K203"/>
    <mergeCell ref="L203"/>
    <mergeCell ref="M203"/>
    <mergeCell ref="N203"/>
    <mergeCell ref="O203"/>
    <mergeCell ref="F203"/>
    <mergeCell ref="G203"/>
    <mergeCell ref="H203"/>
    <mergeCell ref="I203"/>
    <mergeCell ref="J203"/>
    <mergeCell ref="A203"/>
    <mergeCell ref="B203"/>
    <mergeCell ref="C203"/>
    <mergeCell ref="D203"/>
    <mergeCell ref="E203"/>
    <mergeCell ref="P202"/>
    <mergeCell ref="Q202"/>
    <mergeCell ref="R202"/>
    <mergeCell ref="S202"/>
    <mergeCell ref="T202"/>
    <mergeCell ref="K202"/>
    <mergeCell ref="L202"/>
    <mergeCell ref="M202"/>
    <mergeCell ref="N202"/>
    <mergeCell ref="O202"/>
    <mergeCell ref="F202"/>
    <mergeCell ref="G202"/>
    <mergeCell ref="H202"/>
    <mergeCell ref="I202"/>
    <mergeCell ref="J202"/>
    <mergeCell ref="A202"/>
    <mergeCell ref="B202"/>
    <mergeCell ref="C202"/>
    <mergeCell ref="D202"/>
    <mergeCell ref="E202"/>
    <mergeCell ref="P201"/>
    <mergeCell ref="Q201"/>
    <mergeCell ref="R201"/>
    <mergeCell ref="S201"/>
    <mergeCell ref="T201"/>
    <mergeCell ref="K201"/>
    <mergeCell ref="L201"/>
    <mergeCell ref="M201"/>
    <mergeCell ref="N201"/>
    <mergeCell ref="O201"/>
    <mergeCell ref="F201"/>
    <mergeCell ref="G201"/>
    <mergeCell ref="H201"/>
    <mergeCell ref="I201"/>
    <mergeCell ref="J201"/>
    <mergeCell ref="A201"/>
    <mergeCell ref="B201"/>
    <mergeCell ref="C201"/>
    <mergeCell ref="D201"/>
    <mergeCell ref="E201"/>
    <mergeCell ref="P200"/>
    <mergeCell ref="Q200"/>
    <mergeCell ref="R200"/>
    <mergeCell ref="S200"/>
    <mergeCell ref="T200"/>
    <mergeCell ref="K200"/>
    <mergeCell ref="L200"/>
    <mergeCell ref="M200"/>
    <mergeCell ref="N200"/>
    <mergeCell ref="O200"/>
    <mergeCell ref="F200"/>
    <mergeCell ref="G200"/>
    <mergeCell ref="H200"/>
    <mergeCell ref="I200"/>
    <mergeCell ref="J200"/>
    <mergeCell ref="A200"/>
    <mergeCell ref="B200"/>
    <mergeCell ref="C200"/>
    <mergeCell ref="D200"/>
    <mergeCell ref="E200"/>
    <mergeCell ref="P199"/>
    <mergeCell ref="Q199"/>
    <mergeCell ref="R199"/>
    <mergeCell ref="S199"/>
    <mergeCell ref="T199"/>
    <mergeCell ref="K199"/>
    <mergeCell ref="L199"/>
    <mergeCell ref="M199"/>
    <mergeCell ref="N199"/>
    <mergeCell ref="O199"/>
    <mergeCell ref="F199"/>
    <mergeCell ref="G199"/>
    <mergeCell ref="H199"/>
    <mergeCell ref="I199"/>
    <mergeCell ref="J199"/>
    <mergeCell ref="A199"/>
    <mergeCell ref="B199"/>
    <mergeCell ref="C199"/>
    <mergeCell ref="D199"/>
    <mergeCell ref="E199"/>
    <mergeCell ref="P198"/>
    <mergeCell ref="Q198"/>
    <mergeCell ref="R198"/>
    <mergeCell ref="S198"/>
    <mergeCell ref="T198"/>
    <mergeCell ref="K198"/>
    <mergeCell ref="L198"/>
    <mergeCell ref="M198"/>
    <mergeCell ref="N198"/>
    <mergeCell ref="O198"/>
    <mergeCell ref="F198"/>
    <mergeCell ref="G198"/>
    <mergeCell ref="H198"/>
    <mergeCell ref="I198"/>
    <mergeCell ref="J198"/>
    <mergeCell ref="A198"/>
    <mergeCell ref="B198"/>
    <mergeCell ref="C198"/>
    <mergeCell ref="D198"/>
    <mergeCell ref="E198"/>
    <mergeCell ref="P197"/>
    <mergeCell ref="Q197"/>
    <mergeCell ref="R197"/>
    <mergeCell ref="S197"/>
    <mergeCell ref="T197"/>
    <mergeCell ref="K197"/>
    <mergeCell ref="L197"/>
    <mergeCell ref="M197"/>
    <mergeCell ref="N197"/>
    <mergeCell ref="O197"/>
    <mergeCell ref="F197"/>
    <mergeCell ref="G197"/>
    <mergeCell ref="H197"/>
    <mergeCell ref="I197"/>
    <mergeCell ref="J197"/>
    <mergeCell ref="A197"/>
    <mergeCell ref="B197"/>
    <mergeCell ref="C197"/>
    <mergeCell ref="D197"/>
    <mergeCell ref="E197"/>
    <mergeCell ref="P196"/>
    <mergeCell ref="Q196"/>
    <mergeCell ref="R196"/>
    <mergeCell ref="S196"/>
    <mergeCell ref="T196"/>
    <mergeCell ref="K196"/>
    <mergeCell ref="L196"/>
    <mergeCell ref="M196"/>
    <mergeCell ref="N196"/>
    <mergeCell ref="O196"/>
    <mergeCell ref="F196"/>
    <mergeCell ref="G196"/>
    <mergeCell ref="H196"/>
    <mergeCell ref="I196"/>
    <mergeCell ref="J196"/>
    <mergeCell ref="A196"/>
    <mergeCell ref="B196"/>
    <mergeCell ref="C196"/>
    <mergeCell ref="D196"/>
    <mergeCell ref="E196"/>
    <mergeCell ref="P195"/>
    <mergeCell ref="Q195"/>
    <mergeCell ref="R195"/>
    <mergeCell ref="S195"/>
    <mergeCell ref="T195"/>
    <mergeCell ref="K195"/>
    <mergeCell ref="L195"/>
    <mergeCell ref="M195"/>
    <mergeCell ref="N195"/>
    <mergeCell ref="O195"/>
    <mergeCell ref="F195"/>
    <mergeCell ref="G195"/>
    <mergeCell ref="H195"/>
    <mergeCell ref="I195"/>
    <mergeCell ref="J195"/>
    <mergeCell ref="A195"/>
    <mergeCell ref="B195"/>
    <mergeCell ref="C195"/>
    <mergeCell ref="D195"/>
    <mergeCell ref="E195"/>
    <mergeCell ref="P194"/>
    <mergeCell ref="Q194"/>
    <mergeCell ref="R194"/>
    <mergeCell ref="S194"/>
    <mergeCell ref="T194"/>
    <mergeCell ref="K194"/>
    <mergeCell ref="L194"/>
    <mergeCell ref="M194"/>
    <mergeCell ref="N194"/>
    <mergeCell ref="O194"/>
    <mergeCell ref="F194"/>
    <mergeCell ref="G194"/>
    <mergeCell ref="H194"/>
    <mergeCell ref="I194"/>
    <mergeCell ref="J194"/>
    <mergeCell ref="A194"/>
    <mergeCell ref="B194"/>
    <mergeCell ref="C194"/>
    <mergeCell ref="D194"/>
    <mergeCell ref="E194"/>
    <mergeCell ref="P193"/>
    <mergeCell ref="Q193"/>
    <mergeCell ref="R193"/>
    <mergeCell ref="S193"/>
    <mergeCell ref="T193"/>
    <mergeCell ref="K193"/>
    <mergeCell ref="L193"/>
    <mergeCell ref="M193"/>
    <mergeCell ref="N193"/>
    <mergeCell ref="O193"/>
    <mergeCell ref="F193"/>
    <mergeCell ref="G193"/>
    <mergeCell ref="H193"/>
    <mergeCell ref="I193"/>
    <mergeCell ref="J193"/>
    <mergeCell ref="A193"/>
    <mergeCell ref="B193"/>
    <mergeCell ref="C193"/>
    <mergeCell ref="D193"/>
    <mergeCell ref="E193"/>
    <mergeCell ref="P192"/>
    <mergeCell ref="Q192"/>
    <mergeCell ref="R192"/>
    <mergeCell ref="S192"/>
    <mergeCell ref="T192"/>
    <mergeCell ref="K192"/>
    <mergeCell ref="L192"/>
    <mergeCell ref="M192"/>
    <mergeCell ref="N192"/>
    <mergeCell ref="O192"/>
    <mergeCell ref="F192"/>
    <mergeCell ref="G192"/>
    <mergeCell ref="H192"/>
    <mergeCell ref="I192"/>
    <mergeCell ref="J192"/>
    <mergeCell ref="A192"/>
    <mergeCell ref="B192"/>
    <mergeCell ref="C192"/>
    <mergeCell ref="D192"/>
    <mergeCell ref="E192"/>
    <mergeCell ref="P191"/>
    <mergeCell ref="Q191"/>
    <mergeCell ref="R191"/>
    <mergeCell ref="S191"/>
    <mergeCell ref="T191"/>
    <mergeCell ref="K191"/>
    <mergeCell ref="L191"/>
    <mergeCell ref="M191"/>
    <mergeCell ref="N191"/>
    <mergeCell ref="O191"/>
    <mergeCell ref="F191"/>
    <mergeCell ref="G191"/>
    <mergeCell ref="H191"/>
    <mergeCell ref="I191"/>
    <mergeCell ref="J191"/>
    <mergeCell ref="A191"/>
    <mergeCell ref="B191"/>
    <mergeCell ref="C191"/>
    <mergeCell ref="D191"/>
    <mergeCell ref="E191"/>
    <mergeCell ref="P190"/>
    <mergeCell ref="Q190"/>
    <mergeCell ref="R190"/>
    <mergeCell ref="S190"/>
    <mergeCell ref="T190"/>
    <mergeCell ref="K190"/>
    <mergeCell ref="L190"/>
    <mergeCell ref="M190"/>
    <mergeCell ref="N190"/>
    <mergeCell ref="O190"/>
    <mergeCell ref="F190"/>
    <mergeCell ref="G190"/>
    <mergeCell ref="H190"/>
    <mergeCell ref="I190"/>
    <mergeCell ref="J190"/>
    <mergeCell ref="A190"/>
    <mergeCell ref="B190"/>
    <mergeCell ref="C190"/>
    <mergeCell ref="D190"/>
    <mergeCell ref="E190"/>
    <mergeCell ref="P189"/>
    <mergeCell ref="Q189"/>
    <mergeCell ref="R189"/>
    <mergeCell ref="S189"/>
    <mergeCell ref="T189"/>
    <mergeCell ref="K189"/>
    <mergeCell ref="L189"/>
    <mergeCell ref="M189"/>
    <mergeCell ref="N189"/>
    <mergeCell ref="O189"/>
    <mergeCell ref="F189"/>
    <mergeCell ref="G189"/>
    <mergeCell ref="H189"/>
    <mergeCell ref="I189"/>
    <mergeCell ref="J189"/>
    <mergeCell ref="A189"/>
    <mergeCell ref="B189"/>
    <mergeCell ref="C189"/>
    <mergeCell ref="D189"/>
    <mergeCell ref="E189"/>
    <mergeCell ref="P188"/>
    <mergeCell ref="Q188"/>
    <mergeCell ref="R188"/>
    <mergeCell ref="S188"/>
    <mergeCell ref="T188"/>
    <mergeCell ref="K188"/>
    <mergeCell ref="L188"/>
    <mergeCell ref="M188"/>
    <mergeCell ref="N188"/>
    <mergeCell ref="O188"/>
    <mergeCell ref="F188"/>
    <mergeCell ref="G188"/>
    <mergeCell ref="H188"/>
    <mergeCell ref="I188"/>
    <mergeCell ref="J188"/>
    <mergeCell ref="A188"/>
    <mergeCell ref="B188"/>
    <mergeCell ref="C188"/>
    <mergeCell ref="D188"/>
    <mergeCell ref="E188"/>
    <mergeCell ref="P187"/>
    <mergeCell ref="Q187"/>
    <mergeCell ref="R187"/>
    <mergeCell ref="S187"/>
    <mergeCell ref="T187"/>
    <mergeCell ref="K187"/>
    <mergeCell ref="L187"/>
    <mergeCell ref="M187"/>
    <mergeCell ref="N187"/>
    <mergeCell ref="O187"/>
    <mergeCell ref="F187"/>
    <mergeCell ref="G187"/>
    <mergeCell ref="H187"/>
    <mergeCell ref="I187"/>
    <mergeCell ref="J187"/>
    <mergeCell ref="A187"/>
    <mergeCell ref="B187"/>
    <mergeCell ref="C187"/>
    <mergeCell ref="D187"/>
    <mergeCell ref="E187"/>
    <mergeCell ref="P186"/>
    <mergeCell ref="Q186"/>
    <mergeCell ref="R186"/>
    <mergeCell ref="S186"/>
    <mergeCell ref="T186"/>
    <mergeCell ref="K186"/>
    <mergeCell ref="L186"/>
    <mergeCell ref="M186"/>
    <mergeCell ref="N186"/>
    <mergeCell ref="O186"/>
    <mergeCell ref="F186"/>
    <mergeCell ref="G186"/>
    <mergeCell ref="H186"/>
    <mergeCell ref="I186"/>
    <mergeCell ref="J186"/>
    <mergeCell ref="A186"/>
    <mergeCell ref="B186"/>
    <mergeCell ref="C186"/>
    <mergeCell ref="D186"/>
    <mergeCell ref="E186"/>
    <mergeCell ref="P185"/>
    <mergeCell ref="Q185"/>
    <mergeCell ref="R185"/>
    <mergeCell ref="S185"/>
    <mergeCell ref="T185"/>
    <mergeCell ref="K185"/>
    <mergeCell ref="L185"/>
    <mergeCell ref="M185"/>
    <mergeCell ref="N185"/>
    <mergeCell ref="O185"/>
    <mergeCell ref="F185"/>
    <mergeCell ref="G185"/>
    <mergeCell ref="H185"/>
    <mergeCell ref="I185"/>
    <mergeCell ref="J185"/>
    <mergeCell ref="A185"/>
    <mergeCell ref="B185"/>
    <mergeCell ref="C185"/>
    <mergeCell ref="D185"/>
    <mergeCell ref="E185"/>
    <mergeCell ref="P184"/>
    <mergeCell ref="Q184"/>
    <mergeCell ref="R184"/>
    <mergeCell ref="S184"/>
    <mergeCell ref="T184"/>
    <mergeCell ref="K184"/>
    <mergeCell ref="L184"/>
    <mergeCell ref="M184"/>
    <mergeCell ref="N184"/>
    <mergeCell ref="O184"/>
    <mergeCell ref="F184"/>
    <mergeCell ref="G184"/>
    <mergeCell ref="H184"/>
    <mergeCell ref="I184"/>
    <mergeCell ref="J184"/>
    <mergeCell ref="A184"/>
    <mergeCell ref="B184"/>
    <mergeCell ref="C184"/>
    <mergeCell ref="D184"/>
    <mergeCell ref="E184"/>
    <mergeCell ref="P183"/>
    <mergeCell ref="Q183"/>
    <mergeCell ref="R183"/>
    <mergeCell ref="S183"/>
    <mergeCell ref="T183"/>
    <mergeCell ref="K183"/>
    <mergeCell ref="L183"/>
    <mergeCell ref="M183"/>
    <mergeCell ref="N183"/>
    <mergeCell ref="O183"/>
    <mergeCell ref="F183"/>
    <mergeCell ref="G183"/>
    <mergeCell ref="H183"/>
    <mergeCell ref="I183"/>
    <mergeCell ref="J183"/>
    <mergeCell ref="A183"/>
    <mergeCell ref="B183"/>
    <mergeCell ref="C183"/>
    <mergeCell ref="D183"/>
    <mergeCell ref="E183"/>
    <mergeCell ref="P182"/>
    <mergeCell ref="Q182"/>
    <mergeCell ref="R182"/>
    <mergeCell ref="S182"/>
    <mergeCell ref="T182"/>
    <mergeCell ref="K182"/>
    <mergeCell ref="L182"/>
    <mergeCell ref="M182"/>
    <mergeCell ref="N182"/>
    <mergeCell ref="O182"/>
    <mergeCell ref="F182"/>
    <mergeCell ref="G182"/>
    <mergeCell ref="H182"/>
    <mergeCell ref="I182"/>
    <mergeCell ref="J182"/>
    <mergeCell ref="A182"/>
    <mergeCell ref="B182"/>
    <mergeCell ref="C182"/>
    <mergeCell ref="D182"/>
    <mergeCell ref="E182"/>
    <mergeCell ref="P181"/>
    <mergeCell ref="Q181"/>
    <mergeCell ref="R181"/>
    <mergeCell ref="S181"/>
    <mergeCell ref="T181"/>
    <mergeCell ref="K181"/>
    <mergeCell ref="L181"/>
    <mergeCell ref="M181"/>
    <mergeCell ref="N181"/>
    <mergeCell ref="O181"/>
    <mergeCell ref="F181"/>
    <mergeCell ref="G181"/>
    <mergeCell ref="H181"/>
    <mergeCell ref="I181"/>
    <mergeCell ref="J181"/>
    <mergeCell ref="A181"/>
    <mergeCell ref="B181"/>
    <mergeCell ref="C181"/>
    <mergeCell ref="D181"/>
    <mergeCell ref="E181"/>
    <mergeCell ref="P180"/>
    <mergeCell ref="Q180"/>
    <mergeCell ref="R180"/>
    <mergeCell ref="S180"/>
    <mergeCell ref="T180"/>
    <mergeCell ref="K180"/>
    <mergeCell ref="L180"/>
    <mergeCell ref="M180"/>
    <mergeCell ref="N180"/>
    <mergeCell ref="O180"/>
    <mergeCell ref="F180"/>
    <mergeCell ref="G180"/>
    <mergeCell ref="H180"/>
    <mergeCell ref="I180"/>
    <mergeCell ref="J180"/>
    <mergeCell ref="A180"/>
    <mergeCell ref="B180"/>
    <mergeCell ref="C180"/>
    <mergeCell ref="D180"/>
    <mergeCell ref="E180"/>
    <mergeCell ref="P179"/>
    <mergeCell ref="Q179"/>
    <mergeCell ref="R179"/>
    <mergeCell ref="S179"/>
    <mergeCell ref="T179"/>
    <mergeCell ref="K179"/>
    <mergeCell ref="L179"/>
    <mergeCell ref="M179"/>
    <mergeCell ref="N179"/>
    <mergeCell ref="O179"/>
    <mergeCell ref="F179"/>
    <mergeCell ref="G179"/>
    <mergeCell ref="H179"/>
    <mergeCell ref="I179"/>
    <mergeCell ref="J179"/>
    <mergeCell ref="A179"/>
    <mergeCell ref="B179"/>
    <mergeCell ref="C179"/>
    <mergeCell ref="D179"/>
    <mergeCell ref="E179"/>
    <mergeCell ref="P178"/>
    <mergeCell ref="Q178"/>
    <mergeCell ref="R178"/>
    <mergeCell ref="S178"/>
    <mergeCell ref="T178"/>
    <mergeCell ref="K178"/>
    <mergeCell ref="L178"/>
    <mergeCell ref="M178"/>
    <mergeCell ref="N178"/>
    <mergeCell ref="O178"/>
    <mergeCell ref="F178"/>
    <mergeCell ref="G178"/>
    <mergeCell ref="H178"/>
    <mergeCell ref="I178"/>
    <mergeCell ref="J178"/>
    <mergeCell ref="A178"/>
    <mergeCell ref="B178"/>
    <mergeCell ref="C178"/>
    <mergeCell ref="D178"/>
    <mergeCell ref="E178"/>
    <mergeCell ref="P177"/>
    <mergeCell ref="Q177"/>
    <mergeCell ref="R177"/>
    <mergeCell ref="S177"/>
    <mergeCell ref="T177"/>
    <mergeCell ref="K177"/>
    <mergeCell ref="L177"/>
    <mergeCell ref="M177"/>
    <mergeCell ref="N177"/>
    <mergeCell ref="O177"/>
    <mergeCell ref="F177"/>
    <mergeCell ref="G177"/>
    <mergeCell ref="H177"/>
    <mergeCell ref="I177"/>
    <mergeCell ref="J177"/>
    <mergeCell ref="A177"/>
    <mergeCell ref="B177"/>
    <mergeCell ref="C177"/>
    <mergeCell ref="D177"/>
    <mergeCell ref="E177"/>
    <mergeCell ref="P176"/>
    <mergeCell ref="Q176"/>
    <mergeCell ref="R176"/>
    <mergeCell ref="S176"/>
    <mergeCell ref="T176"/>
    <mergeCell ref="K176"/>
    <mergeCell ref="L176"/>
    <mergeCell ref="M176"/>
    <mergeCell ref="N176"/>
    <mergeCell ref="O176"/>
    <mergeCell ref="F176"/>
    <mergeCell ref="G176"/>
    <mergeCell ref="H176"/>
    <mergeCell ref="I176"/>
    <mergeCell ref="J176"/>
    <mergeCell ref="A176"/>
    <mergeCell ref="B176"/>
    <mergeCell ref="C176"/>
    <mergeCell ref="D176"/>
    <mergeCell ref="E176"/>
    <mergeCell ref="P175"/>
    <mergeCell ref="Q175"/>
    <mergeCell ref="R175"/>
    <mergeCell ref="S175"/>
    <mergeCell ref="T175"/>
    <mergeCell ref="K175"/>
    <mergeCell ref="L175"/>
    <mergeCell ref="M175"/>
    <mergeCell ref="N175"/>
    <mergeCell ref="O175"/>
    <mergeCell ref="F175"/>
    <mergeCell ref="G175"/>
    <mergeCell ref="H175"/>
    <mergeCell ref="I175"/>
    <mergeCell ref="J175"/>
    <mergeCell ref="A175"/>
    <mergeCell ref="B175"/>
    <mergeCell ref="C175"/>
    <mergeCell ref="D175"/>
    <mergeCell ref="E175"/>
    <mergeCell ref="P174"/>
    <mergeCell ref="Q174"/>
    <mergeCell ref="R174"/>
    <mergeCell ref="S174"/>
    <mergeCell ref="T174"/>
    <mergeCell ref="K174"/>
    <mergeCell ref="L174"/>
    <mergeCell ref="M174"/>
    <mergeCell ref="N174"/>
    <mergeCell ref="O174"/>
    <mergeCell ref="F174"/>
    <mergeCell ref="G174"/>
    <mergeCell ref="H174"/>
    <mergeCell ref="I174"/>
    <mergeCell ref="J174"/>
    <mergeCell ref="A174"/>
    <mergeCell ref="B174"/>
    <mergeCell ref="C174"/>
    <mergeCell ref="D174"/>
    <mergeCell ref="E174"/>
    <mergeCell ref="P173"/>
    <mergeCell ref="Q173"/>
    <mergeCell ref="R173"/>
    <mergeCell ref="S173"/>
    <mergeCell ref="T173"/>
    <mergeCell ref="K173"/>
    <mergeCell ref="L173"/>
    <mergeCell ref="M173"/>
    <mergeCell ref="N173"/>
    <mergeCell ref="O173"/>
    <mergeCell ref="F173"/>
    <mergeCell ref="G173"/>
    <mergeCell ref="H173"/>
    <mergeCell ref="I173"/>
    <mergeCell ref="J173"/>
    <mergeCell ref="A173"/>
    <mergeCell ref="B173"/>
    <mergeCell ref="C173"/>
    <mergeCell ref="D173"/>
    <mergeCell ref="E173"/>
    <mergeCell ref="P172"/>
    <mergeCell ref="Q172"/>
    <mergeCell ref="R172"/>
    <mergeCell ref="S172"/>
    <mergeCell ref="T172"/>
    <mergeCell ref="K172"/>
    <mergeCell ref="L172"/>
    <mergeCell ref="M172"/>
    <mergeCell ref="N172"/>
    <mergeCell ref="O172"/>
    <mergeCell ref="F172"/>
    <mergeCell ref="G172"/>
    <mergeCell ref="H172"/>
    <mergeCell ref="I172"/>
    <mergeCell ref="J172"/>
    <mergeCell ref="A172"/>
    <mergeCell ref="B172"/>
    <mergeCell ref="C172"/>
    <mergeCell ref="D172"/>
    <mergeCell ref="E172"/>
    <mergeCell ref="P171"/>
    <mergeCell ref="Q171"/>
    <mergeCell ref="R171"/>
    <mergeCell ref="S171"/>
    <mergeCell ref="T171"/>
    <mergeCell ref="K171"/>
    <mergeCell ref="L171"/>
    <mergeCell ref="M171"/>
    <mergeCell ref="N171"/>
    <mergeCell ref="O171"/>
    <mergeCell ref="F171"/>
    <mergeCell ref="G171"/>
    <mergeCell ref="H171"/>
    <mergeCell ref="I171"/>
    <mergeCell ref="J171"/>
    <mergeCell ref="A171"/>
    <mergeCell ref="B171"/>
    <mergeCell ref="C171"/>
    <mergeCell ref="D171"/>
    <mergeCell ref="E171"/>
    <mergeCell ref="P170"/>
    <mergeCell ref="Q170"/>
    <mergeCell ref="R170"/>
    <mergeCell ref="S170"/>
    <mergeCell ref="T170"/>
    <mergeCell ref="K170"/>
    <mergeCell ref="L170"/>
    <mergeCell ref="M170"/>
    <mergeCell ref="N170"/>
    <mergeCell ref="O170"/>
    <mergeCell ref="F170"/>
    <mergeCell ref="G170"/>
    <mergeCell ref="H170"/>
    <mergeCell ref="I170"/>
    <mergeCell ref="J170"/>
    <mergeCell ref="A170"/>
    <mergeCell ref="B170"/>
    <mergeCell ref="C170"/>
    <mergeCell ref="D170"/>
    <mergeCell ref="E170"/>
    <mergeCell ref="P169"/>
    <mergeCell ref="Q169"/>
    <mergeCell ref="R169"/>
    <mergeCell ref="S169"/>
    <mergeCell ref="T169"/>
    <mergeCell ref="K169"/>
    <mergeCell ref="L169"/>
    <mergeCell ref="M169"/>
    <mergeCell ref="N169"/>
    <mergeCell ref="O169"/>
    <mergeCell ref="F169"/>
    <mergeCell ref="G169"/>
    <mergeCell ref="H169"/>
    <mergeCell ref="I169"/>
    <mergeCell ref="J169"/>
    <mergeCell ref="A169"/>
    <mergeCell ref="B169"/>
    <mergeCell ref="C169"/>
    <mergeCell ref="D169"/>
    <mergeCell ref="E169"/>
    <mergeCell ref="P168"/>
    <mergeCell ref="Q168"/>
    <mergeCell ref="R168"/>
    <mergeCell ref="S168"/>
    <mergeCell ref="T168"/>
    <mergeCell ref="K168"/>
    <mergeCell ref="L168"/>
    <mergeCell ref="M168"/>
    <mergeCell ref="N168"/>
    <mergeCell ref="O168"/>
    <mergeCell ref="F168"/>
    <mergeCell ref="G168"/>
    <mergeCell ref="H168"/>
    <mergeCell ref="I168"/>
    <mergeCell ref="J168"/>
    <mergeCell ref="A168"/>
    <mergeCell ref="B168"/>
    <mergeCell ref="C168"/>
    <mergeCell ref="D168"/>
    <mergeCell ref="E168"/>
    <mergeCell ref="P167"/>
    <mergeCell ref="Q167"/>
    <mergeCell ref="R167"/>
    <mergeCell ref="S167"/>
    <mergeCell ref="T167"/>
    <mergeCell ref="K167"/>
    <mergeCell ref="L167"/>
    <mergeCell ref="M167"/>
    <mergeCell ref="N167"/>
    <mergeCell ref="O167"/>
    <mergeCell ref="F167"/>
    <mergeCell ref="G167"/>
    <mergeCell ref="H167"/>
    <mergeCell ref="I167"/>
    <mergeCell ref="J167"/>
    <mergeCell ref="A167"/>
    <mergeCell ref="B167"/>
    <mergeCell ref="C167"/>
    <mergeCell ref="D167"/>
    <mergeCell ref="E167"/>
    <mergeCell ref="P166"/>
    <mergeCell ref="Q166"/>
    <mergeCell ref="R166"/>
    <mergeCell ref="S166"/>
    <mergeCell ref="T166"/>
    <mergeCell ref="K166"/>
    <mergeCell ref="L166"/>
    <mergeCell ref="M166"/>
    <mergeCell ref="N166"/>
    <mergeCell ref="O166"/>
    <mergeCell ref="F166"/>
    <mergeCell ref="G166"/>
    <mergeCell ref="H166"/>
    <mergeCell ref="I166"/>
    <mergeCell ref="J166"/>
    <mergeCell ref="A166"/>
    <mergeCell ref="B166"/>
    <mergeCell ref="C166"/>
    <mergeCell ref="D166"/>
    <mergeCell ref="E166"/>
    <mergeCell ref="P165"/>
    <mergeCell ref="Q165"/>
    <mergeCell ref="R165"/>
    <mergeCell ref="S165"/>
    <mergeCell ref="T165"/>
    <mergeCell ref="K165"/>
    <mergeCell ref="L165"/>
    <mergeCell ref="M165"/>
    <mergeCell ref="N165"/>
    <mergeCell ref="O165"/>
    <mergeCell ref="F165"/>
    <mergeCell ref="G165"/>
    <mergeCell ref="H165"/>
    <mergeCell ref="I165"/>
    <mergeCell ref="J165"/>
    <mergeCell ref="A165"/>
    <mergeCell ref="B165"/>
    <mergeCell ref="C165"/>
    <mergeCell ref="D165"/>
    <mergeCell ref="E165"/>
    <mergeCell ref="P164"/>
    <mergeCell ref="Q164"/>
    <mergeCell ref="R164"/>
    <mergeCell ref="S164"/>
    <mergeCell ref="T164"/>
    <mergeCell ref="K164"/>
    <mergeCell ref="L164"/>
    <mergeCell ref="M164"/>
    <mergeCell ref="N164"/>
    <mergeCell ref="O164"/>
    <mergeCell ref="F164"/>
    <mergeCell ref="G164"/>
    <mergeCell ref="H164"/>
    <mergeCell ref="I164"/>
    <mergeCell ref="J164"/>
    <mergeCell ref="A164"/>
    <mergeCell ref="B164"/>
    <mergeCell ref="C164"/>
    <mergeCell ref="D164"/>
    <mergeCell ref="E164"/>
    <mergeCell ref="P163"/>
    <mergeCell ref="Q163"/>
    <mergeCell ref="R163"/>
    <mergeCell ref="S163"/>
    <mergeCell ref="T163"/>
    <mergeCell ref="K163"/>
    <mergeCell ref="L163"/>
    <mergeCell ref="M163"/>
    <mergeCell ref="N163"/>
    <mergeCell ref="O163"/>
    <mergeCell ref="F163"/>
    <mergeCell ref="G163"/>
    <mergeCell ref="H163"/>
    <mergeCell ref="I163"/>
    <mergeCell ref="J163"/>
    <mergeCell ref="A163"/>
    <mergeCell ref="B163"/>
    <mergeCell ref="C163"/>
    <mergeCell ref="D163"/>
    <mergeCell ref="E163"/>
    <mergeCell ref="P162"/>
    <mergeCell ref="Q162"/>
    <mergeCell ref="R162"/>
    <mergeCell ref="S162"/>
    <mergeCell ref="T162"/>
    <mergeCell ref="K162"/>
    <mergeCell ref="L162"/>
    <mergeCell ref="M162"/>
    <mergeCell ref="N162"/>
    <mergeCell ref="O162"/>
    <mergeCell ref="F162"/>
    <mergeCell ref="G162"/>
    <mergeCell ref="H162"/>
    <mergeCell ref="I162"/>
    <mergeCell ref="J162"/>
    <mergeCell ref="A162"/>
    <mergeCell ref="B162"/>
    <mergeCell ref="C162"/>
    <mergeCell ref="D162"/>
    <mergeCell ref="E162"/>
    <mergeCell ref="P161"/>
    <mergeCell ref="Q161"/>
    <mergeCell ref="R161"/>
    <mergeCell ref="S161"/>
    <mergeCell ref="T161"/>
    <mergeCell ref="K161"/>
    <mergeCell ref="L161"/>
    <mergeCell ref="M161"/>
    <mergeCell ref="N161"/>
    <mergeCell ref="O161"/>
    <mergeCell ref="F161"/>
    <mergeCell ref="G161"/>
    <mergeCell ref="H161"/>
    <mergeCell ref="I161"/>
    <mergeCell ref="J161"/>
    <mergeCell ref="A161"/>
    <mergeCell ref="B161"/>
    <mergeCell ref="C161"/>
    <mergeCell ref="D161"/>
    <mergeCell ref="E161"/>
    <mergeCell ref="P160"/>
    <mergeCell ref="Q160"/>
    <mergeCell ref="R160"/>
    <mergeCell ref="S160"/>
    <mergeCell ref="T160"/>
    <mergeCell ref="K160"/>
    <mergeCell ref="L160"/>
    <mergeCell ref="M160"/>
    <mergeCell ref="N160"/>
    <mergeCell ref="O160"/>
    <mergeCell ref="F160"/>
    <mergeCell ref="G160"/>
    <mergeCell ref="H160"/>
    <mergeCell ref="I160"/>
    <mergeCell ref="J160"/>
    <mergeCell ref="A160"/>
    <mergeCell ref="B160"/>
    <mergeCell ref="C160"/>
    <mergeCell ref="D160"/>
    <mergeCell ref="E160"/>
    <mergeCell ref="P159"/>
    <mergeCell ref="Q159"/>
    <mergeCell ref="R159"/>
    <mergeCell ref="S159"/>
    <mergeCell ref="T159"/>
    <mergeCell ref="K159"/>
    <mergeCell ref="L159"/>
    <mergeCell ref="M159"/>
    <mergeCell ref="N159"/>
    <mergeCell ref="O159"/>
    <mergeCell ref="F159"/>
    <mergeCell ref="G159"/>
    <mergeCell ref="H159"/>
    <mergeCell ref="I159"/>
    <mergeCell ref="J159"/>
    <mergeCell ref="A159"/>
    <mergeCell ref="B159"/>
    <mergeCell ref="C159"/>
    <mergeCell ref="D159"/>
    <mergeCell ref="E159"/>
    <mergeCell ref="P158"/>
    <mergeCell ref="Q158"/>
    <mergeCell ref="R158"/>
    <mergeCell ref="S158"/>
    <mergeCell ref="T158"/>
    <mergeCell ref="K158"/>
    <mergeCell ref="L158"/>
    <mergeCell ref="M158"/>
    <mergeCell ref="N158"/>
    <mergeCell ref="O158"/>
    <mergeCell ref="F158"/>
    <mergeCell ref="G158"/>
    <mergeCell ref="H158"/>
    <mergeCell ref="I158"/>
    <mergeCell ref="J158"/>
    <mergeCell ref="A158"/>
    <mergeCell ref="B158"/>
    <mergeCell ref="C158"/>
    <mergeCell ref="D158"/>
    <mergeCell ref="E158"/>
    <mergeCell ref="P157"/>
    <mergeCell ref="Q157"/>
    <mergeCell ref="R157"/>
    <mergeCell ref="S157"/>
    <mergeCell ref="T157"/>
    <mergeCell ref="K157"/>
    <mergeCell ref="L157"/>
    <mergeCell ref="M157"/>
    <mergeCell ref="N157"/>
    <mergeCell ref="O157"/>
    <mergeCell ref="F157"/>
    <mergeCell ref="G157"/>
    <mergeCell ref="H157"/>
    <mergeCell ref="I157"/>
    <mergeCell ref="J157"/>
    <mergeCell ref="A157"/>
    <mergeCell ref="B157"/>
    <mergeCell ref="C157"/>
    <mergeCell ref="D157"/>
    <mergeCell ref="E157"/>
    <mergeCell ref="P156"/>
    <mergeCell ref="Q156"/>
    <mergeCell ref="R156"/>
    <mergeCell ref="S156"/>
    <mergeCell ref="T156"/>
    <mergeCell ref="K156"/>
    <mergeCell ref="L156"/>
    <mergeCell ref="M156"/>
    <mergeCell ref="N156"/>
    <mergeCell ref="O156"/>
    <mergeCell ref="F156"/>
    <mergeCell ref="G156"/>
    <mergeCell ref="H156"/>
    <mergeCell ref="I156"/>
    <mergeCell ref="J156"/>
    <mergeCell ref="A156"/>
    <mergeCell ref="B156"/>
    <mergeCell ref="C156"/>
    <mergeCell ref="D156"/>
    <mergeCell ref="E156"/>
    <mergeCell ref="P155"/>
    <mergeCell ref="Q155"/>
    <mergeCell ref="R155"/>
    <mergeCell ref="S155"/>
    <mergeCell ref="T155"/>
    <mergeCell ref="K155"/>
    <mergeCell ref="L155"/>
    <mergeCell ref="M155"/>
    <mergeCell ref="N155"/>
    <mergeCell ref="O155"/>
    <mergeCell ref="F155"/>
    <mergeCell ref="G155"/>
    <mergeCell ref="H155"/>
    <mergeCell ref="I155"/>
    <mergeCell ref="J155"/>
    <mergeCell ref="A155"/>
    <mergeCell ref="B155"/>
    <mergeCell ref="C155"/>
    <mergeCell ref="D155"/>
    <mergeCell ref="E155"/>
    <mergeCell ref="P154"/>
    <mergeCell ref="Q154"/>
    <mergeCell ref="R154"/>
    <mergeCell ref="S154"/>
    <mergeCell ref="T154"/>
    <mergeCell ref="K154"/>
    <mergeCell ref="L154"/>
    <mergeCell ref="M154"/>
    <mergeCell ref="N154"/>
    <mergeCell ref="O154"/>
    <mergeCell ref="F154"/>
    <mergeCell ref="G154"/>
    <mergeCell ref="H154"/>
    <mergeCell ref="I154"/>
    <mergeCell ref="J154"/>
    <mergeCell ref="A154"/>
    <mergeCell ref="B154"/>
    <mergeCell ref="C154"/>
    <mergeCell ref="D154"/>
    <mergeCell ref="E154"/>
    <mergeCell ref="P153"/>
    <mergeCell ref="Q153"/>
    <mergeCell ref="R153"/>
    <mergeCell ref="S153"/>
    <mergeCell ref="T153"/>
    <mergeCell ref="K153"/>
    <mergeCell ref="L153"/>
    <mergeCell ref="M153"/>
    <mergeCell ref="N153"/>
    <mergeCell ref="O153"/>
    <mergeCell ref="F153"/>
    <mergeCell ref="G153"/>
    <mergeCell ref="H153"/>
    <mergeCell ref="I153"/>
    <mergeCell ref="J153"/>
    <mergeCell ref="A153"/>
    <mergeCell ref="B153"/>
    <mergeCell ref="C153"/>
    <mergeCell ref="D153"/>
    <mergeCell ref="E153"/>
    <mergeCell ref="P152"/>
    <mergeCell ref="Q152"/>
    <mergeCell ref="R152"/>
    <mergeCell ref="S152"/>
    <mergeCell ref="T152"/>
    <mergeCell ref="K152"/>
    <mergeCell ref="L152"/>
    <mergeCell ref="M152"/>
    <mergeCell ref="N152"/>
    <mergeCell ref="O152"/>
    <mergeCell ref="F152"/>
    <mergeCell ref="G152"/>
    <mergeCell ref="H152"/>
    <mergeCell ref="I152"/>
    <mergeCell ref="J152"/>
    <mergeCell ref="A152"/>
    <mergeCell ref="B152"/>
    <mergeCell ref="C152"/>
    <mergeCell ref="D152"/>
    <mergeCell ref="E152"/>
    <mergeCell ref="P151"/>
    <mergeCell ref="Q151"/>
    <mergeCell ref="R151"/>
    <mergeCell ref="S151"/>
    <mergeCell ref="T151"/>
    <mergeCell ref="K151"/>
    <mergeCell ref="L151"/>
    <mergeCell ref="M151"/>
    <mergeCell ref="N151"/>
    <mergeCell ref="O151"/>
    <mergeCell ref="F151"/>
    <mergeCell ref="G151"/>
    <mergeCell ref="H151"/>
    <mergeCell ref="I151"/>
    <mergeCell ref="J151"/>
    <mergeCell ref="A151"/>
    <mergeCell ref="B151"/>
    <mergeCell ref="C151"/>
    <mergeCell ref="D151"/>
    <mergeCell ref="E151"/>
    <mergeCell ref="P150"/>
    <mergeCell ref="Q150"/>
    <mergeCell ref="R150"/>
    <mergeCell ref="S150"/>
    <mergeCell ref="T150"/>
    <mergeCell ref="K150"/>
    <mergeCell ref="L150"/>
    <mergeCell ref="M150"/>
    <mergeCell ref="N150"/>
    <mergeCell ref="O150"/>
    <mergeCell ref="F150"/>
    <mergeCell ref="G150"/>
    <mergeCell ref="H150"/>
    <mergeCell ref="I150"/>
    <mergeCell ref="J150"/>
    <mergeCell ref="A150"/>
    <mergeCell ref="B150"/>
    <mergeCell ref="C150"/>
    <mergeCell ref="D150"/>
    <mergeCell ref="E150"/>
    <mergeCell ref="P149"/>
    <mergeCell ref="Q149"/>
    <mergeCell ref="R149"/>
    <mergeCell ref="S149"/>
    <mergeCell ref="T149"/>
    <mergeCell ref="K149"/>
    <mergeCell ref="L149"/>
    <mergeCell ref="M149"/>
    <mergeCell ref="N149"/>
    <mergeCell ref="O149"/>
    <mergeCell ref="F149"/>
    <mergeCell ref="G149"/>
    <mergeCell ref="H149"/>
    <mergeCell ref="I149"/>
    <mergeCell ref="J149"/>
    <mergeCell ref="A149"/>
    <mergeCell ref="B149"/>
    <mergeCell ref="C149"/>
    <mergeCell ref="D149"/>
    <mergeCell ref="E149"/>
    <mergeCell ref="P148"/>
    <mergeCell ref="Q148"/>
    <mergeCell ref="R148"/>
    <mergeCell ref="S148"/>
    <mergeCell ref="T148"/>
    <mergeCell ref="K148"/>
    <mergeCell ref="L148"/>
    <mergeCell ref="M148"/>
    <mergeCell ref="N148"/>
    <mergeCell ref="O148"/>
    <mergeCell ref="F148"/>
    <mergeCell ref="G148"/>
    <mergeCell ref="H148"/>
    <mergeCell ref="I148"/>
    <mergeCell ref="J148"/>
    <mergeCell ref="A148"/>
    <mergeCell ref="B148"/>
    <mergeCell ref="C148"/>
    <mergeCell ref="D148"/>
    <mergeCell ref="E148"/>
    <mergeCell ref="P147"/>
    <mergeCell ref="Q147"/>
    <mergeCell ref="R147"/>
    <mergeCell ref="S147"/>
    <mergeCell ref="T147"/>
    <mergeCell ref="K147"/>
    <mergeCell ref="L147"/>
    <mergeCell ref="M147"/>
    <mergeCell ref="N147"/>
    <mergeCell ref="O147"/>
    <mergeCell ref="F147"/>
    <mergeCell ref="G147"/>
    <mergeCell ref="H147"/>
    <mergeCell ref="I147"/>
    <mergeCell ref="J147"/>
    <mergeCell ref="A147"/>
    <mergeCell ref="B147"/>
    <mergeCell ref="C147"/>
    <mergeCell ref="D147"/>
    <mergeCell ref="E147"/>
    <mergeCell ref="P146"/>
    <mergeCell ref="Q146"/>
    <mergeCell ref="R146"/>
    <mergeCell ref="S146"/>
    <mergeCell ref="T146"/>
    <mergeCell ref="K146"/>
    <mergeCell ref="L146"/>
    <mergeCell ref="M146"/>
    <mergeCell ref="N146"/>
    <mergeCell ref="O146"/>
    <mergeCell ref="F146"/>
    <mergeCell ref="G146"/>
    <mergeCell ref="H146"/>
    <mergeCell ref="I146"/>
    <mergeCell ref="J146"/>
    <mergeCell ref="A146"/>
    <mergeCell ref="B146"/>
    <mergeCell ref="C146"/>
    <mergeCell ref="D146"/>
    <mergeCell ref="E146"/>
    <mergeCell ref="P145"/>
    <mergeCell ref="Q145"/>
    <mergeCell ref="R145"/>
    <mergeCell ref="S145"/>
    <mergeCell ref="T145"/>
    <mergeCell ref="K145"/>
    <mergeCell ref="L145"/>
    <mergeCell ref="M145"/>
    <mergeCell ref="N145"/>
    <mergeCell ref="O145"/>
    <mergeCell ref="F145"/>
    <mergeCell ref="G145"/>
    <mergeCell ref="H145"/>
    <mergeCell ref="I145"/>
    <mergeCell ref="J145"/>
    <mergeCell ref="A145"/>
    <mergeCell ref="B145"/>
    <mergeCell ref="C145"/>
    <mergeCell ref="D145"/>
    <mergeCell ref="E145"/>
    <mergeCell ref="P144"/>
    <mergeCell ref="Q144"/>
    <mergeCell ref="R144"/>
    <mergeCell ref="S144"/>
    <mergeCell ref="T144"/>
    <mergeCell ref="K144"/>
    <mergeCell ref="L144"/>
    <mergeCell ref="M144"/>
    <mergeCell ref="N144"/>
    <mergeCell ref="O144"/>
    <mergeCell ref="F144"/>
    <mergeCell ref="G144"/>
    <mergeCell ref="H144"/>
    <mergeCell ref="I144"/>
    <mergeCell ref="J144"/>
    <mergeCell ref="A144"/>
    <mergeCell ref="B144"/>
    <mergeCell ref="C144"/>
    <mergeCell ref="D144"/>
    <mergeCell ref="E144"/>
    <mergeCell ref="P143"/>
    <mergeCell ref="Q143"/>
    <mergeCell ref="R143"/>
    <mergeCell ref="S143"/>
    <mergeCell ref="T143"/>
    <mergeCell ref="K143"/>
    <mergeCell ref="L143"/>
    <mergeCell ref="M143"/>
    <mergeCell ref="N143"/>
    <mergeCell ref="O143"/>
    <mergeCell ref="F143"/>
    <mergeCell ref="G143"/>
    <mergeCell ref="H143"/>
    <mergeCell ref="I143"/>
    <mergeCell ref="J143"/>
    <mergeCell ref="A143"/>
    <mergeCell ref="B143"/>
    <mergeCell ref="C143"/>
    <mergeCell ref="D143"/>
    <mergeCell ref="E143"/>
    <mergeCell ref="P142"/>
    <mergeCell ref="Q142"/>
    <mergeCell ref="R142"/>
    <mergeCell ref="S142"/>
    <mergeCell ref="T142"/>
    <mergeCell ref="K142"/>
    <mergeCell ref="L142"/>
    <mergeCell ref="M142"/>
    <mergeCell ref="N142"/>
    <mergeCell ref="O142"/>
    <mergeCell ref="F142"/>
    <mergeCell ref="G142"/>
    <mergeCell ref="H142"/>
    <mergeCell ref="I142"/>
    <mergeCell ref="J142"/>
    <mergeCell ref="A142"/>
    <mergeCell ref="B142"/>
    <mergeCell ref="C142"/>
    <mergeCell ref="D142"/>
    <mergeCell ref="E142"/>
    <mergeCell ref="P141"/>
    <mergeCell ref="Q141"/>
    <mergeCell ref="R141"/>
    <mergeCell ref="S141"/>
    <mergeCell ref="T141"/>
    <mergeCell ref="K141"/>
    <mergeCell ref="L141"/>
    <mergeCell ref="M141"/>
    <mergeCell ref="N141"/>
    <mergeCell ref="O141"/>
    <mergeCell ref="F141"/>
    <mergeCell ref="G141"/>
    <mergeCell ref="H141"/>
    <mergeCell ref="I141"/>
    <mergeCell ref="J141"/>
    <mergeCell ref="A141"/>
    <mergeCell ref="B141"/>
    <mergeCell ref="C141"/>
    <mergeCell ref="D141"/>
    <mergeCell ref="E141"/>
    <mergeCell ref="P140"/>
    <mergeCell ref="Q140"/>
    <mergeCell ref="R140"/>
    <mergeCell ref="S140"/>
    <mergeCell ref="T140"/>
    <mergeCell ref="K140"/>
    <mergeCell ref="L140"/>
    <mergeCell ref="M140"/>
    <mergeCell ref="N140"/>
    <mergeCell ref="O140"/>
    <mergeCell ref="F140"/>
    <mergeCell ref="G140"/>
    <mergeCell ref="H140"/>
    <mergeCell ref="I140"/>
    <mergeCell ref="J140"/>
    <mergeCell ref="A140"/>
    <mergeCell ref="B140"/>
    <mergeCell ref="C140"/>
    <mergeCell ref="D140"/>
    <mergeCell ref="E140"/>
    <mergeCell ref="P139"/>
    <mergeCell ref="Q139"/>
    <mergeCell ref="R139"/>
    <mergeCell ref="S139"/>
    <mergeCell ref="T139"/>
    <mergeCell ref="K139"/>
    <mergeCell ref="L139"/>
    <mergeCell ref="M139"/>
    <mergeCell ref="N139"/>
    <mergeCell ref="O139"/>
    <mergeCell ref="F139"/>
    <mergeCell ref="G139"/>
    <mergeCell ref="H139"/>
    <mergeCell ref="I139"/>
    <mergeCell ref="J139"/>
    <mergeCell ref="A139"/>
    <mergeCell ref="B139"/>
    <mergeCell ref="C139"/>
    <mergeCell ref="D139"/>
    <mergeCell ref="E139"/>
    <mergeCell ref="P138"/>
    <mergeCell ref="Q138"/>
    <mergeCell ref="R138"/>
    <mergeCell ref="S138"/>
    <mergeCell ref="T138"/>
    <mergeCell ref="K138"/>
    <mergeCell ref="L138"/>
    <mergeCell ref="M138"/>
    <mergeCell ref="N138"/>
    <mergeCell ref="O138"/>
    <mergeCell ref="F138"/>
    <mergeCell ref="G138"/>
    <mergeCell ref="H138"/>
    <mergeCell ref="I138"/>
    <mergeCell ref="J138"/>
    <mergeCell ref="A138"/>
    <mergeCell ref="B138"/>
    <mergeCell ref="C138"/>
    <mergeCell ref="D138"/>
    <mergeCell ref="E138"/>
    <mergeCell ref="P137"/>
    <mergeCell ref="Q137"/>
    <mergeCell ref="R137"/>
    <mergeCell ref="S137"/>
    <mergeCell ref="T137"/>
    <mergeCell ref="K137"/>
    <mergeCell ref="L137"/>
    <mergeCell ref="M137"/>
    <mergeCell ref="N137"/>
    <mergeCell ref="O137"/>
    <mergeCell ref="F137"/>
    <mergeCell ref="G137"/>
    <mergeCell ref="H137"/>
    <mergeCell ref="I137"/>
    <mergeCell ref="J137"/>
    <mergeCell ref="A137"/>
    <mergeCell ref="B137"/>
    <mergeCell ref="C137"/>
    <mergeCell ref="D137"/>
    <mergeCell ref="E137"/>
    <mergeCell ref="P136"/>
    <mergeCell ref="Q136"/>
    <mergeCell ref="R136"/>
    <mergeCell ref="S136"/>
    <mergeCell ref="T136"/>
    <mergeCell ref="K136"/>
    <mergeCell ref="L136"/>
    <mergeCell ref="M136"/>
    <mergeCell ref="N136"/>
    <mergeCell ref="O136"/>
    <mergeCell ref="F136"/>
    <mergeCell ref="G136"/>
    <mergeCell ref="H136"/>
    <mergeCell ref="I136"/>
    <mergeCell ref="J136"/>
    <mergeCell ref="A136"/>
    <mergeCell ref="B136"/>
    <mergeCell ref="C136"/>
    <mergeCell ref="D136"/>
    <mergeCell ref="E136"/>
    <mergeCell ref="P135"/>
    <mergeCell ref="Q135"/>
    <mergeCell ref="R135"/>
    <mergeCell ref="S135"/>
    <mergeCell ref="T135"/>
    <mergeCell ref="K135"/>
    <mergeCell ref="L135"/>
    <mergeCell ref="M135"/>
    <mergeCell ref="N135"/>
    <mergeCell ref="O135"/>
    <mergeCell ref="F135"/>
    <mergeCell ref="G135"/>
    <mergeCell ref="H135"/>
    <mergeCell ref="I135"/>
    <mergeCell ref="J135"/>
    <mergeCell ref="A135"/>
    <mergeCell ref="B135"/>
    <mergeCell ref="C135"/>
    <mergeCell ref="D135"/>
    <mergeCell ref="E135"/>
    <mergeCell ref="P134"/>
    <mergeCell ref="Q134"/>
    <mergeCell ref="R134"/>
    <mergeCell ref="S134"/>
    <mergeCell ref="T134"/>
    <mergeCell ref="K134"/>
    <mergeCell ref="L134"/>
    <mergeCell ref="M134"/>
    <mergeCell ref="N134"/>
    <mergeCell ref="O134"/>
    <mergeCell ref="F134"/>
    <mergeCell ref="G134"/>
    <mergeCell ref="H134"/>
    <mergeCell ref="I134"/>
    <mergeCell ref="J134"/>
    <mergeCell ref="A134"/>
    <mergeCell ref="B134"/>
    <mergeCell ref="C134"/>
    <mergeCell ref="D134"/>
    <mergeCell ref="E134"/>
    <mergeCell ref="P133"/>
    <mergeCell ref="Q133"/>
    <mergeCell ref="R133"/>
    <mergeCell ref="S133"/>
    <mergeCell ref="T133"/>
    <mergeCell ref="K133"/>
    <mergeCell ref="L133"/>
    <mergeCell ref="M133"/>
    <mergeCell ref="N133"/>
    <mergeCell ref="O133"/>
    <mergeCell ref="F133"/>
    <mergeCell ref="G133"/>
    <mergeCell ref="H133"/>
    <mergeCell ref="I133"/>
    <mergeCell ref="J133"/>
    <mergeCell ref="A133"/>
    <mergeCell ref="B133"/>
    <mergeCell ref="C133"/>
    <mergeCell ref="D133"/>
    <mergeCell ref="E133"/>
    <mergeCell ref="P132"/>
    <mergeCell ref="Q132"/>
    <mergeCell ref="R132"/>
    <mergeCell ref="S132"/>
    <mergeCell ref="T132"/>
    <mergeCell ref="K132"/>
    <mergeCell ref="L132"/>
    <mergeCell ref="M132"/>
    <mergeCell ref="N132"/>
    <mergeCell ref="O132"/>
    <mergeCell ref="F132"/>
    <mergeCell ref="G132"/>
    <mergeCell ref="H132"/>
    <mergeCell ref="I132"/>
    <mergeCell ref="J132"/>
    <mergeCell ref="A132"/>
    <mergeCell ref="B132"/>
    <mergeCell ref="C132"/>
    <mergeCell ref="D132"/>
    <mergeCell ref="E132"/>
    <mergeCell ref="P131"/>
    <mergeCell ref="Q131"/>
    <mergeCell ref="R131"/>
    <mergeCell ref="S131"/>
    <mergeCell ref="T131"/>
    <mergeCell ref="K131"/>
    <mergeCell ref="L131"/>
    <mergeCell ref="M131"/>
    <mergeCell ref="N131"/>
    <mergeCell ref="O131"/>
    <mergeCell ref="F131"/>
    <mergeCell ref="G131"/>
    <mergeCell ref="H131"/>
    <mergeCell ref="I131"/>
    <mergeCell ref="J131"/>
    <mergeCell ref="A131"/>
    <mergeCell ref="B131"/>
    <mergeCell ref="C131"/>
    <mergeCell ref="D131"/>
    <mergeCell ref="E131"/>
    <mergeCell ref="P130"/>
    <mergeCell ref="Q130"/>
    <mergeCell ref="R130"/>
    <mergeCell ref="S130"/>
    <mergeCell ref="T130"/>
    <mergeCell ref="K130"/>
    <mergeCell ref="L130"/>
    <mergeCell ref="M130"/>
    <mergeCell ref="N130"/>
    <mergeCell ref="O130"/>
    <mergeCell ref="F130"/>
    <mergeCell ref="G130"/>
    <mergeCell ref="H130"/>
    <mergeCell ref="I130"/>
    <mergeCell ref="J130"/>
    <mergeCell ref="A130"/>
    <mergeCell ref="B130"/>
    <mergeCell ref="C130"/>
    <mergeCell ref="D130"/>
    <mergeCell ref="E130"/>
    <mergeCell ref="P129"/>
    <mergeCell ref="Q129"/>
    <mergeCell ref="R129"/>
    <mergeCell ref="S129"/>
    <mergeCell ref="T129"/>
    <mergeCell ref="K129"/>
    <mergeCell ref="L129"/>
    <mergeCell ref="M129"/>
    <mergeCell ref="N129"/>
    <mergeCell ref="O129"/>
    <mergeCell ref="F129"/>
    <mergeCell ref="G129"/>
    <mergeCell ref="H129"/>
    <mergeCell ref="I129"/>
    <mergeCell ref="J129"/>
    <mergeCell ref="A129"/>
    <mergeCell ref="B129"/>
    <mergeCell ref="C129"/>
    <mergeCell ref="D129"/>
    <mergeCell ref="E129"/>
    <mergeCell ref="P128"/>
    <mergeCell ref="Q128"/>
    <mergeCell ref="R128"/>
    <mergeCell ref="S128"/>
    <mergeCell ref="T128"/>
    <mergeCell ref="K128"/>
    <mergeCell ref="L128"/>
    <mergeCell ref="M128"/>
    <mergeCell ref="N128"/>
    <mergeCell ref="O128"/>
    <mergeCell ref="F128"/>
    <mergeCell ref="G128"/>
    <mergeCell ref="H128"/>
    <mergeCell ref="I128"/>
    <mergeCell ref="J128"/>
    <mergeCell ref="A128"/>
    <mergeCell ref="B128"/>
    <mergeCell ref="C128"/>
    <mergeCell ref="D128"/>
    <mergeCell ref="E128"/>
    <mergeCell ref="P127"/>
    <mergeCell ref="Q127"/>
    <mergeCell ref="R127"/>
    <mergeCell ref="S127"/>
    <mergeCell ref="T127"/>
    <mergeCell ref="K127"/>
    <mergeCell ref="L127"/>
    <mergeCell ref="M127"/>
    <mergeCell ref="N127"/>
    <mergeCell ref="O127"/>
    <mergeCell ref="F127"/>
    <mergeCell ref="G127"/>
    <mergeCell ref="H127"/>
    <mergeCell ref="I127"/>
    <mergeCell ref="J127"/>
    <mergeCell ref="A127"/>
    <mergeCell ref="B127"/>
    <mergeCell ref="C127"/>
    <mergeCell ref="D127"/>
    <mergeCell ref="E127"/>
    <mergeCell ref="P126"/>
    <mergeCell ref="Q126"/>
    <mergeCell ref="R126"/>
    <mergeCell ref="S126"/>
    <mergeCell ref="T126"/>
    <mergeCell ref="K126"/>
    <mergeCell ref="L126"/>
    <mergeCell ref="M126"/>
    <mergeCell ref="N126"/>
    <mergeCell ref="O126"/>
    <mergeCell ref="F126"/>
    <mergeCell ref="G126"/>
    <mergeCell ref="H126"/>
    <mergeCell ref="I126"/>
    <mergeCell ref="J126"/>
    <mergeCell ref="A126"/>
    <mergeCell ref="B126"/>
    <mergeCell ref="C126"/>
    <mergeCell ref="D126"/>
    <mergeCell ref="E126"/>
    <mergeCell ref="P125"/>
    <mergeCell ref="Q125"/>
    <mergeCell ref="R125"/>
    <mergeCell ref="S125"/>
    <mergeCell ref="T125"/>
    <mergeCell ref="K125"/>
    <mergeCell ref="L125"/>
    <mergeCell ref="M125"/>
    <mergeCell ref="N125"/>
    <mergeCell ref="O125"/>
    <mergeCell ref="F125"/>
    <mergeCell ref="G125"/>
    <mergeCell ref="H125"/>
    <mergeCell ref="I125"/>
    <mergeCell ref="J125"/>
    <mergeCell ref="A125"/>
    <mergeCell ref="B125"/>
    <mergeCell ref="C125"/>
    <mergeCell ref="D125"/>
    <mergeCell ref="E125"/>
    <mergeCell ref="P124"/>
    <mergeCell ref="Q124"/>
    <mergeCell ref="R124"/>
    <mergeCell ref="S124"/>
    <mergeCell ref="T124"/>
    <mergeCell ref="K124"/>
    <mergeCell ref="L124"/>
    <mergeCell ref="M124"/>
    <mergeCell ref="N124"/>
    <mergeCell ref="O124"/>
    <mergeCell ref="F124"/>
    <mergeCell ref="G124"/>
    <mergeCell ref="H124"/>
    <mergeCell ref="I124"/>
    <mergeCell ref="J124"/>
    <mergeCell ref="A124"/>
    <mergeCell ref="B124"/>
    <mergeCell ref="C124"/>
    <mergeCell ref="D124"/>
    <mergeCell ref="E124"/>
    <mergeCell ref="P123"/>
    <mergeCell ref="Q123"/>
    <mergeCell ref="R123"/>
    <mergeCell ref="S123"/>
    <mergeCell ref="T123"/>
    <mergeCell ref="K123"/>
    <mergeCell ref="L123"/>
    <mergeCell ref="M123"/>
    <mergeCell ref="N123"/>
    <mergeCell ref="O123"/>
    <mergeCell ref="F123"/>
    <mergeCell ref="G123"/>
    <mergeCell ref="H123"/>
    <mergeCell ref="I123"/>
    <mergeCell ref="J123"/>
    <mergeCell ref="A123"/>
    <mergeCell ref="B123"/>
    <mergeCell ref="C123"/>
    <mergeCell ref="D123"/>
    <mergeCell ref="E123"/>
    <mergeCell ref="P122"/>
    <mergeCell ref="Q122"/>
    <mergeCell ref="R122"/>
    <mergeCell ref="S122"/>
    <mergeCell ref="T122"/>
    <mergeCell ref="K122"/>
    <mergeCell ref="L122"/>
    <mergeCell ref="M122"/>
    <mergeCell ref="N122"/>
    <mergeCell ref="O122"/>
    <mergeCell ref="F122"/>
    <mergeCell ref="G122"/>
    <mergeCell ref="H122"/>
    <mergeCell ref="I122"/>
    <mergeCell ref="J122"/>
    <mergeCell ref="A122"/>
    <mergeCell ref="B122"/>
    <mergeCell ref="C122"/>
    <mergeCell ref="D122"/>
    <mergeCell ref="E122"/>
    <mergeCell ref="P121"/>
    <mergeCell ref="Q121"/>
    <mergeCell ref="R121"/>
    <mergeCell ref="S121"/>
    <mergeCell ref="T121"/>
    <mergeCell ref="K121"/>
    <mergeCell ref="L121"/>
    <mergeCell ref="M121"/>
    <mergeCell ref="N121"/>
    <mergeCell ref="O121"/>
    <mergeCell ref="F121"/>
    <mergeCell ref="G121"/>
    <mergeCell ref="H121"/>
    <mergeCell ref="I121"/>
    <mergeCell ref="J121"/>
    <mergeCell ref="A121"/>
    <mergeCell ref="B121"/>
    <mergeCell ref="C121"/>
    <mergeCell ref="D121"/>
    <mergeCell ref="E121"/>
    <mergeCell ref="P120"/>
    <mergeCell ref="Q120"/>
    <mergeCell ref="R120"/>
    <mergeCell ref="S120"/>
    <mergeCell ref="T120"/>
    <mergeCell ref="K120"/>
    <mergeCell ref="L120"/>
    <mergeCell ref="M120"/>
    <mergeCell ref="N120"/>
    <mergeCell ref="O120"/>
    <mergeCell ref="F120"/>
    <mergeCell ref="G120"/>
    <mergeCell ref="H120"/>
    <mergeCell ref="I120"/>
    <mergeCell ref="J120"/>
    <mergeCell ref="A120"/>
    <mergeCell ref="B120"/>
    <mergeCell ref="C120"/>
    <mergeCell ref="D120"/>
    <mergeCell ref="E120"/>
    <mergeCell ref="P119"/>
    <mergeCell ref="Q119"/>
    <mergeCell ref="R119"/>
    <mergeCell ref="S119"/>
    <mergeCell ref="T119"/>
    <mergeCell ref="K119"/>
    <mergeCell ref="L119"/>
    <mergeCell ref="M119"/>
    <mergeCell ref="N119"/>
    <mergeCell ref="O119"/>
    <mergeCell ref="F119"/>
    <mergeCell ref="G119"/>
    <mergeCell ref="H119"/>
    <mergeCell ref="I119"/>
    <mergeCell ref="J119"/>
    <mergeCell ref="A119"/>
    <mergeCell ref="B119"/>
    <mergeCell ref="C119"/>
    <mergeCell ref="D119"/>
    <mergeCell ref="E119"/>
    <mergeCell ref="P118"/>
    <mergeCell ref="Q118"/>
    <mergeCell ref="R118"/>
    <mergeCell ref="S118"/>
    <mergeCell ref="T118"/>
    <mergeCell ref="K118"/>
    <mergeCell ref="L118"/>
    <mergeCell ref="M118"/>
    <mergeCell ref="N118"/>
    <mergeCell ref="O118"/>
    <mergeCell ref="F118"/>
    <mergeCell ref="G118"/>
    <mergeCell ref="H118"/>
    <mergeCell ref="I118"/>
    <mergeCell ref="J118"/>
    <mergeCell ref="A118"/>
    <mergeCell ref="B118"/>
    <mergeCell ref="C118"/>
    <mergeCell ref="D118"/>
    <mergeCell ref="E118"/>
    <mergeCell ref="P117"/>
    <mergeCell ref="Q117"/>
    <mergeCell ref="R117"/>
    <mergeCell ref="S117"/>
    <mergeCell ref="T117"/>
    <mergeCell ref="K117"/>
    <mergeCell ref="L117"/>
    <mergeCell ref="M117"/>
    <mergeCell ref="N117"/>
    <mergeCell ref="O117"/>
    <mergeCell ref="F117"/>
    <mergeCell ref="G117"/>
    <mergeCell ref="H117"/>
    <mergeCell ref="I117"/>
    <mergeCell ref="J117"/>
    <mergeCell ref="A117"/>
    <mergeCell ref="B117"/>
    <mergeCell ref="C117"/>
    <mergeCell ref="D117"/>
    <mergeCell ref="E117"/>
    <mergeCell ref="P116"/>
    <mergeCell ref="Q116"/>
    <mergeCell ref="R116"/>
    <mergeCell ref="S116"/>
    <mergeCell ref="T116"/>
    <mergeCell ref="K116"/>
    <mergeCell ref="L116"/>
    <mergeCell ref="M116"/>
    <mergeCell ref="N116"/>
    <mergeCell ref="O116"/>
    <mergeCell ref="F116"/>
    <mergeCell ref="G116"/>
    <mergeCell ref="H116"/>
    <mergeCell ref="I116"/>
    <mergeCell ref="J116"/>
    <mergeCell ref="A116"/>
    <mergeCell ref="B116"/>
    <mergeCell ref="C116"/>
    <mergeCell ref="D116"/>
    <mergeCell ref="E116"/>
    <mergeCell ref="P115"/>
    <mergeCell ref="Q115"/>
    <mergeCell ref="R115"/>
    <mergeCell ref="S115"/>
    <mergeCell ref="T115"/>
    <mergeCell ref="K115"/>
    <mergeCell ref="L115"/>
    <mergeCell ref="M115"/>
    <mergeCell ref="N115"/>
    <mergeCell ref="O115"/>
    <mergeCell ref="F115"/>
    <mergeCell ref="G115"/>
    <mergeCell ref="H115"/>
    <mergeCell ref="I115"/>
    <mergeCell ref="J115"/>
    <mergeCell ref="A115"/>
    <mergeCell ref="B115"/>
    <mergeCell ref="C115"/>
    <mergeCell ref="D115"/>
    <mergeCell ref="E115"/>
    <mergeCell ref="P114"/>
    <mergeCell ref="Q114"/>
    <mergeCell ref="R114"/>
    <mergeCell ref="S114"/>
    <mergeCell ref="T114"/>
    <mergeCell ref="K114"/>
    <mergeCell ref="L114"/>
    <mergeCell ref="M114"/>
    <mergeCell ref="N114"/>
    <mergeCell ref="O114"/>
    <mergeCell ref="F114"/>
    <mergeCell ref="G114"/>
    <mergeCell ref="H114"/>
    <mergeCell ref="I114"/>
    <mergeCell ref="J114"/>
    <mergeCell ref="A114"/>
    <mergeCell ref="B114"/>
    <mergeCell ref="C114"/>
    <mergeCell ref="D114"/>
    <mergeCell ref="E114"/>
    <mergeCell ref="P113"/>
    <mergeCell ref="Q113"/>
    <mergeCell ref="R113"/>
    <mergeCell ref="S113"/>
    <mergeCell ref="T113"/>
    <mergeCell ref="K113"/>
    <mergeCell ref="L113"/>
    <mergeCell ref="M113"/>
    <mergeCell ref="N113"/>
    <mergeCell ref="O113"/>
    <mergeCell ref="F113"/>
    <mergeCell ref="G113"/>
    <mergeCell ref="H113"/>
    <mergeCell ref="I113"/>
    <mergeCell ref="J113"/>
    <mergeCell ref="A113"/>
    <mergeCell ref="B113"/>
    <mergeCell ref="C113"/>
    <mergeCell ref="D113"/>
    <mergeCell ref="E113"/>
    <mergeCell ref="P112"/>
    <mergeCell ref="Q112"/>
    <mergeCell ref="R112"/>
    <mergeCell ref="S112"/>
    <mergeCell ref="T112"/>
    <mergeCell ref="K112"/>
    <mergeCell ref="L112"/>
    <mergeCell ref="M112"/>
    <mergeCell ref="N112"/>
    <mergeCell ref="O112"/>
    <mergeCell ref="F112"/>
    <mergeCell ref="G112"/>
    <mergeCell ref="H112"/>
    <mergeCell ref="I112"/>
    <mergeCell ref="J112"/>
    <mergeCell ref="A112"/>
    <mergeCell ref="B112"/>
    <mergeCell ref="C112"/>
    <mergeCell ref="D112"/>
    <mergeCell ref="E112"/>
    <mergeCell ref="P111"/>
    <mergeCell ref="Q111"/>
    <mergeCell ref="R111"/>
    <mergeCell ref="S111"/>
    <mergeCell ref="T111"/>
    <mergeCell ref="K111"/>
    <mergeCell ref="L111"/>
    <mergeCell ref="M111"/>
    <mergeCell ref="N111"/>
    <mergeCell ref="O111"/>
    <mergeCell ref="F111"/>
    <mergeCell ref="G111"/>
    <mergeCell ref="H111"/>
    <mergeCell ref="I111"/>
    <mergeCell ref="J111"/>
    <mergeCell ref="A111"/>
    <mergeCell ref="B111"/>
    <mergeCell ref="C111"/>
    <mergeCell ref="D111"/>
    <mergeCell ref="E111"/>
    <mergeCell ref="P110"/>
    <mergeCell ref="Q110"/>
    <mergeCell ref="R110"/>
    <mergeCell ref="S110"/>
    <mergeCell ref="T110"/>
    <mergeCell ref="K110"/>
    <mergeCell ref="L110"/>
    <mergeCell ref="M110"/>
    <mergeCell ref="N110"/>
    <mergeCell ref="O110"/>
    <mergeCell ref="F110"/>
    <mergeCell ref="G110"/>
    <mergeCell ref="H110"/>
    <mergeCell ref="I110"/>
    <mergeCell ref="J110"/>
    <mergeCell ref="A110"/>
    <mergeCell ref="B110"/>
    <mergeCell ref="C110"/>
    <mergeCell ref="D110"/>
    <mergeCell ref="E110"/>
    <mergeCell ref="P109"/>
    <mergeCell ref="Q109"/>
    <mergeCell ref="R109"/>
    <mergeCell ref="S109"/>
    <mergeCell ref="T109"/>
    <mergeCell ref="K109"/>
    <mergeCell ref="L109"/>
    <mergeCell ref="M109"/>
    <mergeCell ref="N109"/>
    <mergeCell ref="O109"/>
    <mergeCell ref="F109"/>
    <mergeCell ref="G109"/>
    <mergeCell ref="H109"/>
    <mergeCell ref="I109"/>
    <mergeCell ref="J109"/>
    <mergeCell ref="A109"/>
    <mergeCell ref="B109"/>
    <mergeCell ref="C109"/>
    <mergeCell ref="D109"/>
    <mergeCell ref="E109"/>
    <mergeCell ref="P108"/>
    <mergeCell ref="Q108"/>
    <mergeCell ref="R108"/>
    <mergeCell ref="S108"/>
    <mergeCell ref="T108"/>
    <mergeCell ref="K108"/>
    <mergeCell ref="L108"/>
    <mergeCell ref="M108"/>
    <mergeCell ref="N108"/>
    <mergeCell ref="O108"/>
    <mergeCell ref="F108"/>
    <mergeCell ref="G108"/>
    <mergeCell ref="H108"/>
    <mergeCell ref="I108"/>
    <mergeCell ref="J108"/>
    <mergeCell ref="A108"/>
    <mergeCell ref="B108"/>
    <mergeCell ref="C108"/>
    <mergeCell ref="D108"/>
    <mergeCell ref="E108"/>
    <mergeCell ref="P107"/>
    <mergeCell ref="Q107"/>
    <mergeCell ref="R107"/>
    <mergeCell ref="S107"/>
    <mergeCell ref="T107"/>
    <mergeCell ref="K107"/>
    <mergeCell ref="L107"/>
    <mergeCell ref="M107"/>
    <mergeCell ref="N107"/>
    <mergeCell ref="O107"/>
    <mergeCell ref="F107"/>
    <mergeCell ref="G107"/>
    <mergeCell ref="H107"/>
    <mergeCell ref="I107"/>
    <mergeCell ref="J107"/>
    <mergeCell ref="A107"/>
    <mergeCell ref="B107"/>
    <mergeCell ref="C107"/>
    <mergeCell ref="D107"/>
    <mergeCell ref="E107"/>
    <mergeCell ref="P106"/>
    <mergeCell ref="Q106"/>
    <mergeCell ref="R106"/>
    <mergeCell ref="S106"/>
    <mergeCell ref="T106"/>
    <mergeCell ref="K106"/>
    <mergeCell ref="L106"/>
    <mergeCell ref="M106"/>
    <mergeCell ref="N106"/>
    <mergeCell ref="O106"/>
    <mergeCell ref="F106"/>
    <mergeCell ref="G106"/>
    <mergeCell ref="H106"/>
    <mergeCell ref="I106"/>
    <mergeCell ref="J106"/>
    <mergeCell ref="A106"/>
    <mergeCell ref="B106"/>
    <mergeCell ref="C106"/>
    <mergeCell ref="D106"/>
    <mergeCell ref="E106"/>
    <mergeCell ref="P105"/>
    <mergeCell ref="Q105"/>
    <mergeCell ref="R105"/>
    <mergeCell ref="S105"/>
    <mergeCell ref="T105"/>
    <mergeCell ref="K105"/>
    <mergeCell ref="L105"/>
    <mergeCell ref="M105"/>
    <mergeCell ref="N105"/>
    <mergeCell ref="O105"/>
    <mergeCell ref="F105"/>
    <mergeCell ref="G105"/>
    <mergeCell ref="H105"/>
    <mergeCell ref="I105"/>
    <mergeCell ref="J105"/>
    <mergeCell ref="A105"/>
    <mergeCell ref="B105"/>
    <mergeCell ref="C105"/>
    <mergeCell ref="D105"/>
    <mergeCell ref="E105"/>
    <mergeCell ref="P104"/>
    <mergeCell ref="Q104"/>
    <mergeCell ref="R104"/>
    <mergeCell ref="S104"/>
    <mergeCell ref="T104"/>
    <mergeCell ref="K104"/>
    <mergeCell ref="L104"/>
    <mergeCell ref="M104"/>
    <mergeCell ref="N104"/>
    <mergeCell ref="O104"/>
    <mergeCell ref="F104"/>
    <mergeCell ref="G104"/>
    <mergeCell ref="H104"/>
    <mergeCell ref="I104"/>
    <mergeCell ref="J104"/>
    <mergeCell ref="A104"/>
    <mergeCell ref="B104"/>
    <mergeCell ref="C104"/>
    <mergeCell ref="D104"/>
    <mergeCell ref="E104"/>
    <mergeCell ref="P103"/>
    <mergeCell ref="Q103"/>
    <mergeCell ref="R103"/>
    <mergeCell ref="S103"/>
    <mergeCell ref="T103"/>
    <mergeCell ref="K103"/>
    <mergeCell ref="L103"/>
    <mergeCell ref="M103"/>
    <mergeCell ref="N103"/>
    <mergeCell ref="O103"/>
    <mergeCell ref="F103"/>
    <mergeCell ref="G103"/>
    <mergeCell ref="H103"/>
    <mergeCell ref="I103"/>
    <mergeCell ref="J103"/>
    <mergeCell ref="A103"/>
    <mergeCell ref="B103"/>
    <mergeCell ref="C103"/>
    <mergeCell ref="D103"/>
    <mergeCell ref="E103"/>
    <mergeCell ref="P102"/>
    <mergeCell ref="Q102"/>
    <mergeCell ref="R102"/>
    <mergeCell ref="S102"/>
    <mergeCell ref="T102"/>
    <mergeCell ref="K102"/>
    <mergeCell ref="L102"/>
    <mergeCell ref="M102"/>
    <mergeCell ref="N102"/>
    <mergeCell ref="O102"/>
    <mergeCell ref="F102"/>
    <mergeCell ref="G102"/>
    <mergeCell ref="H102"/>
    <mergeCell ref="I102"/>
    <mergeCell ref="J102"/>
    <mergeCell ref="A102"/>
    <mergeCell ref="B102"/>
    <mergeCell ref="C102"/>
    <mergeCell ref="D102"/>
    <mergeCell ref="E102"/>
    <mergeCell ref="P101"/>
    <mergeCell ref="Q101"/>
    <mergeCell ref="R101"/>
    <mergeCell ref="S101"/>
    <mergeCell ref="T101"/>
    <mergeCell ref="K101"/>
    <mergeCell ref="L101"/>
    <mergeCell ref="M101"/>
    <mergeCell ref="N101"/>
    <mergeCell ref="O101"/>
    <mergeCell ref="F101"/>
    <mergeCell ref="G101"/>
    <mergeCell ref="H101"/>
    <mergeCell ref="I101"/>
    <mergeCell ref="J101"/>
    <mergeCell ref="A101"/>
    <mergeCell ref="B101"/>
    <mergeCell ref="C101"/>
    <mergeCell ref="D101"/>
    <mergeCell ref="E101"/>
    <mergeCell ref="P100"/>
    <mergeCell ref="Q100"/>
    <mergeCell ref="R100"/>
    <mergeCell ref="S100"/>
    <mergeCell ref="T100"/>
    <mergeCell ref="K100"/>
    <mergeCell ref="L100"/>
    <mergeCell ref="M100"/>
    <mergeCell ref="N100"/>
    <mergeCell ref="O100"/>
    <mergeCell ref="F100"/>
    <mergeCell ref="G100"/>
    <mergeCell ref="H100"/>
    <mergeCell ref="I100"/>
    <mergeCell ref="J100"/>
    <mergeCell ref="A100"/>
    <mergeCell ref="B100"/>
    <mergeCell ref="C100"/>
    <mergeCell ref="D100"/>
    <mergeCell ref="E100"/>
    <mergeCell ref="P99"/>
    <mergeCell ref="Q99"/>
    <mergeCell ref="R99"/>
    <mergeCell ref="S99"/>
    <mergeCell ref="T99"/>
    <mergeCell ref="K99"/>
    <mergeCell ref="L99"/>
    <mergeCell ref="M99"/>
    <mergeCell ref="N99"/>
    <mergeCell ref="O99"/>
    <mergeCell ref="F99"/>
    <mergeCell ref="G99"/>
    <mergeCell ref="H99"/>
    <mergeCell ref="I99"/>
    <mergeCell ref="J99"/>
    <mergeCell ref="A99"/>
    <mergeCell ref="B99"/>
    <mergeCell ref="C99"/>
    <mergeCell ref="D99"/>
    <mergeCell ref="E99"/>
    <mergeCell ref="P98"/>
    <mergeCell ref="Q98"/>
    <mergeCell ref="R98"/>
    <mergeCell ref="S98"/>
    <mergeCell ref="T98"/>
    <mergeCell ref="K98"/>
    <mergeCell ref="L98"/>
    <mergeCell ref="M98"/>
    <mergeCell ref="N98"/>
    <mergeCell ref="O98"/>
    <mergeCell ref="F98"/>
    <mergeCell ref="G98"/>
    <mergeCell ref="H98"/>
    <mergeCell ref="I98"/>
    <mergeCell ref="J98"/>
    <mergeCell ref="A98"/>
    <mergeCell ref="B98"/>
    <mergeCell ref="C98"/>
    <mergeCell ref="D98"/>
    <mergeCell ref="E98"/>
    <mergeCell ref="P97"/>
    <mergeCell ref="Q97"/>
    <mergeCell ref="R97"/>
    <mergeCell ref="S97"/>
    <mergeCell ref="T97"/>
    <mergeCell ref="K97"/>
    <mergeCell ref="L97"/>
    <mergeCell ref="M97"/>
    <mergeCell ref="N97"/>
    <mergeCell ref="O97"/>
    <mergeCell ref="F97"/>
    <mergeCell ref="G97"/>
    <mergeCell ref="H97"/>
    <mergeCell ref="I97"/>
    <mergeCell ref="J97"/>
    <mergeCell ref="A97"/>
    <mergeCell ref="B97"/>
    <mergeCell ref="C97"/>
    <mergeCell ref="D97"/>
    <mergeCell ref="E97"/>
    <mergeCell ref="P96"/>
    <mergeCell ref="Q96"/>
    <mergeCell ref="R96"/>
    <mergeCell ref="S96"/>
    <mergeCell ref="T96"/>
    <mergeCell ref="K96"/>
    <mergeCell ref="L96"/>
    <mergeCell ref="M96"/>
    <mergeCell ref="N96"/>
    <mergeCell ref="O96"/>
    <mergeCell ref="F96"/>
    <mergeCell ref="G96"/>
    <mergeCell ref="H96"/>
    <mergeCell ref="I96"/>
    <mergeCell ref="J96"/>
    <mergeCell ref="A96"/>
    <mergeCell ref="B96"/>
    <mergeCell ref="C96"/>
    <mergeCell ref="D96"/>
    <mergeCell ref="E96"/>
    <mergeCell ref="P95"/>
    <mergeCell ref="Q95"/>
    <mergeCell ref="R95"/>
    <mergeCell ref="S95"/>
    <mergeCell ref="T95"/>
    <mergeCell ref="K95"/>
    <mergeCell ref="L95"/>
    <mergeCell ref="M95"/>
    <mergeCell ref="N95"/>
    <mergeCell ref="O95"/>
    <mergeCell ref="F95"/>
    <mergeCell ref="G95"/>
    <mergeCell ref="H95"/>
    <mergeCell ref="I95"/>
    <mergeCell ref="J95"/>
    <mergeCell ref="A95"/>
    <mergeCell ref="B95"/>
    <mergeCell ref="C95"/>
    <mergeCell ref="D95"/>
    <mergeCell ref="E95"/>
    <mergeCell ref="P94"/>
    <mergeCell ref="Q94"/>
    <mergeCell ref="R94"/>
    <mergeCell ref="S94"/>
    <mergeCell ref="T94"/>
    <mergeCell ref="K94"/>
    <mergeCell ref="L94"/>
    <mergeCell ref="M94"/>
    <mergeCell ref="N94"/>
    <mergeCell ref="O94"/>
    <mergeCell ref="F94"/>
    <mergeCell ref="G94"/>
    <mergeCell ref="H94"/>
    <mergeCell ref="I94"/>
    <mergeCell ref="J94"/>
    <mergeCell ref="A94"/>
    <mergeCell ref="B94"/>
    <mergeCell ref="C94"/>
    <mergeCell ref="D94"/>
    <mergeCell ref="E94"/>
    <mergeCell ref="P93"/>
    <mergeCell ref="Q93"/>
    <mergeCell ref="R93"/>
    <mergeCell ref="S93"/>
    <mergeCell ref="T93"/>
    <mergeCell ref="K93"/>
    <mergeCell ref="L93"/>
    <mergeCell ref="M93"/>
    <mergeCell ref="N93"/>
    <mergeCell ref="O93"/>
    <mergeCell ref="F93"/>
    <mergeCell ref="G93"/>
    <mergeCell ref="H93"/>
    <mergeCell ref="I93"/>
    <mergeCell ref="J93"/>
    <mergeCell ref="A93"/>
    <mergeCell ref="B93"/>
    <mergeCell ref="C93"/>
    <mergeCell ref="D93"/>
    <mergeCell ref="E93"/>
    <mergeCell ref="P92"/>
    <mergeCell ref="Q92"/>
    <mergeCell ref="R92"/>
    <mergeCell ref="S92"/>
    <mergeCell ref="T92"/>
    <mergeCell ref="K92"/>
    <mergeCell ref="L92"/>
    <mergeCell ref="M92"/>
    <mergeCell ref="N92"/>
    <mergeCell ref="O92"/>
    <mergeCell ref="F92"/>
    <mergeCell ref="G92"/>
    <mergeCell ref="H92"/>
    <mergeCell ref="I92"/>
    <mergeCell ref="J92"/>
    <mergeCell ref="A92"/>
    <mergeCell ref="B92"/>
    <mergeCell ref="C92"/>
    <mergeCell ref="D92"/>
    <mergeCell ref="E92"/>
    <mergeCell ref="P91"/>
    <mergeCell ref="Q91"/>
    <mergeCell ref="R91"/>
    <mergeCell ref="S91"/>
    <mergeCell ref="T91"/>
    <mergeCell ref="K91"/>
    <mergeCell ref="L91"/>
    <mergeCell ref="M91"/>
    <mergeCell ref="N91"/>
    <mergeCell ref="O91"/>
    <mergeCell ref="F91"/>
    <mergeCell ref="G91"/>
    <mergeCell ref="H91"/>
    <mergeCell ref="I91"/>
    <mergeCell ref="J91"/>
    <mergeCell ref="A91"/>
    <mergeCell ref="B91"/>
    <mergeCell ref="C91"/>
    <mergeCell ref="D91"/>
    <mergeCell ref="E91"/>
    <mergeCell ref="P90"/>
    <mergeCell ref="Q90"/>
    <mergeCell ref="R90"/>
    <mergeCell ref="S90"/>
    <mergeCell ref="T90"/>
    <mergeCell ref="K90"/>
    <mergeCell ref="L90"/>
    <mergeCell ref="M90"/>
    <mergeCell ref="N90"/>
    <mergeCell ref="O90"/>
    <mergeCell ref="F90"/>
    <mergeCell ref="G90"/>
    <mergeCell ref="H90"/>
    <mergeCell ref="I90"/>
    <mergeCell ref="J90"/>
    <mergeCell ref="A90"/>
    <mergeCell ref="B90"/>
    <mergeCell ref="C90"/>
    <mergeCell ref="D90"/>
    <mergeCell ref="E90"/>
    <mergeCell ref="P89"/>
    <mergeCell ref="Q89"/>
    <mergeCell ref="R89"/>
    <mergeCell ref="S89"/>
    <mergeCell ref="T89"/>
    <mergeCell ref="K89"/>
    <mergeCell ref="L89"/>
    <mergeCell ref="M89"/>
    <mergeCell ref="N89"/>
    <mergeCell ref="O89"/>
    <mergeCell ref="F89"/>
    <mergeCell ref="G89"/>
    <mergeCell ref="H89"/>
    <mergeCell ref="I89"/>
    <mergeCell ref="J89"/>
    <mergeCell ref="A89"/>
    <mergeCell ref="B89"/>
    <mergeCell ref="C89"/>
    <mergeCell ref="D89"/>
    <mergeCell ref="E89"/>
    <mergeCell ref="P88"/>
    <mergeCell ref="Q88"/>
    <mergeCell ref="R88"/>
    <mergeCell ref="S88"/>
    <mergeCell ref="T88"/>
    <mergeCell ref="K88"/>
    <mergeCell ref="L88"/>
    <mergeCell ref="M88"/>
    <mergeCell ref="N88"/>
    <mergeCell ref="O88"/>
    <mergeCell ref="F88"/>
    <mergeCell ref="G88"/>
    <mergeCell ref="H88"/>
    <mergeCell ref="I88"/>
    <mergeCell ref="J88"/>
    <mergeCell ref="A88"/>
    <mergeCell ref="B88"/>
    <mergeCell ref="C88"/>
    <mergeCell ref="D88"/>
    <mergeCell ref="E88"/>
    <mergeCell ref="P87"/>
    <mergeCell ref="Q87"/>
    <mergeCell ref="R87"/>
    <mergeCell ref="S87"/>
    <mergeCell ref="T87"/>
    <mergeCell ref="K87"/>
    <mergeCell ref="L87"/>
    <mergeCell ref="M87"/>
    <mergeCell ref="N87"/>
    <mergeCell ref="O87"/>
    <mergeCell ref="F87"/>
    <mergeCell ref="G87"/>
    <mergeCell ref="H87"/>
    <mergeCell ref="I87"/>
    <mergeCell ref="J87"/>
    <mergeCell ref="A87"/>
    <mergeCell ref="B87"/>
    <mergeCell ref="C87"/>
    <mergeCell ref="D87"/>
    <mergeCell ref="E87"/>
    <mergeCell ref="P86"/>
    <mergeCell ref="Q86"/>
    <mergeCell ref="R86"/>
    <mergeCell ref="S86"/>
    <mergeCell ref="T86"/>
    <mergeCell ref="K86"/>
    <mergeCell ref="L86"/>
    <mergeCell ref="M86"/>
    <mergeCell ref="N86"/>
    <mergeCell ref="O86"/>
    <mergeCell ref="F86"/>
    <mergeCell ref="G86"/>
    <mergeCell ref="H86"/>
    <mergeCell ref="I86"/>
    <mergeCell ref="J86"/>
    <mergeCell ref="A86"/>
    <mergeCell ref="B86"/>
    <mergeCell ref="C86"/>
    <mergeCell ref="D86"/>
    <mergeCell ref="E86"/>
    <mergeCell ref="P85"/>
    <mergeCell ref="Q85"/>
    <mergeCell ref="R85"/>
    <mergeCell ref="S85"/>
    <mergeCell ref="T85"/>
    <mergeCell ref="K85"/>
    <mergeCell ref="L85"/>
    <mergeCell ref="M85"/>
    <mergeCell ref="N85"/>
    <mergeCell ref="O85"/>
    <mergeCell ref="F85"/>
    <mergeCell ref="G85"/>
    <mergeCell ref="H85"/>
    <mergeCell ref="I85"/>
    <mergeCell ref="J85"/>
    <mergeCell ref="A85"/>
    <mergeCell ref="B85"/>
    <mergeCell ref="C85"/>
    <mergeCell ref="D85"/>
    <mergeCell ref="E85"/>
    <mergeCell ref="P84"/>
    <mergeCell ref="Q84"/>
    <mergeCell ref="R84"/>
    <mergeCell ref="S84"/>
    <mergeCell ref="T84"/>
    <mergeCell ref="K84"/>
    <mergeCell ref="L84"/>
    <mergeCell ref="M84"/>
    <mergeCell ref="N84"/>
    <mergeCell ref="O84"/>
    <mergeCell ref="F84"/>
    <mergeCell ref="G84"/>
    <mergeCell ref="H84"/>
    <mergeCell ref="I84"/>
    <mergeCell ref="J84"/>
    <mergeCell ref="A84"/>
    <mergeCell ref="B84"/>
    <mergeCell ref="C84"/>
    <mergeCell ref="D84"/>
    <mergeCell ref="E84"/>
    <mergeCell ref="P83"/>
    <mergeCell ref="Q83"/>
    <mergeCell ref="R83"/>
    <mergeCell ref="S83"/>
    <mergeCell ref="T83"/>
    <mergeCell ref="K83"/>
    <mergeCell ref="L83"/>
    <mergeCell ref="M83"/>
    <mergeCell ref="N83"/>
    <mergeCell ref="O83"/>
    <mergeCell ref="F83"/>
    <mergeCell ref="G83"/>
    <mergeCell ref="H83"/>
    <mergeCell ref="I83"/>
    <mergeCell ref="J83"/>
    <mergeCell ref="A83"/>
    <mergeCell ref="B83"/>
    <mergeCell ref="C83"/>
    <mergeCell ref="D83"/>
    <mergeCell ref="E83"/>
    <mergeCell ref="P82"/>
    <mergeCell ref="Q82"/>
    <mergeCell ref="R82"/>
    <mergeCell ref="S82"/>
    <mergeCell ref="T82"/>
    <mergeCell ref="K82"/>
    <mergeCell ref="L82"/>
    <mergeCell ref="M82"/>
    <mergeCell ref="N82"/>
    <mergeCell ref="O82"/>
    <mergeCell ref="F82"/>
    <mergeCell ref="G82"/>
    <mergeCell ref="H82"/>
    <mergeCell ref="I82"/>
    <mergeCell ref="J82"/>
    <mergeCell ref="A82"/>
    <mergeCell ref="B82"/>
    <mergeCell ref="C82"/>
    <mergeCell ref="D82"/>
    <mergeCell ref="E82"/>
    <mergeCell ref="P81"/>
    <mergeCell ref="Q81"/>
    <mergeCell ref="R81"/>
    <mergeCell ref="S81"/>
    <mergeCell ref="T81"/>
    <mergeCell ref="K81"/>
    <mergeCell ref="L81"/>
    <mergeCell ref="M81"/>
    <mergeCell ref="N81"/>
    <mergeCell ref="O81"/>
    <mergeCell ref="F81"/>
    <mergeCell ref="G81"/>
    <mergeCell ref="H81"/>
    <mergeCell ref="I81"/>
    <mergeCell ref="J81"/>
    <mergeCell ref="A81"/>
    <mergeCell ref="B81"/>
    <mergeCell ref="C81"/>
    <mergeCell ref="D81"/>
    <mergeCell ref="E81"/>
    <mergeCell ref="P80"/>
    <mergeCell ref="Q80"/>
    <mergeCell ref="R80"/>
    <mergeCell ref="S80"/>
    <mergeCell ref="T80"/>
    <mergeCell ref="K80"/>
    <mergeCell ref="L80"/>
    <mergeCell ref="M80"/>
    <mergeCell ref="N80"/>
    <mergeCell ref="O80"/>
    <mergeCell ref="F80"/>
    <mergeCell ref="G80"/>
    <mergeCell ref="H80"/>
    <mergeCell ref="I80"/>
    <mergeCell ref="J80"/>
    <mergeCell ref="A80"/>
    <mergeCell ref="B80"/>
    <mergeCell ref="C80"/>
    <mergeCell ref="D80"/>
    <mergeCell ref="E80"/>
    <mergeCell ref="P79"/>
    <mergeCell ref="Q79"/>
    <mergeCell ref="R79"/>
    <mergeCell ref="S79"/>
    <mergeCell ref="T79"/>
    <mergeCell ref="K79"/>
    <mergeCell ref="L79"/>
    <mergeCell ref="M79"/>
    <mergeCell ref="N79"/>
    <mergeCell ref="O79"/>
    <mergeCell ref="F79"/>
    <mergeCell ref="G79"/>
    <mergeCell ref="H79"/>
    <mergeCell ref="I79"/>
    <mergeCell ref="J79"/>
    <mergeCell ref="A79"/>
    <mergeCell ref="B79"/>
    <mergeCell ref="C79"/>
    <mergeCell ref="D79"/>
    <mergeCell ref="E79"/>
    <mergeCell ref="P78"/>
    <mergeCell ref="Q78"/>
    <mergeCell ref="R78"/>
    <mergeCell ref="S78"/>
    <mergeCell ref="T78"/>
    <mergeCell ref="K78"/>
    <mergeCell ref="L78"/>
    <mergeCell ref="M78"/>
    <mergeCell ref="N78"/>
    <mergeCell ref="O78"/>
    <mergeCell ref="F78"/>
    <mergeCell ref="G78"/>
    <mergeCell ref="H78"/>
    <mergeCell ref="I78"/>
    <mergeCell ref="J78"/>
    <mergeCell ref="A78"/>
    <mergeCell ref="B78"/>
    <mergeCell ref="C78"/>
    <mergeCell ref="D78"/>
    <mergeCell ref="E78"/>
    <mergeCell ref="P77"/>
    <mergeCell ref="Q77"/>
    <mergeCell ref="R77"/>
    <mergeCell ref="S77"/>
    <mergeCell ref="T77"/>
    <mergeCell ref="K77"/>
    <mergeCell ref="L77"/>
    <mergeCell ref="M77"/>
    <mergeCell ref="N77"/>
    <mergeCell ref="O77"/>
    <mergeCell ref="F77"/>
    <mergeCell ref="G77"/>
    <mergeCell ref="H77"/>
    <mergeCell ref="I77"/>
    <mergeCell ref="J77"/>
    <mergeCell ref="A77"/>
    <mergeCell ref="B77"/>
    <mergeCell ref="C77"/>
    <mergeCell ref="D77"/>
    <mergeCell ref="E77"/>
    <mergeCell ref="P76"/>
    <mergeCell ref="Q76"/>
    <mergeCell ref="R76"/>
    <mergeCell ref="S76"/>
    <mergeCell ref="T76"/>
    <mergeCell ref="K76"/>
    <mergeCell ref="L76"/>
    <mergeCell ref="M76"/>
    <mergeCell ref="N76"/>
    <mergeCell ref="O76"/>
    <mergeCell ref="F76"/>
    <mergeCell ref="G76"/>
    <mergeCell ref="H76"/>
    <mergeCell ref="I76"/>
    <mergeCell ref="J76"/>
    <mergeCell ref="A76"/>
    <mergeCell ref="B76"/>
    <mergeCell ref="C76"/>
    <mergeCell ref="D76"/>
    <mergeCell ref="E76"/>
    <mergeCell ref="P75"/>
    <mergeCell ref="Q75"/>
    <mergeCell ref="R75"/>
    <mergeCell ref="S75"/>
    <mergeCell ref="T75"/>
    <mergeCell ref="K75"/>
    <mergeCell ref="L75"/>
    <mergeCell ref="M75"/>
    <mergeCell ref="N75"/>
    <mergeCell ref="O75"/>
    <mergeCell ref="F75"/>
    <mergeCell ref="G75"/>
    <mergeCell ref="H75"/>
    <mergeCell ref="I75"/>
    <mergeCell ref="J75"/>
    <mergeCell ref="A75"/>
    <mergeCell ref="B75"/>
    <mergeCell ref="C75"/>
    <mergeCell ref="D75"/>
    <mergeCell ref="E75"/>
    <mergeCell ref="P74"/>
    <mergeCell ref="Q74"/>
    <mergeCell ref="R74"/>
    <mergeCell ref="S74"/>
    <mergeCell ref="T74"/>
    <mergeCell ref="K74"/>
    <mergeCell ref="L74"/>
    <mergeCell ref="M74"/>
    <mergeCell ref="N74"/>
    <mergeCell ref="O74"/>
    <mergeCell ref="F74"/>
    <mergeCell ref="G74"/>
    <mergeCell ref="H74"/>
    <mergeCell ref="I74"/>
    <mergeCell ref="J74"/>
    <mergeCell ref="A74"/>
    <mergeCell ref="B74"/>
    <mergeCell ref="C74"/>
    <mergeCell ref="D74"/>
    <mergeCell ref="E74"/>
    <mergeCell ref="P73"/>
    <mergeCell ref="Q73"/>
    <mergeCell ref="R73"/>
    <mergeCell ref="S73"/>
    <mergeCell ref="T73"/>
    <mergeCell ref="K73"/>
    <mergeCell ref="L73"/>
    <mergeCell ref="M73"/>
    <mergeCell ref="N73"/>
    <mergeCell ref="O73"/>
    <mergeCell ref="F73"/>
    <mergeCell ref="G73"/>
    <mergeCell ref="H73"/>
    <mergeCell ref="I73"/>
    <mergeCell ref="J73"/>
    <mergeCell ref="A73"/>
    <mergeCell ref="B73"/>
    <mergeCell ref="C73"/>
    <mergeCell ref="D73"/>
    <mergeCell ref="E73"/>
    <mergeCell ref="P72"/>
    <mergeCell ref="Q72"/>
    <mergeCell ref="R72"/>
    <mergeCell ref="S72"/>
    <mergeCell ref="T72"/>
    <mergeCell ref="K72"/>
    <mergeCell ref="L72"/>
    <mergeCell ref="M72"/>
    <mergeCell ref="N72"/>
    <mergeCell ref="O72"/>
    <mergeCell ref="F72"/>
    <mergeCell ref="G72"/>
    <mergeCell ref="H72"/>
    <mergeCell ref="I72"/>
    <mergeCell ref="J72"/>
    <mergeCell ref="A72"/>
    <mergeCell ref="B72"/>
    <mergeCell ref="C72"/>
    <mergeCell ref="D72"/>
    <mergeCell ref="E72"/>
    <mergeCell ref="P71"/>
    <mergeCell ref="Q71"/>
    <mergeCell ref="R71"/>
    <mergeCell ref="S71"/>
    <mergeCell ref="T71"/>
    <mergeCell ref="K71"/>
    <mergeCell ref="L71"/>
    <mergeCell ref="M71"/>
    <mergeCell ref="N71"/>
    <mergeCell ref="O71"/>
    <mergeCell ref="F71"/>
    <mergeCell ref="G71"/>
    <mergeCell ref="H71"/>
    <mergeCell ref="I71"/>
    <mergeCell ref="J71"/>
    <mergeCell ref="A71"/>
    <mergeCell ref="B71"/>
    <mergeCell ref="C71"/>
    <mergeCell ref="D71"/>
    <mergeCell ref="E71"/>
    <mergeCell ref="P70"/>
    <mergeCell ref="Q70"/>
    <mergeCell ref="R70"/>
    <mergeCell ref="S70"/>
    <mergeCell ref="T70"/>
    <mergeCell ref="K70"/>
    <mergeCell ref="L70"/>
    <mergeCell ref="M70"/>
    <mergeCell ref="N70"/>
    <mergeCell ref="O70"/>
    <mergeCell ref="F70"/>
    <mergeCell ref="G70"/>
    <mergeCell ref="H70"/>
    <mergeCell ref="I70"/>
    <mergeCell ref="J70"/>
    <mergeCell ref="A70"/>
    <mergeCell ref="B70"/>
    <mergeCell ref="C70"/>
    <mergeCell ref="D70"/>
    <mergeCell ref="E70"/>
    <mergeCell ref="P69"/>
    <mergeCell ref="Q69"/>
    <mergeCell ref="R69"/>
    <mergeCell ref="S69"/>
    <mergeCell ref="T69"/>
    <mergeCell ref="K69"/>
    <mergeCell ref="L69"/>
    <mergeCell ref="M69"/>
    <mergeCell ref="N69"/>
    <mergeCell ref="O69"/>
    <mergeCell ref="F69"/>
    <mergeCell ref="G69"/>
    <mergeCell ref="H69"/>
    <mergeCell ref="I69"/>
    <mergeCell ref="J69"/>
    <mergeCell ref="A69"/>
    <mergeCell ref="B69"/>
    <mergeCell ref="C69"/>
    <mergeCell ref="D69"/>
    <mergeCell ref="E69"/>
    <mergeCell ref="P68"/>
    <mergeCell ref="Q68"/>
    <mergeCell ref="R68"/>
    <mergeCell ref="S68"/>
    <mergeCell ref="T68"/>
    <mergeCell ref="K68"/>
    <mergeCell ref="L68"/>
    <mergeCell ref="M68"/>
    <mergeCell ref="N68"/>
    <mergeCell ref="O68"/>
    <mergeCell ref="F68"/>
    <mergeCell ref="G68"/>
    <mergeCell ref="H68"/>
    <mergeCell ref="I68"/>
    <mergeCell ref="J68"/>
    <mergeCell ref="A68"/>
    <mergeCell ref="B68"/>
    <mergeCell ref="C68"/>
    <mergeCell ref="D68"/>
    <mergeCell ref="E68"/>
    <mergeCell ref="P67"/>
    <mergeCell ref="Q67"/>
    <mergeCell ref="R67"/>
    <mergeCell ref="S67"/>
    <mergeCell ref="T67"/>
    <mergeCell ref="K67"/>
    <mergeCell ref="L67"/>
    <mergeCell ref="M67"/>
    <mergeCell ref="N67"/>
    <mergeCell ref="O67"/>
    <mergeCell ref="F67"/>
    <mergeCell ref="G67"/>
    <mergeCell ref="H67"/>
    <mergeCell ref="I67"/>
    <mergeCell ref="J67"/>
    <mergeCell ref="A67"/>
    <mergeCell ref="B67"/>
    <mergeCell ref="C67"/>
    <mergeCell ref="D67"/>
    <mergeCell ref="E67"/>
    <mergeCell ref="P66"/>
    <mergeCell ref="Q66"/>
    <mergeCell ref="R66"/>
    <mergeCell ref="S66"/>
    <mergeCell ref="T66"/>
    <mergeCell ref="K66"/>
    <mergeCell ref="L66"/>
    <mergeCell ref="M66"/>
    <mergeCell ref="N66"/>
    <mergeCell ref="O66"/>
    <mergeCell ref="F66"/>
    <mergeCell ref="G66"/>
    <mergeCell ref="H66"/>
    <mergeCell ref="I66"/>
    <mergeCell ref="J66"/>
    <mergeCell ref="A66"/>
    <mergeCell ref="B66"/>
    <mergeCell ref="C66"/>
    <mergeCell ref="D66"/>
    <mergeCell ref="E66"/>
    <mergeCell ref="P65"/>
    <mergeCell ref="Q65"/>
    <mergeCell ref="R65"/>
    <mergeCell ref="S65"/>
    <mergeCell ref="T65"/>
    <mergeCell ref="K65"/>
    <mergeCell ref="L65"/>
    <mergeCell ref="M65"/>
    <mergeCell ref="N65"/>
    <mergeCell ref="O65"/>
    <mergeCell ref="F65"/>
    <mergeCell ref="G65"/>
    <mergeCell ref="H65"/>
    <mergeCell ref="I65"/>
    <mergeCell ref="J65"/>
    <mergeCell ref="A65"/>
    <mergeCell ref="B65"/>
    <mergeCell ref="C65"/>
    <mergeCell ref="D65"/>
    <mergeCell ref="E65"/>
    <mergeCell ref="P64"/>
    <mergeCell ref="Q64"/>
    <mergeCell ref="R64"/>
    <mergeCell ref="S64"/>
    <mergeCell ref="T64"/>
    <mergeCell ref="K64"/>
    <mergeCell ref="L64"/>
    <mergeCell ref="M64"/>
    <mergeCell ref="N64"/>
    <mergeCell ref="O64"/>
    <mergeCell ref="F64"/>
    <mergeCell ref="G64"/>
    <mergeCell ref="H64"/>
    <mergeCell ref="I64"/>
    <mergeCell ref="J64"/>
    <mergeCell ref="A64"/>
    <mergeCell ref="B64"/>
    <mergeCell ref="C64"/>
    <mergeCell ref="D64"/>
    <mergeCell ref="E64"/>
    <mergeCell ref="P63"/>
    <mergeCell ref="Q63"/>
    <mergeCell ref="R63"/>
    <mergeCell ref="S63"/>
    <mergeCell ref="T63"/>
    <mergeCell ref="K63"/>
    <mergeCell ref="L63"/>
    <mergeCell ref="M63"/>
    <mergeCell ref="N63"/>
    <mergeCell ref="O63"/>
    <mergeCell ref="F63"/>
    <mergeCell ref="G63"/>
    <mergeCell ref="H63"/>
    <mergeCell ref="I63"/>
    <mergeCell ref="J63"/>
    <mergeCell ref="A63"/>
    <mergeCell ref="B63"/>
    <mergeCell ref="C63"/>
    <mergeCell ref="D63"/>
    <mergeCell ref="E63"/>
    <mergeCell ref="P62"/>
    <mergeCell ref="Q62"/>
    <mergeCell ref="R62"/>
    <mergeCell ref="S62"/>
    <mergeCell ref="T62"/>
    <mergeCell ref="K62"/>
    <mergeCell ref="L62"/>
    <mergeCell ref="M62"/>
    <mergeCell ref="N62"/>
    <mergeCell ref="O62"/>
    <mergeCell ref="F62"/>
    <mergeCell ref="G62"/>
    <mergeCell ref="H62"/>
    <mergeCell ref="I62"/>
    <mergeCell ref="J62"/>
    <mergeCell ref="A62"/>
    <mergeCell ref="B62"/>
    <mergeCell ref="C62"/>
    <mergeCell ref="D62"/>
    <mergeCell ref="E62"/>
    <mergeCell ref="P61"/>
    <mergeCell ref="Q61"/>
    <mergeCell ref="R61"/>
    <mergeCell ref="S61"/>
    <mergeCell ref="T61"/>
    <mergeCell ref="K61"/>
    <mergeCell ref="L61"/>
    <mergeCell ref="M61"/>
    <mergeCell ref="N61"/>
    <mergeCell ref="O61"/>
    <mergeCell ref="F61"/>
    <mergeCell ref="G61"/>
    <mergeCell ref="H61"/>
    <mergeCell ref="I61"/>
    <mergeCell ref="J61"/>
    <mergeCell ref="A61"/>
    <mergeCell ref="B61"/>
    <mergeCell ref="C61"/>
    <mergeCell ref="D61"/>
    <mergeCell ref="E61"/>
    <mergeCell ref="P60"/>
    <mergeCell ref="Q60"/>
    <mergeCell ref="R60"/>
    <mergeCell ref="S60"/>
    <mergeCell ref="T60"/>
    <mergeCell ref="K60"/>
    <mergeCell ref="L60"/>
    <mergeCell ref="M60"/>
    <mergeCell ref="N60"/>
    <mergeCell ref="O60"/>
    <mergeCell ref="F60"/>
    <mergeCell ref="G60"/>
    <mergeCell ref="H60"/>
    <mergeCell ref="I60"/>
    <mergeCell ref="J60"/>
    <mergeCell ref="A60"/>
    <mergeCell ref="B60"/>
    <mergeCell ref="C60"/>
    <mergeCell ref="D60"/>
    <mergeCell ref="E60"/>
    <mergeCell ref="P59"/>
    <mergeCell ref="Q59"/>
    <mergeCell ref="R59"/>
    <mergeCell ref="S59"/>
    <mergeCell ref="T59"/>
    <mergeCell ref="K59"/>
    <mergeCell ref="L59"/>
    <mergeCell ref="M59"/>
    <mergeCell ref="N59"/>
    <mergeCell ref="O59"/>
    <mergeCell ref="F59"/>
    <mergeCell ref="G59"/>
    <mergeCell ref="H59"/>
    <mergeCell ref="I59"/>
    <mergeCell ref="J59"/>
    <mergeCell ref="A59"/>
    <mergeCell ref="B59"/>
    <mergeCell ref="C59"/>
    <mergeCell ref="D59"/>
    <mergeCell ref="E59"/>
    <mergeCell ref="P58"/>
    <mergeCell ref="Q58"/>
    <mergeCell ref="R58"/>
    <mergeCell ref="S58"/>
    <mergeCell ref="T58"/>
    <mergeCell ref="K58"/>
    <mergeCell ref="L58"/>
    <mergeCell ref="M58"/>
    <mergeCell ref="N58"/>
    <mergeCell ref="O58"/>
    <mergeCell ref="F58"/>
    <mergeCell ref="G58"/>
    <mergeCell ref="H58"/>
    <mergeCell ref="I58"/>
    <mergeCell ref="J58"/>
    <mergeCell ref="A58"/>
    <mergeCell ref="B58"/>
    <mergeCell ref="C58"/>
    <mergeCell ref="D58"/>
    <mergeCell ref="E58"/>
    <mergeCell ref="P57"/>
    <mergeCell ref="Q57"/>
    <mergeCell ref="R57"/>
    <mergeCell ref="S57"/>
    <mergeCell ref="T57"/>
    <mergeCell ref="K57"/>
    <mergeCell ref="L57"/>
    <mergeCell ref="M57"/>
    <mergeCell ref="N57"/>
    <mergeCell ref="O57"/>
    <mergeCell ref="F57"/>
    <mergeCell ref="G57"/>
    <mergeCell ref="H57"/>
    <mergeCell ref="I57"/>
    <mergeCell ref="J57"/>
    <mergeCell ref="A57"/>
    <mergeCell ref="B57"/>
    <mergeCell ref="C57"/>
    <mergeCell ref="D57"/>
    <mergeCell ref="E57"/>
    <mergeCell ref="P56"/>
    <mergeCell ref="Q56"/>
    <mergeCell ref="R56"/>
    <mergeCell ref="S56"/>
    <mergeCell ref="T56"/>
    <mergeCell ref="K56"/>
    <mergeCell ref="L56"/>
    <mergeCell ref="M56"/>
    <mergeCell ref="N56"/>
    <mergeCell ref="O56"/>
    <mergeCell ref="F56"/>
    <mergeCell ref="G56"/>
    <mergeCell ref="H56"/>
    <mergeCell ref="I56"/>
    <mergeCell ref="J56"/>
    <mergeCell ref="A56"/>
    <mergeCell ref="B56"/>
    <mergeCell ref="C56"/>
    <mergeCell ref="D56"/>
    <mergeCell ref="E56"/>
    <mergeCell ref="P55"/>
    <mergeCell ref="Q55"/>
    <mergeCell ref="R55"/>
    <mergeCell ref="S55"/>
    <mergeCell ref="T55"/>
    <mergeCell ref="K55"/>
    <mergeCell ref="L55"/>
    <mergeCell ref="M55"/>
    <mergeCell ref="N55"/>
    <mergeCell ref="O55"/>
    <mergeCell ref="F55"/>
    <mergeCell ref="G55"/>
    <mergeCell ref="H55"/>
    <mergeCell ref="I55"/>
    <mergeCell ref="J55"/>
    <mergeCell ref="A55"/>
    <mergeCell ref="B55"/>
    <mergeCell ref="C55"/>
    <mergeCell ref="D55"/>
    <mergeCell ref="E55"/>
    <mergeCell ref="P54"/>
    <mergeCell ref="Q54"/>
    <mergeCell ref="R54"/>
    <mergeCell ref="S54"/>
    <mergeCell ref="T54"/>
    <mergeCell ref="K54"/>
    <mergeCell ref="L54"/>
    <mergeCell ref="M54"/>
    <mergeCell ref="N54"/>
    <mergeCell ref="O54"/>
    <mergeCell ref="F54"/>
    <mergeCell ref="G54"/>
    <mergeCell ref="H54"/>
    <mergeCell ref="I54"/>
    <mergeCell ref="J54"/>
    <mergeCell ref="A54"/>
    <mergeCell ref="B54"/>
    <mergeCell ref="C54"/>
    <mergeCell ref="D54"/>
    <mergeCell ref="E54"/>
    <mergeCell ref="P53"/>
    <mergeCell ref="Q53"/>
    <mergeCell ref="R53"/>
    <mergeCell ref="S53"/>
    <mergeCell ref="T53"/>
    <mergeCell ref="K53"/>
    <mergeCell ref="L53"/>
    <mergeCell ref="M53"/>
    <mergeCell ref="N53"/>
    <mergeCell ref="O53"/>
    <mergeCell ref="F53"/>
    <mergeCell ref="G53"/>
    <mergeCell ref="H53"/>
    <mergeCell ref="I53"/>
    <mergeCell ref="J53"/>
    <mergeCell ref="A53"/>
    <mergeCell ref="B53"/>
    <mergeCell ref="C53"/>
    <mergeCell ref="D53"/>
    <mergeCell ref="E53"/>
    <mergeCell ref="P52"/>
    <mergeCell ref="Q52"/>
    <mergeCell ref="R52"/>
    <mergeCell ref="S52"/>
    <mergeCell ref="T52"/>
    <mergeCell ref="K52"/>
    <mergeCell ref="L52"/>
    <mergeCell ref="M52"/>
    <mergeCell ref="N52"/>
    <mergeCell ref="O52"/>
    <mergeCell ref="F52"/>
    <mergeCell ref="G52"/>
    <mergeCell ref="H52"/>
    <mergeCell ref="I52"/>
    <mergeCell ref="J52"/>
    <mergeCell ref="A52"/>
    <mergeCell ref="B52"/>
    <mergeCell ref="C52"/>
    <mergeCell ref="D52"/>
    <mergeCell ref="E52"/>
    <mergeCell ref="P51"/>
    <mergeCell ref="Q51"/>
    <mergeCell ref="R51"/>
    <mergeCell ref="S51"/>
    <mergeCell ref="T51"/>
    <mergeCell ref="K51"/>
    <mergeCell ref="L51"/>
    <mergeCell ref="M51"/>
    <mergeCell ref="N51"/>
    <mergeCell ref="O51"/>
    <mergeCell ref="F51"/>
    <mergeCell ref="G51"/>
    <mergeCell ref="H51"/>
    <mergeCell ref="I51"/>
    <mergeCell ref="J51"/>
    <mergeCell ref="A51"/>
    <mergeCell ref="B51"/>
    <mergeCell ref="C51"/>
    <mergeCell ref="D51"/>
    <mergeCell ref="E51"/>
    <mergeCell ref="P50"/>
    <mergeCell ref="Q50"/>
    <mergeCell ref="R50"/>
    <mergeCell ref="S50"/>
    <mergeCell ref="T50"/>
    <mergeCell ref="K50"/>
    <mergeCell ref="L50"/>
    <mergeCell ref="M50"/>
    <mergeCell ref="N50"/>
    <mergeCell ref="O50"/>
    <mergeCell ref="F50"/>
    <mergeCell ref="G50"/>
    <mergeCell ref="H50"/>
    <mergeCell ref="I50"/>
    <mergeCell ref="J50"/>
    <mergeCell ref="A50"/>
    <mergeCell ref="B50"/>
    <mergeCell ref="C50"/>
    <mergeCell ref="D50"/>
    <mergeCell ref="E50"/>
    <mergeCell ref="P49"/>
    <mergeCell ref="Q49"/>
    <mergeCell ref="R49"/>
    <mergeCell ref="S49"/>
    <mergeCell ref="T49"/>
    <mergeCell ref="K49"/>
    <mergeCell ref="L49"/>
    <mergeCell ref="M49"/>
    <mergeCell ref="N49"/>
    <mergeCell ref="O49"/>
    <mergeCell ref="F49"/>
    <mergeCell ref="G49"/>
    <mergeCell ref="H49"/>
    <mergeCell ref="I49"/>
    <mergeCell ref="J49"/>
    <mergeCell ref="A49"/>
    <mergeCell ref="B49"/>
    <mergeCell ref="C49"/>
    <mergeCell ref="D49"/>
    <mergeCell ref="E49"/>
    <mergeCell ref="P48"/>
    <mergeCell ref="Q48"/>
    <mergeCell ref="R48"/>
    <mergeCell ref="S48"/>
    <mergeCell ref="T48"/>
    <mergeCell ref="K48"/>
    <mergeCell ref="L48"/>
    <mergeCell ref="M48"/>
    <mergeCell ref="N48"/>
    <mergeCell ref="O48"/>
    <mergeCell ref="F48"/>
    <mergeCell ref="G48"/>
    <mergeCell ref="H48"/>
    <mergeCell ref="I48"/>
    <mergeCell ref="J48"/>
    <mergeCell ref="A48"/>
    <mergeCell ref="B48"/>
    <mergeCell ref="C48"/>
    <mergeCell ref="D48"/>
    <mergeCell ref="E48"/>
    <mergeCell ref="P47"/>
    <mergeCell ref="Q47"/>
    <mergeCell ref="R47"/>
    <mergeCell ref="S47"/>
    <mergeCell ref="T47"/>
    <mergeCell ref="K47"/>
    <mergeCell ref="L47"/>
    <mergeCell ref="M47"/>
    <mergeCell ref="N47"/>
    <mergeCell ref="O47"/>
    <mergeCell ref="F47"/>
    <mergeCell ref="G47"/>
    <mergeCell ref="H47"/>
    <mergeCell ref="I47"/>
    <mergeCell ref="J47"/>
    <mergeCell ref="A47"/>
    <mergeCell ref="B47"/>
    <mergeCell ref="C47"/>
    <mergeCell ref="D47"/>
    <mergeCell ref="E47"/>
    <mergeCell ref="P46"/>
    <mergeCell ref="Q46"/>
    <mergeCell ref="R46"/>
    <mergeCell ref="S46"/>
    <mergeCell ref="T46"/>
    <mergeCell ref="K46"/>
    <mergeCell ref="L46"/>
    <mergeCell ref="M46"/>
    <mergeCell ref="N46"/>
    <mergeCell ref="O46"/>
    <mergeCell ref="F46"/>
    <mergeCell ref="G46"/>
    <mergeCell ref="H46"/>
    <mergeCell ref="I46"/>
    <mergeCell ref="J46"/>
    <mergeCell ref="A46"/>
    <mergeCell ref="B46"/>
    <mergeCell ref="C46"/>
    <mergeCell ref="D46"/>
    <mergeCell ref="E46"/>
    <mergeCell ref="P45"/>
    <mergeCell ref="Q45"/>
    <mergeCell ref="R45"/>
    <mergeCell ref="S45"/>
    <mergeCell ref="T45"/>
    <mergeCell ref="K45"/>
    <mergeCell ref="L45"/>
    <mergeCell ref="M45"/>
    <mergeCell ref="N45"/>
    <mergeCell ref="O45"/>
    <mergeCell ref="F45"/>
    <mergeCell ref="G45"/>
    <mergeCell ref="H45"/>
    <mergeCell ref="I45"/>
    <mergeCell ref="J45"/>
    <mergeCell ref="A45"/>
    <mergeCell ref="B45"/>
    <mergeCell ref="C45"/>
    <mergeCell ref="D45"/>
    <mergeCell ref="E45"/>
    <mergeCell ref="P44"/>
    <mergeCell ref="Q44"/>
    <mergeCell ref="R44"/>
    <mergeCell ref="S44"/>
    <mergeCell ref="T44"/>
    <mergeCell ref="K44"/>
    <mergeCell ref="L44"/>
    <mergeCell ref="M44"/>
    <mergeCell ref="N44"/>
    <mergeCell ref="O44"/>
    <mergeCell ref="F44"/>
    <mergeCell ref="G44"/>
    <mergeCell ref="H44"/>
    <mergeCell ref="I44"/>
    <mergeCell ref="J44"/>
    <mergeCell ref="A44"/>
    <mergeCell ref="B44"/>
    <mergeCell ref="C44"/>
    <mergeCell ref="D44"/>
    <mergeCell ref="E44"/>
    <mergeCell ref="P43"/>
    <mergeCell ref="Q43"/>
    <mergeCell ref="R43"/>
    <mergeCell ref="S43"/>
    <mergeCell ref="T43"/>
    <mergeCell ref="K43"/>
    <mergeCell ref="L43"/>
    <mergeCell ref="M43"/>
    <mergeCell ref="N43"/>
    <mergeCell ref="O43"/>
    <mergeCell ref="F43"/>
    <mergeCell ref="G43"/>
    <mergeCell ref="H43"/>
    <mergeCell ref="I43"/>
    <mergeCell ref="J43"/>
    <mergeCell ref="A43"/>
    <mergeCell ref="B43"/>
    <mergeCell ref="C43"/>
    <mergeCell ref="D43"/>
    <mergeCell ref="E43"/>
    <mergeCell ref="P42"/>
    <mergeCell ref="Q42"/>
    <mergeCell ref="R42"/>
    <mergeCell ref="S42"/>
    <mergeCell ref="T42"/>
    <mergeCell ref="K42"/>
    <mergeCell ref="L42"/>
    <mergeCell ref="M42"/>
    <mergeCell ref="N42"/>
    <mergeCell ref="O42"/>
    <mergeCell ref="F42"/>
    <mergeCell ref="G42"/>
    <mergeCell ref="H42"/>
    <mergeCell ref="I42"/>
    <mergeCell ref="J42"/>
    <mergeCell ref="A42"/>
    <mergeCell ref="B42"/>
    <mergeCell ref="C42"/>
    <mergeCell ref="D42"/>
    <mergeCell ref="E42"/>
    <mergeCell ref="P41"/>
    <mergeCell ref="Q41"/>
    <mergeCell ref="R41"/>
    <mergeCell ref="S41"/>
    <mergeCell ref="T41"/>
    <mergeCell ref="K41"/>
    <mergeCell ref="L41"/>
    <mergeCell ref="M41"/>
    <mergeCell ref="N41"/>
    <mergeCell ref="O41"/>
    <mergeCell ref="F41"/>
    <mergeCell ref="G41"/>
    <mergeCell ref="H41"/>
    <mergeCell ref="I41"/>
    <mergeCell ref="J41"/>
    <mergeCell ref="A41"/>
    <mergeCell ref="B41"/>
    <mergeCell ref="C41"/>
    <mergeCell ref="D41"/>
    <mergeCell ref="E41"/>
    <mergeCell ref="P40"/>
    <mergeCell ref="Q40"/>
    <mergeCell ref="R40"/>
    <mergeCell ref="S40"/>
    <mergeCell ref="T40"/>
    <mergeCell ref="K40"/>
    <mergeCell ref="L40"/>
    <mergeCell ref="M40"/>
    <mergeCell ref="N40"/>
    <mergeCell ref="O40"/>
    <mergeCell ref="F40"/>
    <mergeCell ref="G40"/>
    <mergeCell ref="H40"/>
    <mergeCell ref="I40"/>
    <mergeCell ref="J40"/>
    <mergeCell ref="A40"/>
    <mergeCell ref="B40"/>
    <mergeCell ref="C40"/>
    <mergeCell ref="D40"/>
    <mergeCell ref="E40"/>
    <mergeCell ref="P39"/>
    <mergeCell ref="Q39"/>
    <mergeCell ref="R39"/>
    <mergeCell ref="S39"/>
    <mergeCell ref="T39"/>
    <mergeCell ref="K39"/>
    <mergeCell ref="L39"/>
    <mergeCell ref="M39"/>
    <mergeCell ref="N39"/>
    <mergeCell ref="O39"/>
    <mergeCell ref="F39"/>
    <mergeCell ref="G39"/>
    <mergeCell ref="H39"/>
    <mergeCell ref="I39"/>
    <mergeCell ref="J39"/>
    <mergeCell ref="A39"/>
    <mergeCell ref="B39"/>
    <mergeCell ref="C39"/>
    <mergeCell ref="D39"/>
    <mergeCell ref="E39"/>
    <mergeCell ref="P38"/>
    <mergeCell ref="Q38"/>
    <mergeCell ref="R38"/>
    <mergeCell ref="S38"/>
    <mergeCell ref="T38"/>
    <mergeCell ref="K38"/>
    <mergeCell ref="L38"/>
    <mergeCell ref="M38"/>
    <mergeCell ref="N38"/>
    <mergeCell ref="O38"/>
    <mergeCell ref="F38"/>
    <mergeCell ref="G38"/>
    <mergeCell ref="H38"/>
    <mergeCell ref="I38"/>
    <mergeCell ref="J38"/>
    <mergeCell ref="A38"/>
    <mergeCell ref="B38"/>
    <mergeCell ref="C38"/>
    <mergeCell ref="D38"/>
    <mergeCell ref="E38"/>
    <mergeCell ref="P37"/>
    <mergeCell ref="Q37"/>
    <mergeCell ref="R37"/>
    <mergeCell ref="S37"/>
    <mergeCell ref="T37"/>
    <mergeCell ref="K37"/>
    <mergeCell ref="L37"/>
    <mergeCell ref="M37"/>
    <mergeCell ref="N37"/>
    <mergeCell ref="O37"/>
    <mergeCell ref="F37"/>
    <mergeCell ref="G37"/>
    <mergeCell ref="H37"/>
    <mergeCell ref="I37"/>
    <mergeCell ref="J37"/>
    <mergeCell ref="A37"/>
    <mergeCell ref="B37"/>
    <mergeCell ref="C37"/>
    <mergeCell ref="D37"/>
    <mergeCell ref="E37"/>
    <mergeCell ref="P36"/>
    <mergeCell ref="Q36"/>
    <mergeCell ref="R36"/>
    <mergeCell ref="S36"/>
    <mergeCell ref="T36"/>
    <mergeCell ref="K36"/>
    <mergeCell ref="L36"/>
    <mergeCell ref="M36"/>
    <mergeCell ref="N36"/>
    <mergeCell ref="O36"/>
    <mergeCell ref="F36"/>
    <mergeCell ref="G36"/>
    <mergeCell ref="H36"/>
    <mergeCell ref="I36"/>
    <mergeCell ref="J36"/>
    <mergeCell ref="A36"/>
    <mergeCell ref="B36"/>
    <mergeCell ref="C36"/>
    <mergeCell ref="D36"/>
    <mergeCell ref="E36"/>
    <mergeCell ref="P35"/>
    <mergeCell ref="Q35"/>
    <mergeCell ref="R35"/>
    <mergeCell ref="S35"/>
    <mergeCell ref="T35"/>
    <mergeCell ref="K35"/>
    <mergeCell ref="L35"/>
    <mergeCell ref="M35"/>
    <mergeCell ref="N35"/>
    <mergeCell ref="O35"/>
    <mergeCell ref="F35"/>
    <mergeCell ref="G35"/>
    <mergeCell ref="H35"/>
    <mergeCell ref="I35"/>
    <mergeCell ref="J35"/>
    <mergeCell ref="A35"/>
    <mergeCell ref="B35"/>
    <mergeCell ref="C35"/>
    <mergeCell ref="D35"/>
    <mergeCell ref="E35"/>
    <mergeCell ref="P34"/>
    <mergeCell ref="Q34"/>
    <mergeCell ref="R34"/>
    <mergeCell ref="S34"/>
    <mergeCell ref="T34"/>
    <mergeCell ref="K34"/>
    <mergeCell ref="L34"/>
    <mergeCell ref="M34"/>
    <mergeCell ref="N34"/>
    <mergeCell ref="O34"/>
    <mergeCell ref="F34"/>
    <mergeCell ref="G34"/>
    <mergeCell ref="H34"/>
    <mergeCell ref="I34"/>
    <mergeCell ref="J34"/>
    <mergeCell ref="A34"/>
    <mergeCell ref="B34"/>
    <mergeCell ref="C34"/>
    <mergeCell ref="D34"/>
    <mergeCell ref="E34"/>
    <mergeCell ref="P33"/>
    <mergeCell ref="Q33"/>
    <mergeCell ref="R33"/>
    <mergeCell ref="S33"/>
    <mergeCell ref="T33"/>
    <mergeCell ref="K33"/>
    <mergeCell ref="L33"/>
    <mergeCell ref="M33"/>
    <mergeCell ref="N33"/>
    <mergeCell ref="O33"/>
    <mergeCell ref="F33"/>
    <mergeCell ref="G33"/>
    <mergeCell ref="H33"/>
    <mergeCell ref="I33"/>
    <mergeCell ref="J33"/>
    <mergeCell ref="A33"/>
    <mergeCell ref="B33"/>
    <mergeCell ref="C33"/>
    <mergeCell ref="D33"/>
    <mergeCell ref="E33"/>
    <mergeCell ref="P32"/>
    <mergeCell ref="Q32"/>
    <mergeCell ref="R32"/>
    <mergeCell ref="S32"/>
    <mergeCell ref="T32"/>
    <mergeCell ref="K32"/>
    <mergeCell ref="L32"/>
    <mergeCell ref="M32"/>
    <mergeCell ref="N32"/>
    <mergeCell ref="O32"/>
    <mergeCell ref="F32"/>
    <mergeCell ref="G32"/>
    <mergeCell ref="H32"/>
    <mergeCell ref="I32"/>
    <mergeCell ref="J32"/>
    <mergeCell ref="A32"/>
    <mergeCell ref="B32"/>
    <mergeCell ref="C32"/>
    <mergeCell ref="D32"/>
    <mergeCell ref="E32"/>
    <mergeCell ref="P31"/>
    <mergeCell ref="Q31"/>
    <mergeCell ref="R31"/>
    <mergeCell ref="S31"/>
    <mergeCell ref="T31"/>
    <mergeCell ref="K31"/>
    <mergeCell ref="L31"/>
    <mergeCell ref="M31"/>
    <mergeCell ref="N31"/>
    <mergeCell ref="O31"/>
    <mergeCell ref="F31"/>
    <mergeCell ref="G31"/>
    <mergeCell ref="H31"/>
    <mergeCell ref="I31"/>
    <mergeCell ref="J31"/>
    <mergeCell ref="A31"/>
    <mergeCell ref="B31"/>
    <mergeCell ref="C31"/>
    <mergeCell ref="D31"/>
    <mergeCell ref="E31"/>
    <mergeCell ref="P30"/>
    <mergeCell ref="Q30"/>
    <mergeCell ref="R30"/>
    <mergeCell ref="S30"/>
    <mergeCell ref="T30"/>
    <mergeCell ref="K30"/>
    <mergeCell ref="L30"/>
    <mergeCell ref="M30"/>
    <mergeCell ref="N30"/>
    <mergeCell ref="O30"/>
    <mergeCell ref="F30"/>
    <mergeCell ref="G30"/>
    <mergeCell ref="H30"/>
    <mergeCell ref="I30"/>
    <mergeCell ref="J30"/>
    <mergeCell ref="A30"/>
    <mergeCell ref="B30"/>
    <mergeCell ref="C30"/>
    <mergeCell ref="D30"/>
    <mergeCell ref="E30"/>
    <mergeCell ref="P29"/>
    <mergeCell ref="Q29"/>
    <mergeCell ref="R29"/>
    <mergeCell ref="S29"/>
    <mergeCell ref="T29"/>
    <mergeCell ref="K29"/>
    <mergeCell ref="L29"/>
    <mergeCell ref="M29"/>
    <mergeCell ref="N29"/>
    <mergeCell ref="O29"/>
    <mergeCell ref="F29"/>
    <mergeCell ref="G29"/>
    <mergeCell ref="H29"/>
    <mergeCell ref="I29"/>
    <mergeCell ref="J29"/>
    <mergeCell ref="A29"/>
    <mergeCell ref="B29"/>
    <mergeCell ref="C29"/>
    <mergeCell ref="D29"/>
    <mergeCell ref="E29"/>
    <mergeCell ref="P28"/>
    <mergeCell ref="Q28"/>
    <mergeCell ref="R28"/>
    <mergeCell ref="S28"/>
    <mergeCell ref="T28"/>
    <mergeCell ref="K28"/>
    <mergeCell ref="L28"/>
    <mergeCell ref="M28"/>
    <mergeCell ref="N28"/>
    <mergeCell ref="O28"/>
    <mergeCell ref="F28"/>
    <mergeCell ref="G28"/>
    <mergeCell ref="H28"/>
    <mergeCell ref="I28"/>
    <mergeCell ref="J28"/>
    <mergeCell ref="A28"/>
    <mergeCell ref="B28"/>
    <mergeCell ref="C28"/>
    <mergeCell ref="D28"/>
    <mergeCell ref="E28"/>
    <mergeCell ref="P27"/>
    <mergeCell ref="Q27"/>
    <mergeCell ref="R27"/>
    <mergeCell ref="S27"/>
    <mergeCell ref="T27"/>
    <mergeCell ref="K27"/>
    <mergeCell ref="L27"/>
    <mergeCell ref="M27"/>
    <mergeCell ref="N27"/>
    <mergeCell ref="O27"/>
    <mergeCell ref="F27"/>
    <mergeCell ref="G27"/>
    <mergeCell ref="H27"/>
    <mergeCell ref="I27"/>
    <mergeCell ref="J27"/>
    <mergeCell ref="A27"/>
    <mergeCell ref="B27"/>
    <mergeCell ref="C27"/>
    <mergeCell ref="D27"/>
    <mergeCell ref="E27"/>
    <mergeCell ref="P26"/>
    <mergeCell ref="Q26"/>
    <mergeCell ref="R26"/>
    <mergeCell ref="S26"/>
    <mergeCell ref="T26"/>
    <mergeCell ref="K26"/>
    <mergeCell ref="L26"/>
    <mergeCell ref="M26"/>
    <mergeCell ref="N26"/>
    <mergeCell ref="O26"/>
    <mergeCell ref="F26"/>
    <mergeCell ref="G26"/>
    <mergeCell ref="H26"/>
    <mergeCell ref="I26"/>
    <mergeCell ref="J26"/>
    <mergeCell ref="A26"/>
    <mergeCell ref="B26"/>
    <mergeCell ref="C26"/>
    <mergeCell ref="D26"/>
    <mergeCell ref="E26"/>
    <mergeCell ref="P25"/>
    <mergeCell ref="Q25"/>
    <mergeCell ref="R25"/>
    <mergeCell ref="S25"/>
    <mergeCell ref="T25"/>
    <mergeCell ref="K25"/>
    <mergeCell ref="L25"/>
    <mergeCell ref="M25"/>
    <mergeCell ref="N25"/>
    <mergeCell ref="O25"/>
    <mergeCell ref="F25"/>
    <mergeCell ref="G25"/>
    <mergeCell ref="H25"/>
    <mergeCell ref="I25"/>
    <mergeCell ref="J25"/>
    <mergeCell ref="A25"/>
    <mergeCell ref="B25"/>
    <mergeCell ref="C25"/>
    <mergeCell ref="D25"/>
    <mergeCell ref="E25"/>
    <mergeCell ref="P24"/>
    <mergeCell ref="Q24"/>
    <mergeCell ref="R24"/>
    <mergeCell ref="S24"/>
    <mergeCell ref="T24"/>
    <mergeCell ref="K24"/>
    <mergeCell ref="L24"/>
    <mergeCell ref="M24"/>
    <mergeCell ref="N24"/>
    <mergeCell ref="O24"/>
    <mergeCell ref="F24"/>
    <mergeCell ref="G24"/>
    <mergeCell ref="H24"/>
    <mergeCell ref="I24"/>
    <mergeCell ref="J24"/>
    <mergeCell ref="A24"/>
    <mergeCell ref="B24"/>
    <mergeCell ref="C24"/>
    <mergeCell ref="D24"/>
    <mergeCell ref="E24"/>
    <mergeCell ref="P23"/>
    <mergeCell ref="Q23"/>
    <mergeCell ref="R23"/>
    <mergeCell ref="S23"/>
    <mergeCell ref="T23"/>
    <mergeCell ref="K23"/>
    <mergeCell ref="L23"/>
    <mergeCell ref="M23"/>
    <mergeCell ref="N23"/>
    <mergeCell ref="O23"/>
    <mergeCell ref="F23"/>
    <mergeCell ref="G23"/>
    <mergeCell ref="H23"/>
    <mergeCell ref="I23"/>
    <mergeCell ref="J23"/>
    <mergeCell ref="A23"/>
    <mergeCell ref="B23"/>
    <mergeCell ref="C23"/>
    <mergeCell ref="D23"/>
    <mergeCell ref="E23"/>
    <mergeCell ref="P22"/>
    <mergeCell ref="Q22"/>
    <mergeCell ref="R22"/>
    <mergeCell ref="S22"/>
    <mergeCell ref="T22"/>
    <mergeCell ref="K22"/>
    <mergeCell ref="L22"/>
    <mergeCell ref="M22"/>
    <mergeCell ref="N22"/>
    <mergeCell ref="O22"/>
    <mergeCell ref="F22"/>
    <mergeCell ref="G22"/>
    <mergeCell ref="H22"/>
    <mergeCell ref="I22"/>
    <mergeCell ref="J22"/>
    <mergeCell ref="A22"/>
    <mergeCell ref="B22"/>
    <mergeCell ref="C22"/>
    <mergeCell ref="D22"/>
    <mergeCell ref="E22"/>
    <mergeCell ref="P21"/>
    <mergeCell ref="Q21"/>
    <mergeCell ref="R21"/>
    <mergeCell ref="S21"/>
    <mergeCell ref="T21"/>
    <mergeCell ref="K21"/>
    <mergeCell ref="L21"/>
    <mergeCell ref="M21"/>
    <mergeCell ref="N21"/>
    <mergeCell ref="O21"/>
    <mergeCell ref="F21"/>
    <mergeCell ref="G21"/>
    <mergeCell ref="H21"/>
    <mergeCell ref="I21"/>
    <mergeCell ref="J21"/>
    <mergeCell ref="A21"/>
    <mergeCell ref="B21"/>
    <mergeCell ref="C21"/>
    <mergeCell ref="D21"/>
    <mergeCell ref="E21"/>
    <mergeCell ref="P20"/>
    <mergeCell ref="Q20"/>
    <mergeCell ref="R20"/>
    <mergeCell ref="S20"/>
    <mergeCell ref="T20"/>
    <mergeCell ref="K20"/>
    <mergeCell ref="L20"/>
    <mergeCell ref="M20"/>
    <mergeCell ref="N20"/>
    <mergeCell ref="O20"/>
    <mergeCell ref="F20"/>
    <mergeCell ref="G20"/>
    <mergeCell ref="H20"/>
    <mergeCell ref="I20"/>
    <mergeCell ref="J20"/>
    <mergeCell ref="A20"/>
    <mergeCell ref="B20"/>
    <mergeCell ref="C20"/>
    <mergeCell ref="D20"/>
    <mergeCell ref="E20"/>
    <mergeCell ref="P19"/>
    <mergeCell ref="Q19"/>
    <mergeCell ref="R19"/>
    <mergeCell ref="S19"/>
    <mergeCell ref="T19"/>
    <mergeCell ref="K19"/>
    <mergeCell ref="L19"/>
    <mergeCell ref="M19"/>
    <mergeCell ref="N19"/>
    <mergeCell ref="O19"/>
    <mergeCell ref="F19"/>
    <mergeCell ref="G19"/>
    <mergeCell ref="H19"/>
    <mergeCell ref="I19"/>
    <mergeCell ref="J19"/>
    <mergeCell ref="A19"/>
    <mergeCell ref="B19"/>
    <mergeCell ref="C19"/>
    <mergeCell ref="D19"/>
    <mergeCell ref="E19"/>
    <mergeCell ref="P18"/>
    <mergeCell ref="Q18"/>
    <mergeCell ref="R18"/>
    <mergeCell ref="S18"/>
    <mergeCell ref="T18"/>
    <mergeCell ref="K18"/>
    <mergeCell ref="L18"/>
    <mergeCell ref="M18"/>
    <mergeCell ref="N18"/>
    <mergeCell ref="O18"/>
    <mergeCell ref="F18"/>
    <mergeCell ref="G18"/>
    <mergeCell ref="H18"/>
    <mergeCell ref="I18"/>
    <mergeCell ref="J18"/>
    <mergeCell ref="A18"/>
    <mergeCell ref="B18"/>
    <mergeCell ref="C18"/>
    <mergeCell ref="D18"/>
    <mergeCell ref="E18"/>
    <mergeCell ref="P17"/>
    <mergeCell ref="Q17"/>
    <mergeCell ref="R17"/>
    <mergeCell ref="S17"/>
    <mergeCell ref="T17"/>
    <mergeCell ref="K17"/>
    <mergeCell ref="L17"/>
    <mergeCell ref="M17"/>
    <mergeCell ref="N17"/>
    <mergeCell ref="O17"/>
    <mergeCell ref="F17"/>
    <mergeCell ref="G17"/>
    <mergeCell ref="H17"/>
    <mergeCell ref="I17"/>
    <mergeCell ref="J17"/>
    <mergeCell ref="A17"/>
    <mergeCell ref="B17"/>
    <mergeCell ref="C17"/>
    <mergeCell ref="D17"/>
    <mergeCell ref="E17"/>
    <mergeCell ref="P16"/>
    <mergeCell ref="Q16"/>
    <mergeCell ref="R16"/>
    <mergeCell ref="S16"/>
    <mergeCell ref="T16"/>
    <mergeCell ref="K16"/>
    <mergeCell ref="L16"/>
    <mergeCell ref="M16"/>
    <mergeCell ref="N16"/>
    <mergeCell ref="O16"/>
    <mergeCell ref="F16"/>
    <mergeCell ref="G16"/>
    <mergeCell ref="H16"/>
    <mergeCell ref="I16"/>
    <mergeCell ref="J16"/>
    <mergeCell ref="A16"/>
    <mergeCell ref="B16"/>
    <mergeCell ref="C16"/>
    <mergeCell ref="D16"/>
    <mergeCell ref="E16"/>
    <mergeCell ref="P15"/>
    <mergeCell ref="Q15"/>
    <mergeCell ref="R15"/>
    <mergeCell ref="S15"/>
    <mergeCell ref="T15"/>
    <mergeCell ref="K15"/>
    <mergeCell ref="L15"/>
    <mergeCell ref="M15"/>
    <mergeCell ref="N15"/>
    <mergeCell ref="O15"/>
    <mergeCell ref="F15"/>
    <mergeCell ref="G15"/>
    <mergeCell ref="H15"/>
    <mergeCell ref="I15"/>
    <mergeCell ref="J15"/>
    <mergeCell ref="A15"/>
    <mergeCell ref="B15"/>
    <mergeCell ref="C15"/>
    <mergeCell ref="D15"/>
    <mergeCell ref="E15"/>
    <mergeCell ref="P14"/>
    <mergeCell ref="Q14"/>
    <mergeCell ref="R14"/>
    <mergeCell ref="S14"/>
    <mergeCell ref="T14"/>
    <mergeCell ref="K14"/>
    <mergeCell ref="L14"/>
    <mergeCell ref="M14"/>
    <mergeCell ref="N14"/>
    <mergeCell ref="O14"/>
    <mergeCell ref="F14"/>
    <mergeCell ref="G14"/>
    <mergeCell ref="H14"/>
    <mergeCell ref="I14"/>
    <mergeCell ref="J14"/>
    <mergeCell ref="A14"/>
    <mergeCell ref="B14"/>
    <mergeCell ref="C14"/>
    <mergeCell ref="D14"/>
    <mergeCell ref="E14"/>
    <mergeCell ref="P13"/>
    <mergeCell ref="Q13"/>
    <mergeCell ref="R13"/>
    <mergeCell ref="S13"/>
    <mergeCell ref="T13"/>
    <mergeCell ref="K13"/>
    <mergeCell ref="L13"/>
    <mergeCell ref="M13"/>
    <mergeCell ref="N13"/>
    <mergeCell ref="O13"/>
    <mergeCell ref="F13"/>
    <mergeCell ref="G13"/>
    <mergeCell ref="H13"/>
    <mergeCell ref="I13"/>
    <mergeCell ref="J13"/>
    <mergeCell ref="A13"/>
    <mergeCell ref="B13"/>
    <mergeCell ref="C13"/>
    <mergeCell ref="D13"/>
    <mergeCell ref="E13"/>
    <mergeCell ref="P12"/>
    <mergeCell ref="Q12"/>
    <mergeCell ref="R12"/>
    <mergeCell ref="S12"/>
    <mergeCell ref="T12"/>
    <mergeCell ref="K12"/>
    <mergeCell ref="L12"/>
    <mergeCell ref="M12"/>
    <mergeCell ref="N12"/>
    <mergeCell ref="O12"/>
    <mergeCell ref="F12"/>
    <mergeCell ref="G12"/>
    <mergeCell ref="H12"/>
    <mergeCell ref="I12"/>
    <mergeCell ref="J12"/>
    <mergeCell ref="A12"/>
    <mergeCell ref="B12"/>
    <mergeCell ref="C12"/>
    <mergeCell ref="D12"/>
    <mergeCell ref="E12"/>
    <mergeCell ref="P11"/>
    <mergeCell ref="Q11"/>
    <mergeCell ref="R11"/>
    <mergeCell ref="S11"/>
    <mergeCell ref="T11"/>
    <mergeCell ref="K11"/>
    <mergeCell ref="L11"/>
    <mergeCell ref="M11"/>
    <mergeCell ref="N11"/>
    <mergeCell ref="O11"/>
    <mergeCell ref="F11"/>
    <mergeCell ref="G11"/>
    <mergeCell ref="H11"/>
    <mergeCell ref="I11"/>
    <mergeCell ref="J11"/>
    <mergeCell ref="A11"/>
    <mergeCell ref="B11"/>
    <mergeCell ref="C11"/>
    <mergeCell ref="D11"/>
    <mergeCell ref="E11"/>
    <mergeCell ref="P10"/>
    <mergeCell ref="Q10"/>
    <mergeCell ref="R10"/>
    <mergeCell ref="S10"/>
    <mergeCell ref="T10"/>
    <mergeCell ref="K10"/>
    <mergeCell ref="L10"/>
    <mergeCell ref="M10"/>
    <mergeCell ref="N10"/>
    <mergeCell ref="O10"/>
    <mergeCell ref="F10"/>
    <mergeCell ref="G10"/>
    <mergeCell ref="H10"/>
    <mergeCell ref="I10"/>
    <mergeCell ref="J10"/>
    <mergeCell ref="A10"/>
    <mergeCell ref="B10"/>
    <mergeCell ref="C10"/>
    <mergeCell ref="D10"/>
    <mergeCell ref="E10"/>
    <mergeCell ref="P9"/>
    <mergeCell ref="Q9"/>
    <mergeCell ref="R9"/>
    <mergeCell ref="S9"/>
    <mergeCell ref="T9"/>
    <mergeCell ref="K9"/>
    <mergeCell ref="L9"/>
    <mergeCell ref="M9"/>
    <mergeCell ref="N9"/>
    <mergeCell ref="O9"/>
    <mergeCell ref="F9"/>
    <mergeCell ref="G9"/>
    <mergeCell ref="H9"/>
    <mergeCell ref="I9"/>
    <mergeCell ref="J9"/>
    <mergeCell ref="A9"/>
    <mergeCell ref="B9"/>
    <mergeCell ref="C9"/>
    <mergeCell ref="D9"/>
    <mergeCell ref="E9"/>
    <mergeCell ref="P8"/>
    <mergeCell ref="Q8"/>
    <mergeCell ref="R8"/>
    <mergeCell ref="S8"/>
    <mergeCell ref="T8"/>
    <mergeCell ref="K8"/>
    <mergeCell ref="L8"/>
    <mergeCell ref="M8"/>
    <mergeCell ref="N8"/>
    <mergeCell ref="O8"/>
    <mergeCell ref="F8"/>
    <mergeCell ref="G8"/>
    <mergeCell ref="H8"/>
    <mergeCell ref="I8"/>
    <mergeCell ref="J8"/>
    <mergeCell ref="A8"/>
    <mergeCell ref="B8"/>
    <mergeCell ref="C8"/>
    <mergeCell ref="D8"/>
    <mergeCell ref="E8"/>
    <mergeCell ref="P7"/>
    <mergeCell ref="Q7"/>
    <mergeCell ref="R7"/>
    <mergeCell ref="S7"/>
    <mergeCell ref="T7"/>
    <mergeCell ref="T6"/>
    <mergeCell ref="A7"/>
    <mergeCell ref="B7"/>
    <mergeCell ref="C7"/>
    <mergeCell ref="D7"/>
    <mergeCell ref="E7"/>
    <mergeCell ref="F7"/>
    <mergeCell ref="G7"/>
    <mergeCell ref="H7"/>
    <mergeCell ref="I7"/>
    <mergeCell ref="J7"/>
    <mergeCell ref="K7"/>
    <mergeCell ref="L7"/>
    <mergeCell ref="M7"/>
    <mergeCell ref="N7"/>
    <mergeCell ref="O7"/>
    <mergeCell ref="O6"/>
    <mergeCell ref="P6"/>
    <mergeCell ref="Q6"/>
    <mergeCell ref="R6"/>
    <mergeCell ref="S6"/>
    <mergeCell ref="S5"/>
    <mergeCell ref="T5"/>
    <mergeCell ref="A6"/>
    <mergeCell ref="B6"/>
    <mergeCell ref="C6"/>
    <mergeCell ref="D6"/>
    <mergeCell ref="E6"/>
    <mergeCell ref="F6"/>
    <mergeCell ref="G6"/>
    <mergeCell ref="H6"/>
    <mergeCell ref="I6"/>
    <mergeCell ref="J6"/>
    <mergeCell ref="K6"/>
    <mergeCell ref="L6"/>
    <mergeCell ref="M6"/>
    <mergeCell ref="N6"/>
    <mergeCell ref="N5"/>
    <mergeCell ref="O5"/>
    <mergeCell ref="P5"/>
    <mergeCell ref="Q5"/>
    <mergeCell ref="R5"/>
    <mergeCell ref="Q4"/>
    <mergeCell ref="R4"/>
    <mergeCell ref="S4"/>
    <mergeCell ref="A5"/>
    <mergeCell ref="B5"/>
    <mergeCell ref="C5"/>
    <mergeCell ref="D5"/>
    <mergeCell ref="E5"/>
    <mergeCell ref="F5"/>
    <mergeCell ref="G5"/>
    <mergeCell ref="H5"/>
    <mergeCell ref="I5"/>
    <mergeCell ref="J5"/>
    <mergeCell ref="K5"/>
    <mergeCell ref="L5"/>
    <mergeCell ref="M5"/>
    <mergeCell ref="L4"/>
    <mergeCell ref="M4"/>
    <mergeCell ref="N4"/>
    <mergeCell ref="O4"/>
    <mergeCell ref="P4"/>
    <mergeCell ref="G4"/>
    <mergeCell ref="H4"/>
    <mergeCell ref="I4"/>
    <mergeCell ref="J4"/>
    <mergeCell ref="K4"/>
    <mergeCell ref="B4"/>
    <mergeCell ref="C4"/>
    <mergeCell ref="D4"/>
    <mergeCell ref="E4"/>
    <mergeCell ref="F4"/>
    <mergeCell ref="A1:U2"/>
    <mergeCell ref="B3:G3"/>
    <mergeCell ref="H3:M3"/>
    <mergeCell ref="N3:S3"/>
    <mergeCell ref="T3"/>
    <mergeCell ref="U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I2205"/>
  <sheetViews>
    <sheetView workbookViewId="0">
      <selection activeCell="AW47" sqref="AW47"/>
    </sheetView>
  </sheetViews>
  <sheetFormatPr baseColWidth="10" defaultColWidth="9.140625" defaultRowHeight="15" x14ac:dyDescent="0.25"/>
  <cols>
    <col min="1" max="1" width="20" bestFit="1" customWidth="1"/>
    <col min="13" max="13" width="34.140625" bestFit="1" customWidth="1"/>
    <col min="14" max="14" width="25" customWidth="1"/>
    <col min="15" max="15" width="33" bestFit="1" customWidth="1"/>
    <col min="16" max="17" width="10" customWidth="1"/>
    <col min="18" max="18" width="15" customWidth="1"/>
    <col min="19" max="19" width="10" customWidth="1"/>
    <col min="25" max="25" width="34.140625" bestFit="1" customWidth="1"/>
    <col min="26" max="26" width="25" customWidth="1"/>
    <col min="27" max="27" width="33" bestFit="1" customWidth="1"/>
    <col min="28" max="29" width="10" customWidth="1"/>
    <col min="30" max="30" width="15" customWidth="1"/>
    <col min="31" max="31" width="10" customWidth="1"/>
    <col min="37" max="37" width="34.140625" bestFit="1" customWidth="1"/>
    <col min="38" max="38" width="25" customWidth="1"/>
    <col min="39" max="39" width="33" bestFit="1" customWidth="1"/>
    <col min="40" max="41" width="10" customWidth="1"/>
    <col min="42" max="42" width="15" customWidth="1"/>
    <col min="43" max="43" width="10" customWidth="1"/>
    <col min="49" max="49" width="34.140625" bestFit="1" customWidth="1"/>
    <col min="50" max="50" width="25" customWidth="1"/>
    <col min="51" max="51" width="27.7109375" bestFit="1" customWidth="1"/>
    <col min="52" max="53" width="10" customWidth="1"/>
    <col min="54" max="54" width="15" customWidth="1"/>
    <col min="55" max="55" width="10" customWidth="1"/>
  </cols>
  <sheetData>
    <row r="1" spans="1:57" x14ac:dyDescent="0.25">
      <c r="A1" s="44" t="s">
        <v>0</v>
      </c>
      <c r="B1" s="44"/>
      <c r="C1" s="44"/>
      <c r="D1" s="44"/>
      <c r="E1" s="44"/>
      <c r="F1" s="44"/>
      <c r="G1" s="44"/>
      <c r="H1" s="44"/>
      <c r="I1" s="44"/>
    </row>
    <row r="2" spans="1:57" x14ac:dyDescent="0.25">
      <c r="A2" s="45" t="s">
        <v>330</v>
      </c>
      <c r="B2" s="46" t="s">
        <v>1</v>
      </c>
      <c r="C2" s="46"/>
      <c r="D2" s="46" t="s">
        <v>2</v>
      </c>
      <c r="E2" s="46"/>
      <c r="F2" s="46" t="s">
        <v>3</v>
      </c>
      <c r="G2" s="46"/>
      <c r="H2" s="46" t="s">
        <v>331</v>
      </c>
      <c r="I2" s="46"/>
    </row>
    <row r="3" spans="1:57" x14ac:dyDescent="0.25">
      <c r="A3" s="45"/>
      <c r="B3" s="47" t="s">
        <v>332</v>
      </c>
      <c r="C3" s="47" t="s">
        <v>5</v>
      </c>
      <c r="D3" s="47" t="s">
        <v>332</v>
      </c>
      <c r="E3" s="47" t="s">
        <v>5</v>
      </c>
      <c r="F3" s="47" t="s">
        <v>332</v>
      </c>
      <c r="G3" s="47" t="s">
        <v>5</v>
      </c>
      <c r="H3" s="47" t="s">
        <v>332</v>
      </c>
      <c r="I3" s="47" t="s">
        <v>5</v>
      </c>
      <c r="K3" s="4"/>
      <c r="L3" s="4"/>
      <c r="M3" s="4" t="s">
        <v>331</v>
      </c>
      <c r="N3" s="4"/>
      <c r="O3" s="4"/>
      <c r="P3" s="4"/>
      <c r="Q3" s="4"/>
      <c r="R3" s="4"/>
      <c r="S3" s="4"/>
      <c r="T3" s="4"/>
      <c r="U3" s="4"/>
      <c r="W3" s="4"/>
      <c r="X3" s="4"/>
      <c r="Y3" s="4" t="s">
        <v>331</v>
      </c>
      <c r="Z3" s="4"/>
      <c r="AA3" s="4"/>
      <c r="AB3" s="4"/>
      <c r="AC3" s="4"/>
      <c r="AD3" s="4"/>
      <c r="AE3" s="4"/>
      <c r="AF3" s="4"/>
      <c r="AG3" s="4"/>
      <c r="AI3" s="4"/>
      <c r="AJ3" s="4"/>
      <c r="AK3" s="4" t="s">
        <v>331</v>
      </c>
      <c r="AL3" s="4"/>
      <c r="AM3" s="4"/>
      <c r="AN3" s="4"/>
      <c r="AO3" s="4"/>
      <c r="AP3" s="4"/>
      <c r="AQ3" s="4"/>
      <c r="AR3" s="4"/>
      <c r="AS3" s="4"/>
      <c r="AU3" s="18"/>
      <c r="AV3" s="18"/>
      <c r="AW3" s="18" t="s">
        <v>331</v>
      </c>
      <c r="AX3" s="18"/>
      <c r="AY3" s="18"/>
      <c r="AZ3" s="18"/>
      <c r="BA3" s="18"/>
      <c r="BB3" s="18"/>
      <c r="BC3" s="18"/>
      <c r="BD3" s="18"/>
      <c r="BE3" s="18"/>
    </row>
    <row r="4" spans="1:57" x14ac:dyDescent="0.25">
      <c r="A4" t="s">
        <v>24</v>
      </c>
      <c r="B4">
        <f>SUM('Gestión de abastecimiento'!B5:G5)</f>
        <v>24</v>
      </c>
      <c r="C4" s="3" t="str">
        <f t="shared" ref="C4:C67" si="0">IF(B4&lt;=$Q$19,"Bajo",IF(B4&lt;=$Q$20,"Medio ",IF(B4&lt;=$Q$21,"Alto",0)))</f>
        <v>Alto</v>
      </c>
      <c r="D4">
        <f>SUM('Gestión de abastecimiento'!H5:M5)</f>
        <v>23</v>
      </c>
      <c r="E4" s="3" t="str">
        <f t="shared" ref="E4:E67" si="1">IF(D4&lt;=$AC$19,"Bajo",IF(D4&lt;=$AC$20,"Medio ",IF(D4&lt;=$AC$21,"Alto",0)))</f>
        <v xml:space="preserve">Medio </v>
      </c>
      <c r="F4">
        <f>SUM('Gestión de abastecimiento'!N5:S5)</f>
        <v>23</v>
      </c>
      <c r="G4" s="3" t="str">
        <f t="shared" ref="G4:G67" si="2">IF(F4&lt;=$AO$19,"Bajo",IF(F4&lt;=$AO$20,"Medio ",IF(F4&lt;=$AO$21,"Alto",0)))</f>
        <v xml:space="preserve">Medio </v>
      </c>
      <c r="H4">
        <f t="shared" ref="H4:H67" si="3">SUM(B4:F4)</f>
        <v>70</v>
      </c>
      <c r="I4" s="3" t="str">
        <f t="shared" ref="I4:I67" si="4">IF(H4&lt;=$BA$19,"Bajo",IF(H4&lt;=$BA$20,"Medio ",IF(H4&lt;=$BA$21,"Alto",0)))</f>
        <v>Alto</v>
      </c>
      <c r="K4" s="4"/>
      <c r="M4" s="3" t="s">
        <v>333</v>
      </c>
      <c r="N4" s="3" t="s">
        <v>331</v>
      </c>
      <c r="U4" s="4"/>
      <c r="W4" s="4"/>
      <c r="Y4" s="3" t="s">
        <v>333</v>
      </c>
      <c r="Z4" s="3" t="s">
        <v>331</v>
      </c>
      <c r="AG4" s="4"/>
      <c r="AI4" s="4"/>
      <c r="AK4" s="3" t="s">
        <v>333</v>
      </c>
      <c r="AL4" s="3" t="s">
        <v>331</v>
      </c>
      <c r="AS4" s="4"/>
      <c r="AU4" s="18"/>
      <c r="AW4" s="3" t="s">
        <v>333</v>
      </c>
      <c r="AX4" s="3" t="s">
        <v>331</v>
      </c>
      <c r="BE4" s="18"/>
    </row>
    <row r="5" spans="1:57" x14ac:dyDescent="0.25">
      <c r="A5" t="s">
        <v>25</v>
      </c>
      <c r="B5">
        <f>SUM('Gestión de abastecimiento'!B6:G6)</f>
        <v>15</v>
      </c>
      <c r="C5" s="3" t="str">
        <f t="shared" si="0"/>
        <v xml:space="preserve">Medio </v>
      </c>
      <c r="D5">
        <f>SUM('Gestión de abastecimiento'!H6:M6)</f>
        <v>13</v>
      </c>
      <c r="E5" s="3" t="str">
        <f t="shared" si="1"/>
        <v>Bajo</v>
      </c>
      <c r="F5">
        <f>SUM('Gestión de abastecimiento'!N6:S6)</f>
        <v>13</v>
      </c>
      <c r="G5" s="3" t="str">
        <f t="shared" si="2"/>
        <v>Bajo</v>
      </c>
      <c r="H5">
        <f t="shared" si="3"/>
        <v>41</v>
      </c>
      <c r="I5" s="3" t="str">
        <f t="shared" si="4"/>
        <v>Bajo</v>
      </c>
      <c r="K5" s="4"/>
      <c r="M5" s="3">
        <v>3</v>
      </c>
      <c r="N5" s="3" t="str">
        <f>B2</f>
        <v>Planificación</v>
      </c>
      <c r="U5" s="4"/>
      <c r="W5" s="4"/>
      <c r="Y5" s="3">
        <v>3</v>
      </c>
      <c r="Z5" s="3" t="str">
        <f>D2</f>
        <v>Transparencia</v>
      </c>
      <c r="AG5" s="4"/>
      <c r="AI5" s="4"/>
      <c r="AK5" s="3">
        <v>3</v>
      </c>
      <c r="AL5" s="3" t="str">
        <f>F2</f>
        <v>Cumplimiento normativo</v>
      </c>
      <c r="AS5" s="4"/>
      <c r="AU5" s="18"/>
      <c r="AW5">
        <v>3</v>
      </c>
      <c r="BE5" s="18"/>
    </row>
    <row r="6" spans="1:57" x14ac:dyDescent="0.25">
      <c r="A6" t="s">
        <v>26</v>
      </c>
      <c r="B6">
        <f>SUM('Gestión de abastecimiento'!B7:G7)</f>
        <v>18</v>
      </c>
      <c r="C6" s="3" t="str">
        <f t="shared" si="0"/>
        <v xml:space="preserve">Medio </v>
      </c>
      <c r="D6">
        <f>SUM('Gestión de abastecimiento'!H7:M7)</f>
        <v>18</v>
      </c>
      <c r="E6" s="3" t="str">
        <f t="shared" si="1"/>
        <v xml:space="preserve">Medio </v>
      </c>
      <c r="F6">
        <f>SUM('Gestión de abastecimiento'!N7:S7)</f>
        <v>18</v>
      </c>
      <c r="G6" s="3" t="str">
        <f t="shared" si="2"/>
        <v xml:space="preserve">Medio </v>
      </c>
      <c r="H6">
        <f t="shared" si="3"/>
        <v>54</v>
      </c>
      <c r="I6" s="3" t="str">
        <f t="shared" si="4"/>
        <v xml:space="preserve">Medio </v>
      </c>
      <c r="K6" s="4"/>
      <c r="M6" s="3" t="s">
        <v>334</v>
      </c>
      <c r="N6" s="3">
        <v>3</v>
      </c>
      <c r="U6" s="4"/>
      <c r="W6" s="4"/>
      <c r="Y6" s="3" t="s">
        <v>334</v>
      </c>
      <c r="Z6" s="3">
        <v>3</v>
      </c>
      <c r="AG6" s="4"/>
      <c r="AI6" s="4"/>
      <c r="AK6" s="3" t="s">
        <v>334</v>
      </c>
      <c r="AL6" s="3">
        <v>3</v>
      </c>
      <c r="AS6" s="4"/>
      <c r="AU6" s="18"/>
      <c r="AW6" s="3" t="s">
        <v>334</v>
      </c>
      <c r="AX6" s="3">
        <v>3</v>
      </c>
      <c r="BE6" s="18"/>
    </row>
    <row r="7" spans="1:57" x14ac:dyDescent="0.25">
      <c r="A7" t="s">
        <v>27</v>
      </c>
      <c r="B7">
        <f>SUM('Gestión de abastecimiento'!B8:G8)</f>
        <v>24</v>
      </c>
      <c r="C7" s="3" t="str">
        <f t="shared" si="0"/>
        <v>Alto</v>
      </c>
      <c r="D7">
        <f>SUM('Gestión de abastecimiento'!H8:M8)</f>
        <v>24</v>
      </c>
      <c r="E7" s="3" t="str">
        <f t="shared" si="1"/>
        <v>Alto</v>
      </c>
      <c r="F7">
        <f>SUM('Gestión de abastecimiento'!N8:S8)</f>
        <v>24</v>
      </c>
      <c r="G7" s="3" t="str">
        <f t="shared" si="2"/>
        <v>Alto</v>
      </c>
      <c r="H7">
        <f t="shared" si="3"/>
        <v>72</v>
      </c>
      <c r="I7" s="3" t="str">
        <f t="shared" si="4"/>
        <v>Alto</v>
      </c>
      <c r="K7" s="4"/>
      <c r="M7" s="3">
        <v>1</v>
      </c>
      <c r="N7" s="3">
        <v>6</v>
      </c>
      <c r="U7" s="4"/>
      <c r="W7" s="4"/>
      <c r="Y7" s="3">
        <v>1</v>
      </c>
      <c r="Z7" s="3">
        <v>6</v>
      </c>
      <c r="AG7" s="4"/>
      <c r="AI7" s="4"/>
      <c r="AK7" s="3">
        <v>1</v>
      </c>
      <c r="AL7" s="3">
        <v>6</v>
      </c>
      <c r="AS7" s="4"/>
      <c r="AU7" s="18"/>
      <c r="AW7" s="3">
        <v>1</v>
      </c>
      <c r="AX7" s="3">
        <v>18</v>
      </c>
      <c r="BE7" s="18"/>
    </row>
    <row r="8" spans="1:57" x14ac:dyDescent="0.25">
      <c r="A8" t="s">
        <v>28</v>
      </c>
      <c r="B8">
        <f>SUM('Gestión de abastecimiento'!B9:G9)</f>
        <v>23</v>
      </c>
      <c r="C8" s="3" t="str">
        <f t="shared" si="0"/>
        <v xml:space="preserve">Medio </v>
      </c>
      <c r="D8">
        <f>SUM('Gestión de abastecimiento'!H9:M9)</f>
        <v>24</v>
      </c>
      <c r="E8" s="3" t="str">
        <f t="shared" si="1"/>
        <v>Alto</v>
      </c>
      <c r="F8">
        <f>SUM('Gestión de abastecimiento'!N9:S9)</f>
        <v>23</v>
      </c>
      <c r="G8" s="3" t="str">
        <f t="shared" si="2"/>
        <v xml:space="preserve">Medio </v>
      </c>
      <c r="H8">
        <f t="shared" si="3"/>
        <v>70</v>
      </c>
      <c r="I8" s="3" t="str">
        <f t="shared" si="4"/>
        <v>Alto</v>
      </c>
      <c r="K8" s="4"/>
      <c r="M8" s="3">
        <v>5</v>
      </c>
      <c r="N8" s="3">
        <v>1</v>
      </c>
      <c r="U8" s="4"/>
      <c r="W8" s="4"/>
      <c r="Y8" s="3">
        <v>5</v>
      </c>
      <c r="Z8" s="3">
        <v>1</v>
      </c>
      <c r="AG8" s="4"/>
      <c r="AI8" s="4"/>
      <c r="AK8" s="3">
        <v>5</v>
      </c>
      <c r="AL8" s="3">
        <v>1</v>
      </c>
      <c r="AS8" s="4"/>
      <c r="AU8" s="18"/>
      <c r="AW8" s="3">
        <v>5</v>
      </c>
      <c r="AX8" s="3">
        <v>1</v>
      </c>
      <c r="BE8" s="18"/>
    </row>
    <row r="9" spans="1:57" x14ac:dyDescent="0.25">
      <c r="A9" t="s">
        <v>29</v>
      </c>
      <c r="B9">
        <f>SUM('Gestión de abastecimiento'!B10:G10)</f>
        <v>17</v>
      </c>
      <c r="C9" s="3" t="str">
        <f t="shared" si="0"/>
        <v xml:space="preserve">Medio </v>
      </c>
      <c r="D9">
        <f>SUM('Gestión de abastecimiento'!H10:M10)</f>
        <v>18</v>
      </c>
      <c r="E9" s="3" t="str">
        <f t="shared" si="1"/>
        <v xml:space="preserve">Medio </v>
      </c>
      <c r="F9">
        <f>SUM('Gestión de abastecimiento'!N10:S10)</f>
        <v>18</v>
      </c>
      <c r="G9" s="3" t="str">
        <f t="shared" si="2"/>
        <v xml:space="preserve">Medio </v>
      </c>
      <c r="H9">
        <f t="shared" si="3"/>
        <v>53</v>
      </c>
      <c r="I9" s="3" t="str">
        <f t="shared" si="4"/>
        <v xml:space="preserve">Medio </v>
      </c>
      <c r="K9" s="4"/>
      <c r="M9" s="3" t="s">
        <v>335</v>
      </c>
      <c r="N9" s="3">
        <v>5</v>
      </c>
      <c r="U9" s="4"/>
      <c r="W9" s="4"/>
      <c r="Y9" s="3" t="s">
        <v>335</v>
      </c>
      <c r="Z9" s="3">
        <v>5</v>
      </c>
      <c r="AG9" s="4"/>
      <c r="AI9" s="4"/>
      <c r="AK9" s="3" t="s">
        <v>335</v>
      </c>
      <c r="AL9" s="3">
        <v>5</v>
      </c>
      <c r="AS9" s="4"/>
      <c r="AU9" s="18"/>
      <c r="AW9" s="3" t="s">
        <v>335</v>
      </c>
      <c r="AX9" s="3">
        <v>5</v>
      </c>
      <c r="BE9" s="18"/>
    </row>
    <row r="10" spans="1:57" x14ac:dyDescent="0.25">
      <c r="A10" t="s">
        <v>30</v>
      </c>
      <c r="B10">
        <f>SUM('Gestión de abastecimiento'!B11:G11)</f>
        <v>22</v>
      </c>
      <c r="C10" s="3" t="str">
        <f t="shared" si="0"/>
        <v xml:space="preserve">Medio </v>
      </c>
      <c r="D10">
        <f>SUM('Gestión de abastecimiento'!H11:M11)</f>
        <v>21</v>
      </c>
      <c r="E10" s="3" t="str">
        <f t="shared" si="1"/>
        <v xml:space="preserve">Medio </v>
      </c>
      <c r="F10">
        <f>SUM('Gestión de abastecimiento'!N11:S11)</f>
        <v>23</v>
      </c>
      <c r="G10" s="3" t="str">
        <f t="shared" si="2"/>
        <v xml:space="preserve">Medio </v>
      </c>
      <c r="H10">
        <f t="shared" si="3"/>
        <v>66</v>
      </c>
      <c r="I10" s="3" t="str">
        <f t="shared" si="4"/>
        <v>Alto</v>
      </c>
      <c r="K10" s="4"/>
      <c r="M10" s="3" t="s">
        <v>336</v>
      </c>
      <c r="N10" s="3">
        <f>N7*N9</f>
        <v>30</v>
      </c>
      <c r="U10" s="4"/>
      <c r="W10" s="4"/>
      <c r="Y10" s="3" t="s">
        <v>336</v>
      </c>
      <c r="Z10" s="3">
        <f>Z7*Z9</f>
        <v>30</v>
      </c>
      <c r="AG10" s="4"/>
      <c r="AI10" s="4"/>
      <c r="AK10" s="3" t="s">
        <v>336</v>
      </c>
      <c r="AL10" s="3">
        <f>AL7*AL9</f>
        <v>30</v>
      </c>
      <c r="AS10" s="4"/>
      <c r="AU10" s="18"/>
      <c r="AW10" s="3" t="s">
        <v>336</v>
      </c>
      <c r="AX10" s="3">
        <f>AX7*AX9</f>
        <v>90</v>
      </c>
      <c r="BE10" s="18"/>
    </row>
    <row r="11" spans="1:57" x14ac:dyDescent="0.25">
      <c r="A11" t="s">
        <v>31</v>
      </c>
      <c r="B11">
        <f>SUM('Gestión de abastecimiento'!B12:G12)</f>
        <v>13</v>
      </c>
      <c r="C11" s="3" t="str">
        <f t="shared" si="0"/>
        <v>Bajo</v>
      </c>
      <c r="D11">
        <f>SUM('Gestión de abastecimiento'!H12:M12)</f>
        <v>12</v>
      </c>
      <c r="E11" s="3" t="str">
        <f t="shared" si="1"/>
        <v>Bajo</v>
      </c>
      <c r="F11">
        <f>SUM('Gestión de abastecimiento'!N12:S12)</f>
        <v>12</v>
      </c>
      <c r="G11" s="3" t="str">
        <f t="shared" si="2"/>
        <v>Bajo</v>
      </c>
      <c r="H11">
        <f t="shared" si="3"/>
        <v>37</v>
      </c>
      <c r="I11" s="3" t="str">
        <f t="shared" si="4"/>
        <v>Bajo</v>
      </c>
      <c r="K11" s="4"/>
      <c r="M11" s="3" t="s">
        <v>337</v>
      </c>
      <c r="N11" s="3">
        <f>N8*N7</f>
        <v>6</v>
      </c>
      <c r="U11" s="4"/>
      <c r="W11" s="4"/>
      <c r="Y11" s="3" t="s">
        <v>337</v>
      </c>
      <c r="Z11" s="3">
        <f>Z8*Z7</f>
        <v>6</v>
      </c>
      <c r="AG11" s="4"/>
      <c r="AI11" s="4"/>
      <c r="AK11" s="3" t="s">
        <v>337</v>
      </c>
      <c r="AL11" s="3">
        <f>AL8*AL7</f>
        <v>6</v>
      </c>
      <c r="AS11" s="4"/>
      <c r="AU11" s="18"/>
      <c r="AW11" s="3" t="s">
        <v>337</v>
      </c>
      <c r="AX11" s="3">
        <f>AX8*AX7</f>
        <v>18</v>
      </c>
      <c r="BE11" s="18"/>
    </row>
    <row r="12" spans="1:57" x14ac:dyDescent="0.25">
      <c r="A12" t="s">
        <v>32</v>
      </c>
      <c r="B12">
        <f>SUM('Gestión de abastecimiento'!B13:G13)</f>
        <v>15</v>
      </c>
      <c r="C12" s="3" t="str">
        <f t="shared" si="0"/>
        <v xml:space="preserve">Medio </v>
      </c>
      <c r="D12">
        <f>SUM('Gestión de abastecimiento'!H13:M13)</f>
        <v>15</v>
      </c>
      <c r="E12" s="3" t="str">
        <f t="shared" si="1"/>
        <v xml:space="preserve">Medio </v>
      </c>
      <c r="F12">
        <f>SUM('Gestión de abastecimiento'!N13:S13)</f>
        <v>15</v>
      </c>
      <c r="G12" s="3" t="str">
        <f t="shared" si="2"/>
        <v xml:space="preserve">Medio </v>
      </c>
      <c r="H12">
        <f t="shared" si="3"/>
        <v>45</v>
      </c>
      <c r="I12" s="3" t="str">
        <f t="shared" si="4"/>
        <v xml:space="preserve">Medio </v>
      </c>
      <c r="K12" s="4"/>
      <c r="M12" s="3" t="s">
        <v>338</v>
      </c>
      <c r="N12" s="3">
        <f>N10-N11</f>
        <v>24</v>
      </c>
      <c r="U12" s="4"/>
      <c r="W12" s="4"/>
      <c r="Y12" s="3" t="s">
        <v>338</v>
      </c>
      <c r="Z12" s="3">
        <f>Z10-Z11</f>
        <v>24</v>
      </c>
      <c r="AG12" s="4"/>
      <c r="AI12" s="4"/>
      <c r="AK12" s="3" t="s">
        <v>338</v>
      </c>
      <c r="AL12" s="3">
        <f>AL10-AL11</f>
        <v>24</v>
      </c>
      <c r="AS12" s="4"/>
      <c r="AU12" s="18"/>
      <c r="AW12" s="3" t="s">
        <v>338</v>
      </c>
      <c r="AX12" s="3">
        <f>AX10-AX11</f>
        <v>72</v>
      </c>
      <c r="BE12" s="18"/>
    </row>
    <row r="13" spans="1:57" x14ac:dyDescent="0.25">
      <c r="A13" t="s">
        <v>33</v>
      </c>
      <c r="B13">
        <f>SUM('Gestión de abastecimiento'!B14:G14)</f>
        <v>24</v>
      </c>
      <c r="C13" s="3" t="str">
        <f t="shared" si="0"/>
        <v>Alto</v>
      </c>
      <c r="D13">
        <f>SUM('Gestión de abastecimiento'!H14:M14)</f>
        <v>23</v>
      </c>
      <c r="E13" s="3" t="str">
        <f t="shared" si="1"/>
        <v xml:space="preserve">Medio </v>
      </c>
      <c r="F13">
        <f>SUM('Gestión de abastecimiento'!N14:S14)</f>
        <v>23</v>
      </c>
      <c r="G13" s="3" t="str">
        <f t="shared" si="2"/>
        <v xml:space="preserve">Medio </v>
      </c>
      <c r="H13">
        <f t="shared" si="3"/>
        <v>70</v>
      </c>
      <c r="I13" s="3" t="str">
        <f t="shared" si="4"/>
        <v>Alto</v>
      </c>
      <c r="K13" s="4"/>
      <c r="M13" s="3" t="s">
        <v>339</v>
      </c>
      <c r="N13" s="3">
        <f>ROUND(N12/N6,0)</f>
        <v>8</v>
      </c>
      <c r="U13" s="4"/>
      <c r="W13" s="4"/>
      <c r="Y13" s="3" t="s">
        <v>339</v>
      </c>
      <c r="Z13" s="3">
        <f>ROUND(Z12/Z6,0)</f>
        <v>8</v>
      </c>
      <c r="AG13" s="4"/>
      <c r="AI13" s="4"/>
      <c r="AK13" s="3" t="s">
        <v>339</v>
      </c>
      <c r="AL13" s="3">
        <f>ROUND(AL12/AL6,0)</f>
        <v>8</v>
      </c>
      <c r="AS13" s="4"/>
      <c r="AU13" s="18"/>
      <c r="AW13" s="3" t="s">
        <v>339</v>
      </c>
      <c r="AX13" s="3">
        <f>ROUND(AX12/AX6,0)</f>
        <v>24</v>
      </c>
      <c r="BE13" s="18"/>
    </row>
    <row r="14" spans="1:57" x14ac:dyDescent="0.25">
      <c r="A14" t="s">
        <v>34</v>
      </c>
      <c r="B14">
        <f>SUM('Gestión de abastecimiento'!B15:G15)</f>
        <v>16</v>
      </c>
      <c r="C14" s="3" t="str">
        <f t="shared" si="0"/>
        <v xml:space="preserve">Medio </v>
      </c>
      <c r="D14">
        <f>SUM('Gestión de abastecimiento'!H15:M15)</f>
        <v>17</v>
      </c>
      <c r="E14" s="3" t="str">
        <f t="shared" si="1"/>
        <v xml:space="preserve">Medio </v>
      </c>
      <c r="F14">
        <f>SUM('Gestión de abastecimiento'!N15:S15)</f>
        <v>15</v>
      </c>
      <c r="G14" s="3" t="str">
        <f t="shared" si="2"/>
        <v xml:space="preserve">Medio </v>
      </c>
      <c r="H14">
        <f t="shared" si="3"/>
        <v>48</v>
      </c>
      <c r="I14" s="3" t="str">
        <f t="shared" si="4"/>
        <v xml:space="preserve">Medio </v>
      </c>
      <c r="K14" s="4"/>
      <c r="O14" s="8"/>
      <c r="P14" s="8"/>
      <c r="Q14" s="8"/>
      <c r="R14" s="8"/>
      <c r="S14" s="8"/>
      <c r="U14" s="4"/>
      <c r="W14" s="4"/>
      <c r="AA14" s="8"/>
      <c r="AB14" s="8"/>
      <c r="AC14" s="8"/>
      <c r="AD14" s="8"/>
      <c r="AE14" s="8"/>
      <c r="AG14" s="4"/>
      <c r="AI14" s="4"/>
      <c r="AM14" s="8"/>
      <c r="AN14" s="8"/>
      <c r="AO14" s="8"/>
      <c r="AP14" s="8"/>
      <c r="AQ14" s="8"/>
      <c r="AS14" s="4"/>
      <c r="AU14" s="18"/>
      <c r="AY14" s="8"/>
      <c r="AZ14" s="8"/>
      <c r="BA14" s="8"/>
      <c r="BB14" s="8"/>
      <c r="BC14" s="8"/>
      <c r="BE14" s="18"/>
    </row>
    <row r="15" spans="1:57" x14ac:dyDescent="0.25">
      <c r="A15" t="s">
        <v>35</v>
      </c>
      <c r="B15">
        <f>SUM('Gestión de abastecimiento'!B16:G16)</f>
        <v>22</v>
      </c>
      <c r="C15" s="3" t="str">
        <f t="shared" si="0"/>
        <v xml:space="preserve">Medio </v>
      </c>
      <c r="D15">
        <f>SUM('Gestión de abastecimiento'!H16:M16)</f>
        <v>22</v>
      </c>
      <c r="E15" s="3" t="str">
        <f t="shared" si="1"/>
        <v xml:space="preserve">Medio </v>
      </c>
      <c r="F15">
        <f>SUM('Gestión de abastecimiento'!N16:S16)</f>
        <v>21</v>
      </c>
      <c r="G15" s="3" t="str">
        <f t="shared" si="2"/>
        <v xml:space="preserve">Medio </v>
      </c>
      <c r="H15">
        <f t="shared" si="3"/>
        <v>65</v>
      </c>
      <c r="I15" s="3" t="str">
        <f t="shared" si="4"/>
        <v xml:space="preserve">Medio </v>
      </c>
      <c r="K15" s="4"/>
      <c r="O15" s="15" t="s">
        <v>340</v>
      </c>
      <c r="P15" s="8"/>
      <c r="Q15" s="8"/>
      <c r="R15" s="8"/>
      <c r="S15" s="8"/>
      <c r="U15" s="4"/>
      <c r="W15" s="4"/>
      <c r="AA15" s="15" t="s">
        <v>341</v>
      </c>
      <c r="AB15" s="8"/>
      <c r="AC15" s="8"/>
      <c r="AD15" s="8"/>
      <c r="AE15" s="8"/>
      <c r="AG15" s="4"/>
      <c r="AI15" s="4"/>
      <c r="AM15" s="15" t="s">
        <v>342</v>
      </c>
      <c r="AN15" s="8"/>
      <c r="AO15" s="8"/>
      <c r="AP15" s="8"/>
      <c r="AQ15" s="8"/>
      <c r="AS15" s="4"/>
      <c r="AU15" s="18"/>
      <c r="AY15" s="15" t="s">
        <v>343</v>
      </c>
      <c r="AZ15" s="8"/>
      <c r="BA15" s="8"/>
      <c r="BB15" s="8"/>
      <c r="BC15" s="8"/>
      <c r="BE15" s="18"/>
    </row>
    <row r="16" spans="1:57" x14ac:dyDescent="0.25">
      <c r="A16" t="s">
        <v>36</v>
      </c>
      <c r="B16">
        <f>SUM('Gestión de abastecimiento'!B17:G17)</f>
        <v>13</v>
      </c>
      <c r="C16" s="3" t="str">
        <f t="shared" si="0"/>
        <v>Bajo</v>
      </c>
      <c r="D16">
        <f>SUM('Gestión de abastecimiento'!H17:M17)</f>
        <v>16</v>
      </c>
      <c r="E16" s="3" t="str">
        <f t="shared" si="1"/>
        <v xml:space="preserve">Medio </v>
      </c>
      <c r="F16">
        <f>SUM('Gestión de abastecimiento'!N17:S17)</f>
        <v>16</v>
      </c>
      <c r="G16" s="3" t="str">
        <f t="shared" si="2"/>
        <v xml:space="preserve">Medio </v>
      </c>
      <c r="H16">
        <f t="shared" si="3"/>
        <v>45</v>
      </c>
      <c r="I16" s="3" t="str">
        <f t="shared" si="4"/>
        <v xml:space="preserve">Medio </v>
      </c>
      <c r="K16" s="4"/>
      <c r="O16" s="16" t="str">
        <f>N5</f>
        <v>Planificación</v>
      </c>
      <c r="P16" s="11"/>
      <c r="Q16" s="11"/>
      <c r="R16" s="11"/>
      <c r="S16" s="11"/>
      <c r="U16" s="4"/>
      <c r="W16" s="4"/>
      <c r="AA16" s="16" t="str">
        <f>Z5</f>
        <v>Transparencia</v>
      </c>
      <c r="AB16" s="11"/>
      <c r="AC16" s="11"/>
      <c r="AD16" s="11"/>
      <c r="AE16" s="11"/>
      <c r="AG16" s="4"/>
      <c r="AI16" s="4"/>
      <c r="AM16" s="16" t="str">
        <f>AL5</f>
        <v>Cumplimiento normativo</v>
      </c>
      <c r="AN16" s="11"/>
      <c r="AO16" s="11"/>
      <c r="AP16" s="11"/>
      <c r="AQ16" s="11"/>
      <c r="AS16" s="4"/>
      <c r="AU16" s="18"/>
      <c r="AY16" s="16" t="str">
        <f>AX4</f>
        <v>Gestión de abastecimiento</v>
      </c>
      <c r="AZ16" s="11"/>
      <c r="BA16" s="11"/>
      <c r="BB16" s="11"/>
      <c r="BC16" s="11"/>
      <c r="BE16" s="18"/>
    </row>
    <row r="17" spans="1:57" x14ac:dyDescent="0.25">
      <c r="A17" t="s">
        <v>37</v>
      </c>
      <c r="B17">
        <f>SUM('Gestión de abastecimiento'!B18:G18)</f>
        <v>17</v>
      </c>
      <c r="C17" s="3" t="str">
        <f t="shared" si="0"/>
        <v xml:space="preserve">Medio </v>
      </c>
      <c r="D17">
        <f>SUM('Gestión de abastecimiento'!H18:M18)</f>
        <v>18</v>
      </c>
      <c r="E17" s="3" t="str">
        <f t="shared" si="1"/>
        <v xml:space="preserve">Medio </v>
      </c>
      <c r="F17">
        <f>SUM('Gestión de abastecimiento'!N18:S18)</f>
        <v>16</v>
      </c>
      <c r="G17" s="3" t="str">
        <f t="shared" si="2"/>
        <v xml:space="preserve">Medio </v>
      </c>
      <c r="H17">
        <f t="shared" si="3"/>
        <v>51</v>
      </c>
      <c r="I17" s="3" t="str">
        <f t="shared" si="4"/>
        <v xml:space="preserve">Medio </v>
      </c>
      <c r="K17" s="4"/>
      <c r="O17" s="48" t="s">
        <v>344</v>
      </c>
      <c r="P17" s="50" t="s">
        <v>338</v>
      </c>
      <c r="Q17" s="50"/>
      <c r="R17" s="50" t="s">
        <v>345</v>
      </c>
      <c r="S17" s="50" t="s">
        <v>346</v>
      </c>
      <c r="U17" s="4"/>
      <c r="W17" s="4"/>
      <c r="AA17" s="48" t="s">
        <v>344</v>
      </c>
      <c r="AB17" s="50" t="s">
        <v>338</v>
      </c>
      <c r="AC17" s="50"/>
      <c r="AD17" s="50" t="s">
        <v>345</v>
      </c>
      <c r="AE17" s="50" t="s">
        <v>346</v>
      </c>
      <c r="AG17" s="4"/>
      <c r="AI17" s="4"/>
      <c r="AM17" s="48" t="s">
        <v>344</v>
      </c>
      <c r="AN17" s="50" t="s">
        <v>338</v>
      </c>
      <c r="AO17" s="50"/>
      <c r="AP17" s="50" t="s">
        <v>345</v>
      </c>
      <c r="AQ17" s="50" t="s">
        <v>346</v>
      </c>
      <c r="AS17" s="4"/>
      <c r="AU17" s="18"/>
      <c r="AY17" s="48" t="s">
        <v>344</v>
      </c>
      <c r="AZ17" s="50" t="s">
        <v>338</v>
      </c>
      <c r="BA17" s="50"/>
      <c r="BB17" s="50" t="s">
        <v>345</v>
      </c>
      <c r="BC17" s="50" t="s">
        <v>346</v>
      </c>
      <c r="BE17" s="18"/>
    </row>
    <row r="18" spans="1:57" x14ac:dyDescent="0.25">
      <c r="A18" t="s">
        <v>38</v>
      </c>
      <c r="B18">
        <f>SUM('Gestión de abastecimiento'!B19:G19)</f>
        <v>19</v>
      </c>
      <c r="C18" s="3" t="str">
        <f t="shared" si="0"/>
        <v xml:space="preserve">Medio </v>
      </c>
      <c r="D18">
        <f>SUM('Gestión de abastecimiento'!H19:M19)</f>
        <v>18</v>
      </c>
      <c r="E18" s="3" t="str">
        <f t="shared" si="1"/>
        <v xml:space="preserve">Medio </v>
      </c>
      <c r="F18">
        <f>SUM('Gestión de abastecimiento'!N19:S19)</f>
        <v>19</v>
      </c>
      <c r="G18" s="3" t="str">
        <f t="shared" si="2"/>
        <v xml:space="preserve">Medio </v>
      </c>
      <c r="H18">
        <f t="shared" si="3"/>
        <v>56</v>
      </c>
      <c r="I18" s="3" t="str">
        <f t="shared" si="4"/>
        <v xml:space="preserve">Medio </v>
      </c>
      <c r="K18" s="4"/>
      <c r="O18" s="49"/>
      <c r="P18" s="11" t="s">
        <v>347</v>
      </c>
      <c r="Q18" s="11" t="s">
        <v>348</v>
      </c>
      <c r="R18" s="51"/>
      <c r="S18" s="51"/>
      <c r="U18" s="4"/>
      <c r="W18" s="4"/>
      <c r="AA18" s="49"/>
      <c r="AB18" s="11" t="s">
        <v>347</v>
      </c>
      <c r="AC18" s="11" t="s">
        <v>348</v>
      </c>
      <c r="AD18" s="51"/>
      <c r="AE18" s="51"/>
      <c r="AG18" s="4"/>
      <c r="AI18" s="4"/>
      <c r="AM18" s="49"/>
      <c r="AN18" s="11" t="s">
        <v>347</v>
      </c>
      <c r="AO18" s="11" t="s">
        <v>348</v>
      </c>
      <c r="AP18" s="51"/>
      <c r="AQ18" s="51"/>
      <c r="AS18" s="4"/>
      <c r="AU18" s="18"/>
      <c r="AY18" s="49"/>
      <c r="AZ18" s="11" t="s">
        <v>347</v>
      </c>
      <c r="BA18" s="11" t="s">
        <v>348</v>
      </c>
      <c r="BB18" s="51"/>
      <c r="BC18" s="51"/>
      <c r="BE18" s="18"/>
    </row>
    <row r="19" spans="1:57" x14ac:dyDescent="0.25">
      <c r="A19" t="s">
        <v>39</v>
      </c>
      <c r="B19">
        <f>SUM('Gestión de abastecimiento'!B20:G20)</f>
        <v>18</v>
      </c>
      <c r="C19" s="3" t="str">
        <f t="shared" si="0"/>
        <v xml:space="preserve">Medio </v>
      </c>
      <c r="D19">
        <f>SUM('Gestión de abastecimiento'!H20:M20)</f>
        <v>18</v>
      </c>
      <c r="E19" s="3" t="str">
        <f t="shared" si="1"/>
        <v xml:space="preserve">Medio </v>
      </c>
      <c r="F19">
        <f>SUM('Gestión de abastecimiento'!N20:S20)</f>
        <v>18</v>
      </c>
      <c r="G19" s="3" t="str">
        <f t="shared" si="2"/>
        <v xml:space="preserve">Medio </v>
      </c>
      <c r="H19">
        <f t="shared" si="3"/>
        <v>54</v>
      </c>
      <c r="I19" s="3" t="str">
        <f t="shared" si="4"/>
        <v xml:space="preserve">Medio </v>
      </c>
      <c r="K19" s="4"/>
      <c r="O19" s="9" t="s">
        <v>349</v>
      </c>
      <c r="P19" s="9">
        <f>N11</f>
        <v>6</v>
      </c>
      <c r="Q19" s="9">
        <f>P19+N13</f>
        <v>14</v>
      </c>
      <c r="R19" s="9">
        <f>COUNTIF($C$4:$C$292,$O19)</f>
        <v>51</v>
      </c>
      <c r="S19" s="13">
        <f>R19/R22</f>
        <v>0.17647058823529413</v>
      </c>
      <c r="U19" s="4"/>
      <c r="W19" s="4"/>
      <c r="AA19" s="9" t="s">
        <v>349</v>
      </c>
      <c r="AB19" s="9">
        <f>Z11</f>
        <v>6</v>
      </c>
      <c r="AC19" s="9">
        <f>AB19+Z13</f>
        <v>14</v>
      </c>
      <c r="AD19" s="9">
        <f>COUNTIF($E$4:$E$292,$AA19)</f>
        <v>55</v>
      </c>
      <c r="AE19" s="13">
        <f>AD19/AD22</f>
        <v>0.19031141868512111</v>
      </c>
      <c r="AG19" s="4"/>
      <c r="AI19" s="4"/>
      <c r="AM19" s="9" t="s">
        <v>349</v>
      </c>
      <c r="AN19" s="9">
        <f>AL11</f>
        <v>6</v>
      </c>
      <c r="AO19" s="9">
        <f>AN19+AL13</f>
        <v>14</v>
      </c>
      <c r="AP19" s="9">
        <f>COUNTIF($G$4:$G$292,$AM19)</f>
        <v>69</v>
      </c>
      <c r="AQ19" s="13">
        <f>AP19/AP22</f>
        <v>0.23875432525951557</v>
      </c>
      <c r="AS19" s="4"/>
      <c r="AU19" s="18"/>
      <c r="AY19" s="9" t="s">
        <v>349</v>
      </c>
      <c r="AZ19" s="9">
        <f>AX11</f>
        <v>18</v>
      </c>
      <c r="BA19" s="9">
        <f>AZ19+AX13 - 1</f>
        <v>41</v>
      </c>
      <c r="BB19" s="9">
        <f>COUNTIF($I$4:$I$292,$AY19)</f>
        <v>50</v>
      </c>
      <c r="BC19" s="13">
        <f>BB19/BB22</f>
        <v>0.17301038062283736</v>
      </c>
      <c r="BE19" s="18"/>
    </row>
    <row r="20" spans="1:57" x14ac:dyDescent="0.25">
      <c r="A20" t="s">
        <v>40</v>
      </c>
      <c r="B20">
        <f>SUM('Gestión de abastecimiento'!B21:G21)</f>
        <v>18</v>
      </c>
      <c r="C20" s="3" t="str">
        <f t="shared" si="0"/>
        <v xml:space="preserve">Medio </v>
      </c>
      <c r="D20">
        <f>SUM('Gestión de abastecimiento'!H21:M21)</f>
        <v>19</v>
      </c>
      <c r="E20" s="3" t="str">
        <f t="shared" si="1"/>
        <v xml:space="preserve">Medio </v>
      </c>
      <c r="F20">
        <f>SUM('Gestión de abastecimiento'!N21:S21)</f>
        <v>18</v>
      </c>
      <c r="G20" s="3" t="str">
        <f t="shared" si="2"/>
        <v xml:space="preserve">Medio </v>
      </c>
      <c r="H20">
        <f t="shared" si="3"/>
        <v>55</v>
      </c>
      <c r="I20" s="3" t="str">
        <f t="shared" si="4"/>
        <v xml:space="preserve">Medio </v>
      </c>
      <c r="K20" s="4"/>
      <c r="O20" s="9" t="s">
        <v>350</v>
      </c>
      <c r="P20" s="9">
        <f>Q19+ 1</f>
        <v>15</v>
      </c>
      <c r="Q20" s="9">
        <f>P20+N13</f>
        <v>23</v>
      </c>
      <c r="R20" s="9">
        <f>COUNTIF($C$4:$C$292,$O20)</f>
        <v>197</v>
      </c>
      <c r="S20" s="13">
        <f>R20/R22</f>
        <v>0.68166089965397925</v>
      </c>
      <c r="U20" s="4"/>
      <c r="W20" s="4"/>
      <c r="AA20" s="9" t="s">
        <v>350</v>
      </c>
      <c r="AB20" s="9">
        <f>AC19+ 1</f>
        <v>15</v>
      </c>
      <c r="AC20" s="9">
        <f>AB20+Z13</f>
        <v>23</v>
      </c>
      <c r="AD20" s="9">
        <f>COUNTIF($E$4:$E$292,$AA20)</f>
        <v>190</v>
      </c>
      <c r="AE20" s="13">
        <f>AD20/AD22</f>
        <v>0.65743944636678198</v>
      </c>
      <c r="AG20" s="4"/>
      <c r="AI20" s="4"/>
      <c r="AM20" s="9" t="s">
        <v>350</v>
      </c>
      <c r="AN20" s="9">
        <f>AO19+ 1</f>
        <v>15</v>
      </c>
      <c r="AO20" s="9">
        <f>AN20+AL13</f>
        <v>23</v>
      </c>
      <c r="AP20" s="9">
        <f>COUNTIF($G$4:$G$292,$AM20)</f>
        <v>186</v>
      </c>
      <c r="AQ20" s="13">
        <f>AP20/AP22</f>
        <v>0.643598615916955</v>
      </c>
      <c r="AS20" s="4"/>
      <c r="AU20" s="18"/>
      <c r="AY20" s="9" t="s">
        <v>350</v>
      </c>
      <c r="AZ20" s="9">
        <f>BA19+ 1</f>
        <v>42</v>
      </c>
      <c r="BA20" s="9">
        <f>AZ20+AX13 - 1</f>
        <v>65</v>
      </c>
      <c r="BB20" s="9">
        <f>COUNTIF($I$4:$I$292,$AY20)</f>
        <v>180</v>
      </c>
      <c r="BC20" s="13">
        <f>BB20/BB22</f>
        <v>0.62283737024221453</v>
      </c>
      <c r="BE20" s="18"/>
    </row>
    <row r="21" spans="1:57" x14ac:dyDescent="0.25">
      <c r="A21" t="s">
        <v>41</v>
      </c>
      <c r="B21">
        <f>SUM('Gestión de abastecimiento'!B22:G22)</f>
        <v>16</v>
      </c>
      <c r="C21" s="3" t="str">
        <f t="shared" si="0"/>
        <v xml:space="preserve">Medio </v>
      </c>
      <c r="D21">
        <f>SUM('Gestión de abastecimiento'!H22:M22)</f>
        <v>16</v>
      </c>
      <c r="E21" s="3" t="str">
        <f t="shared" si="1"/>
        <v xml:space="preserve">Medio </v>
      </c>
      <c r="F21">
        <f>SUM('Gestión de abastecimiento'!N22:S22)</f>
        <v>16</v>
      </c>
      <c r="G21" s="3" t="str">
        <f t="shared" si="2"/>
        <v xml:space="preserve">Medio </v>
      </c>
      <c r="H21">
        <f t="shared" si="3"/>
        <v>48</v>
      </c>
      <c r="I21" s="3" t="str">
        <f t="shared" si="4"/>
        <v xml:space="preserve">Medio </v>
      </c>
      <c r="K21" s="4"/>
      <c r="O21" s="9" t="s">
        <v>351</v>
      </c>
      <c r="P21" s="9">
        <f>Q20+ 1</f>
        <v>24</v>
      </c>
      <c r="Q21" s="9">
        <f>N10</f>
        <v>30</v>
      </c>
      <c r="R21" s="9">
        <f>COUNTIF($C$4:$C$292,$O21)</f>
        <v>41</v>
      </c>
      <c r="S21" s="13">
        <f>R21/R22</f>
        <v>0.14186851211072665</v>
      </c>
      <c r="U21" s="4"/>
      <c r="W21" s="4"/>
      <c r="AA21" s="9" t="s">
        <v>351</v>
      </c>
      <c r="AB21" s="9">
        <f>AC20+ 1</f>
        <v>24</v>
      </c>
      <c r="AC21" s="9">
        <f>Z10</f>
        <v>30</v>
      </c>
      <c r="AD21" s="9">
        <f>COUNTIF($E$4:$E$292,$AA21)</f>
        <v>44</v>
      </c>
      <c r="AE21" s="13">
        <f>AD21/AD22</f>
        <v>0.15224913494809689</v>
      </c>
      <c r="AG21" s="4"/>
      <c r="AI21" s="4"/>
      <c r="AM21" s="9" t="s">
        <v>351</v>
      </c>
      <c r="AN21" s="9">
        <f>AO20+ 1</f>
        <v>24</v>
      </c>
      <c r="AO21" s="9">
        <f>AL10</f>
        <v>30</v>
      </c>
      <c r="AP21" s="9">
        <f>COUNTIF($G$4:$G$292,$AM21)</f>
        <v>34</v>
      </c>
      <c r="AQ21" s="13">
        <f>AP21/AP22</f>
        <v>0.11764705882352941</v>
      </c>
      <c r="AS21" s="4"/>
      <c r="AU21" s="18"/>
      <c r="AY21" s="9" t="s">
        <v>351</v>
      </c>
      <c r="AZ21" s="9">
        <f>BA20+ 1</f>
        <v>66</v>
      </c>
      <c r="BA21" s="9">
        <f>AX10</f>
        <v>90</v>
      </c>
      <c r="BB21" s="9">
        <f>COUNTIF($I$4:$I$292,$AY21)</f>
        <v>59</v>
      </c>
      <c r="BC21" s="13">
        <f>BB21/BB22</f>
        <v>0.20415224913494809</v>
      </c>
      <c r="BE21" s="18"/>
    </row>
    <row r="22" spans="1:57" x14ac:dyDescent="0.25">
      <c r="A22" t="s">
        <v>42</v>
      </c>
      <c r="B22">
        <f>SUM('Gestión de abastecimiento'!B23:G23)</f>
        <v>14</v>
      </c>
      <c r="C22" s="3" t="str">
        <f t="shared" si="0"/>
        <v>Bajo</v>
      </c>
      <c r="D22">
        <f>SUM('Gestión de abastecimiento'!H23:M23)</f>
        <v>14</v>
      </c>
      <c r="E22" s="3" t="str">
        <f t="shared" si="1"/>
        <v>Bajo</v>
      </c>
      <c r="F22">
        <f>SUM('Gestión de abastecimiento'!N23:S23)</f>
        <v>13</v>
      </c>
      <c r="G22" s="3" t="str">
        <f t="shared" si="2"/>
        <v>Bajo</v>
      </c>
      <c r="H22">
        <f t="shared" si="3"/>
        <v>41</v>
      </c>
      <c r="I22" s="3" t="str">
        <f t="shared" si="4"/>
        <v>Bajo</v>
      </c>
      <c r="K22" s="4"/>
      <c r="O22" s="10" t="s">
        <v>4</v>
      </c>
      <c r="P22" s="12"/>
      <c r="Q22" s="12"/>
      <c r="R22" s="10">
        <f>SUM(R19:R21)</f>
        <v>289</v>
      </c>
      <c r="S22" s="14">
        <f>SUM(S19:S21)</f>
        <v>1</v>
      </c>
      <c r="U22" s="4"/>
      <c r="W22" s="4"/>
      <c r="AA22" s="10" t="s">
        <v>4</v>
      </c>
      <c r="AB22" s="12"/>
      <c r="AC22" s="12"/>
      <c r="AD22" s="10">
        <f>SUM(AD19:AD21)</f>
        <v>289</v>
      </c>
      <c r="AE22" s="14">
        <f>SUM(AE19:AE21)</f>
        <v>1</v>
      </c>
      <c r="AG22" s="4"/>
      <c r="AI22" s="4"/>
      <c r="AM22" s="10" t="s">
        <v>4</v>
      </c>
      <c r="AN22" s="12"/>
      <c r="AO22" s="12"/>
      <c r="AP22" s="10">
        <f>SUM(AP19:AP21)</f>
        <v>289</v>
      </c>
      <c r="AQ22" s="14">
        <f>SUM(AQ19:AQ21)</f>
        <v>1</v>
      </c>
      <c r="AS22" s="4"/>
      <c r="AU22" s="18"/>
      <c r="AY22" s="10" t="s">
        <v>4</v>
      </c>
      <c r="AZ22" s="12"/>
      <c r="BA22" s="12"/>
      <c r="BB22" s="10">
        <f>SUM(BB19:BB21)</f>
        <v>289</v>
      </c>
      <c r="BC22" s="14">
        <f>SUM(BC19:BC21)</f>
        <v>1</v>
      </c>
      <c r="BE22" s="18"/>
    </row>
    <row r="23" spans="1:57" x14ac:dyDescent="0.25">
      <c r="A23" t="s">
        <v>43</v>
      </c>
      <c r="B23">
        <f>SUM('Gestión de abastecimiento'!B24:G24)</f>
        <v>24</v>
      </c>
      <c r="C23" s="3" t="str">
        <f t="shared" si="0"/>
        <v>Alto</v>
      </c>
      <c r="D23">
        <f>SUM('Gestión de abastecimiento'!H24:M24)</f>
        <v>24</v>
      </c>
      <c r="E23" s="3" t="str">
        <f t="shared" si="1"/>
        <v>Alto</v>
      </c>
      <c r="F23">
        <f>SUM('Gestión de abastecimiento'!N24:S24)</f>
        <v>23</v>
      </c>
      <c r="G23" s="3" t="str">
        <f t="shared" si="2"/>
        <v xml:space="preserve">Medio </v>
      </c>
      <c r="H23">
        <f t="shared" si="3"/>
        <v>71</v>
      </c>
      <c r="I23" s="3" t="str">
        <f t="shared" si="4"/>
        <v>Alto</v>
      </c>
      <c r="K23" s="4"/>
      <c r="O23" s="3" t="s">
        <v>352</v>
      </c>
      <c r="U23" s="4"/>
      <c r="W23" s="4"/>
      <c r="AA23" s="3" t="s">
        <v>352</v>
      </c>
      <c r="AG23" s="4"/>
      <c r="AI23" s="4"/>
      <c r="AM23" s="3" t="s">
        <v>352</v>
      </c>
      <c r="AS23" s="4"/>
      <c r="AU23" s="18"/>
      <c r="AY23" s="3" t="s">
        <v>352</v>
      </c>
      <c r="BE23" s="18"/>
    </row>
    <row r="24" spans="1:57" x14ac:dyDescent="0.25">
      <c r="A24" t="s">
        <v>44</v>
      </c>
      <c r="B24">
        <f>SUM('Gestión de abastecimiento'!B25:G25)</f>
        <v>13</v>
      </c>
      <c r="C24" s="3" t="str">
        <f t="shared" si="0"/>
        <v>Bajo</v>
      </c>
      <c r="D24">
        <f>SUM('Gestión de abastecimiento'!H25:M25)</f>
        <v>12</v>
      </c>
      <c r="E24" s="3" t="str">
        <f t="shared" si="1"/>
        <v>Bajo</v>
      </c>
      <c r="F24">
        <f>SUM('Gestión de abastecimiento'!N25:S25)</f>
        <v>12</v>
      </c>
      <c r="G24" s="3" t="str">
        <f t="shared" si="2"/>
        <v>Bajo</v>
      </c>
      <c r="H24">
        <f t="shared" si="3"/>
        <v>37</v>
      </c>
      <c r="I24" s="3" t="str">
        <f t="shared" si="4"/>
        <v>Bajo</v>
      </c>
      <c r="K24" s="4"/>
      <c r="O24" s="3" t="s">
        <v>353</v>
      </c>
      <c r="U24" s="4"/>
      <c r="W24" s="4"/>
      <c r="AA24" s="3" t="s">
        <v>353</v>
      </c>
      <c r="AG24" s="4"/>
      <c r="AI24" s="4"/>
      <c r="AM24" s="3" t="s">
        <v>353</v>
      </c>
      <c r="AS24" s="4"/>
      <c r="AU24" s="18"/>
      <c r="AY24" s="3" t="s">
        <v>353</v>
      </c>
      <c r="BE24" s="18"/>
    </row>
    <row r="25" spans="1:57" x14ac:dyDescent="0.25">
      <c r="A25" t="s">
        <v>45</v>
      </c>
      <c r="B25">
        <f>SUM('Gestión de abastecimiento'!B26:G26)</f>
        <v>16</v>
      </c>
      <c r="C25" s="3" t="str">
        <f t="shared" si="0"/>
        <v xml:space="preserve">Medio </v>
      </c>
      <c r="D25">
        <f>SUM('Gestión de abastecimiento'!H26:M26)</f>
        <v>13</v>
      </c>
      <c r="E25" s="3" t="str">
        <f t="shared" si="1"/>
        <v>Bajo</v>
      </c>
      <c r="F25">
        <f>SUM('Gestión de abastecimiento'!N26:S26)</f>
        <v>13</v>
      </c>
      <c r="G25" s="3" t="str">
        <f t="shared" si="2"/>
        <v>Bajo</v>
      </c>
      <c r="H25">
        <f t="shared" si="3"/>
        <v>42</v>
      </c>
      <c r="I25" s="3" t="str">
        <f t="shared" si="4"/>
        <v xml:space="preserve">Medio </v>
      </c>
      <c r="K25" s="4"/>
      <c r="U25" s="4"/>
      <c r="W25" s="4"/>
      <c r="AG25" s="4"/>
      <c r="AI25" s="4"/>
      <c r="AS25" s="4"/>
      <c r="AU25" s="18"/>
      <c r="BE25" s="18"/>
    </row>
    <row r="26" spans="1:57" x14ac:dyDescent="0.25">
      <c r="A26" t="s">
        <v>46</v>
      </c>
      <c r="B26">
        <f>SUM('Gestión de abastecimiento'!B27:G27)</f>
        <v>18</v>
      </c>
      <c r="C26" s="3" t="str">
        <f t="shared" si="0"/>
        <v xml:space="preserve">Medio </v>
      </c>
      <c r="D26">
        <f>SUM('Gestión de abastecimiento'!H27:M27)</f>
        <v>17</v>
      </c>
      <c r="E26" s="3" t="str">
        <f t="shared" si="1"/>
        <v xml:space="preserve">Medio </v>
      </c>
      <c r="F26">
        <f>SUM('Gestión de abastecimiento'!N27:S27)</f>
        <v>16</v>
      </c>
      <c r="G26" s="3" t="str">
        <f t="shared" si="2"/>
        <v xml:space="preserve">Medio </v>
      </c>
      <c r="H26">
        <f t="shared" si="3"/>
        <v>51</v>
      </c>
      <c r="I26" s="3" t="str">
        <f t="shared" si="4"/>
        <v xml:space="preserve">Medio </v>
      </c>
      <c r="K26" s="4"/>
      <c r="U26" s="4"/>
      <c r="W26" s="4"/>
      <c r="AG26" s="4"/>
      <c r="AI26" s="4"/>
      <c r="AS26" s="4"/>
      <c r="AU26" s="18"/>
      <c r="BE26" s="18"/>
    </row>
    <row r="27" spans="1:57" x14ac:dyDescent="0.25">
      <c r="A27" t="s">
        <v>47</v>
      </c>
      <c r="B27">
        <f>SUM('Gestión de abastecimiento'!B28:G28)</f>
        <v>26</v>
      </c>
      <c r="C27" s="3" t="str">
        <f t="shared" si="0"/>
        <v>Alto</v>
      </c>
      <c r="D27">
        <f>SUM('Gestión de abastecimiento'!H28:M28)</f>
        <v>25</v>
      </c>
      <c r="E27" s="3" t="str">
        <f t="shared" si="1"/>
        <v>Alto</v>
      </c>
      <c r="F27">
        <f>SUM('Gestión de abastecimiento'!N28:S28)</f>
        <v>24</v>
      </c>
      <c r="G27" s="3" t="str">
        <f t="shared" si="2"/>
        <v>Alto</v>
      </c>
      <c r="H27">
        <f t="shared" si="3"/>
        <v>75</v>
      </c>
      <c r="I27" s="3" t="str">
        <f t="shared" si="4"/>
        <v>Alto</v>
      </c>
      <c r="K27" s="4"/>
      <c r="U27" s="4"/>
      <c r="W27" s="4"/>
      <c r="AG27" s="4"/>
      <c r="AI27" s="4"/>
      <c r="AS27" s="4"/>
      <c r="AU27" s="18"/>
      <c r="BE27" s="18"/>
    </row>
    <row r="28" spans="1:57" x14ac:dyDescent="0.25">
      <c r="A28" t="s">
        <v>48</v>
      </c>
      <c r="B28">
        <f>SUM('Gestión de abastecimiento'!B29:G29)</f>
        <v>12</v>
      </c>
      <c r="C28" s="3" t="str">
        <f t="shared" si="0"/>
        <v>Bajo</v>
      </c>
      <c r="D28">
        <f>SUM('Gestión de abastecimiento'!H29:M29)</f>
        <v>13</v>
      </c>
      <c r="E28" s="3" t="str">
        <f t="shared" si="1"/>
        <v>Bajo</v>
      </c>
      <c r="F28">
        <f>SUM('Gestión de abastecimiento'!N29:S29)</f>
        <v>12</v>
      </c>
      <c r="G28" s="3" t="str">
        <f t="shared" si="2"/>
        <v>Bajo</v>
      </c>
      <c r="H28">
        <f t="shared" si="3"/>
        <v>37</v>
      </c>
      <c r="I28" s="3" t="str">
        <f t="shared" si="4"/>
        <v>Bajo</v>
      </c>
      <c r="K28" s="4"/>
      <c r="U28" s="4"/>
      <c r="W28" s="4"/>
      <c r="AG28" s="4"/>
      <c r="AI28" s="4"/>
      <c r="AS28" s="4"/>
      <c r="AU28" s="18"/>
      <c r="BE28" s="18"/>
    </row>
    <row r="29" spans="1:57" x14ac:dyDescent="0.25">
      <c r="A29" t="s">
        <v>49</v>
      </c>
      <c r="B29">
        <f>SUM('Gestión de abastecimiento'!B30:G30)</f>
        <v>13</v>
      </c>
      <c r="C29" s="3" t="str">
        <f t="shared" si="0"/>
        <v>Bajo</v>
      </c>
      <c r="D29">
        <f>SUM('Gestión de abastecimiento'!H30:M30)</f>
        <v>12</v>
      </c>
      <c r="E29" s="3" t="str">
        <f t="shared" si="1"/>
        <v>Bajo</v>
      </c>
      <c r="F29">
        <f>SUM('Gestión de abastecimiento'!N30:S30)</f>
        <v>11</v>
      </c>
      <c r="G29" s="3" t="str">
        <f t="shared" si="2"/>
        <v>Bajo</v>
      </c>
      <c r="H29">
        <f t="shared" si="3"/>
        <v>36</v>
      </c>
      <c r="I29" s="3" t="str">
        <f t="shared" si="4"/>
        <v>Bajo</v>
      </c>
      <c r="K29" s="4"/>
      <c r="U29" s="4"/>
      <c r="W29" s="4"/>
      <c r="AG29" s="4"/>
      <c r="AI29" s="4"/>
      <c r="AS29" s="4"/>
      <c r="AU29" s="18"/>
      <c r="BE29" s="18"/>
    </row>
    <row r="30" spans="1:57" x14ac:dyDescent="0.25">
      <c r="A30" t="s">
        <v>50</v>
      </c>
      <c r="B30">
        <f>SUM('Gestión de abastecimiento'!B31:G31)</f>
        <v>17</v>
      </c>
      <c r="C30" s="3" t="str">
        <f t="shared" si="0"/>
        <v xml:space="preserve">Medio </v>
      </c>
      <c r="D30">
        <f>SUM('Gestión de abastecimiento'!H31:M31)</f>
        <v>16</v>
      </c>
      <c r="E30" s="3" t="str">
        <f t="shared" si="1"/>
        <v xml:space="preserve">Medio </v>
      </c>
      <c r="F30">
        <f>SUM('Gestión de abastecimiento'!N31:S31)</f>
        <v>16</v>
      </c>
      <c r="G30" s="3" t="str">
        <f t="shared" si="2"/>
        <v xml:space="preserve">Medio </v>
      </c>
      <c r="H30">
        <f t="shared" si="3"/>
        <v>49</v>
      </c>
      <c r="I30" s="3" t="str">
        <f t="shared" si="4"/>
        <v xml:space="preserve">Medio </v>
      </c>
      <c r="K30" s="4"/>
      <c r="U30" s="4"/>
      <c r="W30" s="4"/>
      <c r="AG30" s="4"/>
      <c r="AI30" s="4"/>
      <c r="AS30" s="4"/>
      <c r="AU30" s="18"/>
      <c r="BE30" s="18"/>
    </row>
    <row r="31" spans="1:57" x14ac:dyDescent="0.25">
      <c r="A31" t="s">
        <v>51</v>
      </c>
      <c r="B31">
        <f>SUM('Gestión de abastecimiento'!B32:G32)</f>
        <v>21</v>
      </c>
      <c r="C31" s="3" t="str">
        <f t="shared" si="0"/>
        <v xml:space="preserve">Medio </v>
      </c>
      <c r="D31">
        <f>SUM('Gestión de abastecimiento'!H32:M32)</f>
        <v>24</v>
      </c>
      <c r="E31" s="3" t="str">
        <f t="shared" si="1"/>
        <v>Alto</v>
      </c>
      <c r="F31">
        <f>SUM('Gestión de abastecimiento'!N32:S32)</f>
        <v>20</v>
      </c>
      <c r="G31" s="3" t="str">
        <f t="shared" si="2"/>
        <v xml:space="preserve">Medio </v>
      </c>
      <c r="H31">
        <f t="shared" si="3"/>
        <v>65</v>
      </c>
      <c r="I31" s="3" t="str">
        <f t="shared" si="4"/>
        <v xml:space="preserve">Medio </v>
      </c>
      <c r="K31" s="4"/>
      <c r="U31" s="4"/>
      <c r="W31" s="4"/>
      <c r="AG31" s="4"/>
      <c r="AI31" s="4"/>
      <c r="AS31" s="4"/>
      <c r="AU31" s="18"/>
      <c r="BE31" s="18"/>
    </row>
    <row r="32" spans="1:57" x14ac:dyDescent="0.25">
      <c r="A32" t="s">
        <v>52</v>
      </c>
      <c r="B32">
        <f>SUM('Gestión de abastecimiento'!B33:G33)</f>
        <v>24</v>
      </c>
      <c r="C32" s="3" t="str">
        <f t="shared" si="0"/>
        <v>Alto</v>
      </c>
      <c r="D32">
        <f>SUM('Gestión de abastecimiento'!H33:M33)</f>
        <v>22</v>
      </c>
      <c r="E32" s="3" t="str">
        <f t="shared" si="1"/>
        <v xml:space="preserve">Medio </v>
      </c>
      <c r="F32">
        <f>SUM('Gestión de abastecimiento'!N33:S33)</f>
        <v>24</v>
      </c>
      <c r="G32" s="3" t="str">
        <f t="shared" si="2"/>
        <v>Alto</v>
      </c>
      <c r="H32">
        <f t="shared" si="3"/>
        <v>70</v>
      </c>
      <c r="I32" s="3" t="str">
        <f t="shared" si="4"/>
        <v>Alto</v>
      </c>
      <c r="K32" s="4"/>
      <c r="U32" s="4"/>
      <c r="W32" s="4"/>
      <c r="AG32" s="4"/>
      <c r="AI32" s="4"/>
      <c r="AS32" s="4"/>
      <c r="AU32" s="18"/>
      <c r="BE32" s="18"/>
    </row>
    <row r="33" spans="1:57" x14ac:dyDescent="0.25">
      <c r="A33" t="s">
        <v>53</v>
      </c>
      <c r="B33">
        <f>SUM('Gestión de abastecimiento'!B34:G34)</f>
        <v>18</v>
      </c>
      <c r="C33" s="3" t="str">
        <f t="shared" si="0"/>
        <v xml:space="preserve">Medio </v>
      </c>
      <c r="D33">
        <f>SUM('Gestión de abastecimiento'!H34:M34)</f>
        <v>17</v>
      </c>
      <c r="E33" s="3" t="str">
        <f t="shared" si="1"/>
        <v xml:space="preserve">Medio </v>
      </c>
      <c r="F33">
        <f>SUM('Gestión de abastecimiento'!N34:S34)</f>
        <v>17</v>
      </c>
      <c r="G33" s="3" t="str">
        <f t="shared" si="2"/>
        <v xml:space="preserve">Medio </v>
      </c>
      <c r="H33">
        <f t="shared" si="3"/>
        <v>52</v>
      </c>
      <c r="I33" s="3" t="str">
        <f t="shared" si="4"/>
        <v xml:space="preserve">Medio </v>
      </c>
      <c r="K33" s="4"/>
      <c r="U33" s="4"/>
      <c r="W33" s="4"/>
      <c r="AG33" s="4"/>
      <c r="AI33" s="4"/>
      <c r="AS33" s="4"/>
      <c r="AU33" s="18"/>
      <c r="BE33" s="18"/>
    </row>
    <row r="34" spans="1:57" x14ac:dyDescent="0.25">
      <c r="A34" t="s">
        <v>54</v>
      </c>
      <c r="B34">
        <f>SUM('Gestión de abastecimiento'!B35:G35)</f>
        <v>24</v>
      </c>
      <c r="C34" s="3" t="str">
        <f t="shared" si="0"/>
        <v>Alto</v>
      </c>
      <c r="D34">
        <f>SUM('Gestión de abastecimiento'!H35:M35)</f>
        <v>24</v>
      </c>
      <c r="E34" s="3" t="str">
        <f t="shared" si="1"/>
        <v>Alto</v>
      </c>
      <c r="F34">
        <f>SUM('Gestión de abastecimiento'!N35:S35)</f>
        <v>25</v>
      </c>
      <c r="G34" s="3" t="str">
        <f t="shared" si="2"/>
        <v>Alto</v>
      </c>
      <c r="H34">
        <f t="shared" si="3"/>
        <v>73</v>
      </c>
      <c r="I34" s="3" t="str">
        <f t="shared" si="4"/>
        <v>Alto</v>
      </c>
      <c r="K34" s="4"/>
      <c r="U34" s="4"/>
      <c r="W34" s="4"/>
      <c r="AG34" s="4"/>
      <c r="AI34" s="4"/>
      <c r="AS34" s="4"/>
      <c r="AU34" s="18"/>
      <c r="BE34" s="18"/>
    </row>
    <row r="35" spans="1:57" x14ac:dyDescent="0.25">
      <c r="A35" t="s">
        <v>55</v>
      </c>
      <c r="B35">
        <f>SUM('Gestión de abastecimiento'!B36:G36)</f>
        <v>27</v>
      </c>
      <c r="C35" s="3" t="str">
        <f t="shared" si="0"/>
        <v>Alto</v>
      </c>
      <c r="D35">
        <f>SUM('Gestión de abastecimiento'!H36:M36)</f>
        <v>25</v>
      </c>
      <c r="E35" s="3" t="str">
        <f t="shared" si="1"/>
        <v>Alto</v>
      </c>
      <c r="F35">
        <f>SUM('Gestión de abastecimiento'!N36:S36)</f>
        <v>25</v>
      </c>
      <c r="G35" s="3" t="str">
        <f t="shared" si="2"/>
        <v>Alto</v>
      </c>
      <c r="H35">
        <f t="shared" si="3"/>
        <v>77</v>
      </c>
      <c r="I35" s="3" t="str">
        <f t="shared" si="4"/>
        <v>Alto</v>
      </c>
      <c r="K35" s="4"/>
      <c r="U35" s="4"/>
      <c r="W35" s="4"/>
      <c r="AG35" s="4"/>
      <c r="AI35" s="4"/>
      <c r="AS35" s="4"/>
      <c r="AU35" s="18"/>
      <c r="BE35" s="18"/>
    </row>
    <row r="36" spans="1:57" x14ac:dyDescent="0.25">
      <c r="A36" t="s">
        <v>56</v>
      </c>
      <c r="B36">
        <f>SUM('Gestión de abastecimiento'!B37:G37)</f>
        <v>15</v>
      </c>
      <c r="C36" s="3" t="str">
        <f t="shared" si="0"/>
        <v xml:space="preserve">Medio </v>
      </c>
      <c r="D36">
        <f>SUM('Gestión de abastecimiento'!H37:M37)</f>
        <v>15</v>
      </c>
      <c r="E36" s="3" t="str">
        <f t="shared" si="1"/>
        <v xml:space="preserve">Medio </v>
      </c>
      <c r="F36">
        <f>SUM('Gestión de abastecimiento'!N37:S37)</f>
        <v>15</v>
      </c>
      <c r="G36" s="3" t="str">
        <f t="shared" si="2"/>
        <v xml:space="preserve">Medio </v>
      </c>
      <c r="H36">
        <f t="shared" si="3"/>
        <v>45</v>
      </c>
      <c r="I36" s="3" t="str">
        <f t="shared" si="4"/>
        <v xml:space="preserve">Medio </v>
      </c>
      <c r="K36" s="4"/>
      <c r="U36" s="4"/>
      <c r="W36" s="4"/>
      <c r="AG36" s="4"/>
      <c r="AI36" s="4"/>
      <c r="AS36" s="4"/>
      <c r="AU36" s="18"/>
      <c r="BE36" s="18"/>
    </row>
    <row r="37" spans="1:57" x14ac:dyDescent="0.25">
      <c r="A37" t="s">
        <v>57</v>
      </c>
      <c r="B37">
        <f>SUM('Gestión de abastecimiento'!B38:G38)</f>
        <v>14</v>
      </c>
      <c r="C37" s="3" t="str">
        <f t="shared" si="0"/>
        <v>Bajo</v>
      </c>
      <c r="D37">
        <f>SUM('Gestión de abastecimiento'!H38:M38)</f>
        <v>16</v>
      </c>
      <c r="E37" s="3" t="str">
        <f t="shared" si="1"/>
        <v xml:space="preserve">Medio </v>
      </c>
      <c r="F37">
        <f>SUM('Gestión de abastecimiento'!N38:S38)</f>
        <v>16</v>
      </c>
      <c r="G37" s="3" t="str">
        <f t="shared" si="2"/>
        <v xml:space="preserve">Medio </v>
      </c>
      <c r="H37">
        <f t="shared" si="3"/>
        <v>46</v>
      </c>
      <c r="I37" s="3" t="str">
        <f t="shared" si="4"/>
        <v xml:space="preserve">Medio </v>
      </c>
      <c r="K37" s="4"/>
      <c r="U37" s="4"/>
      <c r="W37" s="4"/>
      <c r="AG37" s="4"/>
      <c r="AI37" s="4"/>
      <c r="AS37" s="4"/>
      <c r="AU37" s="18"/>
      <c r="BE37" s="18"/>
    </row>
    <row r="38" spans="1:57" x14ac:dyDescent="0.25">
      <c r="A38" t="s">
        <v>58</v>
      </c>
      <c r="B38">
        <f>SUM('Gestión de abastecimiento'!B39:G39)</f>
        <v>18</v>
      </c>
      <c r="C38" s="3" t="str">
        <f t="shared" si="0"/>
        <v xml:space="preserve">Medio </v>
      </c>
      <c r="D38">
        <f>SUM('Gestión de abastecimiento'!H39:M39)</f>
        <v>19</v>
      </c>
      <c r="E38" s="3" t="str">
        <f t="shared" si="1"/>
        <v xml:space="preserve">Medio </v>
      </c>
      <c r="F38">
        <f>SUM('Gestión de abastecimiento'!N39:S39)</f>
        <v>18</v>
      </c>
      <c r="G38" s="3" t="str">
        <f t="shared" si="2"/>
        <v xml:space="preserve">Medio </v>
      </c>
      <c r="H38">
        <f t="shared" si="3"/>
        <v>55</v>
      </c>
      <c r="I38" s="3" t="str">
        <f t="shared" si="4"/>
        <v xml:space="preserve">Medio </v>
      </c>
      <c r="K38" s="4"/>
      <c r="U38" s="4"/>
      <c r="W38" s="4"/>
      <c r="AG38" s="4"/>
      <c r="AI38" s="4"/>
      <c r="AS38" s="4"/>
      <c r="AU38" s="18"/>
      <c r="BE38" s="18"/>
    </row>
    <row r="39" spans="1:57" x14ac:dyDescent="0.25">
      <c r="A39" t="s">
        <v>59</v>
      </c>
      <c r="B39">
        <f>SUM('Gestión de abastecimiento'!B40:G40)</f>
        <v>19</v>
      </c>
      <c r="C39" s="3" t="str">
        <f t="shared" si="0"/>
        <v xml:space="preserve">Medio </v>
      </c>
      <c r="D39">
        <f>SUM('Gestión de abastecimiento'!H40:M40)</f>
        <v>18</v>
      </c>
      <c r="E39" s="3" t="str">
        <f t="shared" si="1"/>
        <v xml:space="preserve">Medio </v>
      </c>
      <c r="F39">
        <f>SUM('Gestión de abastecimiento'!N40:S40)</f>
        <v>18</v>
      </c>
      <c r="G39" s="3" t="str">
        <f t="shared" si="2"/>
        <v xml:space="preserve">Medio </v>
      </c>
      <c r="H39">
        <f t="shared" si="3"/>
        <v>55</v>
      </c>
      <c r="I39" s="3" t="str">
        <f t="shared" si="4"/>
        <v xml:space="preserve">Medio </v>
      </c>
      <c r="K39" s="4"/>
      <c r="U39" s="4"/>
      <c r="W39" s="4"/>
      <c r="AG39" s="4"/>
      <c r="AI39" s="4"/>
      <c r="AS39" s="4"/>
      <c r="AU39" s="18"/>
      <c r="BE39" s="18"/>
    </row>
    <row r="40" spans="1:57" x14ac:dyDescent="0.25">
      <c r="A40" t="s">
        <v>60</v>
      </c>
      <c r="B40">
        <f>SUM('Gestión de abastecimiento'!B41:G41)</f>
        <v>12</v>
      </c>
      <c r="C40" s="3" t="str">
        <f t="shared" si="0"/>
        <v>Bajo</v>
      </c>
      <c r="D40">
        <f>SUM('Gestión de abastecimiento'!H41:M41)</f>
        <v>12</v>
      </c>
      <c r="E40" s="3" t="str">
        <f t="shared" si="1"/>
        <v>Bajo</v>
      </c>
      <c r="F40">
        <f>SUM('Gestión de abastecimiento'!N41:S41)</f>
        <v>11</v>
      </c>
      <c r="G40" s="3" t="str">
        <f t="shared" si="2"/>
        <v>Bajo</v>
      </c>
      <c r="H40">
        <f t="shared" si="3"/>
        <v>35</v>
      </c>
      <c r="I40" s="3" t="str">
        <f t="shared" si="4"/>
        <v>Bajo</v>
      </c>
      <c r="K40" s="4"/>
      <c r="U40" s="4"/>
      <c r="W40" s="4"/>
      <c r="AG40" s="4"/>
      <c r="AI40" s="4"/>
      <c r="AS40" s="4"/>
      <c r="AU40" s="18"/>
      <c r="BE40" s="18"/>
    </row>
    <row r="41" spans="1:57" x14ac:dyDescent="0.25">
      <c r="A41" t="s">
        <v>61</v>
      </c>
      <c r="B41">
        <f>SUM('Gestión de abastecimiento'!B42:G42)</f>
        <v>19</v>
      </c>
      <c r="C41" s="3" t="str">
        <f t="shared" si="0"/>
        <v xml:space="preserve">Medio </v>
      </c>
      <c r="D41">
        <f>SUM('Gestión de abastecimiento'!H42:M42)</f>
        <v>19</v>
      </c>
      <c r="E41" s="3" t="str">
        <f t="shared" si="1"/>
        <v xml:space="preserve">Medio </v>
      </c>
      <c r="F41">
        <f>SUM('Gestión de abastecimiento'!N42:S42)</f>
        <v>18</v>
      </c>
      <c r="G41" s="3" t="str">
        <f t="shared" si="2"/>
        <v xml:space="preserve">Medio </v>
      </c>
      <c r="H41">
        <f t="shared" si="3"/>
        <v>56</v>
      </c>
      <c r="I41" s="3" t="str">
        <f t="shared" si="4"/>
        <v xml:space="preserve">Medio </v>
      </c>
      <c r="K41" s="4"/>
      <c r="U41" s="4"/>
      <c r="W41" s="4"/>
      <c r="AG41" s="4"/>
      <c r="AI41" s="4"/>
      <c r="AS41" s="4"/>
      <c r="AU41" s="18"/>
      <c r="BE41" s="18"/>
    </row>
    <row r="42" spans="1:57" x14ac:dyDescent="0.25">
      <c r="A42" t="s">
        <v>62</v>
      </c>
      <c r="B42">
        <f>SUM('Gestión de abastecimiento'!B43:G43)</f>
        <v>23</v>
      </c>
      <c r="C42" s="3" t="str">
        <f t="shared" si="0"/>
        <v xml:space="preserve">Medio </v>
      </c>
      <c r="D42">
        <f>SUM('Gestión de abastecimiento'!H43:M43)</f>
        <v>20</v>
      </c>
      <c r="E42" s="3" t="str">
        <f t="shared" si="1"/>
        <v xml:space="preserve">Medio </v>
      </c>
      <c r="F42">
        <f>SUM('Gestión de abastecimiento'!N43:S43)</f>
        <v>22</v>
      </c>
      <c r="G42" s="3" t="str">
        <f t="shared" si="2"/>
        <v xml:space="preserve">Medio </v>
      </c>
      <c r="H42">
        <f t="shared" si="3"/>
        <v>65</v>
      </c>
      <c r="I42" s="3" t="str">
        <f t="shared" si="4"/>
        <v xml:space="preserve">Medio </v>
      </c>
      <c r="K42" s="4"/>
      <c r="U42" s="4"/>
      <c r="W42" s="4"/>
      <c r="AG42" s="4"/>
      <c r="AI42" s="4"/>
      <c r="AS42" s="4"/>
      <c r="AU42" s="18"/>
      <c r="BE42" s="18"/>
    </row>
    <row r="43" spans="1:57" x14ac:dyDescent="0.25">
      <c r="A43" t="s">
        <v>63</v>
      </c>
      <c r="B43">
        <f>SUM('Gestión de abastecimiento'!B44:G44)</f>
        <v>25</v>
      </c>
      <c r="C43" s="3" t="str">
        <f t="shared" si="0"/>
        <v>Alto</v>
      </c>
      <c r="D43">
        <f>SUM('Gestión de abastecimiento'!H44:M44)</f>
        <v>24</v>
      </c>
      <c r="E43" s="3" t="str">
        <f t="shared" si="1"/>
        <v>Alto</v>
      </c>
      <c r="F43">
        <f>SUM('Gestión de abastecimiento'!N44:S44)</f>
        <v>24</v>
      </c>
      <c r="G43" s="3" t="str">
        <f t="shared" si="2"/>
        <v>Alto</v>
      </c>
      <c r="H43">
        <f t="shared" si="3"/>
        <v>73</v>
      </c>
      <c r="I43" s="3" t="str">
        <f t="shared" si="4"/>
        <v>Alto</v>
      </c>
      <c r="K43" s="4"/>
      <c r="O43" t="s">
        <v>354</v>
      </c>
      <c r="U43" s="4"/>
      <c r="W43" s="4"/>
      <c r="AA43" t="s">
        <v>355</v>
      </c>
      <c r="AG43" s="4"/>
      <c r="AI43" s="4"/>
      <c r="AM43" t="s">
        <v>356</v>
      </c>
      <c r="AS43" s="4"/>
      <c r="AU43" s="18"/>
      <c r="AY43" t="s">
        <v>357</v>
      </c>
      <c r="BE43" s="18"/>
    </row>
    <row r="44" spans="1:57" x14ac:dyDescent="0.25">
      <c r="A44" t="s">
        <v>64</v>
      </c>
      <c r="B44">
        <f>SUM('Gestión de abastecimiento'!B45:G45)</f>
        <v>19</v>
      </c>
      <c r="C44" s="3" t="str">
        <f t="shared" si="0"/>
        <v xml:space="preserve">Medio </v>
      </c>
      <c r="D44">
        <f>SUM('Gestión de abastecimiento'!H45:M45)</f>
        <v>20</v>
      </c>
      <c r="E44" s="3" t="str">
        <f t="shared" si="1"/>
        <v xml:space="preserve">Medio </v>
      </c>
      <c r="F44">
        <f>SUM('Gestión de abastecimiento'!N45:S45)</f>
        <v>18</v>
      </c>
      <c r="G44" s="3" t="str">
        <f t="shared" si="2"/>
        <v xml:space="preserve">Medio </v>
      </c>
      <c r="H44">
        <f t="shared" si="3"/>
        <v>57</v>
      </c>
      <c r="I44" s="3" t="str">
        <f t="shared" si="4"/>
        <v xml:space="preserve">Medio </v>
      </c>
      <c r="K44" s="4"/>
      <c r="O44" s="3" t="s">
        <v>1</v>
      </c>
      <c r="U44" s="4"/>
      <c r="W44" s="4"/>
      <c r="AA44" s="3" t="s">
        <v>2</v>
      </c>
      <c r="AG44" s="4"/>
      <c r="AI44" s="4"/>
      <c r="AM44" s="3" t="s">
        <v>3</v>
      </c>
      <c r="AS44" s="4"/>
      <c r="AU44" s="18"/>
      <c r="AY44" s="3" t="s">
        <v>1</v>
      </c>
      <c r="BE44" s="18"/>
    </row>
    <row r="45" spans="1:57" x14ac:dyDescent="0.25">
      <c r="A45" t="s">
        <v>65</v>
      </c>
      <c r="B45">
        <f>SUM('Gestión de abastecimiento'!B46:G46)</f>
        <v>30</v>
      </c>
      <c r="C45" s="3" t="str">
        <f t="shared" si="0"/>
        <v>Alto</v>
      </c>
      <c r="D45">
        <f>SUM('Gestión de abastecimiento'!H46:M46)</f>
        <v>30</v>
      </c>
      <c r="E45" s="3" t="str">
        <f t="shared" si="1"/>
        <v>Alto</v>
      </c>
      <c r="F45">
        <f>SUM('Gestión de abastecimiento'!N46:S46)</f>
        <v>30</v>
      </c>
      <c r="G45" s="3" t="str">
        <f t="shared" si="2"/>
        <v>Alto</v>
      </c>
      <c r="H45">
        <f t="shared" si="3"/>
        <v>90</v>
      </c>
      <c r="I45" s="3" t="str">
        <f t="shared" si="4"/>
        <v>Alto</v>
      </c>
      <c r="K45" s="4"/>
      <c r="L45" s="4"/>
      <c r="M45" s="4"/>
      <c r="N45" s="4"/>
      <c r="O45" s="4"/>
      <c r="P45" s="4"/>
      <c r="Q45" s="4"/>
      <c r="R45" s="4"/>
      <c r="S45" s="4"/>
      <c r="T45" s="4"/>
      <c r="U45" s="4"/>
      <c r="W45" s="4"/>
      <c r="X45" s="4"/>
      <c r="Y45" s="4"/>
      <c r="Z45" s="4"/>
      <c r="AA45" s="4"/>
      <c r="AB45" s="4"/>
      <c r="AC45" s="4"/>
      <c r="AD45" s="4"/>
      <c r="AE45" s="4"/>
      <c r="AF45" s="4"/>
      <c r="AG45" s="4"/>
      <c r="AI45" s="4"/>
      <c r="AJ45" s="4"/>
      <c r="AK45" s="4"/>
      <c r="AL45" s="4"/>
      <c r="AM45" s="4"/>
      <c r="AN45" s="4"/>
      <c r="AO45" s="4"/>
      <c r="AP45" s="4"/>
      <c r="AQ45" s="4"/>
      <c r="AR45" s="4"/>
      <c r="AS45" s="4"/>
      <c r="AU45" s="18"/>
      <c r="AV45" s="18"/>
      <c r="AW45" s="18"/>
      <c r="AX45" s="18"/>
      <c r="AY45" s="18"/>
      <c r="AZ45" s="18"/>
      <c r="BA45" s="18"/>
      <c r="BB45" s="18"/>
      <c r="BC45" s="18"/>
      <c r="BD45" s="18"/>
      <c r="BE45" s="18"/>
    </row>
    <row r="46" spans="1:57" x14ac:dyDescent="0.25">
      <c r="A46" t="s">
        <v>66</v>
      </c>
      <c r="B46">
        <f>SUM('Gestión de abastecimiento'!B47:G47)</f>
        <v>13</v>
      </c>
      <c r="C46" s="3" t="str">
        <f t="shared" si="0"/>
        <v>Bajo</v>
      </c>
      <c r="D46">
        <f>SUM('Gestión de abastecimiento'!H47:M47)</f>
        <v>13</v>
      </c>
      <c r="E46" s="3" t="str">
        <f t="shared" si="1"/>
        <v>Bajo</v>
      </c>
      <c r="F46">
        <f>SUM('Gestión de abastecimiento'!N47:S47)</f>
        <v>12</v>
      </c>
      <c r="G46" s="3" t="str">
        <f t="shared" si="2"/>
        <v>Bajo</v>
      </c>
      <c r="H46">
        <f t="shared" si="3"/>
        <v>38</v>
      </c>
      <c r="I46" s="3" t="str">
        <f t="shared" si="4"/>
        <v>Bajo</v>
      </c>
      <c r="M46" t="s">
        <v>331</v>
      </c>
      <c r="Y46" t="s">
        <v>331</v>
      </c>
      <c r="AK46" t="s">
        <v>331</v>
      </c>
      <c r="AW46" t="s">
        <v>331</v>
      </c>
    </row>
    <row r="47" spans="1:57" x14ac:dyDescent="0.25">
      <c r="A47" t="s">
        <v>67</v>
      </c>
      <c r="B47">
        <f>SUM('Gestión de abastecimiento'!B48:G48)</f>
        <v>24</v>
      </c>
      <c r="C47" s="3" t="str">
        <f t="shared" si="0"/>
        <v>Alto</v>
      </c>
      <c r="D47">
        <f>SUM('Gestión de abastecimiento'!H48:M48)</f>
        <v>23</v>
      </c>
      <c r="E47" s="3" t="str">
        <f t="shared" si="1"/>
        <v xml:space="preserve">Medio </v>
      </c>
      <c r="F47">
        <f>SUM('Gestión de abastecimiento'!N48:S48)</f>
        <v>23</v>
      </c>
      <c r="G47" s="3" t="str">
        <f t="shared" si="2"/>
        <v xml:space="preserve">Medio </v>
      </c>
      <c r="H47">
        <f t="shared" si="3"/>
        <v>70</v>
      </c>
      <c r="I47" s="3" t="str">
        <f t="shared" si="4"/>
        <v>Alto</v>
      </c>
      <c r="M47" s="52" t="str">
        <f ca="1">CONCATENATE("en la ",O15," y ",O43," se puede observar que la variable ",L901," en base a su dimensión ",L902," tiene una calificación de ",M904," por el ",ROUND(L904*100,0),"% ","de los resultados, ","los cuales fueron extraídos  de las encuestas ejecutadas a los ",N902,", estos resultados son afectados debido a que, ",U1016," ",M1016,",","asi mismo ",U1017," ",M1017,", sin embargo ",U1018," ",M1018,", además ",U1019," ",M1019,", incluso ",U1020," ",M1020, ", ","y ",M1021," ",U1021,", ","por todo ello la dimensión ",L902," es ",M904,".")</f>
        <v>en la Tabla 1 y Figura.1 se puede observar que la variable Gestión de abastecimiento en base a su dimensión Planificación tiene una calificación de Medio  por el 68% de los resultados, los cuales fueron extraídos  de las encuestas ejecutadas a los Beneficiaross, estos resultados son afectados debido a que, el 51% mencionó como Ni de acuerdo ni en desacuerdo x,asi mismo el 52% de los apreció como Ni de acuerdo ni en desacuerdo x, sin embargo el 54% apreció como Ni de acuerdo ni en desacuerdo x, además el 48% de los evaluó como Ni de acuerdo ni en desacuerdo 0, incluso el 50% Tuvo una percepción de como Ni de acuerdo ni en desacuerdo x, y x el 52% percibió como Ni de acuerdo ni en desacuerdo, por todo ello la dimensión Planificación es Medio .</v>
      </c>
      <c r="N47" s="53"/>
      <c r="O47" s="53"/>
      <c r="P47" s="53"/>
      <c r="Q47" s="53"/>
      <c r="R47" s="53"/>
      <c r="Y47" s="52" t="str">
        <f ca="1">CONCATENATE("en la ",AA15," y ",AA43," se puede observar que la variable ",X901," en base a su dimensión ",X902," tiene una calificación de ",Y904," por el ",ROUND(X904*100,0),"% ","de los resultados, ","los cuales fueron extraídos  de las encuestas ejecutadas a los ",Z902,", estos resultados son afectados debido a que, ",AG1016," ",Y1016,",","asi mismo ",AG1017," ",Y1017,", mismo ",AG1018," ",Y1018,", no obstante ",AG1019," ",Y1019,", así ",AG1020," ",Y1020, ", ","y ",Y1021," ",AG1021,", ","por todo ello la dimensión ",X902," es ",Y904,".")</f>
        <v>en la Tabla 2 y Figura.2 se puede observar que la variable Gestión de abastecimiento en base a su dimensión Transparencia tiene una calificación de Medio  por el 66% de los resultados, los cuales fueron extraídos  de las encuestas ejecutadas a los Beneficiaross, estos resultados son afectados debido a que, el 52% mencionó como Ni de acuerdo ni en desacuerdo x,asi mismo el 51% de los evaluó como Ni de acuerdo ni en desacuerdo x, mismo el 48% respondió como Ni de acuerdo ni en desacuerdo 0, no obstante el 50% de los respondió como Ni de acuerdo ni en desacuerdo x, así el 51% Tuvo una percepción de como Ni de acuerdo ni en desacuerdo x, y x el 53% mencionó como Ni de acuerdo ni en desacuerdo, por todo ello la dimensión Transparencia es Medio .</v>
      </c>
      <c r="Z47" s="53"/>
      <c r="AA47" s="53"/>
      <c r="AB47" s="53"/>
      <c r="AC47" s="53"/>
      <c r="AD47" s="53"/>
      <c r="AK47" s="52" t="str">
        <f ca="1">CONCATENATE("en la ",AM15," y ",AM43," se puede observar que la variable ",AJ901," en base a su dimensión ",AJ902," tiene una calificación de ",AK904," por el ",ROUND(AJ904*100,0),"% ","de los resultados, ","los cuales fueron extraídos  de las encuestas ejecutadas a los ",AL902,", estos resultados son afectados debido a que, ",AS1016," ",AK1016,",","asi mismo ",AS1017," ",AK1017,", incluso ",AS1018," ",AK1018,", en cambio ",AS1019," ",AK1019,", así ",AS1020," ",AK1020, ", ","y ",AK1021," ",AS1021,", ","por todo ello la dimensión ",AJ902," es ",AK904,".")</f>
        <v>en la Tabla 3 y Figura.3 se puede observar que la variable Gestión de abastecimiento en base a su dimensión Cumplimiento normativo tiene una calificación de Medio  por el 64% de los resultados, los cuales fueron extraídos  de las encuestas ejecutadas a los Beneficiaross, estos resultados son afectados debido a que, el 47% valoró como Ni de acuerdo ni en desacuerdo x,asi mismo el 52% de los determinó como Ni de acuerdo ni en desacuerdo x, incluso el 49% apreció como Ni de acuerdo ni en desacuerdo x, en cambio el 55% de los mencionó como Ni de acuerdo ni en desacuerdo x, así el 48% apreció como Ni de acuerdo ni en desacuerdo x, y x el 49% respondió como Ni de acuerdo ni en desacuerdo, por todo ello la dimensión Cumplimiento normativo es Medio .</v>
      </c>
      <c r="AL47" s="53"/>
      <c r="AM47" s="53"/>
      <c r="AN47" s="53"/>
      <c r="AO47" s="53"/>
      <c r="AP47" s="53"/>
      <c r="AW47" s="52" t="str">
        <f ca="1">CONCATENATE("En la ",AY15," y ",AY43," se puede evidenciar que la variable ",AV901," es calificado como ",AW904," por el ",ROUND(AV904*100,0),"% de los resultados, mismos que son originados porque; ",BI1016," ",BI1017," ",BI1018,BI1019,BI1020,BI1021,BI1022,BI1023,BI1024,BI1025,BI1026," se concluye que la variable ",AV901,"tiene un valor de ",AW904,".")</f>
        <v>En la Tabla 4 y Figura.4 se puede evidenciar que la variable Gestión de abastecimiento es calificado como Medio  por el 62% de los resultados, mismos que son originados porque; el 68% de los Resultados calificó a la dimensión Planificación como Medio , en consecuencia  el 66% de los Resultados respondió a la dimensión Transparencia como Medio , en consecuencia  el 64% de los Resultados calificó a la dimensión Cumplimiento normativo como Medio , ademas  se concluye que la variable Gestión de abastecimientotiene un valor de Medio .</v>
      </c>
      <c r="AX47" s="53"/>
      <c r="AY47" s="53"/>
      <c r="AZ47" s="53"/>
      <c r="BA47" s="53"/>
      <c r="BB47" s="53"/>
    </row>
    <row r="48" spans="1:57" x14ac:dyDescent="0.25">
      <c r="A48" t="s">
        <v>68</v>
      </c>
      <c r="B48">
        <f>SUM('Gestión de abastecimiento'!B49:G49)</f>
        <v>24</v>
      </c>
      <c r="C48" s="3" t="str">
        <f t="shared" si="0"/>
        <v>Alto</v>
      </c>
      <c r="D48">
        <f>SUM('Gestión de abastecimiento'!H49:M49)</f>
        <v>24</v>
      </c>
      <c r="E48" s="3" t="str">
        <f t="shared" si="1"/>
        <v>Alto</v>
      </c>
      <c r="F48">
        <f>SUM('Gestión de abastecimiento'!N49:S49)</f>
        <v>26</v>
      </c>
      <c r="G48" s="3" t="str">
        <f t="shared" si="2"/>
        <v>Alto</v>
      </c>
      <c r="H48">
        <f t="shared" si="3"/>
        <v>74</v>
      </c>
      <c r="I48" s="3" t="str">
        <f t="shared" si="4"/>
        <v>Alto</v>
      </c>
      <c r="M48" s="53"/>
      <c r="N48" s="53"/>
      <c r="O48" s="53"/>
      <c r="P48" s="53"/>
      <c r="Q48" s="53"/>
      <c r="R48" s="53"/>
      <c r="Y48" s="53"/>
      <c r="Z48" s="53"/>
      <c r="AA48" s="53"/>
      <c r="AB48" s="53"/>
      <c r="AC48" s="53"/>
      <c r="AD48" s="53"/>
      <c r="AK48" s="53"/>
      <c r="AL48" s="53"/>
      <c r="AM48" s="53"/>
      <c r="AN48" s="53"/>
      <c r="AO48" s="53"/>
      <c r="AP48" s="53"/>
      <c r="AW48" s="53"/>
      <c r="AX48" s="53"/>
      <c r="AY48" s="53"/>
      <c r="AZ48" s="53"/>
      <c r="BA48" s="53"/>
      <c r="BB48" s="53"/>
    </row>
    <row r="49" spans="1:54" x14ac:dyDescent="0.25">
      <c r="A49" t="s">
        <v>69</v>
      </c>
      <c r="B49">
        <f>SUM('Gestión de abastecimiento'!B50:G50)</f>
        <v>15</v>
      </c>
      <c r="C49" s="3" t="str">
        <f t="shared" si="0"/>
        <v xml:space="preserve">Medio </v>
      </c>
      <c r="D49">
        <f>SUM('Gestión de abastecimiento'!H50:M50)</f>
        <v>15</v>
      </c>
      <c r="E49" s="3" t="str">
        <f t="shared" si="1"/>
        <v xml:space="preserve">Medio </v>
      </c>
      <c r="F49">
        <f>SUM('Gestión de abastecimiento'!N50:S50)</f>
        <v>14</v>
      </c>
      <c r="G49" s="3" t="str">
        <f t="shared" si="2"/>
        <v>Bajo</v>
      </c>
      <c r="H49">
        <f t="shared" si="3"/>
        <v>44</v>
      </c>
      <c r="I49" s="3" t="str">
        <f t="shared" si="4"/>
        <v xml:space="preserve">Medio </v>
      </c>
      <c r="M49" s="53"/>
      <c r="N49" s="53"/>
      <c r="O49" s="53"/>
      <c r="P49" s="53"/>
      <c r="Q49" s="53"/>
      <c r="R49" s="53"/>
      <c r="Y49" s="53"/>
      <c r="Z49" s="53"/>
      <c r="AA49" s="53"/>
      <c r="AB49" s="53"/>
      <c r="AC49" s="53"/>
      <c r="AD49" s="53"/>
      <c r="AK49" s="53"/>
      <c r="AL49" s="53"/>
      <c r="AM49" s="53"/>
      <c r="AN49" s="53"/>
      <c r="AO49" s="53"/>
      <c r="AP49" s="53"/>
      <c r="AW49" s="53"/>
      <c r="AX49" s="53"/>
      <c r="AY49" s="53"/>
      <c r="AZ49" s="53"/>
      <c r="BA49" s="53"/>
      <c r="BB49" s="53"/>
    </row>
    <row r="50" spans="1:54" x14ac:dyDescent="0.25">
      <c r="A50" t="s">
        <v>70</v>
      </c>
      <c r="B50">
        <f>SUM('Gestión de abastecimiento'!B51:G51)</f>
        <v>18</v>
      </c>
      <c r="C50" s="3" t="str">
        <f t="shared" si="0"/>
        <v xml:space="preserve">Medio </v>
      </c>
      <c r="D50">
        <f>SUM('Gestión de abastecimiento'!H51:M51)</f>
        <v>17</v>
      </c>
      <c r="E50" s="3" t="str">
        <f t="shared" si="1"/>
        <v xml:space="preserve">Medio </v>
      </c>
      <c r="F50">
        <f>SUM('Gestión de abastecimiento'!N51:S51)</f>
        <v>18</v>
      </c>
      <c r="G50" s="3" t="str">
        <f t="shared" si="2"/>
        <v xml:space="preserve">Medio </v>
      </c>
      <c r="H50">
        <f t="shared" si="3"/>
        <v>53</v>
      </c>
      <c r="I50" s="3" t="str">
        <f t="shared" si="4"/>
        <v xml:space="preserve">Medio </v>
      </c>
      <c r="M50" s="53"/>
      <c r="N50" s="53"/>
      <c r="O50" s="53"/>
      <c r="P50" s="53"/>
      <c r="Q50" s="53"/>
      <c r="R50" s="53"/>
      <c r="Y50" s="53"/>
      <c r="Z50" s="53"/>
      <c r="AA50" s="53"/>
      <c r="AB50" s="53"/>
      <c r="AC50" s="53"/>
      <c r="AD50" s="53"/>
      <c r="AK50" s="53"/>
      <c r="AL50" s="53"/>
      <c r="AM50" s="53"/>
      <c r="AN50" s="53"/>
      <c r="AO50" s="53"/>
      <c r="AP50" s="53"/>
      <c r="AW50" s="53"/>
      <c r="AX50" s="53"/>
      <c r="AY50" s="53"/>
      <c r="AZ50" s="53"/>
      <c r="BA50" s="53"/>
      <c r="BB50" s="53"/>
    </row>
    <row r="51" spans="1:54" x14ac:dyDescent="0.25">
      <c r="A51" t="s">
        <v>71</v>
      </c>
      <c r="B51">
        <f>SUM('Gestión de abastecimiento'!B52:G52)</f>
        <v>20</v>
      </c>
      <c r="C51" s="3" t="str">
        <f t="shared" si="0"/>
        <v xml:space="preserve">Medio </v>
      </c>
      <c r="D51">
        <f>SUM('Gestión de abastecimiento'!H52:M52)</f>
        <v>18</v>
      </c>
      <c r="E51" s="3" t="str">
        <f t="shared" si="1"/>
        <v xml:space="preserve">Medio </v>
      </c>
      <c r="F51">
        <f>SUM('Gestión de abastecimiento'!N52:S52)</f>
        <v>18</v>
      </c>
      <c r="G51" s="3" t="str">
        <f t="shared" si="2"/>
        <v xml:space="preserve">Medio </v>
      </c>
      <c r="H51">
        <f t="shared" si="3"/>
        <v>56</v>
      </c>
      <c r="I51" s="3" t="str">
        <f t="shared" si="4"/>
        <v xml:space="preserve">Medio </v>
      </c>
      <c r="M51" s="53"/>
      <c r="N51" s="53"/>
      <c r="O51" s="53"/>
      <c r="P51" s="53"/>
      <c r="Q51" s="53"/>
      <c r="R51" s="53"/>
      <c r="Y51" s="53"/>
      <c r="Z51" s="53"/>
      <c r="AA51" s="53"/>
      <c r="AB51" s="53"/>
      <c r="AC51" s="53"/>
      <c r="AD51" s="53"/>
      <c r="AK51" s="53"/>
      <c r="AL51" s="53"/>
      <c r="AM51" s="53"/>
      <c r="AN51" s="53"/>
      <c r="AO51" s="53"/>
      <c r="AP51" s="53"/>
      <c r="AW51" s="53"/>
      <c r="AX51" s="53"/>
      <c r="AY51" s="53"/>
      <c r="AZ51" s="53"/>
      <c r="BA51" s="53"/>
      <c r="BB51" s="53"/>
    </row>
    <row r="52" spans="1:54" x14ac:dyDescent="0.25">
      <c r="A52" t="s">
        <v>72</v>
      </c>
      <c r="B52">
        <f>SUM('Gestión de abastecimiento'!B53:G53)</f>
        <v>17</v>
      </c>
      <c r="C52" s="3" t="str">
        <f t="shared" si="0"/>
        <v xml:space="preserve">Medio </v>
      </c>
      <c r="D52">
        <f>SUM('Gestión de abastecimiento'!H53:M53)</f>
        <v>17</v>
      </c>
      <c r="E52" s="3" t="str">
        <f t="shared" si="1"/>
        <v xml:space="preserve">Medio </v>
      </c>
      <c r="F52">
        <f>SUM('Gestión de abastecimiento'!N53:S53)</f>
        <v>18</v>
      </c>
      <c r="G52" s="3" t="str">
        <f t="shared" si="2"/>
        <v xml:space="preserve">Medio </v>
      </c>
      <c r="H52">
        <f t="shared" si="3"/>
        <v>52</v>
      </c>
      <c r="I52" s="3" t="str">
        <f t="shared" si="4"/>
        <v xml:space="preserve">Medio </v>
      </c>
      <c r="M52" s="53"/>
      <c r="N52" s="53"/>
      <c r="O52" s="53"/>
      <c r="P52" s="53"/>
      <c r="Q52" s="53"/>
      <c r="R52" s="53"/>
      <c r="Y52" s="53"/>
      <c r="Z52" s="53"/>
      <c r="AA52" s="53"/>
      <c r="AB52" s="53"/>
      <c r="AC52" s="53"/>
      <c r="AD52" s="53"/>
      <c r="AK52" s="53"/>
      <c r="AL52" s="53"/>
      <c r="AM52" s="53"/>
      <c r="AN52" s="53"/>
      <c r="AO52" s="53"/>
      <c r="AP52" s="53"/>
      <c r="AW52" s="53"/>
      <c r="AX52" s="53"/>
      <c r="AY52" s="53"/>
      <c r="AZ52" s="53"/>
      <c r="BA52" s="53"/>
      <c r="BB52" s="53"/>
    </row>
    <row r="53" spans="1:54" x14ac:dyDescent="0.25">
      <c r="A53" t="s">
        <v>73</v>
      </c>
      <c r="B53">
        <f>SUM('Gestión de abastecimiento'!B54:G54)</f>
        <v>12</v>
      </c>
      <c r="C53" s="3" t="str">
        <f t="shared" si="0"/>
        <v>Bajo</v>
      </c>
      <c r="D53">
        <f>SUM('Gestión de abastecimiento'!H54:M54)</f>
        <v>12</v>
      </c>
      <c r="E53" s="3" t="str">
        <f t="shared" si="1"/>
        <v>Bajo</v>
      </c>
      <c r="F53">
        <f>SUM('Gestión de abastecimiento'!N54:S54)</f>
        <v>12</v>
      </c>
      <c r="G53" s="3" t="str">
        <f t="shared" si="2"/>
        <v>Bajo</v>
      </c>
      <c r="H53">
        <f t="shared" si="3"/>
        <v>36</v>
      </c>
      <c r="I53" s="3" t="str">
        <f t="shared" si="4"/>
        <v>Bajo</v>
      </c>
      <c r="M53" s="53"/>
      <c r="N53" s="53"/>
      <c r="O53" s="53"/>
      <c r="P53" s="53"/>
      <c r="Q53" s="53"/>
      <c r="R53" s="53"/>
      <c r="Y53" s="53"/>
      <c r="Z53" s="53"/>
      <c r="AA53" s="53"/>
      <c r="AB53" s="53"/>
      <c r="AC53" s="53"/>
      <c r="AD53" s="53"/>
      <c r="AK53" s="53"/>
      <c r="AL53" s="53"/>
      <c r="AM53" s="53"/>
      <c r="AN53" s="53"/>
      <c r="AO53" s="53"/>
      <c r="AP53" s="53"/>
      <c r="AW53" s="53"/>
      <c r="AX53" s="53"/>
      <c r="AY53" s="53"/>
      <c r="AZ53" s="53"/>
      <c r="BA53" s="53"/>
      <c r="BB53" s="53"/>
    </row>
    <row r="54" spans="1:54" x14ac:dyDescent="0.25">
      <c r="A54" t="s">
        <v>74</v>
      </c>
      <c r="B54">
        <f>SUM('Gestión de abastecimiento'!B55:G55)</f>
        <v>16</v>
      </c>
      <c r="C54" s="3" t="str">
        <f t="shared" si="0"/>
        <v xml:space="preserve">Medio </v>
      </c>
      <c r="D54">
        <f>SUM('Gestión de abastecimiento'!H55:M55)</f>
        <v>14</v>
      </c>
      <c r="E54" s="3" t="str">
        <f t="shared" si="1"/>
        <v>Bajo</v>
      </c>
      <c r="F54">
        <f>SUM('Gestión de abastecimiento'!N55:S55)</f>
        <v>13</v>
      </c>
      <c r="G54" s="3" t="str">
        <f t="shared" si="2"/>
        <v>Bajo</v>
      </c>
      <c r="H54">
        <f t="shared" si="3"/>
        <v>43</v>
      </c>
      <c r="I54" s="3" t="str">
        <f t="shared" si="4"/>
        <v xml:space="preserve">Medio </v>
      </c>
    </row>
    <row r="55" spans="1:54" x14ac:dyDescent="0.25">
      <c r="A55" t="s">
        <v>75</v>
      </c>
      <c r="B55">
        <f>SUM('Gestión de abastecimiento'!B56:G56)</f>
        <v>23</v>
      </c>
      <c r="C55" s="3" t="str">
        <f t="shared" si="0"/>
        <v xml:space="preserve">Medio </v>
      </c>
      <c r="D55">
        <f>SUM('Gestión de abastecimiento'!H56:M56)</f>
        <v>24</v>
      </c>
      <c r="E55" s="3" t="str">
        <f t="shared" si="1"/>
        <v>Alto</v>
      </c>
      <c r="F55">
        <f>SUM('Gestión de abastecimiento'!N56:S56)</f>
        <v>24</v>
      </c>
      <c r="G55" s="3" t="str">
        <f t="shared" si="2"/>
        <v>Alto</v>
      </c>
      <c r="H55">
        <f t="shared" si="3"/>
        <v>71</v>
      </c>
      <c r="I55" s="3" t="str">
        <f t="shared" si="4"/>
        <v>Alto</v>
      </c>
    </row>
    <row r="56" spans="1:54" x14ac:dyDescent="0.25">
      <c r="A56" t="s">
        <v>76</v>
      </c>
      <c r="B56">
        <f>SUM('Gestión de abastecimiento'!B57:G57)</f>
        <v>18</v>
      </c>
      <c r="C56" s="3" t="str">
        <f t="shared" si="0"/>
        <v xml:space="preserve">Medio </v>
      </c>
      <c r="D56">
        <f>SUM('Gestión de abastecimiento'!H57:M57)</f>
        <v>18</v>
      </c>
      <c r="E56" s="3" t="str">
        <f t="shared" si="1"/>
        <v xml:space="preserve">Medio </v>
      </c>
      <c r="F56">
        <f>SUM('Gestión de abastecimiento'!N57:S57)</f>
        <v>18</v>
      </c>
      <c r="G56" s="3" t="str">
        <f t="shared" si="2"/>
        <v xml:space="preserve">Medio </v>
      </c>
      <c r="H56">
        <f t="shared" si="3"/>
        <v>54</v>
      </c>
      <c r="I56" s="3" t="str">
        <f t="shared" si="4"/>
        <v xml:space="preserve">Medio </v>
      </c>
    </row>
    <row r="57" spans="1:54" x14ac:dyDescent="0.25">
      <c r="A57" t="s">
        <v>77</v>
      </c>
      <c r="B57">
        <f>SUM('Gestión de abastecimiento'!B58:G58)</f>
        <v>23</v>
      </c>
      <c r="C57" s="3" t="str">
        <f t="shared" si="0"/>
        <v xml:space="preserve">Medio </v>
      </c>
      <c r="D57">
        <f>SUM('Gestión de abastecimiento'!H58:M58)</f>
        <v>24</v>
      </c>
      <c r="E57" s="3" t="str">
        <f t="shared" si="1"/>
        <v>Alto</v>
      </c>
      <c r="F57">
        <f>SUM('Gestión de abastecimiento'!N58:S58)</f>
        <v>24</v>
      </c>
      <c r="G57" s="3" t="str">
        <f t="shared" si="2"/>
        <v>Alto</v>
      </c>
      <c r="H57">
        <f t="shared" si="3"/>
        <v>71</v>
      </c>
      <c r="I57" s="3" t="str">
        <f t="shared" si="4"/>
        <v>Alto</v>
      </c>
    </row>
    <row r="58" spans="1:54" x14ac:dyDescent="0.25">
      <c r="A58" t="s">
        <v>78</v>
      </c>
      <c r="B58">
        <f>SUM('Gestión de abastecimiento'!B59:G59)</f>
        <v>17</v>
      </c>
      <c r="C58" s="3" t="str">
        <f t="shared" si="0"/>
        <v xml:space="preserve">Medio </v>
      </c>
      <c r="D58">
        <f>SUM('Gestión de abastecimiento'!H59:M59)</f>
        <v>18</v>
      </c>
      <c r="E58" s="3" t="str">
        <f t="shared" si="1"/>
        <v xml:space="preserve">Medio </v>
      </c>
      <c r="F58">
        <f>SUM('Gestión de abastecimiento'!N59:S59)</f>
        <v>17</v>
      </c>
      <c r="G58" s="3" t="str">
        <f t="shared" si="2"/>
        <v xml:space="preserve">Medio </v>
      </c>
      <c r="H58">
        <f t="shared" si="3"/>
        <v>52</v>
      </c>
      <c r="I58" s="3" t="str">
        <f t="shared" si="4"/>
        <v xml:space="preserve">Medio </v>
      </c>
    </row>
    <row r="59" spans="1:54" x14ac:dyDescent="0.25">
      <c r="A59" t="s">
        <v>79</v>
      </c>
      <c r="B59">
        <f>SUM('Gestión de abastecimiento'!B60:G60)</f>
        <v>12</v>
      </c>
      <c r="C59" s="3" t="str">
        <f t="shared" si="0"/>
        <v>Bajo</v>
      </c>
      <c r="D59">
        <f>SUM('Gestión de abastecimiento'!H60:M60)</f>
        <v>12</v>
      </c>
      <c r="E59" s="3" t="str">
        <f t="shared" si="1"/>
        <v>Bajo</v>
      </c>
      <c r="F59">
        <f>SUM('Gestión de abastecimiento'!N60:S60)</f>
        <v>12</v>
      </c>
      <c r="G59" s="3" t="str">
        <f t="shared" si="2"/>
        <v>Bajo</v>
      </c>
      <c r="H59">
        <f t="shared" si="3"/>
        <v>36</v>
      </c>
      <c r="I59" s="3" t="str">
        <f t="shared" si="4"/>
        <v>Bajo</v>
      </c>
    </row>
    <row r="60" spans="1:54" x14ac:dyDescent="0.25">
      <c r="A60" t="s">
        <v>80</v>
      </c>
      <c r="B60">
        <f>SUM('Gestión de abastecimiento'!B61:G61)</f>
        <v>18</v>
      </c>
      <c r="C60" s="3" t="str">
        <f t="shared" si="0"/>
        <v xml:space="preserve">Medio </v>
      </c>
      <c r="D60">
        <f>SUM('Gestión de abastecimiento'!H61:M61)</f>
        <v>16</v>
      </c>
      <c r="E60" s="3" t="str">
        <f t="shared" si="1"/>
        <v xml:space="preserve">Medio </v>
      </c>
      <c r="F60">
        <f>SUM('Gestión de abastecimiento'!N61:S61)</f>
        <v>14</v>
      </c>
      <c r="G60" s="3" t="str">
        <f t="shared" si="2"/>
        <v>Bajo</v>
      </c>
      <c r="H60">
        <f t="shared" si="3"/>
        <v>48</v>
      </c>
      <c r="I60" s="3" t="str">
        <f t="shared" si="4"/>
        <v xml:space="preserve">Medio </v>
      </c>
    </row>
    <row r="61" spans="1:54" x14ac:dyDescent="0.25">
      <c r="A61" t="s">
        <v>81</v>
      </c>
      <c r="B61">
        <f>SUM('Gestión de abastecimiento'!B62:G62)</f>
        <v>20</v>
      </c>
      <c r="C61" s="3" t="str">
        <f t="shared" si="0"/>
        <v xml:space="preserve">Medio </v>
      </c>
      <c r="D61">
        <f>SUM('Gestión de abastecimiento'!H62:M62)</f>
        <v>22</v>
      </c>
      <c r="E61" s="3" t="str">
        <f t="shared" si="1"/>
        <v xml:space="preserve">Medio </v>
      </c>
      <c r="F61">
        <f>SUM('Gestión de abastecimiento'!N62:S62)</f>
        <v>21</v>
      </c>
      <c r="G61" s="3" t="str">
        <f t="shared" si="2"/>
        <v xml:space="preserve">Medio </v>
      </c>
      <c r="H61">
        <f t="shared" si="3"/>
        <v>63</v>
      </c>
      <c r="I61" s="3" t="str">
        <f t="shared" si="4"/>
        <v xml:space="preserve">Medio </v>
      </c>
    </row>
    <row r="62" spans="1:54" x14ac:dyDescent="0.25">
      <c r="A62" t="s">
        <v>82</v>
      </c>
      <c r="B62">
        <f>SUM('Gestión de abastecimiento'!B63:G63)</f>
        <v>18</v>
      </c>
      <c r="C62" s="3" t="str">
        <f t="shared" si="0"/>
        <v xml:space="preserve">Medio </v>
      </c>
      <c r="D62">
        <f>SUM('Gestión de abastecimiento'!H63:M63)</f>
        <v>18</v>
      </c>
      <c r="E62" s="3" t="str">
        <f t="shared" si="1"/>
        <v xml:space="preserve">Medio </v>
      </c>
      <c r="F62">
        <f>SUM('Gestión de abastecimiento'!N63:S63)</f>
        <v>18</v>
      </c>
      <c r="G62" s="3" t="str">
        <f t="shared" si="2"/>
        <v xml:space="preserve">Medio </v>
      </c>
      <c r="H62">
        <f t="shared" si="3"/>
        <v>54</v>
      </c>
      <c r="I62" s="3" t="str">
        <f t="shared" si="4"/>
        <v xml:space="preserve">Medio </v>
      </c>
    </row>
    <row r="63" spans="1:54" x14ac:dyDescent="0.25">
      <c r="A63" t="s">
        <v>83</v>
      </c>
      <c r="B63">
        <f>SUM('Gestión de abastecimiento'!B64:G64)</f>
        <v>16</v>
      </c>
      <c r="C63" s="3" t="str">
        <f t="shared" si="0"/>
        <v xml:space="preserve">Medio </v>
      </c>
      <c r="D63">
        <f>SUM('Gestión de abastecimiento'!H64:M64)</f>
        <v>15</v>
      </c>
      <c r="E63" s="3" t="str">
        <f t="shared" si="1"/>
        <v xml:space="preserve">Medio </v>
      </c>
      <c r="F63">
        <f>SUM('Gestión de abastecimiento'!N64:S64)</f>
        <v>15</v>
      </c>
      <c r="G63" s="3" t="str">
        <f t="shared" si="2"/>
        <v xml:space="preserve">Medio </v>
      </c>
      <c r="H63">
        <f t="shared" si="3"/>
        <v>46</v>
      </c>
      <c r="I63" s="3" t="str">
        <f t="shared" si="4"/>
        <v xml:space="preserve">Medio </v>
      </c>
    </row>
    <row r="64" spans="1:54" x14ac:dyDescent="0.25">
      <c r="A64" t="s">
        <v>84</v>
      </c>
      <c r="B64">
        <f>SUM('Gestión de abastecimiento'!B65:G65)</f>
        <v>18</v>
      </c>
      <c r="C64" s="3" t="str">
        <f t="shared" si="0"/>
        <v xml:space="preserve">Medio </v>
      </c>
      <c r="D64">
        <f>SUM('Gestión de abastecimiento'!H65:M65)</f>
        <v>18</v>
      </c>
      <c r="E64" s="3" t="str">
        <f t="shared" si="1"/>
        <v xml:space="preserve">Medio </v>
      </c>
      <c r="F64">
        <f>SUM('Gestión de abastecimiento'!N65:S65)</f>
        <v>18</v>
      </c>
      <c r="G64" s="3" t="str">
        <f t="shared" si="2"/>
        <v xml:space="preserve">Medio </v>
      </c>
      <c r="H64">
        <f t="shared" si="3"/>
        <v>54</v>
      </c>
      <c r="I64" s="3" t="str">
        <f t="shared" si="4"/>
        <v xml:space="preserve">Medio </v>
      </c>
    </row>
    <row r="65" spans="1:9" x14ac:dyDescent="0.25">
      <c r="A65" t="s">
        <v>85</v>
      </c>
      <c r="B65">
        <f>SUM('Gestión de abastecimiento'!B66:G66)</f>
        <v>18</v>
      </c>
      <c r="C65" s="3" t="str">
        <f t="shared" si="0"/>
        <v xml:space="preserve">Medio </v>
      </c>
      <c r="D65">
        <f>SUM('Gestión de abastecimiento'!H66:M66)</f>
        <v>18</v>
      </c>
      <c r="E65" s="3" t="str">
        <f t="shared" si="1"/>
        <v xml:space="preserve">Medio </v>
      </c>
      <c r="F65">
        <f>SUM('Gestión de abastecimiento'!N66:S66)</f>
        <v>18</v>
      </c>
      <c r="G65" s="3" t="str">
        <f t="shared" si="2"/>
        <v xml:space="preserve">Medio </v>
      </c>
      <c r="H65">
        <f t="shared" si="3"/>
        <v>54</v>
      </c>
      <c r="I65" s="3" t="str">
        <f t="shared" si="4"/>
        <v xml:space="preserve">Medio </v>
      </c>
    </row>
    <row r="66" spans="1:9" x14ac:dyDescent="0.25">
      <c r="A66" t="s">
        <v>86</v>
      </c>
      <c r="B66">
        <f>SUM('Gestión de abastecimiento'!B67:G67)</f>
        <v>20</v>
      </c>
      <c r="C66" s="3" t="str">
        <f t="shared" si="0"/>
        <v xml:space="preserve">Medio </v>
      </c>
      <c r="D66">
        <f>SUM('Gestión de abastecimiento'!H67:M67)</f>
        <v>20</v>
      </c>
      <c r="E66" s="3" t="str">
        <f t="shared" si="1"/>
        <v xml:space="preserve">Medio </v>
      </c>
      <c r="F66">
        <f>SUM('Gestión de abastecimiento'!N67:S67)</f>
        <v>18</v>
      </c>
      <c r="G66" s="3" t="str">
        <f t="shared" si="2"/>
        <v xml:space="preserve">Medio </v>
      </c>
      <c r="H66">
        <f t="shared" si="3"/>
        <v>58</v>
      </c>
      <c r="I66" s="3" t="str">
        <f t="shared" si="4"/>
        <v xml:space="preserve">Medio </v>
      </c>
    </row>
    <row r="67" spans="1:9" x14ac:dyDescent="0.25">
      <c r="A67" t="s">
        <v>87</v>
      </c>
      <c r="B67">
        <f>SUM('Gestión de abastecimiento'!B68:G68)</f>
        <v>13</v>
      </c>
      <c r="C67" s="3" t="str">
        <f t="shared" si="0"/>
        <v>Bajo</v>
      </c>
      <c r="D67">
        <f>SUM('Gestión de abastecimiento'!H68:M68)</f>
        <v>12</v>
      </c>
      <c r="E67" s="3" t="str">
        <f t="shared" si="1"/>
        <v>Bajo</v>
      </c>
      <c r="F67">
        <f>SUM('Gestión de abastecimiento'!N68:S68)</f>
        <v>12</v>
      </c>
      <c r="G67" s="3" t="str">
        <f t="shared" si="2"/>
        <v>Bajo</v>
      </c>
      <c r="H67">
        <f t="shared" si="3"/>
        <v>37</v>
      </c>
      <c r="I67" s="3" t="str">
        <f t="shared" si="4"/>
        <v>Bajo</v>
      </c>
    </row>
    <row r="68" spans="1:9" x14ac:dyDescent="0.25">
      <c r="A68" t="s">
        <v>88</v>
      </c>
      <c r="B68">
        <f>SUM('Gestión de abastecimiento'!B69:G69)</f>
        <v>29</v>
      </c>
      <c r="C68" s="3" t="str">
        <f t="shared" ref="C68:C131" si="5">IF(B68&lt;=$Q$19,"Bajo",IF(B68&lt;=$Q$20,"Medio ",IF(B68&lt;=$Q$21,"Alto",0)))</f>
        <v>Alto</v>
      </c>
      <c r="D68">
        <f>SUM('Gestión de abastecimiento'!H69:M69)</f>
        <v>30</v>
      </c>
      <c r="E68" s="3" t="str">
        <f t="shared" ref="E68:E131" si="6">IF(D68&lt;=$AC$19,"Bajo",IF(D68&lt;=$AC$20,"Medio ",IF(D68&lt;=$AC$21,"Alto",0)))</f>
        <v>Alto</v>
      </c>
      <c r="F68">
        <f>SUM('Gestión de abastecimiento'!N69:S69)</f>
        <v>30</v>
      </c>
      <c r="G68" s="3" t="str">
        <f t="shared" ref="G68:G131" si="7">IF(F68&lt;=$AO$19,"Bajo",IF(F68&lt;=$AO$20,"Medio ",IF(F68&lt;=$AO$21,"Alto",0)))</f>
        <v>Alto</v>
      </c>
      <c r="H68">
        <f t="shared" ref="H68:H131" si="8">SUM(B68:F68)</f>
        <v>89</v>
      </c>
      <c r="I68" s="3" t="str">
        <f t="shared" ref="I68:I131" si="9">IF(H68&lt;=$BA$19,"Bajo",IF(H68&lt;=$BA$20,"Medio ",IF(H68&lt;=$BA$21,"Alto",0)))</f>
        <v>Alto</v>
      </c>
    </row>
    <row r="69" spans="1:9" x14ac:dyDescent="0.25">
      <c r="A69" t="s">
        <v>89</v>
      </c>
      <c r="B69">
        <f>SUM('Gestión de abastecimiento'!B70:G70)</f>
        <v>16</v>
      </c>
      <c r="C69" s="3" t="str">
        <f t="shared" si="5"/>
        <v xml:space="preserve">Medio </v>
      </c>
      <c r="D69">
        <f>SUM('Gestión de abastecimiento'!H70:M70)</f>
        <v>17</v>
      </c>
      <c r="E69" s="3" t="str">
        <f t="shared" si="6"/>
        <v xml:space="preserve">Medio </v>
      </c>
      <c r="F69">
        <f>SUM('Gestión de abastecimiento'!N70:S70)</f>
        <v>13</v>
      </c>
      <c r="G69" s="3" t="str">
        <f t="shared" si="7"/>
        <v>Bajo</v>
      </c>
      <c r="H69">
        <f t="shared" si="8"/>
        <v>46</v>
      </c>
      <c r="I69" s="3" t="str">
        <f t="shared" si="9"/>
        <v xml:space="preserve">Medio </v>
      </c>
    </row>
    <row r="70" spans="1:9" x14ac:dyDescent="0.25">
      <c r="A70" t="s">
        <v>90</v>
      </c>
      <c r="B70">
        <f>SUM('Gestión de abastecimiento'!B71:G71)</f>
        <v>17</v>
      </c>
      <c r="C70" s="3" t="str">
        <f t="shared" si="5"/>
        <v xml:space="preserve">Medio </v>
      </c>
      <c r="D70">
        <f>SUM('Gestión de abastecimiento'!H71:M71)</f>
        <v>17</v>
      </c>
      <c r="E70" s="3" t="str">
        <f t="shared" si="6"/>
        <v xml:space="preserve">Medio </v>
      </c>
      <c r="F70">
        <f>SUM('Gestión de abastecimiento'!N71:S71)</f>
        <v>15</v>
      </c>
      <c r="G70" s="3" t="str">
        <f t="shared" si="7"/>
        <v xml:space="preserve">Medio </v>
      </c>
      <c r="H70">
        <f t="shared" si="8"/>
        <v>49</v>
      </c>
      <c r="I70" s="3" t="str">
        <f t="shared" si="9"/>
        <v xml:space="preserve">Medio </v>
      </c>
    </row>
    <row r="71" spans="1:9" x14ac:dyDescent="0.25">
      <c r="A71" t="s">
        <v>91</v>
      </c>
      <c r="B71">
        <f>SUM('Gestión de abastecimiento'!B72:G72)</f>
        <v>25</v>
      </c>
      <c r="C71" s="3" t="str">
        <f t="shared" si="5"/>
        <v>Alto</v>
      </c>
      <c r="D71">
        <f>SUM('Gestión de abastecimiento'!H72:M72)</f>
        <v>25</v>
      </c>
      <c r="E71" s="3" t="str">
        <f t="shared" si="6"/>
        <v>Alto</v>
      </c>
      <c r="F71">
        <f>SUM('Gestión de abastecimiento'!N72:S72)</f>
        <v>25</v>
      </c>
      <c r="G71" s="3" t="str">
        <f t="shared" si="7"/>
        <v>Alto</v>
      </c>
      <c r="H71">
        <f t="shared" si="8"/>
        <v>75</v>
      </c>
      <c r="I71" s="3" t="str">
        <f t="shared" si="9"/>
        <v>Alto</v>
      </c>
    </row>
    <row r="72" spans="1:9" x14ac:dyDescent="0.25">
      <c r="A72" t="s">
        <v>92</v>
      </c>
      <c r="B72">
        <f>SUM('Gestión de abastecimiento'!B73:G73)</f>
        <v>18</v>
      </c>
      <c r="C72" s="3" t="str">
        <f t="shared" si="5"/>
        <v xml:space="preserve">Medio </v>
      </c>
      <c r="D72">
        <f>SUM('Gestión de abastecimiento'!H73:M73)</f>
        <v>19</v>
      </c>
      <c r="E72" s="3" t="str">
        <f t="shared" si="6"/>
        <v xml:space="preserve">Medio </v>
      </c>
      <c r="F72">
        <f>SUM('Gestión de abastecimiento'!N73:S73)</f>
        <v>19</v>
      </c>
      <c r="G72" s="3" t="str">
        <f t="shared" si="7"/>
        <v xml:space="preserve">Medio </v>
      </c>
      <c r="H72">
        <f t="shared" si="8"/>
        <v>56</v>
      </c>
      <c r="I72" s="3" t="str">
        <f t="shared" si="9"/>
        <v xml:space="preserve">Medio </v>
      </c>
    </row>
    <row r="73" spans="1:9" x14ac:dyDescent="0.25">
      <c r="A73" t="s">
        <v>93</v>
      </c>
      <c r="B73">
        <f>SUM('Gestión de abastecimiento'!B74:G74)</f>
        <v>20</v>
      </c>
      <c r="C73" s="3" t="str">
        <f t="shared" si="5"/>
        <v xml:space="preserve">Medio </v>
      </c>
      <c r="D73">
        <f>SUM('Gestión de abastecimiento'!H74:M74)</f>
        <v>20</v>
      </c>
      <c r="E73" s="3" t="str">
        <f t="shared" si="6"/>
        <v xml:space="preserve">Medio </v>
      </c>
      <c r="F73">
        <f>SUM('Gestión de abastecimiento'!N74:S74)</f>
        <v>20</v>
      </c>
      <c r="G73" s="3" t="str">
        <f t="shared" si="7"/>
        <v xml:space="preserve">Medio </v>
      </c>
      <c r="H73">
        <f t="shared" si="8"/>
        <v>60</v>
      </c>
      <c r="I73" s="3" t="str">
        <f t="shared" si="9"/>
        <v xml:space="preserve">Medio </v>
      </c>
    </row>
    <row r="74" spans="1:9" x14ac:dyDescent="0.25">
      <c r="A74" t="s">
        <v>94</v>
      </c>
      <c r="B74">
        <f>SUM('Gestión de abastecimiento'!B75:G75)</f>
        <v>16</v>
      </c>
      <c r="C74" s="3" t="str">
        <f t="shared" si="5"/>
        <v xml:space="preserve">Medio </v>
      </c>
      <c r="D74">
        <f>SUM('Gestión de abastecimiento'!H75:M75)</f>
        <v>16</v>
      </c>
      <c r="E74" s="3" t="str">
        <f t="shared" si="6"/>
        <v xml:space="preserve">Medio </v>
      </c>
      <c r="F74">
        <f>SUM('Gestión de abastecimiento'!N75:S75)</f>
        <v>14</v>
      </c>
      <c r="G74" s="3" t="str">
        <f t="shared" si="7"/>
        <v>Bajo</v>
      </c>
      <c r="H74">
        <f t="shared" si="8"/>
        <v>46</v>
      </c>
      <c r="I74" s="3" t="str">
        <f t="shared" si="9"/>
        <v xml:space="preserve">Medio </v>
      </c>
    </row>
    <row r="75" spans="1:9" x14ac:dyDescent="0.25">
      <c r="A75" t="s">
        <v>95</v>
      </c>
      <c r="B75">
        <f>SUM('Gestión de abastecimiento'!B76:G76)</f>
        <v>7</v>
      </c>
      <c r="C75" s="3" t="str">
        <f t="shared" si="5"/>
        <v>Bajo</v>
      </c>
      <c r="D75">
        <f>SUM('Gestión de abastecimiento'!H76:M76)</f>
        <v>8</v>
      </c>
      <c r="E75" s="3" t="str">
        <f t="shared" si="6"/>
        <v>Bajo</v>
      </c>
      <c r="F75">
        <f>SUM('Gestión de abastecimiento'!N76:S76)</f>
        <v>7</v>
      </c>
      <c r="G75" s="3" t="str">
        <f t="shared" si="7"/>
        <v>Bajo</v>
      </c>
      <c r="H75">
        <f t="shared" si="8"/>
        <v>22</v>
      </c>
      <c r="I75" s="3" t="str">
        <f t="shared" si="9"/>
        <v>Bajo</v>
      </c>
    </row>
    <row r="76" spans="1:9" x14ac:dyDescent="0.25">
      <c r="A76" t="s">
        <v>96</v>
      </c>
      <c r="B76">
        <f>SUM('Gestión de abastecimiento'!B77:G77)</f>
        <v>18</v>
      </c>
      <c r="C76" s="3" t="str">
        <f t="shared" si="5"/>
        <v xml:space="preserve">Medio </v>
      </c>
      <c r="D76">
        <f>SUM('Gestión de abastecimiento'!H77:M77)</f>
        <v>17</v>
      </c>
      <c r="E76" s="3" t="str">
        <f t="shared" si="6"/>
        <v xml:space="preserve">Medio </v>
      </c>
      <c r="F76">
        <f>SUM('Gestión de abastecimiento'!N77:S77)</f>
        <v>14</v>
      </c>
      <c r="G76" s="3" t="str">
        <f t="shared" si="7"/>
        <v>Bajo</v>
      </c>
      <c r="H76">
        <f t="shared" si="8"/>
        <v>49</v>
      </c>
      <c r="I76" s="3" t="str">
        <f t="shared" si="9"/>
        <v xml:space="preserve">Medio </v>
      </c>
    </row>
    <row r="77" spans="1:9" x14ac:dyDescent="0.25">
      <c r="A77" t="s">
        <v>97</v>
      </c>
      <c r="B77">
        <f>SUM('Gestión de abastecimiento'!B78:G78)</f>
        <v>18</v>
      </c>
      <c r="C77" s="3" t="str">
        <f t="shared" si="5"/>
        <v xml:space="preserve">Medio </v>
      </c>
      <c r="D77">
        <f>SUM('Gestión de abastecimiento'!H78:M78)</f>
        <v>17</v>
      </c>
      <c r="E77" s="3" t="str">
        <f t="shared" si="6"/>
        <v xml:space="preserve">Medio </v>
      </c>
      <c r="F77">
        <f>SUM('Gestión de abastecimiento'!N78:S78)</f>
        <v>17</v>
      </c>
      <c r="G77" s="3" t="str">
        <f t="shared" si="7"/>
        <v xml:space="preserve">Medio </v>
      </c>
      <c r="H77">
        <f t="shared" si="8"/>
        <v>52</v>
      </c>
      <c r="I77" s="3" t="str">
        <f t="shared" si="9"/>
        <v xml:space="preserve">Medio </v>
      </c>
    </row>
    <row r="78" spans="1:9" x14ac:dyDescent="0.25">
      <c r="A78" t="s">
        <v>98</v>
      </c>
      <c r="B78">
        <f>SUM('Gestión de abastecimiento'!B79:G79)</f>
        <v>18</v>
      </c>
      <c r="C78" s="3" t="str">
        <f t="shared" si="5"/>
        <v xml:space="preserve">Medio </v>
      </c>
      <c r="D78">
        <f>SUM('Gestión de abastecimiento'!H79:M79)</f>
        <v>17</v>
      </c>
      <c r="E78" s="3" t="str">
        <f t="shared" si="6"/>
        <v xml:space="preserve">Medio </v>
      </c>
      <c r="F78">
        <f>SUM('Gestión de abastecimiento'!N79:S79)</f>
        <v>13</v>
      </c>
      <c r="G78" s="3" t="str">
        <f t="shared" si="7"/>
        <v>Bajo</v>
      </c>
      <c r="H78">
        <f t="shared" si="8"/>
        <v>48</v>
      </c>
      <c r="I78" s="3" t="str">
        <f t="shared" si="9"/>
        <v xml:space="preserve">Medio </v>
      </c>
    </row>
    <row r="79" spans="1:9" x14ac:dyDescent="0.25">
      <c r="A79" t="s">
        <v>99</v>
      </c>
      <c r="B79">
        <f>SUM('Gestión de abastecimiento'!B80:G80)</f>
        <v>18</v>
      </c>
      <c r="C79" s="3" t="str">
        <f t="shared" si="5"/>
        <v xml:space="preserve">Medio </v>
      </c>
      <c r="D79">
        <f>SUM('Gestión de abastecimiento'!H80:M80)</f>
        <v>18</v>
      </c>
      <c r="E79" s="3" t="str">
        <f t="shared" si="6"/>
        <v xml:space="preserve">Medio </v>
      </c>
      <c r="F79">
        <f>SUM('Gestión de abastecimiento'!N80:S80)</f>
        <v>18</v>
      </c>
      <c r="G79" s="3" t="str">
        <f t="shared" si="7"/>
        <v xml:space="preserve">Medio </v>
      </c>
      <c r="H79">
        <f t="shared" si="8"/>
        <v>54</v>
      </c>
      <c r="I79" s="3" t="str">
        <f t="shared" si="9"/>
        <v xml:space="preserve">Medio </v>
      </c>
    </row>
    <row r="80" spans="1:9" x14ac:dyDescent="0.25">
      <c r="A80" t="s">
        <v>100</v>
      </c>
      <c r="B80">
        <f>SUM('Gestión de abastecimiento'!B81:G81)</f>
        <v>18</v>
      </c>
      <c r="C80" s="3" t="str">
        <f t="shared" si="5"/>
        <v xml:space="preserve">Medio </v>
      </c>
      <c r="D80">
        <f>SUM('Gestión de abastecimiento'!H81:M81)</f>
        <v>18</v>
      </c>
      <c r="E80" s="3" t="str">
        <f t="shared" si="6"/>
        <v xml:space="preserve">Medio </v>
      </c>
      <c r="F80">
        <f>SUM('Gestión de abastecimiento'!N81:S81)</f>
        <v>18</v>
      </c>
      <c r="G80" s="3" t="str">
        <f t="shared" si="7"/>
        <v xml:space="preserve">Medio </v>
      </c>
      <c r="H80">
        <f t="shared" si="8"/>
        <v>54</v>
      </c>
      <c r="I80" s="3" t="str">
        <f t="shared" si="9"/>
        <v xml:space="preserve">Medio </v>
      </c>
    </row>
    <row r="81" spans="1:9" x14ac:dyDescent="0.25">
      <c r="A81" t="s">
        <v>101</v>
      </c>
      <c r="B81">
        <f>SUM('Gestión de abastecimiento'!B82:G82)</f>
        <v>20</v>
      </c>
      <c r="C81" s="3" t="str">
        <f t="shared" si="5"/>
        <v xml:space="preserve">Medio </v>
      </c>
      <c r="D81">
        <f>SUM('Gestión de abastecimiento'!H82:M82)</f>
        <v>20</v>
      </c>
      <c r="E81" s="3" t="str">
        <f t="shared" si="6"/>
        <v xml:space="preserve">Medio </v>
      </c>
      <c r="F81">
        <f>SUM('Gestión de abastecimiento'!N82:S82)</f>
        <v>21</v>
      </c>
      <c r="G81" s="3" t="str">
        <f t="shared" si="7"/>
        <v xml:space="preserve">Medio </v>
      </c>
      <c r="H81">
        <f t="shared" si="8"/>
        <v>61</v>
      </c>
      <c r="I81" s="3" t="str">
        <f t="shared" si="9"/>
        <v xml:space="preserve">Medio </v>
      </c>
    </row>
    <row r="82" spans="1:9" x14ac:dyDescent="0.25">
      <c r="A82" t="s">
        <v>102</v>
      </c>
      <c r="B82">
        <f>SUM('Gestión de abastecimiento'!B83:G83)</f>
        <v>17</v>
      </c>
      <c r="C82" s="3" t="str">
        <f t="shared" si="5"/>
        <v xml:space="preserve">Medio </v>
      </c>
      <c r="D82">
        <f>SUM('Gestión de abastecimiento'!H83:M83)</f>
        <v>18</v>
      </c>
      <c r="E82" s="3" t="str">
        <f t="shared" si="6"/>
        <v xml:space="preserve">Medio </v>
      </c>
      <c r="F82">
        <f>SUM('Gestión de abastecimiento'!N83:S83)</f>
        <v>18</v>
      </c>
      <c r="G82" s="3" t="str">
        <f t="shared" si="7"/>
        <v xml:space="preserve">Medio </v>
      </c>
      <c r="H82">
        <f t="shared" si="8"/>
        <v>53</v>
      </c>
      <c r="I82" s="3" t="str">
        <f t="shared" si="9"/>
        <v xml:space="preserve">Medio </v>
      </c>
    </row>
    <row r="83" spans="1:9" x14ac:dyDescent="0.25">
      <c r="A83" t="s">
        <v>103</v>
      </c>
      <c r="B83">
        <f>SUM('Gestión de abastecimiento'!B84:G84)</f>
        <v>24</v>
      </c>
      <c r="C83" s="3" t="str">
        <f t="shared" si="5"/>
        <v>Alto</v>
      </c>
      <c r="D83">
        <f>SUM('Gestión de abastecimiento'!H84:M84)</f>
        <v>21</v>
      </c>
      <c r="E83" s="3" t="str">
        <f t="shared" si="6"/>
        <v xml:space="preserve">Medio </v>
      </c>
      <c r="F83">
        <f>SUM('Gestión de abastecimiento'!N84:S84)</f>
        <v>21</v>
      </c>
      <c r="G83" s="3" t="str">
        <f t="shared" si="7"/>
        <v xml:space="preserve">Medio </v>
      </c>
      <c r="H83">
        <f t="shared" si="8"/>
        <v>66</v>
      </c>
      <c r="I83" s="3" t="str">
        <f t="shared" si="9"/>
        <v>Alto</v>
      </c>
    </row>
    <row r="84" spans="1:9" x14ac:dyDescent="0.25">
      <c r="A84" t="s">
        <v>104</v>
      </c>
      <c r="B84">
        <f>SUM('Gestión de abastecimiento'!B85:G85)</f>
        <v>17</v>
      </c>
      <c r="C84" s="3" t="str">
        <f t="shared" si="5"/>
        <v xml:space="preserve">Medio </v>
      </c>
      <c r="D84">
        <f>SUM('Gestión de abastecimiento'!H85:M85)</f>
        <v>18</v>
      </c>
      <c r="E84" s="3" t="str">
        <f t="shared" si="6"/>
        <v xml:space="preserve">Medio </v>
      </c>
      <c r="F84">
        <f>SUM('Gestión de abastecimiento'!N85:S85)</f>
        <v>16</v>
      </c>
      <c r="G84" s="3" t="str">
        <f t="shared" si="7"/>
        <v xml:space="preserve">Medio </v>
      </c>
      <c r="H84">
        <f t="shared" si="8"/>
        <v>51</v>
      </c>
      <c r="I84" s="3" t="str">
        <f t="shared" si="9"/>
        <v xml:space="preserve">Medio </v>
      </c>
    </row>
    <row r="85" spans="1:9" x14ac:dyDescent="0.25">
      <c r="A85" t="s">
        <v>105</v>
      </c>
      <c r="B85">
        <f>SUM('Gestión de abastecimiento'!B86:G86)</f>
        <v>16</v>
      </c>
      <c r="C85" s="3" t="str">
        <f t="shared" si="5"/>
        <v xml:space="preserve">Medio </v>
      </c>
      <c r="D85">
        <f>SUM('Gestión de abastecimiento'!H86:M86)</f>
        <v>18</v>
      </c>
      <c r="E85" s="3" t="str">
        <f t="shared" si="6"/>
        <v xml:space="preserve">Medio </v>
      </c>
      <c r="F85">
        <f>SUM('Gestión de abastecimiento'!N86:S86)</f>
        <v>15</v>
      </c>
      <c r="G85" s="3" t="str">
        <f t="shared" si="7"/>
        <v xml:space="preserve">Medio </v>
      </c>
      <c r="H85">
        <f t="shared" si="8"/>
        <v>49</v>
      </c>
      <c r="I85" s="3" t="str">
        <f t="shared" si="9"/>
        <v xml:space="preserve">Medio </v>
      </c>
    </row>
    <row r="86" spans="1:9" x14ac:dyDescent="0.25">
      <c r="A86" t="s">
        <v>106</v>
      </c>
      <c r="B86">
        <f>SUM('Gestión de abastecimiento'!B87:G87)</f>
        <v>15</v>
      </c>
      <c r="C86" s="3" t="str">
        <f t="shared" si="5"/>
        <v xml:space="preserve">Medio </v>
      </c>
      <c r="D86">
        <f>SUM('Gestión de abastecimiento'!H87:M87)</f>
        <v>15</v>
      </c>
      <c r="E86" s="3" t="str">
        <f t="shared" si="6"/>
        <v xml:space="preserve">Medio </v>
      </c>
      <c r="F86">
        <f>SUM('Gestión de abastecimiento'!N87:S87)</f>
        <v>15</v>
      </c>
      <c r="G86" s="3" t="str">
        <f t="shared" si="7"/>
        <v xml:space="preserve">Medio </v>
      </c>
      <c r="H86">
        <f t="shared" si="8"/>
        <v>45</v>
      </c>
      <c r="I86" s="3" t="str">
        <f t="shared" si="9"/>
        <v xml:space="preserve">Medio </v>
      </c>
    </row>
    <row r="87" spans="1:9" x14ac:dyDescent="0.25">
      <c r="A87" t="s">
        <v>107</v>
      </c>
      <c r="B87">
        <f>SUM('Gestión de abastecimiento'!B88:G88)</f>
        <v>13</v>
      </c>
      <c r="C87" s="3" t="str">
        <f t="shared" si="5"/>
        <v>Bajo</v>
      </c>
      <c r="D87">
        <f>SUM('Gestión de abastecimiento'!H88:M88)</f>
        <v>15</v>
      </c>
      <c r="E87" s="3" t="str">
        <f t="shared" si="6"/>
        <v xml:space="preserve">Medio </v>
      </c>
      <c r="F87">
        <f>SUM('Gestión de abastecimiento'!N88:S88)</f>
        <v>13</v>
      </c>
      <c r="G87" s="3" t="str">
        <f t="shared" si="7"/>
        <v>Bajo</v>
      </c>
      <c r="H87">
        <f t="shared" si="8"/>
        <v>41</v>
      </c>
      <c r="I87" s="3" t="str">
        <f t="shared" si="9"/>
        <v>Bajo</v>
      </c>
    </row>
    <row r="88" spans="1:9" x14ac:dyDescent="0.25">
      <c r="A88" t="s">
        <v>108</v>
      </c>
      <c r="B88">
        <f>SUM('Gestión de abastecimiento'!B89:G89)</f>
        <v>29</v>
      </c>
      <c r="C88" s="3" t="str">
        <f t="shared" si="5"/>
        <v>Alto</v>
      </c>
      <c r="D88">
        <f>SUM('Gestión de abastecimiento'!H89:M89)</f>
        <v>28</v>
      </c>
      <c r="E88" s="3" t="str">
        <f t="shared" si="6"/>
        <v>Alto</v>
      </c>
      <c r="F88">
        <f>SUM('Gestión de abastecimiento'!N89:S89)</f>
        <v>28</v>
      </c>
      <c r="G88" s="3" t="str">
        <f t="shared" si="7"/>
        <v>Alto</v>
      </c>
      <c r="H88">
        <f t="shared" si="8"/>
        <v>85</v>
      </c>
      <c r="I88" s="3" t="str">
        <f t="shared" si="9"/>
        <v>Alto</v>
      </c>
    </row>
    <row r="89" spans="1:9" x14ac:dyDescent="0.25">
      <c r="A89" t="s">
        <v>109</v>
      </c>
      <c r="B89">
        <f>SUM('Gestión de abastecimiento'!B90:G90)</f>
        <v>19</v>
      </c>
      <c r="C89" s="3" t="str">
        <f t="shared" si="5"/>
        <v xml:space="preserve">Medio </v>
      </c>
      <c r="D89">
        <f>SUM('Gestión de abastecimiento'!H90:M90)</f>
        <v>20</v>
      </c>
      <c r="E89" s="3" t="str">
        <f t="shared" si="6"/>
        <v xml:space="preserve">Medio </v>
      </c>
      <c r="F89">
        <f>SUM('Gestión de abastecimiento'!N90:S90)</f>
        <v>18</v>
      </c>
      <c r="G89" s="3" t="str">
        <f t="shared" si="7"/>
        <v xml:space="preserve">Medio </v>
      </c>
      <c r="H89">
        <f t="shared" si="8"/>
        <v>57</v>
      </c>
      <c r="I89" s="3" t="str">
        <f t="shared" si="9"/>
        <v xml:space="preserve">Medio </v>
      </c>
    </row>
    <row r="90" spans="1:9" x14ac:dyDescent="0.25">
      <c r="A90" t="s">
        <v>110</v>
      </c>
      <c r="B90">
        <f>SUM('Gestión de abastecimiento'!B91:G91)</f>
        <v>18</v>
      </c>
      <c r="C90" s="3" t="str">
        <f t="shared" si="5"/>
        <v xml:space="preserve">Medio </v>
      </c>
      <c r="D90">
        <f>SUM('Gestión de abastecimiento'!H91:M91)</f>
        <v>16</v>
      </c>
      <c r="E90" s="3" t="str">
        <f t="shared" si="6"/>
        <v xml:space="preserve">Medio </v>
      </c>
      <c r="F90">
        <f>SUM('Gestión de abastecimiento'!N91:S91)</f>
        <v>16</v>
      </c>
      <c r="G90" s="3" t="str">
        <f t="shared" si="7"/>
        <v xml:space="preserve">Medio </v>
      </c>
      <c r="H90">
        <f t="shared" si="8"/>
        <v>50</v>
      </c>
      <c r="I90" s="3" t="str">
        <f t="shared" si="9"/>
        <v xml:space="preserve">Medio </v>
      </c>
    </row>
    <row r="91" spans="1:9" x14ac:dyDescent="0.25">
      <c r="A91" t="s">
        <v>111</v>
      </c>
      <c r="B91">
        <f>SUM('Gestión de abastecimiento'!B92:G92)</f>
        <v>23</v>
      </c>
      <c r="C91" s="3" t="str">
        <f t="shared" si="5"/>
        <v xml:space="preserve">Medio </v>
      </c>
      <c r="D91">
        <f>SUM('Gestión de abastecimiento'!H92:M92)</f>
        <v>24</v>
      </c>
      <c r="E91" s="3" t="str">
        <f t="shared" si="6"/>
        <v>Alto</v>
      </c>
      <c r="F91">
        <f>SUM('Gestión de abastecimiento'!N92:S92)</f>
        <v>23</v>
      </c>
      <c r="G91" s="3" t="str">
        <f t="shared" si="7"/>
        <v xml:space="preserve">Medio </v>
      </c>
      <c r="H91">
        <f t="shared" si="8"/>
        <v>70</v>
      </c>
      <c r="I91" s="3" t="str">
        <f t="shared" si="9"/>
        <v>Alto</v>
      </c>
    </row>
    <row r="92" spans="1:9" x14ac:dyDescent="0.25">
      <c r="A92" t="s">
        <v>112</v>
      </c>
      <c r="B92">
        <f>SUM('Gestión de abastecimiento'!B93:G93)</f>
        <v>12</v>
      </c>
      <c r="C92" s="3" t="str">
        <f t="shared" si="5"/>
        <v>Bajo</v>
      </c>
      <c r="D92">
        <f>SUM('Gestión de abastecimiento'!H93:M93)</f>
        <v>13</v>
      </c>
      <c r="E92" s="3" t="str">
        <f t="shared" si="6"/>
        <v>Bajo</v>
      </c>
      <c r="F92">
        <f>SUM('Gestión de abastecimiento'!N93:S93)</f>
        <v>12</v>
      </c>
      <c r="G92" s="3" t="str">
        <f t="shared" si="7"/>
        <v>Bajo</v>
      </c>
      <c r="H92">
        <f t="shared" si="8"/>
        <v>37</v>
      </c>
      <c r="I92" s="3" t="str">
        <f t="shared" si="9"/>
        <v>Bajo</v>
      </c>
    </row>
    <row r="93" spans="1:9" x14ac:dyDescent="0.25">
      <c r="A93" t="s">
        <v>113</v>
      </c>
      <c r="B93">
        <f>SUM('Gestión de abastecimiento'!B94:G94)</f>
        <v>25</v>
      </c>
      <c r="C93" s="3" t="str">
        <f t="shared" si="5"/>
        <v>Alto</v>
      </c>
      <c r="D93">
        <f>SUM('Gestión de abastecimiento'!H94:M94)</f>
        <v>25</v>
      </c>
      <c r="E93" s="3" t="str">
        <f t="shared" si="6"/>
        <v>Alto</v>
      </c>
      <c r="F93">
        <f>SUM('Gestión de abastecimiento'!N94:S94)</f>
        <v>23</v>
      </c>
      <c r="G93" s="3" t="str">
        <f t="shared" si="7"/>
        <v xml:space="preserve">Medio </v>
      </c>
      <c r="H93">
        <f t="shared" si="8"/>
        <v>73</v>
      </c>
      <c r="I93" s="3" t="str">
        <f t="shared" si="9"/>
        <v>Alto</v>
      </c>
    </row>
    <row r="94" spans="1:9" x14ac:dyDescent="0.25">
      <c r="A94" t="s">
        <v>114</v>
      </c>
      <c r="B94">
        <f>SUM('Gestión de abastecimiento'!B95:G95)</f>
        <v>18</v>
      </c>
      <c r="C94" s="3" t="str">
        <f t="shared" si="5"/>
        <v xml:space="preserve">Medio </v>
      </c>
      <c r="D94">
        <f>SUM('Gestión de abastecimiento'!H95:M95)</f>
        <v>19</v>
      </c>
      <c r="E94" s="3" t="str">
        <f t="shared" si="6"/>
        <v xml:space="preserve">Medio </v>
      </c>
      <c r="F94">
        <f>SUM('Gestión de abastecimiento'!N95:S95)</f>
        <v>17</v>
      </c>
      <c r="G94" s="3" t="str">
        <f t="shared" si="7"/>
        <v xml:space="preserve">Medio </v>
      </c>
      <c r="H94">
        <f t="shared" si="8"/>
        <v>54</v>
      </c>
      <c r="I94" s="3" t="str">
        <f t="shared" si="9"/>
        <v xml:space="preserve">Medio </v>
      </c>
    </row>
    <row r="95" spans="1:9" x14ac:dyDescent="0.25">
      <c r="A95" t="s">
        <v>115</v>
      </c>
      <c r="B95">
        <f>SUM('Gestión de abastecimiento'!B96:G96)</f>
        <v>16</v>
      </c>
      <c r="C95" s="3" t="str">
        <f t="shared" si="5"/>
        <v xml:space="preserve">Medio </v>
      </c>
      <c r="D95">
        <f>SUM('Gestión de abastecimiento'!H96:M96)</f>
        <v>14</v>
      </c>
      <c r="E95" s="3" t="str">
        <f t="shared" si="6"/>
        <v>Bajo</v>
      </c>
      <c r="F95">
        <f>SUM('Gestión de abastecimiento'!N96:S96)</f>
        <v>12</v>
      </c>
      <c r="G95" s="3" t="str">
        <f t="shared" si="7"/>
        <v>Bajo</v>
      </c>
      <c r="H95">
        <f t="shared" si="8"/>
        <v>42</v>
      </c>
      <c r="I95" s="3" t="str">
        <f t="shared" si="9"/>
        <v xml:space="preserve">Medio </v>
      </c>
    </row>
    <row r="96" spans="1:9" x14ac:dyDescent="0.25">
      <c r="A96" t="s">
        <v>116</v>
      </c>
      <c r="B96">
        <f>SUM('Gestión de abastecimiento'!B97:G97)</f>
        <v>15</v>
      </c>
      <c r="C96" s="3" t="str">
        <f t="shared" si="5"/>
        <v xml:space="preserve">Medio </v>
      </c>
      <c r="D96">
        <f>SUM('Gestión de abastecimiento'!H97:M97)</f>
        <v>15</v>
      </c>
      <c r="E96" s="3" t="str">
        <f t="shared" si="6"/>
        <v xml:space="preserve">Medio </v>
      </c>
      <c r="F96">
        <f>SUM('Gestión de abastecimiento'!N97:S97)</f>
        <v>16</v>
      </c>
      <c r="G96" s="3" t="str">
        <f t="shared" si="7"/>
        <v xml:space="preserve">Medio </v>
      </c>
      <c r="H96">
        <f t="shared" si="8"/>
        <v>46</v>
      </c>
      <c r="I96" s="3" t="str">
        <f t="shared" si="9"/>
        <v xml:space="preserve">Medio </v>
      </c>
    </row>
    <row r="97" spans="1:9" x14ac:dyDescent="0.25">
      <c r="A97" t="s">
        <v>117</v>
      </c>
      <c r="B97">
        <f>SUM('Gestión de abastecimiento'!B98:G98)</f>
        <v>24</v>
      </c>
      <c r="C97" s="3" t="str">
        <f t="shared" si="5"/>
        <v>Alto</v>
      </c>
      <c r="D97">
        <f>SUM('Gestión de abastecimiento'!H98:M98)</f>
        <v>24</v>
      </c>
      <c r="E97" s="3" t="str">
        <f t="shared" si="6"/>
        <v>Alto</v>
      </c>
      <c r="F97">
        <f>SUM('Gestión de abastecimiento'!N98:S98)</f>
        <v>24</v>
      </c>
      <c r="G97" s="3" t="str">
        <f t="shared" si="7"/>
        <v>Alto</v>
      </c>
      <c r="H97">
        <f t="shared" si="8"/>
        <v>72</v>
      </c>
      <c r="I97" s="3" t="str">
        <f t="shared" si="9"/>
        <v>Alto</v>
      </c>
    </row>
    <row r="98" spans="1:9" x14ac:dyDescent="0.25">
      <c r="A98" t="s">
        <v>118</v>
      </c>
      <c r="B98">
        <f>SUM('Gestión de abastecimiento'!B99:G99)</f>
        <v>19</v>
      </c>
      <c r="C98" s="3" t="str">
        <f t="shared" si="5"/>
        <v xml:space="preserve">Medio </v>
      </c>
      <c r="D98">
        <f>SUM('Gestión de abastecimiento'!H99:M99)</f>
        <v>18</v>
      </c>
      <c r="E98" s="3" t="str">
        <f t="shared" si="6"/>
        <v xml:space="preserve">Medio </v>
      </c>
      <c r="F98">
        <f>SUM('Gestión de abastecimiento'!N99:S99)</f>
        <v>18</v>
      </c>
      <c r="G98" s="3" t="str">
        <f t="shared" si="7"/>
        <v xml:space="preserve">Medio </v>
      </c>
      <c r="H98">
        <f t="shared" si="8"/>
        <v>55</v>
      </c>
      <c r="I98" s="3" t="str">
        <f t="shared" si="9"/>
        <v xml:space="preserve">Medio </v>
      </c>
    </row>
    <row r="99" spans="1:9" x14ac:dyDescent="0.25">
      <c r="A99" t="s">
        <v>119</v>
      </c>
      <c r="B99">
        <f>SUM('Gestión de abastecimiento'!B100:G100)</f>
        <v>14</v>
      </c>
      <c r="C99" s="3" t="str">
        <f t="shared" si="5"/>
        <v>Bajo</v>
      </c>
      <c r="D99">
        <f>SUM('Gestión de abastecimiento'!H100:M100)</f>
        <v>14</v>
      </c>
      <c r="E99" s="3" t="str">
        <f t="shared" si="6"/>
        <v>Bajo</v>
      </c>
      <c r="F99">
        <f>SUM('Gestión de abastecimiento'!N100:S100)</f>
        <v>13</v>
      </c>
      <c r="G99" s="3" t="str">
        <f t="shared" si="7"/>
        <v>Bajo</v>
      </c>
      <c r="H99">
        <f t="shared" si="8"/>
        <v>41</v>
      </c>
      <c r="I99" s="3" t="str">
        <f t="shared" si="9"/>
        <v>Bajo</v>
      </c>
    </row>
    <row r="100" spans="1:9" x14ac:dyDescent="0.25">
      <c r="A100" t="s">
        <v>120</v>
      </c>
      <c r="B100">
        <f>SUM('Gestión de abastecimiento'!B101:G101)</f>
        <v>20</v>
      </c>
      <c r="C100" s="3" t="str">
        <f t="shared" si="5"/>
        <v xml:space="preserve">Medio </v>
      </c>
      <c r="D100">
        <f>SUM('Gestión de abastecimiento'!H101:M101)</f>
        <v>18</v>
      </c>
      <c r="E100" s="3" t="str">
        <f t="shared" si="6"/>
        <v xml:space="preserve">Medio </v>
      </c>
      <c r="F100">
        <f>SUM('Gestión de abastecimiento'!N101:S101)</f>
        <v>18</v>
      </c>
      <c r="G100" s="3" t="str">
        <f t="shared" si="7"/>
        <v xml:space="preserve">Medio </v>
      </c>
      <c r="H100">
        <f t="shared" si="8"/>
        <v>56</v>
      </c>
      <c r="I100" s="3" t="str">
        <f t="shared" si="9"/>
        <v xml:space="preserve">Medio </v>
      </c>
    </row>
    <row r="101" spans="1:9" x14ac:dyDescent="0.25">
      <c r="A101" t="s">
        <v>121</v>
      </c>
      <c r="B101">
        <f>SUM('Gestión de abastecimiento'!B102:G102)</f>
        <v>15</v>
      </c>
      <c r="C101" s="3" t="str">
        <f t="shared" si="5"/>
        <v xml:space="preserve">Medio </v>
      </c>
      <c r="D101">
        <f>SUM('Gestión de abastecimiento'!H102:M102)</f>
        <v>18</v>
      </c>
      <c r="E101" s="3" t="str">
        <f t="shared" si="6"/>
        <v xml:space="preserve">Medio </v>
      </c>
      <c r="F101">
        <f>SUM('Gestión de abastecimiento'!N102:S102)</f>
        <v>17</v>
      </c>
      <c r="G101" s="3" t="str">
        <f t="shared" si="7"/>
        <v xml:space="preserve">Medio </v>
      </c>
      <c r="H101">
        <f t="shared" si="8"/>
        <v>50</v>
      </c>
      <c r="I101" s="3" t="str">
        <f t="shared" si="9"/>
        <v xml:space="preserve">Medio </v>
      </c>
    </row>
    <row r="102" spans="1:9" x14ac:dyDescent="0.25">
      <c r="A102" t="s">
        <v>122</v>
      </c>
      <c r="B102">
        <f>SUM('Gestión de abastecimiento'!B103:G103)</f>
        <v>18</v>
      </c>
      <c r="C102" s="3" t="str">
        <f t="shared" si="5"/>
        <v xml:space="preserve">Medio </v>
      </c>
      <c r="D102">
        <f>SUM('Gestión de abastecimiento'!H103:M103)</f>
        <v>17</v>
      </c>
      <c r="E102" s="3" t="str">
        <f t="shared" si="6"/>
        <v xml:space="preserve">Medio </v>
      </c>
      <c r="F102">
        <f>SUM('Gestión de abastecimiento'!N103:S103)</f>
        <v>17</v>
      </c>
      <c r="G102" s="3" t="str">
        <f t="shared" si="7"/>
        <v xml:space="preserve">Medio </v>
      </c>
      <c r="H102">
        <f t="shared" si="8"/>
        <v>52</v>
      </c>
      <c r="I102" s="3" t="str">
        <f t="shared" si="9"/>
        <v xml:space="preserve">Medio </v>
      </c>
    </row>
    <row r="103" spans="1:9" x14ac:dyDescent="0.25">
      <c r="A103" t="s">
        <v>123</v>
      </c>
      <c r="B103">
        <f>SUM('Gestión de abastecimiento'!B104:G104)</f>
        <v>19</v>
      </c>
      <c r="C103" s="3" t="str">
        <f t="shared" si="5"/>
        <v xml:space="preserve">Medio </v>
      </c>
      <c r="D103">
        <f>SUM('Gestión de abastecimiento'!H104:M104)</f>
        <v>18</v>
      </c>
      <c r="E103" s="3" t="str">
        <f t="shared" si="6"/>
        <v xml:space="preserve">Medio </v>
      </c>
      <c r="F103">
        <f>SUM('Gestión de abastecimiento'!N104:S104)</f>
        <v>18</v>
      </c>
      <c r="G103" s="3" t="str">
        <f t="shared" si="7"/>
        <v xml:space="preserve">Medio </v>
      </c>
      <c r="H103">
        <f t="shared" si="8"/>
        <v>55</v>
      </c>
      <c r="I103" s="3" t="str">
        <f t="shared" si="9"/>
        <v xml:space="preserve">Medio </v>
      </c>
    </row>
    <row r="104" spans="1:9" x14ac:dyDescent="0.25">
      <c r="A104" t="s">
        <v>124</v>
      </c>
      <c r="B104">
        <f>SUM('Gestión de abastecimiento'!B105:G105)</f>
        <v>16</v>
      </c>
      <c r="C104" s="3" t="str">
        <f t="shared" si="5"/>
        <v xml:space="preserve">Medio </v>
      </c>
      <c r="D104">
        <f>SUM('Gestión de abastecimiento'!H105:M105)</f>
        <v>16</v>
      </c>
      <c r="E104" s="3" t="str">
        <f t="shared" si="6"/>
        <v xml:space="preserve">Medio </v>
      </c>
      <c r="F104">
        <f>SUM('Gestión de abastecimiento'!N105:S105)</f>
        <v>15</v>
      </c>
      <c r="G104" s="3" t="str">
        <f t="shared" si="7"/>
        <v xml:space="preserve">Medio </v>
      </c>
      <c r="H104">
        <f t="shared" si="8"/>
        <v>47</v>
      </c>
      <c r="I104" s="3" t="str">
        <f t="shared" si="9"/>
        <v xml:space="preserve">Medio </v>
      </c>
    </row>
    <row r="105" spans="1:9" x14ac:dyDescent="0.25">
      <c r="A105" t="s">
        <v>125</v>
      </c>
      <c r="B105">
        <f>SUM('Gestión de abastecimiento'!B106:G106)</f>
        <v>17</v>
      </c>
      <c r="C105" s="3" t="str">
        <f t="shared" si="5"/>
        <v xml:space="preserve">Medio </v>
      </c>
      <c r="D105">
        <f>SUM('Gestión de abastecimiento'!H106:M106)</f>
        <v>18</v>
      </c>
      <c r="E105" s="3" t="str">
        <f t="shared" si="6"/>
        <v xml:space="preserve">Medio </v>
      </c>
      <c r="F105">
        <f>SUM('Gestión de abastecimiento'!N106:S106)</f>
        <v>19</v>
      </c>
      <c r="G105" s="3" t="str">
        <f t="shared" si="7"/>
        <v xml:space="preserve">Medio </v>
      </c>
      <c r="H105">
        <f t="shared" si="8"/>
        <v>54</v>
      </c>
      <c r="I105" s="3" t="str">
        <f t="shared" si="9"/>
        <v xml:space="preserve">Medio </v>
      </c>
    </row>
    <row r="106" spans="1:9" x14ac:dyDescent="0.25">
      <c r="A106" t="s">
        <v>126</v>
      </c>
      <c r="B106">
        <f>SUM('Gestión de abastecimiento'!B107:G107)</f>
        <v>22</v>
      </c>
      <c r="C106" s="3" t="str">
        <f t="shared" si="5"/>
        <v xml:space="preserve">Medio </v>
      </c>
      <c r="D106">
        <f>SUM('Gestión de abastecimiento'!H107:M107)</f>
        <v>21</v>
      </c>
      <c r="E106" s="3" t="str">
        <f t="shared" si="6"/>
        <v xml:space="preserve">Medio </v>
      </c>
      <c r="F106">
        <f>SUM('Gestión de abastecimiento'!N107:S107)</f>
        <v>20</v>
      </c>
      <c r="G106" s="3" t="str">
        <f t="shared" si="7"/>
        <v xml:space="preserve">Medio </v>
      </c>
      <c r="H106">
        <f t="shared" si="8"/>
        <v>63</v>
      </c>
      <c r="I106" s="3" t="str">
        <f t="shared" si="9"/>
        <v xml:space="preserve">Medio </v>
      </c>
    </row>
    <row r="107" spans="1:9" x14ac:dyDescent="0.25">
      <c r="A107" t="s">
        <v>127</v>
      </c>
      <c r="B107">
        <f>SUM('Gestión de abastecimiento'!B108:G108)</f>
        <v>21</v>
      </c>
      <c r="C107" s="3" t="str">
        <f t="shared" si="5"/>
        <v xml:space="preserve">Medio </v>
      </c>
      <c r="D107">
        <f>SUM('Gestión de abastecimiento'!H108:M108)</f>
        <v>21</v>
      </c>
      <c r="E107" s="3" t="str">
        <f t="shared" si="6"/>
        <v xml:space="preserve">Medio </v>
      </c>
      <c r="F107">
        <f>SUM('Gestión de abastecimiento'!N108:S108)</f>
        <v>20</v>
      </c>
      <c r="G107" s="3" t="str">
        <f t="shared" si="7"/>
        <v xml:space="preserve">Medio </v>
      </c>
      <c r="H107">
        <f t="shared" si="8"/>
        <v>62</v>
      </c>
      <c r="I107" s="3" t="str">
        <f t="shared" si="9"/>
        <v xml:space="preserve">Medio </v>
      </c>
    </row>
    <row r="108" spans="1:9" x14ac:dyDescent="0.25">
      <c r="A108" t="s">
        <v>128</v>
      </c>
      <c r="B108">
        <f>SUM('Gestión de abastecimiento'!B109:G109)</f>
        <v>13</v>
      </c>
      <c r="C108" s="3" t="str">
        <f t="shared" si="5"/>
        <v>Bajo</v>
      </c>
      <c r="D108">
        <f>SUM('Gestión de abastecimiento'!H109:M109)</f>
        <v>12</v>
      </c>
      <c r="E108" s="3" t="str">
        <f t="shared" si="6"/>
        <v>Bajo</v>
      </c>
      <c r="F108">
        <f>SUM('Gestión de abastecimiento'!N109:S109)</f>
        <v>13</v>
      </c>
      <c r="G108" s="3" t="str">
        <f t="shared" si="7"/>
        <v>Bajo</v>
      </c>
      <c r="H108">
        <f t="shared" si="8"/>
        <v>38</v>
      </c>
      <c r="I108" s="3" t="str">
        <f t="shared" si="9"/>
        <v>Bajo</v>
      </c>
    </row>
    <row r="109" spans="1:9" x14ac:dyDescent="0.25">
      <c r="A109" t="s">
        <v>129</v>
      </c>
      <c r="B109">
        <f>SUM('Gestión de abastecimiento'!B110:G110)</f>
        <v>29</v>
      </c>
      <c r="C109" s="3" t="str">
        <f t="shared" si="5"/>
        <v>Alto</v>
      </c>
      <c r="D109">
        <f>SUM('Gestión de abastecimiento'!H110:M110)</f>
        <v>29</v>
      </c>
      <c r="E109" s="3" t="str">
        <f t="shared" si="6"/>
        <v>Alto</v>
      </c>
      <c r="F109">
        <f>SUM('Gestión de abastecimiento'!N110:S110)</f>
        <v>30</v>
      </c>
      <c r="G109" s="3" t="str">
        <f t="shared" si="7"/>
        <v>Alto</v>
      </c>
      <c r="H109">
        <f t="shared" si="8"/>
        <v>88</v>
      </c>
      <c r="I109" s="3" t="str">
        <f t="shared" si="9"/>
        <v>Alto</v>
      </c>
    </row>
    <row r="110" spans="1:9" x14ac:dyDescent="0.25">
      <c r="A110" t="s">
        <v>130</v>
      </c>
      <c r="B110">
        <f>SUM('Gestión de abastecimiento'!B111:G111)</f>
        <v>20</v>
      </c>
      <c r="C110" s="3" t="str">
        <f t="shared" si="5"/>
        <v xml:space="preserve">Medio </v>
      </c>
      <c r="D110">
        <f>SUM('Gestión de abastecimiento'!H111:M111)</f>
        <v>20</v>
      </c>
      <c r="E110" s="3" t="str">
        <f t="shared" si="6"/>
        <v xml:space="preserve">Medio </v>
      </c>
      <c r="F110">
        <f>SUM('Gestión de abastecimiento'!N111:S111)</f>
        <v>19</v>
      </c>
      <c r="G110" s="3" t="str">
        <f t="shared" si="7"/>
        <v xml:space="preserve">Medio </v>
      </c>
      <c r="H110">
        <f t="shared" si="8"/>
        <v>59</v>
      </c>
      <c r="I110" s="3" t="str">
        <f t="shared" si="9"/>
        <v xml:space="preserve">Medio </v>
      </c>
    </row>
    <row r="111" spans="1:9" x14ac:dyDescent="0.25">
      <c r="A111" t="s">
        <v>131</v>
      </c>
      <c r="B111">
        <f>SUM('Gestión de abastecimiento'!B112:G112)</f>
        <v>19</v>
      </c>
      <c r="C111" s="3" t="str">
        <f t="shared" si="5"/>
        <v xml:space="preserve">Medio </v>
      </c>
      <c r="D111">
        <f>SUM('Gestión de abastecimiento'!H112:M112)</f>
        <v>18</v>
      </c>
      <c r="E111" s="3" t="str">
        <f t="shared" si="6"/>
        <v xml:space="preserve">Medio </v>
      </c>
      <c r="F111">
        <f>SUM('Gestión de abastecimiento'!N112:S112)</f>
        <v>18</v>
      </c>
      <c r="G111" s="3" t="str">
        <f t="shared" si="7"/>
        <v xml:space="preserve">Medio </v>
      </c>
      <c r="H111">
        <f t="shared" si="8"/>
        <v>55</v>
      </c>
      <c r="I111" s="3" t="str">
        <f t="shared" si="9"/>
        <v xml:space="preserve">Medio </v>
      </c>
    </row>
    <row r="112" spans="1:9" x14ac:dyDescent="0.25">
      <c r="A112" t="s">
        <v>132</v>
      </c>
      <c r="B112">
        <f>SUM('Gestión de abastecimiento'!B113:G113)</f>
        <v>20</v>
      </c>
      <c r="C112" s="3" t="str">
        <f t="shared" si="5"/>
        <v xml:space="preserve">Medio </v>
      </c>
      <c r="D112">
        <f>SUM('Gestión de abastecimiento'!H113:M113)</f>
        <v>21</v>
      </c>
      <c r="E112" s="3" t="str">
        <f t="shared" si="6"/>
        <v xml:space="preserve">Medio </v>
      </c>
      <c r="F112">
        <f>SUM('Gestión de abastecimiento'!N113:S113)</f>
        <v>21</v>
      </c>
      <c r="G112" s="3" t="str">
        <f t="shared" si="7"/>
        <v xml:space="preserve">Medio </v>
      </c>
      <c r="H112">
        <f t="shared" si="8"/>
        <v>62</v>
      </c>
      <c r="I112" s="3" t="str">
        <f t="shared" si="9"/>
        <v xml:space="preserve">Medio </v>
      </c>
    </row>
    <row r="113" spans="1:9" x14ac:dyDescent="0.25">
      <c r="A113" t="s">
        <v>133</v>
      </c>
      <c r="B113">
        <f>SUM('Gestión de abastecimiento'!B114:G114)</f>
        <v>19</v>
      </c>
      <c r="C113" s="3" t="str">
        <f t="shared" si="5"/>
        <v xml:space="preserve">Medio </v>
      </c>
      <c r="D113">
        <f>SUM('Gestión de abastecimiento'!H114:M114)</f>
        <v>20</v>
      </c>
      <c r="E113" s="3" t="str">
        <f t="shared" si="6"/>
        <v xml:space="preserve">Medio </v>
      </c>
      <c r="F113">
        <f>SUM('Gestión de abastecimiento'!N114:S114)</f>
        <v>18</v>
      </c>
      <c r="G113" s="3" t="str">
        <f t="shared" si="7"/>
        <v xml:space="preserve">Medio </v>
      </c>
      <c r="H113">
        <f t="shared" si="8"/>
        <v>57</v>
      </c>
      <c r="I113" s="3" t="str">
        <f t="shared" si="9"/>
        <v xml:space="preserve">Medio </v>
      </c>
    </row>
    <row r="114" spans="1:9" x14ac:dyDescent="0.25">
      <c r="A114" t="s">
        <v>134</v>
      </c>
      <c r="B114">
        <f>SUM('Gestión de abastecimiento'!B115:G115)</f>
        <v>18</v>
      </c>
      <c r="C114" s="3" t="str">
        <f t="shared" si="5"/>
        <v xml:space="preserve">Medio </v>
      </c>
      <c r="D114">
        <f>SUM('Gestión de abastecimiento'!H115:M115)</f>
        <v>17</v>
      </c>
      <c r="E114" s="3" t="str">
        <f t="shared" si="6"/>
        <v xml:space="preserve">Medio </v>
      </c>
      <c r="F114">
        <f>SUM('Gestión de abastecimiento'!N115:S115)</f>
        <v>16</v>
      </c>
      <c r="G114" s="3" t="str">
        <f t="shared" si="7"/>
        <v xml:space="preserve">Medio </v>
      </c>
      <c r="H114">
        <f t="shared" si="8"/>
        <v>51</v>
      </c>
      <c r="I114" s="3" t="str">
        <f t="shared" si="9"/>
        <v xml:space="preserve">Medio </v>
      </c>
    </row>
    <row r="115" spans="1:9" x14ac:dyDescent="0.25">
      <c r="A115" t="s">
        <v>135</v>
      </c>
      <c r="B115">
        <f>SUM('Gestión de abastecimiento'!B116:G116)</f>
        <v>21</v>
      </c>
      <c r="C115" s="3" t="str">
        <f t="shared" si="5"/>
        <v xml:space="preserve">Medio </v>
      </c>
      <c r="D115">
        <f>SUM('Gestión de abastecimiento'!H116:M116)</f>
        <v>22</v>
      </c>
      <c r="E115" s="3" t="str">
        <f t="shared" si="6"/>
        <v xml:space="preserve">Medio </v>
      </c>
      <c r="F115">
        <f>SUM('Gestión de abastecimiento'!N116:S116)</f>
        <v>18</v>
      </c>
      <c r="G115" s="3" t="str">
        <f t="shared" si="7"/>
        <v xml:space="preserve">Medio </v>
      </c>
      <c r="H115">
        <f t="shared" si="8"/>
        <v>61</v>
      </c>
      <c r="I115" s="3" t="str">
        <f t="shared" si="9"/>
        <v xml:space="preserve">Medio </v>
      </c>
    </row>
    <row r="116" spans="1:9" x14ac:dyDescent="0.25">
      <c r="A116" t="s">
        <v>136</v>
      </c>
      <c r="B116">
        <f>SUM('Gestión de abastecimiento'!B117:G117)</f>
        <v>23</v>
      </c>
      <c r="C116" s="3" t="str">
        <f t="shared" si="5"/>
        <v xml:space="preserve">Medio </v>
      </c>
      <c r="D116">
        <f>SUM('Gestión de abastecimiento'!H117:M117)</f>
        <v>22</v>
      </c>
      <c r="E116" s="3" t="str">
        <f t="shared" si="6"/>
        <v xml:space="preserve">Medio </v>
      </c>
      <c r="F116">
        <f>SUM('Gestión de abastecimiento'!N117:S117)</f>
        <v>23</v>
      </c>
      <c r="G116" s="3" t="str">
        <f t="shared" si="7"/>
        <v xml:space="preserve">Medio </v>
      </c>
      <c r="H116">
        <f t="shared" si="8"/>
        <v>68</v>
      </c>
      <c r="I116" s="3" t="str">
        <f t="shared" si="9"/>
        <v>Alto</v>
      </c>
    </row>
    <row r="117" spans="1:9" x14ac:dyDescent="0.25">
      <c r="A117" t="s">
        <v>137</v>
      </c>
      <c r="B117">
        <f>SUM('Gestión de abastecimiento'!B118:G118)</f>
        <v>19</v>
      </c>
      <c r="C117" s="3" t="str">
        <f t="shared" si="5"/>
        <v xml:space="preserve">Medio </v>
      </c>
      <c r="D117">
        <f>SUM('Gestión de abastecimiento'!H118:M118)</f>
        <v>18</v>
      </c>
      <c r="E117" s="3" t="str">
        <f t="shared" si="6"/>
        <v xml:space="preserve">Medio </v>
      </c>
      <c r="F117">
        <f>SUM('Gestión de abastecimiento'!N118:S118)</f>
        <v>18</v>
      </c>
      <c r="G117" s="3" t="str">
        <f t="shared" si="7"/>
        <v xml:space="preserve">Medio </v>
      </c>
      <c r="H117">
        <f t="shared" si="8"/>
        <v>55</v>
      </c>
      <c r="I117" s="3" t="str">
        <f t="shared" si="9"/>
        <v xml:space="preserve">Medio </v>
      </c>
    </row>
    <row r="118" spans="1:9" x14ac:dyDescent="0.25">
      <c r="A118" t="s">
        <v>138</v>
      </c>
      <c r="B118">
        <f>SUM('Gestión de abastecimiento'!B119:G119)</f>
        <v>17</v>
      </c>
      <c r="C118" s="3" t="str">
        <f t="shared" si="5"/>
        <v xml:space="preserve">Medio </v>
      </c>
      <c r="D118">
        <f>SUM('Gestión de abastecimiento'!H119:M119)</f>
        <v>14</v>
      </c>
      <c r="E118" s="3" t="str">
        <f t="shared" si="6"/>
        <v>Bajo</v>
      </c>
      <c r="F118">
        <f>SUM('Gestión de abastecimiento'!N119:S119)</f>
        <v>13</v>
      </c>
      <c r="G118" s="3" t="str">
        <f t="shared" si="7"/>
        <v>Bajo</v>
      </c>
      <c r="H118">
        <f t="shared" si="8"/>
        <v>44</v>
      </c>
      <c r="I118" s="3" t="str">
        <f t="shared" si="9"/>
        <v xml:space="preserve">Medio </v>
      </c>
    </row>
    <row r="119" spans="1:9" x14ac:dyDescent="0.25">
      <c r="A119" t="s">
        <v>139</v>
      </c>
      <c r="B119">
        <f>SUM('Gestión de abastecimiento'!B120:G120)</f>
        <v>24</v>
      </c>
      <c r="C119" s="3" t="str">
        <f t="shared" si="5"/>
        <v>Alto</v>
      </c>
      <c r="D119">
        <f>SUM('Gestión de abastecimiento'!H120:M120)</f>
        <v>24</v>
      </c>
      <c r="E119" s="3" t="str">
        <f t="shared" si="6"/>
        <v>Alto</v>
      </c>
      <c r="F119">
        <f>SUM('Gestión de abastecimiento'!N120:S120)</f>
        <v>24</v>
      </c>
      <c r="G119" s="3" t="str">
        <f t="shared" si="7"/>
        <v>Alto</v>
      </c>
      <c r="H119">
        <f t="shared" si="8"/>
        <v>72</v>
      </c>
      <c r="I119" s="3" t="str">
        <f t="shared" si="9"/>
        <v>Alto</v>
      </c>
    </row>
    <row r="120" spans="1:9" x14ac:dyDescent="0.25">
      <c r="A120" t="s">
        <v>140</v>
      </c>
      <c r="B120">
        <f>SUM('Gestión de abastecimiento'!B121:G121)</f>
        <v>18</v>
      </c>
      <c r="C120" s="3" t="str">
        <f t="shared" si="5"/>
        <v xml:space="preserve">Medio </v>
      </c>
      <c r="D120">
        <f>SUM('Gestión de abastecimiento'!H121:M121)</f>
        <v>18</v>
      </c>
      <c r="E120" s="3" t="str">
        <f t="shared" si="6"/>
        <v xml:space="preserve">Medio </v>
      </c>
      <c r="F120">
        <f>SUM('Gestión de abastecimiento'!N121:S121)</f>
        <v>17</v>
      </c>
      <c r="G120" s="3" t="str">
        <f t="shared" si="7"/>
        <v xml:space="preserve">Medio </v>
      </c>
      <c r="H120">
        <f t="shared" si="8"/>
        <v>53</v>
      </c>
      <c r="I120" s="3" t="str">
        <f t="shared" si="9"/>
        <v xml:space="preserve">Medio </v>
      </c>
    </row>
    <row r="121" spans="1:9" x14ac:dyDescent="0.25">
      <c r="A121" t="s">
        <v>141</v>
      </c>
      <c r="B121">
        <f>SUM('Gestión de abastecimiento'!B122:G122)</f>
        <v>24</v>
      </c>
      <c r="C121" s="3" t="str">
        <f t="shared" si="5"/>
        <v>Alto</v>
      </c>
      <c r="D121">
        <f>SUM('Gestión de abastecimiento'!H122:M122)</f>
        <v>24</v>
      </c>
      <c r="E121" s="3" t="str">
        <f t="shared" si="6"/>
        <v>Alto</v>
      </c>
      <c r="F121">
        <f>SUM('Gestión de abastecimiento'!N122:S122)</f>
        <v>23</v>
      </c>
      <c r="G121" s="3" t="str">
        <f t="shared" si="7"/>
        <v xml:space="preserve">Medio </v>
      </c>
      <c r="H121">
        <f t="shared" si="8"/>
        <v>71</v>
      </c>
      <c r="I121" s="3" t="str">
        <f t="shared" si="9"/>
        <v>Alto</v>
      </c>
    </row>
    <row r="122" spans="1:9" x14ac:dyDescent="0.25">
      <c r="A122" t="s">
        <v>142</v>
      </c>
      <c r="B122">
        <f>SUM('Gestión de abastecimiento'!B123:G123)</f>
        <v>12</v>
      </c>
      <c r="C122" s="3" t="str">
        <f t="shared" si="5"/>
        <v>Bajo</v>
      </c>
      <c r="D122">
        <f>SUM('Gestión de abastecimiento'!H123:M123)</f>
        <v>12</v>
      </c>
      <c r="E122" s="3" t="str">
        <f t="shared" si="6"/>
        <v>Bajo</v>
      </c>
      <c r="F122">
        <f>SUM('Gestión de abastecimiento'!N123:S123)</f>
        <v>12</v>
      </c>
      <c r="G122" s="3" t="str">
        <f t="shared" si="7"/>
        <v>Bajo</v>
      </c>
      <c r="H122">
        <f t="shared" si="8"/>
        <v>36</v>
      </c>
      <c r="I122" s="3" t="str">
        <f t="shared" si="9"/>
        <v>Bajo</v>
      </c>
    </row>
    <row r="123" spans="1:9" x14ac:dyDescent="0.25">
      <c r="A123" t="s">
        <v>143</v>
      </c>
      <c r="B123">
        <f>SUM('Gestión de abastecimiento'!B124:G124)</f>
        <v>20</v>
      </c>
      <c r="C123" s="3" t="str">
        <f t="shared" si="5"/>
        <v xml:space="preserve">Medio </v>
      </c>
      <c r="D123">
        <f>SUM('Gestión de abastecimiento'!H124:M124)</f>
        <v>18</v>
      </c>
      <c r="E123" s="3" t="str">
        <f t="shared" si="6"/>
        <v xml:space="preserve">Medio </v>
      </c>
      <c r="F123">
        <f>SUM('Gestión de abastecimiento'!N124:S124)</f>
        <v>20</v>
      </c>
      <c r="G123" s="3" t="str">
        <f t="shared" si="7"/>
        <v xml:space="preserve">Medio </v>
      </c>
      <c r="H123">
        <f t="shared" si="8"/>
        <v>58</v>
      </c>
      <c r="I123" s="3" t="str">
        <f t="shared" si="9"/>
        <v xml:space="preserve">Medio </v>
      </c>
    </row>
    <row r="124" spans="1:9" x14ac:dyDescent="0.25">
      <c r="A124" t="s">
        <v>144</v>
      </c>
      <c r="B124">
        <f>SUM('Gestión de abastecimiento'!B125:G125)</f>
        <v>18</v>
      </c>
      <c r="C124" s="3" t="str">
        <f t="shared" si="5"/>
        <v xml:space="preserve">Medio </v>
      </c>
      <c r="D124">
        <f>SUM('Gestión de abastecimiento'!H125:M125)</f>
        <v>19</v>
      </c>
      <c r="E124" s="3" t="str">
        <f t="shared" si="6"/>
        <v xml:space="preserve">Medio </v>
      </c>
      <c r="F124">
        <f>SUM('Gestión de abastecimiento'!N125:S125)</f>
        <v>18</v>
      </c>
      <c r="G124" s="3" t="str">
        <f t="shared" si="7"/>
        <v xml:space="preserve">Medio </v>
      </c>
      <c r="H124">
        <f t="shared" si="8"/>
        <v>55</v>
      </c>
      <c r="I124" s="3" t="str">
        <f t="shared" si="9"/>
        <v xml:space="preserve">Medio </v>
      </c>
    </row>
    <row r="125" spans="1:9" x14ac:dyDescent="0.25">
      <c r="A125" t="s">
        <v>145</v>
      </c>
      <c r="B125">
        <f>SUM('Gestión de abastecimiento'!B126:G126)</f>
        <v>24</v>
      </c>
      <c r="C125" s="3" t="str">
        <f t="shared" si="5"/>
        <v>Alto</v>
      </c>
      <c r="D125">
        <f>SUM('Gestión de abastecimiento'!H126:M126)</f>
        <v>24</v>
      </c>
      <c r="E125" s="3" t="str">
        <f t="shared" si="6"/>
        <v>Alto</v>
      </c>
      <c r="F125">
        <f>SUM('Gestión de abastecimiento'!N126:S126)</f>
        <v>22</v>
      </c>
      <c r="G125" s="3" t="str">
        <f t="shared" si="7"/>
        <v xml:space="preserve">Medio </v>
      </c>
      <c r="H125">
        <f t="shared" si="8"/>
        <v>70</v>
      </c>
      <c r="I125" s="3" t="str">
        <f t="shared" si="9"/>
        <v>Alto</v>
      </c>
    </row>
    <row r="126" spans="1:9" x14ac:dyDescent="0.25">
      <c r="A126" t="s">
        <v>146</v>
      </c>
      <c r="B126">
        <f>SUM('Gestión de abastecimiento'!B127:G127)</f>
        <v>18</v>
      </c>
      <c r="C126" s="3" t="str">
        <f t="shared" si="5"/>
        <v xml:space="preserve">Medio </v>
      </c>
      <c r="D126">
        <f>SUM('Gestión de abastecimiento'!H127:M127)</f>
        <v>18</v>
      </c>
      <c r="E126" s="3" t="str">
        <f t="shared" si="6"/>
        <v xml:space="preserve">Medio </v>
      </c>
      <c r="F126">
        <f>SUM('Gestión de abastecimiento'!N127:S127)</f>
        <v>18</v>
      </c>
      <c r="G126" s="3" t="str">
        <f t="shared" si="7"/>
        <v xml:space="preserve">Medio </v>
      </c>
      <c r="H126">
        <f t="shared" si="8"/>
        <v>54</v>
      </c>
      <c r="I126" s="3" t="str">
        <f t="shared" si="9"/>
        <v xml:space="preserve">Medio </v>
      </c>
    </row>
    <row r="127" spans="1:9" x14ac:dyDescent="0.25">
      <c r="A127" t="s">
        <v>147</v>
      </c>
      <c r="B127">
        <f>SUM('Gestión de abastecimiento'!B128:G128)</f>
        <v>24</v>
      </c>
      <c r="C127" s="3" t="str">
        <f t="shared" si="5"/>
        <v>Alto</v>
      </c>
      <c r="D127">
        <f>SUM('Gestión de abastecimiento'!H128:M128)</f>
        <v>22</v>
      </c>
      <c r="E127" s="3" t="str">
        <f t="shared" si="6"/>
        <v xml:space="preserve">Medio </v>
      </c>
      <c r="F127">
        <f>SUM('Gestión de abastecimiento'!N128:S128)</f>
        <v>24</v>
      </c>
      <c r="G127" s="3" t="str">
        <f t="shared" si="7"/>
        <v>Alto</v>
      </c>
      <c r="H127">
        <f t="shared" si="8"/>
        <v>70</v>
      </c>
      <c r="I127" s="3" t="str">
        <f t="shared" si="9"/>
        <v>Alto</v>
      </c>
    </row>
    <row r="128" spans="1:9" x14ac:dyDescent="0.25">
      <c r="A128" t="s">
        <v>148</v>
      </c>
      <c r="B128">
        <f>SUM('Gestión de abastecimiento'!B129:G129)</f>
        <v>15</v>
      </c>
      <c r="C128" s="3" t="str">
        <f t="shared" si="5"/>
        <v xml:space="preserve">Medio </v>
      </c>
      <c r="D128">
        <f>SUM('Gestión de abastecimiento'!H129:M129)</f>
        <v>18</v>
      </c>
      <c r="E128" s="3" t="str">
        <f t="shared" si="6"/>
        <v xml:space="preserve">Medio </v>
      </c>
      <c r="F128">
        <f>SUM('Gestión de abastecimiento'!N129:S129)</f>
        <v>15</v>
      </c>
      <c r="G128" s="3" t="str">
        <f t="shared" si="7"/>
        <v xml:space="preserve">Medio </v>
      </c>
      <c r="H128">
        <f t="shared" si="8"/>
        <v>48</v>
      </c>
      <c r="I128" s="3" t="str">
        <f t="shared" si="9"/>
        <v xml:space="preserve">Medio </v>
      </c>
    </row>
    <row r="129" spans="1:9" x14ac:dyDescent="0.25">
      <c r="A129" t="s">
        <v>149</v>
      </c>
      <c r="B129">
        <f>SUM('Gestión de abastecimiento'!B130:G130)</f>
        <v>16</v>
      </c>
      <c r="C129" s="3" t="str">
        <f t="shared" si="5"/>
        <v xml:space="preserve">Medio </v>
      </c>
      <c r="D129">
        <f>SUM('Gestión de abastecimiento'!H130:M130)</f>
        <v>17</v>
      </c>
      <c r="E129" s="3" t="str">
        <f t="shared" si="6"/>
        <v xml:space="preserve">Medio </v>
      </c>
      <c r="F129">
        <f>SUM('Gestión de abastecimiento'!N130:S130)</f>
        <v>13</v>
      </c>
      <c r="G129" s="3" t="str">
        <f t="shared" si="7"/>
        <v>Bajo</v>
      </c>
      <c r="H129">
        <f t="shared" si="8"/>
        <v>46</v>
      </c>
      <c r="I129" s="3" t="str">
        <f t="shared" si="9"/>
        <v xml:space="preserve">Medio </v>
      </c>
    </row>
    <row r="130" spans="1:9" x14ac:dyDescent="0.25">
      <c r="A130" t="s">
        <v>150</v>
      </c>
      <c r="B130">
        <f>SUM('Gestión de abastecimiento'!B131:G131)</f>
        <v>14</v>
      </c>
      <c r="C130" s="3" t="str">
        <f t="shared" si="5"/>
        <v>Bajo</v>
      </c>
      <c r="D130">
        <f>SUM('Gestión de abastecimiento'!H131:M131)</f>
        <v>12</v>
      </c>
      <c r="E130" s="3" t="str">
        <f t="shared" si="6"/>
        <v>Bajo</v>
      </c>
      <c r="F130">
        <f>SUM('Gestión de abastecimiento'!N131:S131)</f>
        <v>12</v>
      </c>
      <c r="G130" s="3" t="str">
        <f t="shared" si="7"/>
        <v>Bajo</v>
      </c>
      <c r="H130">
        <f t="shared" si="8"/>
        <v>38</v>
      </c>
      <c r="I130" s="3" t="str">
        <f t="shared" si="9"/>
        <v>Bajo</v>
      </c>
    </row>
    <row r="131" spans="1:9" x14ac:dyDescent="0.25">
      <c r="A131" t="s">
        <v>151</v>
      </c>
      <c r="B131">
        <f>SUM('Gestión de abastecimiento'!B132:G132)</f>
        <v>14</v>
      </c>
      <c r="C131" s="3" t="str">
        <f t="shared" si="5"/>
        <v>Bajo</v>
      </c>
      <c r="D131">
        <f>SUM('Gestión de abastecimiento'!H132:M132)</f>
        <v>16</v>
      </c>
      <c r="E131" s="3" t="str">
        <f t="shared" si="6"/>
        <v xml:space="preserve">Medio </v>
      </c>
      <c r="F131">
        <f>SUM('Gestión de abastecimiento'!N132:S132)</f>
        <v>16</v>
      </c>
      <c r="G131" s="3" t="str">
        <f t="shared" si="7"/>
        <v xml:space="preserve">Medio </v>
      </c>
      <c r="H131">
        <f t="shared" si="8"/>
        <v>46</v>
      </c>
      <c r="I131" s="3" t="str">
        <f t="shared" si="9"/>
        <v xml:space="preserve">Medio </v>
      </c>
    </row>
    <row r="132" spans="1:9" x14ac:dyDescent="0.25">
      <c r="A132" t="s">
        <v>152</v>
      </c>
      <c r="B132">
        <f>SUM('Gestión de abastecimiento'!B133:G133)</f>
        <v>17</v>
      </c>
      <c r="C132" s="3" t="str">
        <f t="shared" ref="C132:C195" si="10">IF(B132&lt;=$Q$19,"Bajo",IF(B132&lt;=$Q$20,"Medio ",IF(B132&lt;=$Q$21,"Alto",0)))</f>
        <v xml:space="preserve">Medio </v>
      </c>
      <c r="D132">
        <f>SUM('Gestión de abastecimiento'!H133:M133)</f>
        <v>13</v>
      </c>
      <c r="E132" s="3" t="str">
        <f t="shared" ref="E132:E195" si="11">IF(D132&lt;=$AC$19,"Bajo",IF(D132&lt;=$AC$20,"Medio ",IF(D132&lt;=$AC$21,"Alto",0)))</f>
        <v>Bajo</v>
      </c>
      <c r="F132">
        <f>SUM('Gestión de abastecimiento'!N133:S133)</f>
        <v>13</v>
      </c>
      <c r="G132" s="3" t="str">
        <f t="shared" ref="G132:G195" si="12">IF(F132&lt;=$AO$19,"Bajo",IF(F132&lt;=$AO$20,"Medio ",IF(F132&lt;=$AO$21,"Alto",0)))</f>
        <v>Bajo</v>
      </c>
      <c r="H132">
        <f t="shared" ref="H132:H195" si="13">SUM(B132:F132)</f>
        <v>43</v>
      </c>
      <c r="I132" s="3" t="str">
        <f t="shared" ref="I132:I195" si="14">IF(H132&lt;=$BA$19,"Bajo",IF(H132&lt;=$BA$20,"Medio ",IF(H132&lt;=$BA$21,"Alto",0)))</f>
        <v xml:space="preserve">Medio </v>
      </c>
    </row>
    <row r="133" spans="1:9" x14ac:dyDescent="0.25">
      <c r="A133" t="s">
        <v>153</v>
      </c>
      <c r="B133">
        <f>SUM('Gestión de abastecimiento'!B134:G134)</f>
        <v>12</v>
      </c>
      <c r="C133" s="3" t="str">
        <f t="shared" si="10"/>
        <v>Bajo</v>
      </c>
      <c r="D133">
        <f>SUM('Gestión de abastecimiento'!H134:M134)</f>
        <v>13</v>
      </c>
      <c r="E133" s="3" t="str">
        <f t="shared" si="11"/>
        <v>Bajo</v>
      </c>
      <c r="F133">
        <f>SUM('Gestión de abastecimiento'!N134:S134)</f>
        <v>15</v>
      </c>
      <c r="G133" s="3" t="str">
        <f t="shared" si="12"/>
        <v xml:space="preserve">Medio </v>
      </c>
      <c r="H133">
        <f t="shared" si="13"/>
        <v>40</v>
      </c>
      <c r="I133" s="3" t="str">
        <f t="shared" si="14"/>
        <v>Bajo</v>
      </c>
    </row>
    <row r="134" spans="1:9" x14ac:dyDescent="0.25">
      <c r="A134" t="s">
        <v>154</v>
      </c>
      <c r="B134">
        <f>SUM('Gestión de abastecimiento'!B135:G135)</f>
        <v>22</v>
      </c>
      <c r="C134" s="3" t="str">
        <f t="shared" si="10"/>
        <v xml:space="preserve">Medio </v>
      </c>
      <c r="D134">
        <f>SUM('Gestión de abastecimiento'!H135:M135)</f>
        <v>22</v>
      </c>
      <c r="E134" s="3" t="str">
        <f t="shared" si="11"/>
        <v xml:space="preserve">Medio </v>
      </c>
      <c r="F134">
        <f>SUM('Gestión de abastecimiento'!N135:S135)</f>
        <v>24</v>
      </c>
      <c r="G134" s="3" t="str">
        <f t="shared" si="12"/>
        <v>Alto</v>
      </c>
      <c r="H134">
        <f t="shared" si="13"/>
        <v>68</v>
      </c>
      <c r="I134" s="3" t="str">
        <f t="shared" si="14"/>
        <v>Alto</v>
      </c>
    </row>
    <row r="135" spans="1:9" x14ac:dyDescent="0.25">
      <c r="A135" t="s">
        <v>155</v>
      </c>
      <c r="B135">
        <f>SUM('Gestión de abastecimiento'!B136:G136)</f>
        <v>12</v>
      </c>
      <c r="C135" s="3" t="str">
        <f t="shared" si="10"/>
        <v>Bajo</v>
      </c>
      <c r="D135">
        <f>SUM('Gestión de abastecimiento'!H136:M136)</f>
        <v>13</v>
      </c>
      <c r="E135" s="3" t="str">
        <f t="shared" si="11"/>
        <v>Bajo</v>
      </c>
      <c r="F135">
        <f>SUM('Gestión de abastecimiento'!N136:S136)</f>
        <v>11</v>
      </c>
      <c r="G135" s="3" t="str">
        <f t="shared" si="12"/>
        <v>Bajo</v>
      </c>
      <c r="H135">
        <f t="shared" si="13"/>
        <v>36</v>
      </c>
      <c r="I135" s="3" t="str">
        <f t="shared" si="14"/>
        <v>Bajo</v>
      </c>
    </row>
    <row r="136" spans="1:9" x14ac:dyDescent="0.25">
      <c r="A136" t="s">
        <v>156</v>
      </c>
      <c r="B136">
        <f>SUM('Gestión de abastecimiento'!B137:G137)</f>
        <v>23</v>
      </c>
      <c r="C136" s="3" t="str">
        <f t="shared" si="10"/>
        <v xml:space="preserve">Medio </v>
      </c>
      <c r="D136">
        <f>SUM('Gestión de abastecimiento'!H137:M137)</f>
        <v>24</v>
      </c>
      <c r="E136" s="3" t="str">
        <f t="shared" si="11"/>
        <v>Alto</v>
      </c>
      <c r="F136">
        <f>SUM('Gestión de abastecimiento'!N137:S137)</f>
        <v>23</v>
      </c>
      <c r="G136" s="3" t="str">
        <f t="shared" si="12"/>
        <v xml:space="preserve">Medio </v>
      </c>
      <c r="H136">
        <f t="shared" si="13"/>
        <v>70</v>
      </c>
      <c r="I136" s="3" t="str">
        <f t="shared" si="14"/>
        <v>Alto</v>
      </c>
    </row>
    <row r="137" spans="1:9" x14ac:dyDescent="0.25">
      <c r="A137" t="s">
        <v>157</v>
      </c>
      <c r="B137">
        <f>SUM('Gestión de abastecimiento'!B138:G138)</f>
        <v>24</v>
      </c>
      <c r="C137" s="3" t="str">
        <f t="shared" si="10"/>
        <v>Alto</v>
      </c>
      <c r="D137">
        <f>SUM('Gestión de abastecimiento'!H138:M138)</f>
        <v>24</v>
      </c>
      <c r="E137" s="3" t="str">
        <f t="shared" si="11"/>
        <v>Alto</v>
      </c>
      <c r="F137">
        <f>SUM('Gestión de abastecimiento'!N138:S138)</f>
        <v>24</v>
      </c>
      <c r="G137" s="3" t="str">
        <f t="shared" si="12"/>
        <v>Alto</v>
      </c>
      <c r="H137">
        <f t="shared" si="13"/>
        <v>72</v>
      </c>
      <c r="I137" s="3" t="str">
        <f t="shared" si="14"/>
        <v>Alto</v>
      </c>
    </row>
    <row r="138" spans="1:9" x14ac:dyDescent="0.25">
      <c r="A138" t="s">
        <v>158</v>
      </c>
      <c r="B138">
        <f>SUM('Gestión de abastecimiento'!B139:G139)</f>
        <v>12</v>
      </c>
      <c r="C138" s="3" t="str">
        <f t="shared" si="10"/>
        <v>Bajo</v>
      </c>
      <c r="D138">
        <f>SUM('Gestión de abastecimiento'!H139:M139)</f>
        <v>12</v>
      </c>
      <c r="E138" s="3" t="str">
        <f t="shared" si="11"/>
        <v>Bajo</v>
      </c>
      <c r="F138">
        <f>SUM('Gestión de abastecimiento'!N139:S139)</f>
        <v>12</v>
      </c>
      <c r="G138" s="3" t="str">
        <f t="shared" si="12"/>
        <v>Bajo</v>
      </c>
      <c r="H138">
        <f t="shared" si="13"/>
        <v>36</v>
      </c>
      <c r="I138" s="3" t="str">
        <f t="shared" si="14"/>
        <v>Bajo</v>
      </c>
    </row>
    <row r="139" spans="1:9" x14ac:dyDescent="0.25">
      <c r="A139" t="s">
        <v>159</v>
      </c>
      <c r="B139">
        <f>SUM('Gestión de abastecimiento'!B140:G140)</f>
        <v>17</v>
      </c>
      <c r="C139" s="3" t="str">
        <f t="shared" si="10"/>
        <v xml:space="preserve">Medio </v>
      </c>
      <c r="D139">
        <f>SUM('Gestión de abastecimiento'!H140:M140)</f>
        <v>12</v>
      </c>
      <c r="E139" s="3" t="str">
        <f t="shared" si="11"/>
        <v>Bajo</v>
      </c>
      <c r="F139">
        <f>SUM('Gestión de abastecimiento'!N140:S140)</f>
        <v>13</v>
      </c>
      <c r="G139" s="3" t="str">
        <f t="shared" si="12"/>
        <v>Bajo</v>
      </c>
      <c r="H139">
        <f t="shared" si="13"/>
        <v>42</v>
      </c>
      <c r="I139" s="3" t="str">
        <f t="shared" si="14"/>
        <v xml:space="preserve">Medio </v>
      </c>
    </row>
    <row r="140" spans="1:9" x14ac:dyDescent="0.25">
      <c r="A140" t="s">
        <v>160</v>
      </c>
      <c r="B140">
        <f>SUM('Gestión de abastecimiento'!B141:G141)</f>
        <v>15</v>
      </c>
      <c r="C140" s="3" t="str">
        <f t="shared" si="10"/>
        <v xml:space="preserve">Medio </v>
      </c>
      <c r="D140">
        <f>SUM('Gestión de abastecimiento'!H141:M141)</f>
        <v>16</v>
      </c>
      <c r="E140" s="3" t="str">
        <f t="shared" si="11"/>
        <v xml:space="preserve">Medio </v>
      </c>
      <c r="F140">
        <f>SUM('Gestión de abastecimiento'!N141:S141)</f>
        <v>12</v>
      </c>
      <c r="G140" s="3" t="str">
        <f t="shared" si="12"/>
        <v>Bajo</v>
      </c>
      <c r="H140">
        <f t="shared" si="13"/>
        <v>43</v>
      </c>
      <c r="I140" s="3" t="str">
        <f t="shared" si="14"/>
        <v xml:space="preserve">Medio </v>
      </c>
    </row>
    <row r="141" spans="1:9" x14ac:dyDescent="0.25">
      <c r="A141" t="s">
        <v>161</v>
      </c>
      <c r="B141">
        <f>SUM('Gestión de abastecimiento'!B142:G142)</f>
        <v>15</v>
      </c>
      <c r="C141" s="3" t="str">
        <f t="shared" si="10"/>
        <v xml:space="preserve">Medio </v>
      </c>
      <c r="D141">
        <f>SUM('Gestión de abastecimiento'!H142:M142)</f>
        <v>12</v>
      </c>
      <c r="E141" s="3" t="str">
        <f t="shared" si="11"/>
        <v>Bajo</v>
      </c>
      <c r="F141">
        <f>SUM('Gestión de abastecimiento'!N142:S142)</f>
        <v>13</v>
      </c>
      <c r="G141" s="3" t="str">
        <f t="shared" si="12"/>
        <v>Bajo</v>
      </c>
      <c r="H141">
        <f t="shared" si="13"/>
        <v>40</v>
      </c>
      <c r="I141" s="3" t="str">
        <f t="shared" si="14"/>
        <v>Bajo</v>
      </c>
    </row>
    <row r="142" spans="1:9" x14ac:dyDescent="0.25">
      <c r="A142" t="s">
        <v>162</v>
      </c>
      <c r="B142">
        <f>SUM('Gestión de abastecimiento'!B143:G143)</f>
        <v>18</v>
      </c>
      <c r="C142" s="3" t="str">
        <f t="shared" si="10"/>
        <v xml:space="preserve">Medio </v>
      </c>
      <c r="D142">
        <f>SUM('Gestión de abastecimiento'!H143:M143)</f>
        <v>19</v>
      </c>
      <c r="E142" s="3" t="str">
        <f t="shared" si="11"/>
        <v xml:space="preserve">Medio </v>
      </c>
      <c r="F142">
        <f>SUM('Gestión de abastecimiento'!N143:S143)</f>
        <v>18</v>
      </c>
      <c r="G142" s="3" t="str">
        <f t="shared" si="12"/>
        <v xml:space="preserve">Medio </v>
      </c>
      <c r="H142">
        <f t="shared" si="13"/>
        <v>55</v>
      </c>
      <c r="I142" s="3" t="str">
        <f t="shared" si="14"/>
        <v xml:space="preserve">Medio </v>
      </c>
    </row>
    <row r="143" spans="1:9" x14ac:dyDescent="0.25">
      <c r="A143" t="s">
        <v>163</v>
      </c>
      <c r="B143">
        <f>SUM('Gestión de abastecimiento'!B144:G144)</f>
        <v>16</v>
      </c>
      <c r="C143" s="3" t="str">
        <f t="shared" si="10"/>
        <v xml:space="preserve">Medio </v>
      </c>
      <c r="D143">
        <f>SUM('Gestión de abastecimiento'!H144:M144)</f>
        <v>17</v>
      </c>
      <c r="E143" s="3" t="str">
        <f t="shared" si="11"/>
        <v xml:space="preserve">Medio </v>
      </c>
      <c r="F143">
        <f>SUM('Gestión de abastecimiento'!N144:S144)</f>
        <v>16</v>
      </c>
      <c r="G143" s="3" t="str">
        <f t="shared" si="12"/>
        <v xml:space="preserve">Medio </v>
      </c>
      <c r="H143">
        <f t="shared" si="13"/>
        <v>49</v>
      </c>
      <c r="I143" s="3" t="str">
        <f t="shared" si="14"/>
        <v xml:space="preserve">Medio </v>
      </c>
    </row>
    <row r="144" spans="1:9" x14ac:dyDescent="0.25">
      <c r="A144" t="s">
        <v>164</v>
      </c>
      <c r="B144">
        <f>SUM('Gestión de abastecimiento'!B145:G145)</f>
        <v>21</v>
      </c>
      <c r="C144" s="3" t="str">
        <f t="shared" si="10"/>
        <v xml:space="preserve">Medio </v>
      </c>
      <c r="D144">
        <f>SUM('Gestión de abastecimiento'!H145:M145)</f>
        <v>22</v>
      </c>
      <c r="E144" s="3" t="str">
        <f t="shared" si="11"/>
        <v xml:space="preserve">Medio </v>
      </c>
      <c r="F144">
        <f>SUM('Gestión de abastecimiento'!N145:S145)</f>
        <v>19</v>
      </c>
      <c r="G144" s="3" t="str">
        <f t="shared" si="12"/>
        <v xml:space="preserve">Medio </v>
      </c>
      <c r="H144">
        <f t="shared" si="13"/>
        <v>62</v>
      </c>
      <c r="I144" s="3" t="str">
        <f t="shared" si="14"/>
        <v xml:space="preserve">Medio </v>
      </c>
    </row>
    <row r="145" spans="1:9" x14ac:dyDescent="0.25">
      <c r="A145" t="s">
        <v>165</v>
      </c>
      <c r="B145">
        <f>SUM('Gestión de abastecimiento'!B146:G146)</f>
        <v>17</v>
      </c>
      <c r="C145" s="3" t="str">
        <f t="shared" si="10"/>
        <v xml:space="preserve">Medio </v>
      </c>
      <c r="D145">
        <f>SUM('Gestión de abastecimiento'!H146:M146)</f>
        <v>18</v>
      </c>
      <c r="E145" s="3" t="str">
        <f t="shared" si="11"/>
        <v xml:space="preserve">Medio </v>
      </c>
      <c r="F145">
        <f>SUM('Gestión de abastecimiento'!N146:S146)</f>
        <v>18</v>
      </c>
      <c r="G145" s="3" t="str">
        <f t="shared" si="12"/>
        <v xml:space="preserve">Medio </v>
      </c>
      <c r="H145">
        <f t="shared" si="13"/>
        <v>53</v>
      </c>
      <c r="I145" s="3" t="str">
        <f t="shared" si="14"/>
        <v xml:space="preserve">Medio </v>
      </c>
    </row>
    <row r="146" spans="1:9" x14ac:dyDescent="0.25">
      <c r="A146" t="s">
        <v>166</v>
      </c>
      <c r="B146">
        <f>SUM('Gestión de abastecimiento'!B147:G147)</f>
        <v>21</v>
      </c>
      <c r="C146" s="3" t="str">
        <f t="shared" si="10"/>
        <v xml:space="preserve">Medio </v>
      </c>
      <c r="D146">
        <f>SUM('Gestión de abastecimiento'!H147:M147)</f>
        <v>20</v>
      </c>
      <c r="E146" s="3" t="str">
        <f t="shared" si="11"/>
        <v xml:space="preserve">Medio </v>
      </c>
      <c r="F146">
        <f>SUM('Gestión de abastecimiento'!N147:S147)</f>
        <v>18</v>
      </c>
      <c r="G146" s="3" t="str">
        <f t="shared" si="12"/>
        <v xml:space="preserve">Medio </v>
      </c>
      <c r="H146">
        <f t="shared" si="13"/>
        <v>59</v>
      </c>
      <c r="I146" s="3" t="str">
        <f t="shared" si="14"/>
        <v xml:space="preserve">Medio </v>
      </c>
    </row>
    <row r="147" spans="1:9" x14ac:dyDescent="0.25">
      <c r="A147" t="s">
        <v>167</v>
      </c>
      <c r="B147">
        <f>SUM('Gestión de abastecimiento'!B148:G148)</f>
        <v>24</v>
      </c>
      <c r="C147" s="3" t="str">
        <f t="shared" si="10"/>
        <v>Alto</v>
      </c>
      <c r="D147">
        <f>SUM('Gestión de abastecimiento'!H148:M148)</f>
        <v>24</v>
      </c>
      <c r="E147" s="3" t="str">
        <f t="shared" si="11"/>
        <v>Alto</v>
      </c>
      <c r="F147">
        <f>SUM('Gestión de abastecimiento'!N148:S148)</f>
        <v>24</v>
      </c>
      <c r="G147" s="3" t="str">
        <f t="shared" si="12"/>
        <v>Alto</v>
      </c>
      <c r="H147">
        <f t="shared" si="13"/>
        <v>72</v>
      </c>
      <c r="I147" s="3" t="str">
        <f t="shared" si="14"/>
        <v>Alto</v>
      </c>
    </row>
    <row r="148" spans="1:9" x14ac:dyDescent="0.25">
      <c r="A148" t="s">
        <v>168</v>
      </c>
      <c r="B148">
        <f>SUM('Gestión de abastecimiento'!B149:G149)</f>
        <v>12</v>
      </c>
      <c r="C148" s="3" t="str">
        <f t="shared" si="10"/>
        <v>Bajo</v>
      </c>
      <c r="D148">
        <f>SUM('Gestión de abastecimiento'!H149:M149)</f>
        <v>12</v>
      </c>
      <c r="E148" s="3" t="str">
        <f t="shared" si="11"/>
        <v>Bajo</v>
      </c>
      <c r="F148">
        <f>SUM('Gestión de abastecimiento'!N149:S149)</f>
        <v>12</v>
      </c>
      <c r="G148" s="3" t="str">
        <f t="shared" si="12"/>
        <v>Bajo</v>
      </c>
      <c r="H148">
        <f t="shared" si="13"/>
        <v>36</v>
      </c>
      <c r="I148" s="3" t="str">
        <f t="shared" si="14"/>
        <v>Bajo</v>
      </c>
    </row>
    <row r="149" spans="1:9" x14ac:dyDescent="0.25">
      <c r="A149" t="s">
        <v>169</v>
      </c>
      <c r="B149">
        <f>SUM('Gestión de abastecimiento'!B150:G150)</f>
        <v>12</v>
      </c>
      <c r="C149" s="3" t="str">
        <f t="shared" si="10"/>
        <v>Bajo</v>
      </c>
      <c r="D149">
        <f>SUM('Gestión de abastecimiento'!H150:M150)</f>
        <v>12</v>
      </c>
      <c r="E149" s="3" t="str">
        <f t="shared" si="11"/>
        <v>Bajo</v>
      </c>
      <c r="F149">
        <f>SUM('Gestión de abastecimiento'!N150:S150)</f>
        <v>12</v>
      </c>
      <c r="G149" s="3" t="str">
        <f t="shared" si="12"/>
        <v>Bajo</v>
      </c>
      <c r="H149">
        <f t="shared" si="13"/>
        <v>36</v>
      </c>
      <c r="I149" s="3" t="str">
        <f t="shared" si="14"/>
        <v>Bajo</v>
      </c>
    </row>
    <row r="150" spans="1:9" x14ac:dyDescent="0.25">
      <c r="A150" t="s">
        <v>170</v>
      </c>
      <c r="B150">
        <f>SUM('Gestión de abastecimiento'!B151:G151)</f>
        <v>17</v>
      </c>
      <c r="C150" s="3" t="str">
        <f t="shared" si="10"/>
        <v xml:space="preserve">Medio </v>
      </c>
      <c r="D150">
        <f>SUM('Gestión de abastecimiento'!H151:M151)</f>
        <v>18</v>
      </c>
      <c r="E150" s="3" t="str">
        <f t="shared" si="11"/>
        <v xml:space="preserve">Medio </v>
      </c>
      <c r="F150">
        <f>SUM('Gestión de abastecimiento'!N151:S151)</f>
        <v>17</v>
      </c>
      <c r="G150" s="3" t="str">
        <f t="shared" si="12"/>
        <v xml:space="preserve">Medio </v>
      </c>
      <c r="H150">
        <f t="shared" si="13"/>
        <v>52</v>
      </c>
      <c r="I150" s="3" t="str">
        <f t="shared" si="14"/>
        <v xml:space="preserve">Medio </v>
      </c>
    </row>
    <row r="151" spans="1:9" x14ac:dyDescent="0.25">
      <c r="A151" t="s">
        <v>171</v>
      </c>
      <c r="B151">
        <f>SUM('Gestión de abastecimiento'!B152:G152)</f>
        <v>24</v>
      </c>
      <c r="C151" s="3" t="str">
        <f t="shared" si="10"/>
        <v>Alto</v>
      </c>
      <c r="D151">
        <f>SUM('Gestión de abastecimiento'!H152:M152)</f>
        <v>23</v>
      </c>
      <c r="E151" s="3" t="str">
        <f t="shared" si="11"/>
        <v xml:space="preserve">Medio </v>
      </c>
      <c r="F151">
        <f>SUM('Gestión de abastecimiento'!N152:S152)</f>
        <v>21</v>
      </c>
      <c r="G151" s="3" t="str">
        <f t="shared" si="12"/>
        <v xml:space="preserve">Medio </v>
      </c>
      <c r="H151">
        <f t="shared" si="13"/>
        <v>68</v>
      </c>
      <c r="I151" s="3" t="str">
        <f t="shared" si="14"/>
        <v>Alto</v>
      </c>
    </row>
    <row r="152" spans="1:9" x14ac:dyDescent="0.25">
      <c r="A152" t="s">
        <v>172</v>
      </c>
      <c r="B152">
        <f>SUM('Gestión de abastecimiento'!B153:G153)</f>
        <v>18</v>
      </c>
      <c r="C152" s="3" t="str">
        <f t="shared" si="10"/>
        <v xml:space="preserve">Medio </v>
      </c>
      <c r="D152">
        <f>SUM('Gestión de abastecimiento'!H153:M153)</f>
        <v>19</v>
      </c>
      <c r="E152" s="3" t="str">
        <f t="shared" si="11"/>
        <v xml:space="preserve">Medio </v>
      </c>
      <c r="F152">
        <f>SUM('Gestión de abastecimiento'!N153:S153)</f>
        <v>19</v>
      </c>
      <c r="G152" s="3" t="str">
        <f t="shared" si="12"/>
        <v xml:space="preserve">Medio </v>
      </c>
      <c r="H152">
        <f t="shared" si="13"/>
        <v>56</v>
      </c>
      <c r="I152" s="3" t="str">
        <f t="shared" si="14"/>
        <v xml:space="preserve">Medio </v>
      </c>
    </row>
    <row r="153" spans="1:9" x14ac:dyDescent="0.25">
      <c r="A153" t="s">
        <v>173</v>
      </c>
      <c r="B153">
        <f>SUM('Gestión de abastecimiento'!B154:G154)</f>
        <v>19</v>
      </c>
      <c r="C153" s="3" t="str">
        <f t="shared" si="10"/>
        <v xml:space="preserve">Medio </v>
      </c>
      <c r="D153">
        <f>SUM('Gestión de abastecimiento'!H154:M154)</f>
        <v>18</v>
      </c>
      <c r="E153" s="3" t="str">
        <f t="shared" si="11"/>
        <v xml:space="preserve">Medio </v>
      </c>
      <c r="F153">
        <f>SUM('Gestión de abastecimiento'!N154:S154)</f>
        <v>18</v>
      </c>
      <c r="G153" s="3" t="str">
        <f t="shared" si="12"/>
        <v xml:space="preserve">Medio </v>
      </c>
      <c r="H153">
        <f t="shared" si="13"/>
        <v>55</v>
      </c>
      <c r="I153" s="3" t="str">
        <f t="shared" si="14"/>
        <v xml:space="preserve">Medio </v>
      </c>
    </row>
    <row r="154" spans="1:9" x14ac:dyDescent="0.25">
      <c r="A154" t="s">
        <v>174</v>
      </c>
      <c r="B154">
        <f>SUM('Gestión de abastecimiento'!B155:G155)</f>
        <v>23</v>
      </c>
      <c r="C154" s="3" t="str">
        <f t="shared" si="10"/>
        <v xml:space="preserve">Medio </v>
      </c>
      <c r="D154">
        <f>SUM('Gestión de abastecimiento'!H155:M155)</f>
        <v>24</v>
      </c>
      <c r="E154" s="3" t="str">
        <f t="shared" si="11"/>
        <v>Alto</v>
      </c>
      <c r="F154">
        <f>SUM('Gestión de abastecimiento'!N155:S155)</f>
        <v>24</v>
      </c>
      <c r="G154" s="3" t="str">
        <f t="shared" si="12"/>
        <v>Alto</v>
      </c>
      <c r="H154">
        <f t="shared" si="13"/>
        <v>71</v>
      </c>
      <c r="I154" s="3" t="str">
        <f t="shared" si="14"/>
        <v>Alto</v>
      </c>
    </row>
    <row r="155" spans="1:9" x14ac:dyDescent="0.25">
      <c r="A155" t="s">
        <v>175</v>
      </c>
      <c r="B155">
        <f>SUM('Gestión de abastecimiento'!B156:G156)</f>
        <v>26</v>
      </c>
      <c r="C155" s="3" t="str">
        <f t="shared" si="10"/>
        <v>Alto</v>
      </c>
      <c r="D155">
        <f>SUM('Gestión de abastecimiento'!H156:M156)</f>
        <v>28</v>
      </c>
      <c r="E155" s="3" t="str">
        <f t="shared" si="11"/>
        <v>Alto</v>
      </c>
      <c r="F155">
        <f>SUM('Gestión de abastecimiento'!N156:S156)</f>
        <v>27</v>
      </c>
      <c r="G155" s="3" t="str">
        <f t="shared" si="12"/>
        <v>Alto</v>
      </c>
      <c r="H155">
        <f t="shared" si="13"/>
        <v>81</v>
      </c>
      <c r="I155" s="3" t="str">
        <f t="shared" si="14"/>
        <v>Alto</v>
      </c>
    </row>
    <row r="156" spans="1:9" x14ac:dyDescent="0.25">
      <c r="A156" t="s">
        <v>176</v>
      </c>
      <c r="B156">
        <f>SUM('Gestión de abastecimiento'!B157:G157)</f>
        <v>16</v>
      </c>
      <c r="C156" s="3" t="str">
        <f t="shared" si="10"/>
        <v xml:space="preserve">Medio </v>
      </c>
      <c r="D156">
        <f>SUM('Gestión de abastecimiento'!H157:M157)</f>
        <v>18</v>
      </c>
      <c r="E156" s="3" t="str">
        <f t="shared" si="11"/>
        <v xml:space="preserve">Medio </v>
      </c>
      <c r="F156">
        <f>SUM('Gestión de abastecimiento'!N157:S157)</f>
        <v>17</v>
      </c>
      <c r="G156" s="3" t="str">
        <f t="shared" si="12"/>
        <v xml:space="preserve">Medio </v>
      </c>
      <c r="H156">
        <f t="shared" si="13"/>
        <v>51</v>
      </c>
      <c r="I156" s="3" t="str">
        <f t="shared" si="14"/>
        <v xml:space="preserve">Medio </v>
      </c>
    </row>
    <row r="157" spans="1:9" x14ac:dyDescent="0.25">
      <c r="A157" t="s">
        <v>177</v>
      </c>
      <c r="B157">
        <f>SUM('Gestión de abastecimiento'!B158:G158)</f>
        <v>18</v>
      </c>
      <c r="C157" s="3" t="str">
        <f t="shared" si="10"/>
        <v xml:space="preserve">Medio </v>
      </c>
      <c r="D157">
        <f>SUM('Gestión de abastecimiento'!H158:M158)</f>
        <v>17</v>
      </c>
      <c r="E157" s="3" t="str">
        <f t="shared" si="11"/>
        <v xml:space="preserve">Medio </v>
      </c>
      <c r="F157">
        <f>SUM('Gestión de abastecimiento'!N158:S158)</f>
        <v>18</v>
      </c>
      <c r="G157" s="3" t="str">
        <f t="shared" si="12"/>
        <v xml:space="preserve">Medio </v>
      </c>
      <c r="H157">
        <f t="shared" si="13"/>
        <v>53</v>
      </c>
      <c r="I157" s="3" t="str">
        <f t="shared" si="14"/>
        <v xml:space="preserve">Medio </v>
      </c>
    </row>
    <row r="158" spans="1:9" x14ac:dyDescent="0.25">
      <c r="A158" t="s">
        <v>178</v>
      </c>
      <c r="B158">
        <f>SUM('Gestión de abastecimiento'!B159:G159)</f>
        <v>18</v>
      </c>
      <c r="C158" s="3" t="str">
        <f t="shared" si="10"/>
        <v xml:space="preserve">Medio </v>
      </c>
      <c r="D158">
        <f>SUM('Gestión de abastecimiento'!H159:M159)</f>
        <v>19</v>
      </c>
      <c r="E158" s="3" t="str">
        <f t="shared" si="11"/>
        <v xml:space="preserve">Medio </v>
      </c>
      <c r="F158">
        <f>SUM('Gestión de abastecimiento'!N159:S159)</f>
        <v>18</v>
      </c>
      <c r="G158" s="3" t="str">
        <f t="shared" si="12"/>
        <v xml:space="preserve">Medio </v>
      </c>
      <c r="H158">
        <f t="shared" si="13"/>
        <v>55</v>
      </c>
      <c r="I158" s="3" t="str">
        <f t="shared" si="14"/>
        <v xml:space="preserve">Medio </v>
      </c>
    </row>
    <row r="159" spans="1:9" x14ac:dyDescent="0.25">
      <c r="A159" t="s">
        <v>179</v>
      </c>
      <c r="B159">
        <f>SUM('Gestión de abastecimiento'!B160:G160)</f>
        <v>16</v>
      </c>
      <c r="C159" s="3" t="str">
        <f t="shared" si="10"/>
        <v xml:space="preserve">Medio </v>
      </c>
      <c r="D159">
        <f>SUM('Gestión de abastecimiento'!H160:M160)</f>
        <v>17</v>
      </c>
      <c r="E159" s="3" t="str">
        <f t="shared" si="11"/>
        <v xml:space="preserve">Medio </v>
      </c>
      <c r="F159">
        <f>SUM('Gestión de abastecimiento'!N160:S160)</f>
        <v>16</v>
      </c>
      <c r="G159" s="3" t="str">
        <f t="shared" si="12"/>
        <v xml:space="preserve">Medio </v>
      </c>
      <c r="H159">
        <f t="shared" si="13"/>
        <v>49</v>
      </c>
      <c r="I159" s="3" t="str">
        <f t="shared" si="14"/>
        <v xml:space="preserve">Medio </v>
      </c>
    </row>
    <row r="160" spans="1:9" x14ac:dyDescent="0.25">
      <c r="A160" t="s">
        <v>180</v>
      </c>
      <c r="B160">
        <f>SUM('Gestión de abastecimiento'!B161:G161)</f>
        <v>18</v>
      </c>
      <c r="C160" s="3" t="str">
        <f t="shared" si="10"/>
        <v xml:space="preserve">Medio </v>
      </c>
      <c r="D160">
        <f>SUM('Gestión de abastecimiento'!H161:M161)</f>
        <v>18</v>
      </c>
      <c r="E160" s="3" t="str">
        <f t="shared" si="11"/>
        <v xml:space="preserve">Medio </v>
      </c>
      <c r="F160">
        <f>SUM('Gestión de abastecimiento'!N161:S161)</f>
        <v>17</v>
      </c>
      <c r="G160" s="3" t="str">
        <f t="shared" si="12"/>
        <v xml:space="preserve">Medio </v>
      </c>
      <c r="H160">
        <f t="shared" si="13"/>
        <v>53</v>
      </c>
      <c r="I160" s="3" t="str">
        <f t="shared" si="14"/>
        <v xml:space="preserve">Medio </v>
      </c>
    </row>
    <row r="161" spans="1:9" x14ac:dyDescent="0.25">
      <c r="A161" t="s">
        <v>181</v>
      </c>
      <c r="B161">
        <f>SUM('Gestión de abastecimiento'!B162:G162)</f>
        <v>15</v>
      </c>
      <c r="C161" s="3" t="str">
        <f t="shared" si="10"/>
        <v xml:space="preserve">Medio </v>
      </c>
      <c r="D161">
        <f>SUM('Gestión de abastecimiento'!H162:M162)</f>
        <v>16</v>
      </c>
      <c r="E161" s="3" t="str">
        <f t="shared" si="11"/>
        <v xml:space="preserve">Medio </v>
      </c>
      <c r="F161">
        <f>SUM('Gestión de abastecimiento'!N162:S162)</f>
        <v>15</v>
      </c>
      <c r="G161" s="3" t="str">
        <f t="shared" si="12"/>
        <v xml:space="preserve">Medio </v>
      </c>
      <c r="H161">
        <f t="shared" si="13"/>
        <v>46</v>
      </c>
      <c r="I161" s="3" t="str">
        <f t="shared" si="14"/>
        <v xml:space="preserve">Medio </v>
      </c>
    </row>
    <row r="162" spans="1:9" x14ac:dyDescent="0.25">
      <c r="A162" t="s">
        <v>182</v>
      </c>
      <c r="B162">
        <f>SUM('Gestión de abastecimiento'!B163:G163)</f>
        <v>21</v>
      </c>
      <c r="C162" s="3" t="str">
        <f t="shared" si="10"/>
        <v xml:space="preserve">Medio </v>
      </c>
      <c r="D162">
        <f>SUM('Gestión de abastecimiento'!H163:M163)</f>
        <v>18</v>
      </c>
      <c r="E162" s="3" t="str">
        <f t="shared" si="11"/>
        <v xml:space="preserve">Medio </v>
      </c>
      <c r="F162">
        <f>SUM('Gestión de abastecimiento'!N163:S163)</f>
        <v>19</v>
      </c>
      <c r="G162" s="3" t="str">
        <f t="shared" si="12"/>
        <v xml:space="preserve">Medio </v>
      </c>
      <c r="H162">
        <f t="shared" si="13"/>
        <v>58</v>
      </c>
      <c r="I162" s="3" t="str">
        <f t="shared" si="14"/>
        <v xml:space="preserve">Medio </v>
      </c>
    </row>
    <row r="163" spans="1:9" x14ac:dyDescent="0.25">
      <c r="A163" t="s">
        <v>183</v>
      </c>
      <c r="B163">
        <f>SUM('Gestión de abastecimiento'!B164:G164)</f>
        <v>18</v>
      </c>
      <c r="C163" s="3" t="str">
        <f t="shared" si="10"/>
        <v xml:space="preserve">Medio </v>
      </c>
      <c r="D163">
        <f>SUM('Gestión de abastecimiento'!H164:M164)</f>
        <v>18</v>
      </c>
      <c r="E163" s="3" t="str">
        <f t="shared" si="11"/>
        <v xml:space="preserve">Medio </v>
      </c>
      <c r="F163">
        <f>SUM('Gestión de abastecimiento'!N164:S164)</f>
        <v>16</v>
      </c>
      <c r="G163" s="3" t="str">
        <f t="shared" si="12"/>
        <v xml:space="preserve">Medio </v>
      </c>
      <c r="H163">
        <f t="shared" si="13"/>
        <v>52</v>
      </c>
      <c r="I163" s="3" t="str">
        <f t="shared" si="14"/>
        <v xml:space="preserve">Medio </v>
      </c>
    </row>
    <row r="164" spans="1:9" x14ac:dyDescent="0.25">
      <c r="A164" t="s">
        <v>184</v>
      </c>
      <c r="B164">
        <f>SUM('Gestión de abastecimiento'!B165:G165)</f>
        <v>26</v>
      </c>
      <c r="C164" s="3" t="str">
        <f t="shared" si="10"/>
        <v>Alto</v>
      </c>
      <c r="D164">
        <f>SUM('Gestión de abastecimiento'!H165:M165)</f>
        <v>24</v>
      </c>
      <c r="E164" s="3" t="str">
        <f t="shared" si="11"/>
        <v>Alto</v>
      </c>
      <c r="F164">
        <f>SUM('Gestión de abastecimiento'!N165:S165)</f>
        <v>24</v>
      </c>
      <c r="G164" s="3" t="str">
        <f t="shared" si="12"/>
        <v>Alto</v>
      </c>
      <c r="H164">
        <f t="shared" si="13"/>
        <v>74</v>
      </c>
      <c r="I164" s="3" t="str">
        <f t="shared" si="14"/>
        <v>Alto</v>
      </c>
    </row>
    <row r="165" spans="1:9" x14ac:dyDescent="0.25">
      <c r="A165" t="s">
        <v>185</v>
      </c>
      <c r="B165">
        <f>SUM('Gestión de abastecimiento'!B166:G166)</f>
        <v>25</v>
      </c>
      <c r="C165" s="3" t="str">
        <f t="shared" si="10"/>
        <v>Alto</v>
      </c>
      <c r="D165">
        <f>SUM('Gestión de abastecimiento'!H166:M166)</f>
        <v>24</v>
      </c>
      <c r="E165" s="3" t="str">
        <f t="shared" si="11"/>
        <v>Alto</v>
      </c>
      <c r="F165">
        <f>SUM('Gestión de abastecimiento'!N166:S166)</f>
        <v>24</v>
      </c>
      <c r="G165" s="3" t="str">
        <f t="shared" si="12"/>
        <v>Alto</v>
      </c>
      <c r="H165">
        <f t="shared" si="13"/>
        <v>73</v>
      </c>
      <c r="I165" s="3" t="str">
        <f t="shared" si="14"/>
        <v>Alto</v>
      </c>
    </row>
    <row r="166" spans="1:9" x14ac:dyDescent="0.25">
      <c r="A166" t="s">
        <v>186</v>
      </c>
      <c r="B166">
        <f>SUM('Gestión de abastecimiento'!B167:G167)</f>
        <v>19</v>
      </c>
      <c r="C166" s="3" t="str">
        <f t="shared" si="10"/>
        <v xml:space="preserve">Medio </v>
      </c>
      <c r="D166">
        <f>SUM('Gestión de abastecimiento'!H167:M167)</f>
        <v>19</v>
      </c>
      <c r="E166" s="3" t="str">
        <f t="shared" si="11"/>
        <v xml:space="preserve">Medio </v>
      </c>
      <c r="F166">
        <f>SUM('Gestión de abastecimiento'!N167:S167)</f>
        <v>18</v>
      </c>
      <c r="G166" s="3" t="str">
        <f t="shared" si="12"/>
        <v xml:space="preserve">Medio </v>
      </c>
      <c r="H166">
        <f t="shared" si="13"/>
        <v>56</v>
      </c>
      <c r="I166" s="3" t="str">
        <f t="shared" si="14"/>
        <v xml:space="preserve">Medio </v>
      </c>
    </row>
    <row r="167" spans="1:9" x14ac:dyDescent="0.25">
      <c r="A167" t="s">
        <v>187</v>
      </c>
      <c r="B167">
        <f>SUM('Gestión de abastecimiento'!B168:G168)</f>
        <v>18</v>
      </c>
      <c r="C167" s="3" t="str">
        <f t="shared" si="10"/>
        <v xml:space="preserve">Medio </v>
      </c>
      <c r="D167">
        <f>SUM('Gestión de abastecimiento'!H168:M168)</f>
        <v>19</v>
      </c>
      <c r="E167" s="3" t="str">
        <f t="shared" si="11"/>
        <v xml:space="preserve">Medio </v>
      </c>
      <c r="F167">
        <f>SUM('Gestión de abastecimiento'!N168:S168)</f>
        <v>21</v>
      </c>
      <c r="G167" s="3" t="str">
        <f t="shared" si="12"/>
        <v xml:space="preserve">Medio </v>
      </c>
      <c r="H167">
        <f t="shared" si="13"/>
        <v>58</v>
      </c>
      <c r="I167" s="3" t="str">
        <f t="shared" si="14"/>
        <v xml:space="preserve">Medio </v>
      </c>
    </row>
    <row r="168" spans="1:9" x14ac:dyDescent="0.25">
      <c r="A168" t="s">
        <v>188</v>
      </c>
      <c r="B168">
        <f>SUM('Gestión de abastecimiento'!B169:G169)</f>
        <v>20</v>
      </c>
      <c r="C168" s="3" t="str">
        <f t="shared" si="10"/>
        <v xml:space="preserve">Medio </v>
      </c>
      <c r="D168">
        <f>SUM('Gestión de abastecimiento'!H169:M169)</f>
        <v>20</v>
      </c>
      <c r="E168" s="3" t="str">
        <f t="shared" si="11"/>
        <v xml:space="preserve">Medio </v>
      </c>
      <c r="F168">
        <f>SUM('Gestión de abastecimiento'!N169:S169)</f>
        <v>18</v>
      </c>
      <c r="G168" s="3" t="str">
        <f t="shared" si="12"/>
        <v xml:space="preserve">Medio </v>
      </c>
      <c r="H168">
        <f t="shared" si="13"/>
        <v>58</v>
      </c>
      <c r="I168" s="3" t="str">
        <f t="shared" si="14"/>
        <v xml:space="preserve">Medio </v>
      </c>
    </row>
    <row r="169" spans="1:9" x14ac:dyDescent="0.25">
      <c r="A169" t="s">
        <v>189</v>
      </c>
      <c r="B169">
        <f>SUM('Gestión de abastecimiento'!B170:G170)</f>
        <v>20</v>
      </c>
      <c r="C169" s="3" t="str">
        <f t="shared" si="10"/>
        <v xml:space="preserve">Medio </v>
      </c>
      <c r="D169">
        <f>SUM('Gestión de abastecimiento'!H170:M170)</f>
        <v>19</v>
      </c>
      <c r="E169" s="3" t="str">
        <f t="shared" si="11"/>
        <v xml:space="preserve">Medio </v>
      </c>
      <c r="F169">
        <f>SUM('Gestión de abastecimiento'!N170:S170)</f>
        <v>18</v>
      </c>
      <c r="G169" s="3" t="str">
        <f t="shared" si="12"/>
        <v xml:space="preserve">Medio </v>
      </c>
      <c r="H169">
        <f t="shared" si="13"/>
        <v>57</v>
      </c>
      <c r="I169" s="3" t="str">
        <f t="shared" si="14"/>
        <v xml:space="preserve">Medio </v>
      </c>
    </row>
    <row r="170" spans="1:9" x14ac:dyDescent="0.25">
      <c r="A170" t="s">
        <v>190</v>
      </c>
      <c r="B170">
        <f>SUM('Gestión de abastecimiento'!B171:G171)</f>
        <v>19</v>
      </c>
      <c r="C170" s="3" t="str">
        <f t="shared" si="10"/>
        <v xml:space="preserve">Medio </v>
      </c>
      <c r="D170">
        <f>SUM('Gestión de abastecimiento'!H171:M171)</f>
        <v>18</v>
      </c>
      <c r="E170" s="3" t="str">
        <f t="shared" si="11"/>
        <v xml:space="preserve">Medio </v>
      </c>
      <c r="F170">
        <f>SUM('Gestión de abastecimiento'!N171:S171)</f>
        <v>17</v>
      </c>
      <c r="G170" s="3" t="str">
        <f t="shared" si="12"/>
        <v xml:space="preserve">Medio </v>
      </c>
      <c r="H170">
        <f t="shared" si="13"/>
        <v>54</v>
      </c>
      <c r="I170" s="3" t="str">
        <f t="shared" si="14"/>
        <v xml:space="preserve">Medio </v>
      </c>
    </row>
    <row r="171" spans="1:9" x14ac:dyDescent="0.25">
      <c r="A171" t="s">
        <v>191</v>
      </c>
      <c r="B171">
        <f>SUM('Gestión de abastecimiento'!B172:G172)</f>
        <v>23</v>
      </c>
      <c r="C171" s="3" t="str">
        <f t="shared" si="10"/>
        <v xml:space="preserve">Medio </v>
      </c>
      <c r="D171">
        <f>SUM('Gestión de abastecimiento'!H172:M172)</f>
        <v>23</v>
      </c>
      <c r="E171" s="3" t="str">
        <f t="shared" si="11"/>
        <v xml:space="preserve">Medio </v>
      </c>
      <c r="F171">
        <f>SUM('Gestión de abastecimiento'!N172:S172)</f>
        <v>20</v>
      </c>
      <c r="G171" s="3" t="str">
        <f t="shared" si="12"/>
        <v xml:space="preserve">Medio </v>
      </c>
      <c r="H171">
        <f t="shared" si="13"/>
        <v>66</v>
      </c>
      <c r="I171" s="3" t="str">
        <f t="shared" si="14"/>
        <v>Alto</v>
      </c>
    </row>
    <row r="172" spans="1:9" x14ac:dyDescent="0.25">
      <c r="A172" t="s">
        <v>192</v>
      </c>
      <c r="B172">
        <f>SUM('Gestión de abastecimiento'!B173:G173)</f>
        <v>20</v>
      </c>
      <c r="C172" s="3" t="str">
        <f t="shared" si="10"/>
        <v xml:space="preserve">Medio </v>
      </c>
      <c r="D172">
        <f>SUM('Gestión de abastecimiento'!H173:M173)</f>
        <v>20</v>
      </c>
      <c r="E172" s="3" t="str">
        <f t="shared" si="11"/>
        <v xml:space="preserve">Medio </v>
      </c>
      <c r="F172">
        <f>SUM('Gestión de abastecimiento'!N173:S173)</f>
        <v>18</v>
      </c>
      <c r="G172" s="3" t="str">
        <f t="shared" si="12"/>
        <v xml:space="preserve">Medio </v>
      </c>
      <c r="H172">
        <f t="shared" si="13"/>
        <v>58</v>
      </c>
      <c r="I172" s="3" t="str">
        <f t="shared" si="14"/>
        <v xml:space="preserve">Medio </v>
      </c>
    </row>
    <row r="173" spans="1:9" x14ac:dyDescent="0.25">
      <c r="A173" t="s">
        <v>193</v>
      </c>
      <c r="B173">
        <f>SUM('Gestión de abastecimiento'!B174:G174)</f>
        <v>13</v>
      </c>
      <c r="C173" s="3" t="str">
        <f t="shared" si="10"/>
        <v>Bajo</v>
      </c>
      <c r="D173">
        <f>SUM('Gestión de abastecimiento'!H174:M174)</f>
        <v>13</v>
      </c>
      <c r="E173" s="3" t="str">
        <f t="shared" si="11"/>
        <v>Bajo</v>
      </c>
      <c r="F173">
        <f>SUM('Gestión de abastecimiento'!N174:S174)</f>
        <v>11</v>
      </c>
      <c r="G173" s="3" t="str">
        <f t="shared" si="12"/>
        <v>Bajo</v>
      </c>
      <c r="H173">
        <f t="shared" si="13"/>
        <v>37</v>
      </c>
      <c r="I173" s="3" t="str">
        <f t="shared" si="14"/>
        <v>Bajo</v>
      </c>
    </row>
    <row r="174" spans="1:9" x14ac:dyDescent="0.25">
      <c r="A174" t="s">
        <v>194</v>
      </c>
      <c r="B174">
        <f>SUM('Gestión de abastecimiento'!B175:G175)</f>
        <v>18</v>
      </c>
      <c r="C174" s="3" t="str">
        <f t="shared" si="10"/>
        <v xml:space="preserve">Medio </v>
      </c>
      <c r="D174">
        <f>SUM('Gestión de abastecimiento'!H175:M175)</f>
        <v>17</v>
      </c>
      <c r="E174" s="3" t="str">
        <f t="shared" si="11"/>
        <v xml:space="preserve">Medio </v>
      </c>
      <c r="F174">
        <f>SUM('Gestión de abastecimiento'!N175:S175)</f>
        <v>16</v>
      </c>
      <c r="G174" s="3" t="str">
        <f t="shared" si="12"/>
        <v xml:space="preserve">Medio </v>
      </c>
      <c r="H174">
        <f t="shared" si="13"/>
        <v>51</v>
      </c>
      <c r="I174" s="3" t="str">
        <f t="shared" si="14"/>
        <v xml:space="preserve">Medio </v>
      </c>
    </row>
    <row r="175" spans="1:9" x14ac:dyDescent="0.25">
      <c r="A175" t="s">
        <v>195</v>
      </c>
      <c r="B175">
        <f>SUM('Gestión de abastecimiento'!B176:G176)</f>
        <v>12</v>
      </c>
      <c r="C175" s="3" t="str">
        <f t="shared" si="10"/>
        <v>Bajo</v>
      </c>
      <c r="D175">
        <f>SUM('Gestión de abastecimiento'!H176:M176)</f>
        <v>12</v>
      </c>
      <c r="E175" s="3" t="str">
        <f t="shared" si="11"/>
        <v>Bajo</v>
      </c>
      <c r="F175">
        <f>SUM('Gestión de abastecimiento'!N176:S176)</f>
        <v>11</v>
      </c>
      <c r="G175" s="3" t="str">
        <f t="shared" si="12"/>
        <v>Bajo</v>
      </c>
      <c r="H175">
        <f t="shared" si="13"/>
        <v>35</v>
      </c>
      <c r="I175" s="3" t="str">
        <f t="shared" si="14"/>
        <v>Bajo</v>
      </c>
    </row>
    <row r="176" spans="1:9" x14ac:dyDescent="0.25">
      <c r="A176" t="s">
        <v>196</v>
      </c>
      <c r="B176">
        <f>SUM('Gestión de abastecimiento'!B177:G177)</f>
        <v>20</v>
      </c>
      <c r="C176" s="3" t="str">
        <f t="shared" si="10"/>
        <v xml:space="preserve">Medio </v>
      </c>
      <c r="D176">
        <f>SUM('Gestión de abastecimiento'!H177:M177)</f>
        <v>19</v>
      </c>
      <c r="E176" s="3" t="str">
        <f t="shared" si="11"/>
        <v xml:space="preserve">Medio </v>
      </c>
      <c r="F176">
        <f>SUM('Gestión de abastecimiento'!N177:S177)</f>
        <v>19</v>
      </c>
      <c r="G176" s="3" t="str">
        <f t="shared" si="12"/>
        <v xml:space="preserve">Medio </v>
      </c>
      <c r="H176">
        <f t="shared" si="13"/>
        <v>58</v>
      </c>
      <c r="I176" s="3" t="str">
        <f t="shared" si="14"/>
        <v xml:space="preserve">Medio </v>
      </c>
    </row>
    <row r="177" spans="1:9" x14ac:dyDescent="0.25">
      <c r="A177" t="s">
        <v>197</v>
      </c>
      <c r="B177">
        <f>SUM('Gestión de abastecimiento'!B178:G178)</f>
        <v>17</v>
      </c>
      <c r="C177" s="3" t="str">
        <f t="shared" si="10"/>
        <v xml:space="preserve">Medio </v>
      </c>
      <c r="D177">
        <f>SUM('Gestión de abastecimiento'!H178:M178)</f>
        <v>17</v>
      </c>
      <c r="E177" s="3" t="str">
        <f t="shared" si="11"/>
        <v xml:space="preserve">Medio </v>
      </c>
      <c r="F177">
        <f>SUM('Gestión de abastecimiento'!N178:S178)</f>
        <v>15</v>
      </c>
      <c r="G177" s="3" t="str">
        <f t="shared" si="12"/>
        <v xml:space="preserve">Medio </v>
      </c>
      <c r="H177">
        <f t="shared" si="13"/>
        <v>49</v>
      </c>
      <c r="I177" s="3" t="str">
        <f t="shared" si="14"/>
        <v xml:space="preserve">Medio </v>
      </c>
    </row>
    <row r="178" spans="1:9" x14ac:dyDescent="0.25">
      <c r="A178" t="s">
        <v>198</v>
      </c>
      <c r="B178">
        <f>SUM('Gestión de abastecimiento'!B179:G179)</f>
        <v>15</v>
      </c>
      <c r="C178" s="3" t="str">
        <f t="shared" si="10"/>
        <v xml:space="preserve">Medio </v>
      </c>
      <c r="D178">
        <f>SUM('Gestión de abastecimiento'!H179:M179)</f>
        <v>15</v>
      </c>
      <c r="E178" s="3" t="str">
        <f t="shared" si="11"/>
        <v xml:space="preserve">Medio </v>
      </c>
      <c r="F178">
        <f>SUM('Gestión de abastecimiento'!N179:S179)</f>
        <v>13</v>
      </c>
      <c r="G178" s="3" t="str">
        <f t="shared" si="12"/>
        <v>Bajo</v>
      </c>
      <c r="H178">
        <f t="shared" si="13"/>
        <v>43</v>
      </c>
      <c r="I178" s="3" t="str">
        <f t="shared" si="14"/>
        <v xml:space="preserve">Medio </v>
      </c>
    </row>
    <row r="179" spans="1:9" x14ac:dyDescent="0.25">
      <c r="A179" t="s">
        <v>199</v>
      </c>
      <c r="B179">
        <f>SUM('Gestión de abastecimiento'!B180:G180)</f>
        <v>22</v>
      </c>
      <c r="C179" s="3" t="str">
        <f t="shared" si="10"/>
        <v xml:space="preserve">Medio </v>
      </c>
      <c r="D179">
        <f>SUM('Gestión de abastecimiento'!H180:M180)</f>
        <v>23</v>
      </c>
      <c r="E179" s="3" t="str">
        <f t="shared" si="11"/>
        <v xml:space="preserve">Medio </v>
      </c>
      <c r="F179">
        <f>SUM('Gestión de abastecimiento'!N180:S180)</f>
        <v>20</v>
      </c>
      <c r="G179" s="3" t="str">
        <f t="shared" si="12"/>
        <v xml:space="preserve">Medio </v>
      </c>
      <c r="H179">
        <f t="shared" si="13"/>
        <v>65</v>
      </c>
      <c r="I179" s="3" t="str">
        <f t="shared" si="14"/>
        <v xml:space="preserve">Medio </v>
      </c>
    </row>
    <row r="180" spans="1:9" x14ac:dyDescent="0.25">
      <c r="A180" t="s">
        <v>200</v>
      </c>
      <c r="B180">
        <f>SUM('Gestión de abastecimiento'!B181:G181)</f>
        <v>24</v>
      </c>
      <c r="C180" s="3" t="str">
        <f t="shared" si="10"/>
        <v>Alto</v>
      </c>
      <c r="D180">
        <f>SUM('Gestión de abastecimiento'!H181:M181)</f>
        <v>24</v>
      </c>
      <c r="E180" s="3" t="str">
        <f t="shared" si="11"/>
        <v>Alto</v>
      </c>
      <c r="F180">
        <f>SUM('Gestión de abastecimiento'!N181:S181)</f>
        <v>24</v>
      </c>
      <c r="G180" s="3" t="str">
        <f t="shared" si="12"/>
        <v>Alto</v>
      </c>
      <c r="H180">
        <f t="shared" si="13"/>
        <v>72</v>
      </c>
      <c r="I180" s="3" t="str">
        <f t="shared" si="14"/>
        <v>Alto</v>
      </c>
    </row>
    <row r="181" spans="1:9" x14ac:dyDescent="0.25">
      <c r="A181" t="s">
        <v>201</v>
      </c>
      <c r="B181">
        <f>SUM('Gestión de abastecimiento'!B182:G182)</f>
        <v>19</v>
      </c>
      <c r="C181" s="3" t="str">
        <f t="shared" si="10"/>
        <v xml:space="preserve">Medio </v>
      </c>
      <c r="D181">
        <f>SUM('Gestión de abastecimiento'!H182:M182)</f>
        <v>19</v>
      </c>
      <c r="E181" s="3" t="str">
        <f t="shared" si="11"/>
        <v xml:space="preserve">Medio </v>
      </c>
      <c r="F181">
        <f>SUM('Gestión de abastecimiento'!N182:S182)</f>
        <v>18</v>
      </c>
      <c r="G181" s="3" t="str">
        <f t="shared" si="12"/>
        <v xml:space="preserve">Medio </v>
      </c>
      <c r="H181">
        <f t="shared" si="13"/>
        <v>56</v>
      </c>
      <c r="I181" s="3" t="str">
        <f t="shared" si="14"/>
        <v xml:space="preserve">Medio </v>
      </c>
    </row>
    <row r="182" spans="1:9" x14ac:dyDescent="0.25">
      <c r="A182" t="s">
        <v>202</v>
      </c>
      <c r="B182">
        <f>SUM('Gestión de abastecimiento'!B183:G183)</f>
        <v>21</v>
      </c>
      <c r="C182" s="3" t="str">
        <f t="shared" si="10"/>
        <v xml:space="preserve">Medio </v>
      </c>
      <c r="D182">
        <f>SUM('Gestión de abastecimiento'!H183:M183)</f>
        <v>19</v>
      </c>
      <c r="E182" s="3" t="str">
        <f t="shared" si="11"/>
        <v xml:space="preserve">Medio </v>
      </c>
      <c r="F182">
        <f>SUM('Gestión de abastecimiento'!N183:S183)</f>
        <v>19</v>
      </c>
      <c r="G182" s="3" t="str">
        <f t="shared" si="12"/>
        <v xml:space="preserve">Medio </v>
      </c>
      <c r="H182">
        <f t="shared" si="13"/>
        <v>59</v>
      </c>
      <c r="I182" s="3" t="str">
        <f t="shared" si="14"/>
        <v xml:space="preserve">Medio </v>
      </c>
    </row>
    <row r="183" spans="1:9" x14ac:dyDescent="0.25">
      <c r="A183" t="s">
        <v>203</v>
      </c>
      <c r="B183">
        <f>SUM('Gestión de abastecimiento'!B184:G184)</f>
        <v>16</v>
      </c>
      <c r="C183" s="3" t="str">
        <f t="shared" si="10"/>
        <v xml:space="preserve">Medio </v>
      </c>
      <c r="D183">
        <f>SUM('Gestión de abastecimiento'!H184:M184)</f>
        <v>12</v>
      </c>
      <c r="E183" s="3" t="str">
        <f t="shared" si="11"/>
        <v>Bajo</v>
      </c>
      <c r="F183">
        <f>SUM('Gestión de abastecimiento'!N184:S184)</f>
        <v>15</v>
      </c>
      <c r="G183" s="3" t="str">
        <f t="shared" si="12"/>
        <v xml:space="preserve">Medio </v>
      </c>
      <c r="H183">
        <f t="shared" si="13"/>
        <v>43</v>
      </c>
      <c r="I183" s="3" t="str">
        <f t="shared" si="14"/>
        <v xml:space="preserve">Medio </v>
      </c>
    </row>
    <row r="184" spans="1:9" x14ac:dyDescent="0.25">
      <c r="A184" t="s">
        <v>204</v>
      </c>
      <c r="B184">
        <f>SUM('Gestión de abastecimiento'!B185:G185)</f>
        <v>23</v>
      </c>
      <c r="C184" s="3" t="str">
        <f t="shared" si="10"/>
        <v xml:space="preserve">Medio </v>
      </c>
      <c r="D184">
        <f>SUM('Gestión de abastecimiento'!H185:M185)</f>
        <v>22</v>
      </c>
      <c r="E184" s="3" t="str">
        <f t="shared" si="11"/>
        <v xml:space="preserve">Medio </v>
      </c>
      <c r="F184">
        <f>SUM('Gestión de abastecimiento'!N185:S185)</f>
        <v>21</v>
      </c>
      <c r="G184" s="3" t="str">
        <f t="shared" si="12"/>
        <v xml:space="preserve">Medio </v>
      </c>
      <c r="H184">
        <f t="shared" si="13"/>
        <v>66</v>
      </c>
      <c r="I184" s="3" t="str">
        <f t="shared" si="14"/>
        <v>Alto</v>
      </c>
    </row>
    <row r="185" spans="1:9" x14ac:dyDescent="0.25">
      <c r="A185" t="s">
        <v>205</v>
      </c>
      <c r="B185">
        <f>SUM('Gestión de abastecimiento'!B186:G186)</f>
        <v>22</v>
      </c>
      <c r="C185" s="3" t="str">
        <f t="shared" si="10"/>
        <v xml:space="preserve">Medio </v>
      </c>
      <c r="D185">
        <f>SUM('Gestión de abastecimiento'!H186:M186)</f>
        <v>22</v>
      </c>
      <c r="E185" s="3" t="str">
        <f t="shared" si="11"/>
        <v xml:space="preserve">Medio </v>
      </c>
      <c r="F185">
        <f>SUM('Gestión de abastecimiento'!N186:S186)</f>
        <v>23</v>
      </c>
      <c r="G185" s="3" t="str">
        <f t="shared" si="12"/>
        <v xml:space="preserve">Medio </v>
      </c>
      <c r="H185">
        <f t="shared" si="13"/>
        <v>67</v>
      </c>
      <c r="I185" s="3" t="str">
        <f t="shared" si="14"/>
        <v>Alto</v>
      </c>
    </row>
    <row r="186" spans="1:9" x14ac:dyDescent="0.25">
      <c r="A186" t="s">
        <v>206</v>
      </c>
      <c r="B186">
        <f>SUM('Gestión de abastecimiento'!B187:G187)</f>
        <v>21</v>
      </c>
      <c r="C186" s="3" t="str">
        <f t="shared" si="10"/>
        <v xml:space="preserve">Medio </v>
      </c>
      <c r="D186">
        <f>SUM('Gestión de abastecimiento'!H187:M187)</f>
        <v>22</v>
      </c>
      <c r="E186" s="3" t="str">
        <f t="shared" si="11"/>
        <v xml:space="preserve">Medio </v>
      </c>
      <c r="F186">
        <f>SUM('Gestión de abastecimiento'!N187:S187)</f>
        <v>19</v>
      </c>
      <c r="G186" s="3" t="str">
        <f t="shared" si="12"/>
        <v xml:space="preserve">Medio </v>
      </c>
      <c r="H186">
        <f t="shared" si="13"/>
        <v>62</v>
      </c>
      <c r="I186" s="3" t="str">
        <f t="shared" si="14"/>
        <v xml:space="preserve">Medio </v>
      </c>
    </row>
    <row r="187" spans="1:9" x14ac:dyDescent="0.25">
      <c r="A187" t="s">
        <v>207</v>
      </c>
      <c r="B187">
        <f>SUM('Gestión de abastecimiento'!B188:G188)</f>
        <v>18</v>
      </c>
      <c r="C187" s="3" t="str">
        <f t="shared" si="10"/>
        <v xml:space="preserve">Medio </v>
      </c>
      <c r="D187">
        <f>SUM('Gestión de abastecimiento'!H188:M188)</f>
        <v>18</v>
      </c>
      <c r="E187" s="3" t="str">
        <f t="shared" si="11"/>
        <v xml:space="preserve">Medio </v>
      </c>
      <c r="F187">
        <f>SUM('Gestión de abastecimiento'!N188:S188)</f>
        <v>20</v>
      </c>
      <c r="G187" s="3" t="str">
        <f t="shared" si="12"/>
        <v xml:space="preserve">Medio </v>
      </c>
      <c r="H187">
        <f t="shared" si="13"/>
        <v>56</v>
      </c>
      <c r="I187" s="3" t="str">
        <f t="shared" si="14"/>
        <v xml:space="preserve">Medio </v>
      </c>
    </row>
    <row r="188" spans="1:9" x14ac:dyDescent="0.25">
      <c r="A188" t="s">
        <v>208</v>
      </c>
      <c r="B188">
        <f>SUM('Gestión de abastecimiento'!B189:G189)</f>
        <v>20</v>
      </c>
      <c r="C188" s="3" t="str">
        <f t="shared" si="10"/>
        <v xml:space="preserve">Medio </v>
      </c>
      <c r="D188">
        <f>SUM('Gestión de abastecimiento'!H189:M189)</f>
        <v>20</v>
      </c>
      <c r="E188" s="3" t="str">
        <f t="shared" si="11"/>
        <v xml:space="preserve">Medio </v>
      </c>
      <c r="F188">
        <f>SUM('Gestión de abastecimiento'!N189:S189)</f>
        <v>18</v>
      </c>
      <c r="G188" s="3" t="str">
        <f t="shared" si="12"/>
        <v xml:space="preserve">Medio </v>
      </c>
      <c r="H188">
        <f t="shared" si="13"/>
        <v>58</v>
      </c>
      <c r="I188" s="3" t="str">
        <f t="shared" si="14"/>
        <v xml:space="preserve">Medio </v>
      </c>
    </row>
    <row r="189" spans="1:9" x14ac:dyDescent="0.25">
      <c r="A189" t="s">
        <v>209</v>
      </c>
      <c r="B189">
        <f>SUM('Gestión de abastecimiento'!B190:G190)</f>
        <v>20</v>
      </c>
      <c r="C189" s="3" t="str">
        <f t="shared" si="10"/>
        <v xml:space="preserve">Medio </v>
      </c>
      <c r="D189">
        <f>SUM('Gestión de abastecimiento'!H190:M190)</f>
        <v>20</v>
      </c>
      <c r="E189" s="3" t="str">
        <f t="shared" si="11"/>
        <v xml:space="preserve">Medio </v>
      </c>
      <c r="F189">
        <f>SUM('Gestión de abastecimiento'!N190:S190)</f>
        <v>19</v>
      </c>
      <c r="G189" s="3" t="str">
        <f t="shared" si="12"/>
        <v xml:space="preserve">Medio </v>
      </c>
      <c r="H189">
        <f t="shared" si="13"/>
        <v>59</v>
      </c>
      <c r="I189" s="3" t="str">
        <f t="shared" si="14"/>
        <v xml:space="preserve">Medio </v>
      </c>
    </row>
    <row r="190" spans="1:9" x14ac:dyDescent="0.25">
      <c r="A190" t="s">
        <v>210</v>
      </c>
      <c r="B190">
        <f>SUM('Gestión de abastecimiento'!B191:G191)</f>
        <v>21</v>
      </c>
      <c r="C190" s="3" t="str">
        <f t="shared" si="10"/>
        <v xml:space="preserve">Medio </v>
      </c>
      <c r="D190">
        <f>SUM('Gestión de abastecimiento'!H191:M191)</f>
        <v>18</v>
      </c>
      <c r="E190" s="3" t="str">
        <f t="shared" si="11"/>
        <v xml:space="preserve">Medio </v>
      </c>
      <c r="F190">
        <f>SUM('Gestión de abastecimiento'!N191:S191)</f>
        <v>19</v>
      </c>
      <c r="G190" s="3" t="str">
        <f t="shared" si="12"/>
        <v xml:space="preserve">Medio </v>
      </c>
      <c r="H190">
        <f t="shared" si="13"/>
        <v>58</v>
      </c>
      <c r="I190" s="3" t="str">
        <f t="shared" si="14"/>
        <v xml:space="preserve">Medio </v>
      </c>
    </row>
    <row r="191" spans="1:9" x14ac:dyDescent="0.25">
      <c r="A191" t="s">
        <v>211</v>
      </c>
      <c r="B191">
        <f>SUM('Gestión de abastecimiento'!B192:G192)</f>
        <v>22</v>
      </c>
      <c r="C191" s="3" t="str">
        <f t="shared" si="10"/>
        <v xml:space="preserve">Medio </v>
      </c>
      <c r="D191">
        <f>SUM('Gestión de abastecimiento'!H192:M192)</f>
        <v>23</v>
      </c>
      <c r="E191" s="3" t="str">
        <f t="shared" si="11"/>
        <v xml:space="preserve">Medio </v>
      </c>
      <c r="F191">
        <f>SUM('Gestión de abastecimiento'!N192:S192)</f>
        <v>23</v>
      </c>
      <c r="G191" s="3" t="str">
        <f t="shared" si="12"/>
        <v xml:space="preserve">Medio </v>
      </c>
      <c r="H191">
        <f t="shared" si="13"/>
        <v>68</v>
      </c>
      <c r="I191" s="3" t="str">
        <f t="shared" si="14"/>
        <v>Alto</v>
      </c>
    </row>
    <row r="192" spans="1:9" x14ac:dyDescent="0.25">
      <c r="A192" t="s">
        <v>212</v>
      </c>
      <c r="B192">
        <f>SUM('Gestión de abastecimiento'!B193:G193)</f>
        <v>22</v>
      </c>
      <c r="C192" s="3" t="str">
        <f t="shared" si="10"/>
        <v xml:space="preserve">Medio </v>
      </c>
      <c r="D192">
        <f>SUM('Gestión de abastecimiento'!H193:M193)</f>
        <v>22</v>
      </c>
      <c r="E192" s="3" t="str">
        <f t="shared" si="11"/>
        <v xml:space="preserve">Medio </v>
      </c>
      <c r="F192">
        <f>SUM('Gestión de abastecimiento'!N193:S193)</f>
        <v>20</v>
      </c>
      <c r="G192" s="3" t="str">
        <f t="shared" si="12"/>
        <v xml:space="preserve">Medio </v>
      </c>
      <c r="H192">
        <f t="shared" si="13"/>
        <v>64</v>
      </c>
      <c r="I192" s="3" t="str">
        <f t="shared" si="14"/>
        <v xml:space="preserve">Medio </v>
      </c>
    </row>
    <row r="193" spans="1:9" x14ac:dyDescent="0.25">
      <c r="A193" t="s">
        <v>213</v>
      </c>
      <c r="B193">
        <f>SUM('Gestión de abastecimiento'!B194:G194)</f>
        <v>11</v>
      </c>
      <c r="C193" s="3" t="str">
        <f t="shared" si="10"/>
        <v>Bajo</v>
      </c>
      <c r="D193">
        <f>SUM('Gestión de abastecimiento'!H194:M194)</f>
        <v>12</v>
      </c>
      <c r="E193" s="3" t="str">
        <f t="shared" si="11"/>
        <v>Bajo</v>
      </c>
      <c r="F193">
        <f>SUM('Gestión de abastecimiento'!N194:S194)</f>
        <v>11</v>
      </c>
      <c r="G193" s="3" t="str">
        <f t="shared" si="12"/>
        <v>Bajo</v>
      </c>
      <c r="H193">
        <f t="shared" si="13"/>
        <v>34</v>
      </c>
      <c r="I193" s="3" t="str">
        <f t="shared" si="14"/>
        <v>Bajo</v>
      </c>
    </row>
    <row r="194" spans="1:9" x14ac:dyDescent="0.25">
      <c r="A194" t="s">
        <v>214</v>
      </c>
      <c r="B194">
        <f>SUM('Gestión de abastecimiento'!B195:G195)</f>
        <v>22</v>
      </c>
      <c r="C194" s="3" t="str">
        <f t="shared" si="10"/>
        <v xml:space="preserve">Medio </v>
      </c>
      <c r="D194">
        <f>SUM('Gestión de abastecimiento'!H195:M195)</f>
        <v>22</v>
      </c>
      <c r="E194" s="3" t="str">
        <f t="shared" si="11"/>
        <v xml:space="preserve">Medio </v>
      </c>
      <c r="F194">
        <f>SUM('Gestión de abastecimiento'!N195:S195)</f>
        <v>21</v>
      </c>
      <c r="G194" s="3" t="str">
        <f t="shared" si="12"/>
        <v xml:space="preserve">Medio </v>
      </c>
      <c r="H194">
        <f t="shared" si="13"/>
        <v>65</v>
      </c>
      <c r="I194" s="3" t="str">
        <f t="shared" si="14"/>
        <v xml:space="preserve">Medio </v>
      </c>
    </row>
    <row r="195" spans="1:9" x14ac:dyDescent="0.25">
      <c r="A195" t="s">
        <v>215</v>
      </c>
      <c r="B195">
        <f>SUM('Gestión de abastecimiento'!B196:G196)</f>
        <v>24</v>
      </c>
      <c r="C195" s="3" t="str">
        <f t="shared" si="10"/>
        <v>Alto</v>
      </c>
      <c r="D195">
        <f>SUM('Gestión de abastecimiento'!H196:M196)</f>
        <v>24</v>
      </c>
      <c r="E195" s="3" t="str">
        <f t="shared" si="11"/>
        <v>Alto</v>
      </c>
      <c r="F195">
        <f>SUM('Gestión de abastecimiento'!N196:S196)</f>
        <v>25</v>
      </c>
      <c r="G195" s="3" t="str">
        <f t="shared" si="12"/>
        <v>Alto</v>
      </c>
      <c r="H195">
        <f t="shared" si="13"/>
        <v>73</v>
      </c>
      <c r="I195" s="3" t="str">
        <f t="shared" si="14"/>
        <v>Alto</v>
      </c>
    </row>
    <row r="196" spans="1:9" x14ac:dyDescent="0.25">
      <c r="A196" t="s">
        <v>216</v>
      </c>
      <c r="B196">
        <f>SUM('Gestión de abastecimiento'!B197:G197)</f>
        <v>18</v>
      </c>
      <c r="C196" s="3" t="str">
        <f t="shared" ref="C196:C259" si="15">IF(B196&lt;=$Q$19,"Bajo",IF(B196&lt;=$Q$20,"Medio ",IF(B196&lt;=$Q$21,"Alto",0)))</f>
        <v xml:space="preserve">Medio </v>
      </c>
      <c r="D196">
        <f>SUM('Gestión de abastecimiento'!H197:M197)</f>
        <v>17</v>
      </c>
      <c r="E196" s="3" t="str">
        <f t="shared" ref="E196:E259" si="16">IF(D196&lt;=$AC$19,"Bajo",IF(D196&lt;=$AC$20,"Medio ",IF(D196&lt;=$AC$21,"Alto",0)))</f>
        <v xml:space="preserve">Medio </v>
      </c>
      <c r="F196">
        <f>SUM('Gestión de abastecimiento'!N197:S197)</f>
        <v>17</v>
      </c>
      <c r="G196" s="3" t="str">
        <f t="shared" ref="G196:G259" si="17">IF(F196&lt;=$AO$19,"Bajo",IF(F196&lt;=$AO$20,"Medio ",IF(F196&lt;=$AO$21,"Alto",0)))</f>
        <v xml:space="preserve">Medio </v>
      </c>
      <c r="H196">
        <f t="shared" ref="H196:H259" si="18">SUM(B196:F196)</f>
        <v>52</v>
      </c>
      <c r="I196" s="3" t="str">
        <f t="shared" ref="I196:I259" si="19">IF(H196&lt;=$BA$19,"Bajo",IF(H196&lt;=$BA$20,"Medio ",IF(H196&lt;=$BA$21,"Alto",0)))</f>
        <v xml:space="preserve">Medio </v>
      </c>
    </row>
    <row r="197" spans="1:9" x14ac:dyDescent="0.25">
      <c r="A197" t="s">
        <v>217</v>
      </c>
      <c r="B197">
        <f>SUM('Gestión de abastecimiento'!B198:G198)</f>
        <v>23</v>
      </c>
      <c r="C197" s="3" t="str">
        <f t="shared" si="15"/>
        <v xml:space="preserve">Medio </v>
      </c>
      <c r="D197">
        <f>SUM('Gestión de abastecimiento'!H198:M198)</f>
        <v>22</v>
      </c>
      <c r="E197" s="3" t="str">
        <f t="shared" si="16"/>
        <v xml:space="preserve">Medio </v>
      </c>
      <c r="F197">
        <f>SUM('Gestión de abastecimiento'!N198:S198)</f>
        <v>22</v>
      </c>
      <c r="G197" s="3" t="str">
        <f t="shared" si="17"/>
        <v xml:space="preserve">Medio </v>
      </c>
      <c r="H197">
        <f t="shared" si="18"/>
        <v>67</v>
      </c>
      <c r="I197" s="3" t="str">
        <f t="shared" si="19"/>
        <v>Alto</v>
      </c>
    </row>
    <row r="198" spans="1:9" x14ac:dyDescent="0.25">
      <c r="A198" t="s">
        <v>218</v>
      </c>
      <c r="B198">
        <f>SUM('Gestión de abastecimiento'!B199:G199)</f>
        <v>22</v>
      </c>
      <c r="C198" s="3" t="str">
        <f t="shared" si="15"/>
        <v xml:space="preserve">Medio </v>
      </c>
      <c r="D198">
        <f>SUM('Gestión de abastecimiento'!H199:M199)</f>
        <v>24</v>
      </c>
      <c r="E198" s="3" t="str">
        <f t="shared" si="16"/>
        <v>Alto</v>
      </c>
      <c r="F198">
        <f>SUM('Gestión de abastecimiento'!N199:S199)</f>
        <v>21</v>
      </c>
      <c r="G198" s="3" t="str">
        <f t="shared" si="17"/>
        <v xml:space="preserve">Medio </v>
      </c>
      <c r="H198">
        <f t="shared" si="18"/>
        <v>67</v>
      </c>
      <c r="I198" s="3" t="str">
        <f t="shared" si="19"/>
        <v>Alto</v>
      </c>
    </row>
    <row r="199" spans="1:9" x14ac:dyDescent="0.25">
      <c r="A199" t="s">
        <v>219</v>
      </c>
      <c r="B199">
        <f>SUM('Gestión de abastecimiento'!B200:G200)</f>
        <v>11</v>
      </c>
      <c r="C199" s="3" t="str">
        <f t="shared" si="15"/>
        <v>Bajo</v>
      </c>
      <c r="D199">
        <f>SUM('Gestión de abastecimiento'!H200:M200)</f>
        <v>12</v>
      </c>
      <c r="E199" s="3" t="str">
        <f t="shared" si="16"/>
        <v>Bajo</v>
      </c>
      <c r="F199">
        <f>SUM('Gestión de abastecimiento'!N200:S200)</f>
        <v>10</v>
      </c>
      <c r="G199" s="3" t="str">
        <f t="shared" si="17"/>
        <v>Bajo</v>
      </c>
      <c r="H199">
        <f t="shared" si="18"/>
        <v>33</v>
      </c>
      <c r="I199" s="3" t="str">
        <f t="shared" si="19"/>
        <v>Bajo</v>
      </c>
    </row>
    <row r="200" spans="1:9" x14ac:dyDescent="0.25">
      <c r="A200" t="s">
        <v>220</v>
      </c>
      <c r="B200">
        <f>SUM('Gestión de abastecimiento'!B201:G201)</f>
        <v>21</v>
      </c>
      <c r="C200" s="3" t="str">
        <f t="shared" si="15"/>
        <v xml:space="preserve">Medio </v>
      </c>
      <c r="D200">
        <f>SUM('Gestión de abastecimiento'!H201:M201)</f>
        <v>21</v>
      </c>
      <c r="E200" s="3" t="str">
        <f t="shared" si="16"/>
        <v xml:space="preserve">Medio </v>
      </c>
      <c r="F200">
        <f>SUM('Gestión de abastecimiento'!N201:S201)</f>
        <v>20</v>
      </c>
      <c r="G200" s="3" t="str">
        <f t="shared" si="17"/>
        <v xml:space="preserve">Medio </v>
      </c>
      <c r="H200">
        <f t="shared" si="18"/>
        <v>62</v>
      </c>
      <c r="I200" s="3" t="str">
        <f t="shared" si="19"/>
        <v xml:space="preserve">Medio </v>
      </c>
    </row>
    <row r="201" spans="1:9" x14ac:dyDescent="0.25">
      <c r="A201" t="s">
        <v>221</v>
      </c>
      <c r="B201">
        <f>SUM('Gestión de abastecimiento'!B202:G202)</f>
        <v>18</v>
      </c>
      <c r="C201" s="3" t="str">
        <f t="shared" si="15"/>
        <v xml:space="preserve">Medio </v>
      </c>
      <c r="D201">
        <f>SUM('Gestión de abastecimiento'!H202:M202)</f>
        <v>18</v>
      </c>
      <c r="E201" s="3" t="str">
        <f t="shared" si="16"/>
        <v xml:space="preserve">Medio </v>
      </c>
      <c r="F201">
        <f>SUM('Gestión de abastecimiento'!N202:S202)</f>
        <v>17</v>
      </c>
      <c r="G201" s="3" t="str">
        <f t="shared" si="17"/>
        <v xml:space="preserve">Medio </v>
      </c>
      <c r="H201">
        <f t="shared" si="18"/>
        <v>53</v>
      </c>
      <c r="I201" s="3" t="str">
        <f t="shared" si="19"/>
        <v xml:space="preserve">Medio </v>
      </c>
    </row>
    <row r="202" spans="1:9" x14ac:dyDescent="0.25">
      <c r="A202" t="s">
        <v>222</v>
      </c>
      <c r="B202">
        <f>SUM('Gestión de abastecimiento'!B203:G203)</f>
        <v>16</v>
      </c>
      <c r="C202" s="3" t="str">
        <f t="shared" si="15"/>
        <v xml:space="preserve">Medio </v>
      </c>
      <c r="D202">
        <f>SUM('Gestión de abastecimiento'!H203:M203)</f>
        <v>18</v>
      </c>
      <c r="E202" s="3" t="str">
        <f t="shared" si="16"/>
        <v xml:space="preserve">Medio </v>
      </c>
      <c r="F202">
        <f>SUM('Gestión de abastecimiento'!N203:S203)</f>
        <v>15</v>
      </c>
      <c r="G202" s="3" t="str">
        <f t="shared" si="17"/>
        <v xml:space="preserve">Medio </v>
      </c>
      <c r="H202">
        <f t="shared" si="18"/>
        <v>49</v>
      </c>
      <c r="I202" s="3" t="str">
        <f t="shared" si="19"/>
        <v xml:space="preserve">Medio </v>
      </c>
    </row>
    <row r="203" spans="1:9" x14ac:dyDescent="0.25">
      <c r="A203" t="s">
        <v>223</v>
      </c>
      <c r="B203">
        <f>SUM('Gestión de abastecimiento'!B204:G204)</f>
        <v>18</v>
      </c>
      <c r="C203" s="3" t="str">
        <f t="shared" si="15"/>
        <v xml:space="preserve">Medio </v>
      </c>
      <c r="D203">
        <f>SUM('Gestión de abastecimiento'!H204:M204)</f>
        <v>19</v>
      </c>
      <c r="E203" s="3" t="str">
        <f t="shared" si="16"/>
        <v xml:space="preserve">Medio </v>
      </c>
      <c r="F203">
        <f>SUM('Gestión de abastecimiento'!N204:S204)</f>
        <v>19</v>
      </c>
      <c r="G203" s="3" t="str">
        <f t="shared" si="17"/>
        <v xml:space="preserve">Medio </v>
      </c>
      <c r="H203">
        <f t="shared" si="18"/>
        <v>56</v>
      </c>
      <c r="I203" s="3" t="str">
        <f t="shared" si="19"/>
        <v xml:space="preserve">Medio </v>
      </c>
    </row>
    <row r="204" spans="1:9" x14ac:dyDescent="0.25">
      <c r="A204" t="s">
        <v>224</v>
      </c>
      <c r="B204">
        <f>SUM('Gestión de abastecimiento'!B205:G205)</f>
        <v>18</v>
      </c>
      <c r="C204" s="3" t="str">
        <f t="shared" si="15"/>
        <v xml:space="preserve">Medio </v>
      </c>
      <c r="D204">
        <f>SUM('Gestión de abastecimiento'!H205:M205)</f>
        <v>18</v>
      </c>
      <c r="E204" s="3" t="str">
        <f t="shared" si="16"/>
        <v xml:space="preserve">Medio </v>
      </c>
      <c r="F204">
        <f>SUM('Gestión de abastecimiento'!N205:S205)</f>
        <v>18</v>
      </c>
      <c r="G204" s="3" t="str">
        <f t="shared" si="17"/>
        <v xml:space="preserve">Medio </v>
      </c>
      <c r="H204">
        <f t="shared" si="18"/>
        <v>54</v>
      </c>
      <c r="I204" s="3" t="str">
        <f t="shared" si="19"/>
        <v xml:space="preserve">Medio </v>
      </c>
    </row>
    <row r="205" spans="1:9" x14ac:dyDescent="0.25">
      <c r="A205" t="s">
        <v>225</v>
      </c>
      <c r="B205">
        <f>SUM('Gestión de abastecimiento'!B206:G206)</f>
        <v>23</v>
      </c>
      <c r="C205" s="3" t="str">
        <f t="shared" si="15"/>
        <v xml:space="preserve">Medio </v>
      </c>
      <c r="D205">
        <f>SUM('Gestión de abastecimiento'!H206:M206)</f>
        <v>21</v>
      </c>
      <c r="E205" s="3" t="str">
        <f t="shared" si="16"/>
        <v xml:space="preserve">Medio </v>
      </c>
      <c r="F205">
        <f>SUM('Gestión de abastecimiento'!N206:S206)</f>
        <v>20</v>
      </c>
      <c r="G205" s="3" t="str">
        <f t="shared" si="17"/>
        <v xml:space="preserve">Medio </v>
      </c>
      <c r="H205">
        <f t="shared" si="18"/>
        <v>64</v>
      </c>
      <c r="I205" s="3" t="str">
        <f t="shared" si="19"/>
        <v xml:space="preserve">Medio </v>
      </c>
    </row>
    <row r="206" spans="1:9" x14ac:dyDescent="0.25">
      <c r="A206" t="s">
        <v>226</v>
      </c>
      <c r="B206">
        <f>SUM('Gestión de abastecimiento'!B207:G207)</f>
        <v>16</v>
      </c>
      <c r="C206" s="3" t="str">
        <f t="shared" si="15"/>
        <v xml:space="preserve">Medio </v>
      </c>
      <c r="D206">
        <f>SUM('Gestión de abastecimiento'!H207:M207)</f>
        <v>17</v>
      </c>
      <c r="E206" s="3" t="str">
        <f t="shared" si="16"/>
        <v xml:space="preserve">Medio </v>
      </c>
      <c r="F206">
        <f>SUM('Gestión de abastecimiento'!N207:S207)</f>
        <v>17</v>
      </c>
      <c r="G206" s="3" t="str">
        <f t="shared" si="17"/>
        <v xml:space="preserve">Medio </v>
      </c>
      <c r="H206">
        <f t="shared" si="18"/>
        <v>50</v>
      </c>
      <c r="I206" s="3" t="str">
        <f t="shared" si="19"/>
        <v xml:space="preserve">Medio </v>
      </c>
    </row>
    <row r="207" spans="1:9" x14ac:dyDescent="0.25">
      <c r="A207" t="s">
        <v>227</v>
      </c>
      <c r="B207">
        <f>SUM('Gestión de abastecimiento'!B208:G208)</f>
        <v>24</v>
      </c>
      <c r="C207" s="3" t="str">
        <f t="shared" si="15"/>
        <v>Alto</v>
      </c>
      <c r="D207">
        <f>SUM('Gestión de abastecimiento'!H208:M208)</f>
        <v>24</v>
      </c>
      <c r="E207" s="3" t="str">
        <f t="shared" si="16"/>
        <v>Alto</v>
      </c>
      <c r="F207">
        <f>SUM('Gestión de abastecimiento'!N208:S208)</f>
        <v>23</v>
      </c>
      <c r="G207" s="3" t="str">
        <f t="shared" si="17"/>
        <v xml:space="preserve">Medio </v>
      </c>
      <c r="H207">
        <f t="shared" si="18"/>
        <v>71</v>
      </c>
      <c r="I207" s="3" t="str">
        <f t="shared" si="19"/>
        <v>Alto</v>
      </c>
    </row>
    <row r="208" spans="1:9" x14ac:dyDescent="0.25">
      <c r="A208" t="s">
        <v>228</v>
      </c>
      <c r="B208">
        <f>SUM('Gestión de abastecimiento'!B209:G209)</f>
        <v>18</v>
      </c>
      <c r="C208" s="3" t="str">
        <f t="shared" si="15"/>
        <v xml:space="preserve">Medio </v>
      </c>
      <c r="D208">
        <f>SUM('Gestión de abastecimiento'!H209:M209)</f>
        <v>18</v>
      </c>
      <c r="E208" s="3" t="str">
        <f t="shared" si="16"/>
        <v xml:space="preserve">Medio </v>
      </c>
      <c r="F208">
        <f>SUM('Gestión de abastecimiento'!N209:S209)</f>
        <v>17</v>
      </c>
      <c r="G208" s="3" t="str">
        <f t="shared" si="17"/>
        <v xml:space="preserve">Medio </v>
      </c>
      <c r="H208">
        <f t="shared" si="18"/>
        <v>53</v>
      </c>
      <c r="I208" s="3" t="str">
        <f t="shared" si="19"/>
        <v xml:space="preserve">Medio </v>
      </c>
    </row>
    <row r="209" spans="1:9" x14ac:dyDescent="0.25">
      <c r="A209" t="s">
        <v>229</v>
      </c>
      <c r="B209">
        <f>SUM('Gestión de abastecimiento'!B210:G210)</f>
        <v>18</v>
      </c>
      <c r="C209" s="3" t="str">
        <f t="shared" si="15"/>
        <v xml:space="preserve">Medio </v>
      </c>
      <c r="D209">
        <f>SUM('Gestión de abastecimiento'!H210:M210)</f>
        <v>17</v>
      </c>
      <c r="E209" s="3" t="str">
        <f t="shared" si="16"/>
        <v xml:space="preserve">Medio </v>
      </c>
      <c r="F209">
        <f>SUM('Gestión de abastecimiento'!N210:S210)</f>
        <v>17</v>
      </c>
      <c r="G209" s="3" t="str">
        <f t="shared" si="17"/>
        <v xml:space="preserve">Medio </v>
      </c>
      <c r="H209">
        <f t="shared" si="18"/>
        <v>52</v>
      </c>
      <c r="I209" s="3" t="str">
        <f t="shared" si="19"/>
        <v xml:space="preserve">Medio </v>
      </c>
    </row>
    <row r="210" spans="1:9" x14ac:dyDescent="0.25">
      <c r="A210" t="s">
        <v>230</v>
      </c>
      <c r="B210">
        <f>SUM('Gestión de abastecimiento'!B211:G211)</f>
        <v>18</v>
      </c>
      <c r="C210" s="3" t="str">
        <f t="shared" si="15"/>
        <v xml:space="preserve">Medio </v>
      </c>
      <c r="D210">
        <f>SUM('Gestión de abastecimiento'!H211:M211)</f>
        <v>16</v>
      </c>
      <c r="E210" s="3" t="str">
        <f t="shared" si="16"/>
        <v xml:space="preserve">Medio </v>
      </c>
      <c r="F210">
        <f>SUM('Gestión de abastecimiento'!N211:S211)</f>
        <v>16</v>
      </c>
      <c r="G210" s="3" t="str">
        <f t="shared" si="17"/>
        <v xml:space="preserve">Medio </v>
      </c>
      <c r="H210">
        <f t="shared" si="18"/>
        <v>50</v>
      </c>
      <c r="I210" s="3" t="str">
        <f t="shared" si="19"/>
        <v xml:space="preserve">Medio </v>
      </c>
    </row>
    <row r="211" spans="1:9" x14ac:dyDescent="0.25">
      <c r="A211" t="s">
        <v>231</v>
      </c>
      <c r="B211">
        <f>SUM('Gestión de abastecimiento'!B212:G212)</f>
        <v>18</v>
      </c>
      <c r="C211" s="3" t="str">
        <f t="shared" si="15"/>
        <v xml:space="preserve">Medio </v>
      </c>
      <c r="D211">
        <f>SUM('Gestión de abastecimiento'!H212:M212)</f>
        <v>18</v>
      </c>
      <c r="E211" s="3" t="str">
        <f t="shared" si="16"/>
        <v xml:space="preserve">Medio </v>
      </c>
      <c r="F211">
        <f>SUM('Gestión de abastecimiento'!N212:S212)</f>
        <v>18</v>
      </c>
      <c r="G211" s="3" t="str">
        <f t="shared" si="17"/>
        <v xml:space="preserve">Medio </v>
      </c>
      <c r="H211">
        <f t="shared" si="18"/>
        <v>54</v>
      </c>
      <c r="I211" s="3" t="str">
        <f t="shared" si="19"/>
        <v xml:space="preserve">Medio </v>
      </c>
    </row>
    <row r="212" spans="1:9" x14ac:dyDescent="0.25">
      <c r="A212" t="s">
        <v>232</v>
      </c>
      <c r="B212">
        <f>SUM('Gestión de abastecimiento'!B213:G213)</f>
        <v>21</v>
      </c>
      <c r="C212" s="3" t="str">
        <f t="shared" si="15"/>
        <v xml:space="preserve">Medio </v>
      </c>
      <c r="D212">
        <f>SUM('Gestión de abastecimiento'!H213:M213)</f>
        <v>19</v>
      </c>
      <c r="E212" s="3" t="str">
        <f t="shared" si="16"/>
        <v xml:space="preserve">Medio </v>
      </c>
      <c r="F212">
        <f>SUM('Gestión de abastecimiento'!N213:S213)</f>
        <v>19</v>
      </c>
      <c r="G212" s="3" t="str">
        <f t="shared" si="17"/>
        <v xml:space="preserve">Medio </v>
      </c>
      <c r="H212">
        <f t="shared" si="18"/>
        <v>59</v>
      </c>
      <c r="I212" s="3" t="str">
        <f t="shared" si="19"/>
        <v xml:space="preserve">Medio </v>
      </c>
    </row>
    <row r="213" spans="1:9" x14ac:dyDescent="0.25">
      <c r="A213" t="s">
        <v>233</v>
      </c>
      <c r="B213">
        <f>SUM('Gestión de abastecimiento'!B214:G214)</f>
        <v>13</v>
      </c>
      <c r="C213" s="3" t="str">
        <f t="shared" si="15"/>
        <v>Bajo</v>
      </c>
      <c r="D213">
        <f>SUM('Gestión de abastecimiento'!H214:M214)</f>
        <v>14</v>
      </c>
      <c r="E213" s="3" t="str">
        <f t="shared" si="16"/>
        <v>Bajo</v>
      </c>
      <c r="F213">
        <f>SUM('Gestión de abastecimiento'!N214:S214)</f>
        <v>14</v>
      </c>
      <c r="G213" s="3" t="str">
        <f t="shared" si="17"/>
        <v>Bajo</v>
      </c>
      <c r="H213">
        <f t="shared" si="18"/>
        <v>41</v>
      </c>
      <c r="I213" s="3" t="str">
        <f t="shared" si="19"/>
        <v>Bajo</v>
      </c>
    </row>
    <row r="214" spans="1:9" x14ac:dyDescent="0.25">
      <c r="A214" t="s">
        <v>234</v>
      </c>
      <c r="B214">
        <f>SUM('Gestión de abastecimiento'!B215:G215)</f>
        <v>18</v>
      </c>
      <c r="C214" s="3" t="str">
        <f t="shared" si="15"/>
        <v xml:space="preserve">Medio </v>
      </c>
      <c r="D214">
        <f>SUM('Gestión de abastecimiento'!H215:M215)</f>
        <v>18</v>
      </c>
      <c r="E214" s="3" t="str">
        <f t="shared" si="16"/>
        <v xml:space="preserve">Medio </v>
      </c>
      <c r="F214">
        <f>SUM('Gestión de abastecimiento'!N215:S215)</f>
        <v>17</v>
      </c>
      <c r="G214" s="3" t="str">
        <f t="shared" si="17"/>
        <v xml:space="preserve">Medio </v>
      </c>
      <c r="H214">
        <f t="shared" si="18"/>
        <v>53</v>
      </c>
      <c r="I214" s="3" t="str">
        <f t="shared" si="19"/>
        <v xml:space="preserve">Medio </v>
      </c>
    </row>
    <row r="215" spans="1:9" x14ac:dyDescent="0.25">
      <c r="A215" t="s">
        <v>235</v>
      </c>
      <c r="B215">
        <f>SUM('Gestión de abastecimiento'!B216:G216)</f>
        <v>18</v>
      </c>
      <c r="C215" s="3" t="str">
        <f t="shared" si="15"/>
        <v xml:space="preserve">Medio </v>
      </c>
      <c r="D215">
        <f>SUM('Gestión de abastecimiento'!H216:M216)</f>
        <v>17</v>
      </c>
      <c r="E215" s="3" t="str">
        <f t="shared" si="16"/>
        <v xml:space="preserve">Medio </v>
      </c>
      <c r="F215">
        <f>SUM('Gestión de abastecimiento'!N216:S216)</f>
        <v>18</v>
      </c>
      <c r="G215" s="3" t="str">
        <f t="shared" si="17"/>
        <v xml:space="preserve">Medio </v>
      </c>
      <c r="H215">
        <f t="shared" si="18"/>
        <v>53</v>
      </c>
      <c r="I215" s="3" t="str">
        <f t="shared" si="19"/>
        <v xml:space="preserve">Medio </v>
      </c>
    </row>
    <row r="216" spans="1:9" x14ac:dyDescent="0.25">
      <c r="A216" t="s">
        <v>236</v>
      </c>
      <c r="B216">
        <f>SUM('Gestión de abastecimiento'!B217:G217)</f>
        <v>13</v>
      </c>
      <c r="C216" s="3" t="str">
        <f t="shared" si="15"/>
        <v>Bajo</v>
      </c>
      <c r="D216">
        <f>SUM('Gestión de abastecimiento'!H217:M217)</f>
        <v>15</v>
      </c>
      <c r="E216" s="3" t="str">
        <f t="shared" si="16"/>
        <v xml:space="preserve">Medio </v>
      </c>
      <c r="F216">
        <f>SUM('Gestión de abastecimiento'!N217:S217)</f>
        <v>14</v>
      </c>
      <c r="G216" s="3" t="str">
        <f t="shared" si="17"/>
        <v>Bajo</v>
      </c>
      <c r="H216">
        <f t="shared" si="18"/>
        <v>42</v>
      </c>
      <c r="I216" s="3" t="str">
        <f t="shared" si="19"/>
        <v xml:space="preserve">Medio </v>
      </c>
    </row>
    <row r="217" spans="1:9" x14ac:dyDescent="0.25">
      <c r="A217" t="s">
        <v>237</v>
      </c>
      <c r="B217">
        <f>SUM('Gestión de abastecimiento'!B218:G218)</f>
        <v>23</v>
      </c>
      <c r="C217" s="3" t="str">
        <f t="shared" si="15"/>
        <v xml:space="preserve">Medio </v>
      </c>
      <c r="D217">
        <f>SUM('Gestión de abastecimiento'!H218:M218)</f>
        <v>21</v>
      </c>
      <c r="E217" s="3" t="str">
        <f t="shared" si="16"/>
        <v xml:space="preserve">Medio </v>
      </c>
      <c r="F217">
        <f>SUM('Gestión de abastecimiento'!N218:S218)</f>
        <v>22</v>
      </c>
      <c r="G217" s="3" t="str">
        <f t="shared" si="17"/>
        <v xml:space="preserve">Medio </v>
      </c>
      <c r="H217">
        <f t="shared" si="18"/>
        <v>66</v>
      </c>
      <c r="I217" s="3" t="str">
        <f t="shared" si="19"/>
        <v>Alto</v>
      </c>
    </row>
    <row r="218" spans="1:9" x14ac:dyDescent="0.25">
      <c r="A218" t="s">
        <v>238</v>
      </c>
      <c r="B218">
        <f>SUM('Gestión de abastecimiento'!B219:G219)</f>
        <v>14</v>
      </c>
      <c r="C218" s="3" t="str">
        <f t="shared" si="15"/>
        <v>Bajo</v>
      </c>
      <c r="D218">
        <f>SUM('Gestión de abastecimiento'!H219:M219)</f>
        <v>14</v>
      </c>
      <c r="E218" s="3" t="str">
        <f t="shared" si="16"/>
        <v>Bajo</v>
      </c>
      <c r="F218">
        <f>SUM('Gestión de abastecimiento'!N219:S219)</f>
        <v>13</v>
      </c>
      <c r="G218" s="3" t="str">
        <f t="shared" si="17"/>
        <v>Bajo</v>
      </c>
      <c r="H218">
        <f t="shared" si="18"/>
        <v>41</v>
      </c>
      <c r="I218" s="3" t="str">
        <f t="shared" si="19"/>
        <v>Bajo</v>
      </c>
    </row>
    <row r="219" spans="1:9" x14ac:dyDescent="0.25">
      <c r="A219" t="s">
        <v>239</v>
      </c>
      <c r="B219">
        <f>SUM('Gestión de abastecimiento'!B220:G220)</f>
        <v>18</v>
      </c>
      <c r="C219" s="3" t="str">
        <f t="shared" si="15"/>
        <v xml:space="preserve">Medio </v>
      </c>
      <c r="D219">
        <f>SUM('Gestión de abastecimiento'!H220:M220)</f>
        <v>18</v>
      </c>
      <c r="E219" s="3" t="str">
        <f t="shared" si="16"/>
        <v xml:space="preserve">Medio </v>
      </c>
      <c r="F219">
        <f>SUM('Gestión de abastecimiento'!N220:S220)</f>
        <v>18</v>
      </c>
      <c r="G219" s="3" t="str">
        <f t="shared" si="17"/>
        <v xml:space="preserve">Medio </v>
      </c>
      <c r="H219">
        <f t="shared" si="18"/>
        <v>54</v>
      </c>
      <c r="I219" s="3" t="str">
        <f t="shared" si="19"/>
        <v xml:space="preserve">Medio </v>
      </c>
    </row>
    <row r="220" spans="1:9" x14ac:dyDescent="0.25">
      <c r="A220" t="s">
        <v>240</v>
      </c>
      <c r="B220">
        <f>SUM('Gestión de abastecimiento'!B221:G221)</f>
        <v>12</v>
      </c>
      <c r="C220" s="3" t="str">
        <f t="shared" si="15"/>
        <v>Bajo</v>
      </c>
      <c r="D220">
        <f>SUM('Gestión de abastecimiento'!H221:M221)</f>
        <v>13</v>
      </c>
      <c r="E220" s="3" t="str">
        <f t="shared" si="16"/>
        <v>Bajo</v>
      </c>
      <c r="F220">
        <f>SUM('Gestión de abastecimiento'!N221:S221)</f>
        <v>12</v>
      </c>
      <c r="G220" s="3" t="str">
        <f t="shared" si="17"/>
        <v>Bajo</v>
      </c>
      <c r="H220">
        <f t="shared" si="18"/>
        <v>37</v>
      </c>
      <c r="I220" s="3" t="str">
        <f t="shared" si="19"/>
        <v>Bajo</v>
      </c>
    </row>
    <row r="221" spans="1:9" x14ac:dyDescent="0.25">
      <c r="A221" t="s">
        <v>241</v>
      </c>
      <c r="B221">
        <f>SUM('Gestión de abastecimiento'!B222:G222)</f>
        <v>18</v>
      </c>
      <c r="C221" s="3" t="str">
        <f t="shared" si="15"/>
        <v xml:space="preserve">Medio </v>
      </c>
      <c r="D221">
        <f>SUM('Gestión de abastecimiento'!H222:M222)</f>
        <v>18</v>
      </c>
      <c r="E221" s="3" t="str">
        <f t="shared" si="16"/>
        <v xml:space="preserve">Medio </v>
      </c>
      <c r="F221">
        <f>SUM('Gestión de abastecimiento'!N222:S222)</f>
        <v>19</v>
      </c>
      <c r="G221" s="3" t="str">
        <f t="shared" si="17"/>
        <v xml:space="preserve">Medio </v>
      </c>
      <c r="H221">
        <f t="shared" si="18"/>
        <v>55</v>
      </c>
      <c r="I221" s="3" t="str">
        <f t="shared" si="19"/>
        <v xml:space="preserve">Medio </v>
      </c>
    </row>
    <row r="222" spans="1:9" x14ac:dyDescent="0.25">
      <c r="A222" t="s">
        <v>242</v>
      </c>
      <c r="B222">
        <f>SUM('Gestión de abastecimiento'!B223:G223)</f>
        <v>19</v>
      </c>
      <c r="C222" s="3" t="str">
        <f t="shared" si="15"/>
        <v xml:space="preserve">Medio </v>
      </c>
      <c r="D222">
        <f>SUM('Gestión de abastecimiento'!H223:M223)</f>
        <v>18</v>
      </c>
      <c r="E222" s="3" t="str">
        <f t="shared" si="16"/>
        <v xml:space="preserve">Medio </v>
      </c>
      <c r="F222">
        <f>SUM('Gestión de abastecimiento'!N223:S223)</f>
        <v>18</v>
      </c>
      <c r="G222" s="3" t="str">
        <f t="shared" si="17"/>
        <v xml:space="preserve">Medio </v>
      </c>
      <c r="H222">
        <f t="shared" si="18"/>
        <v>55</v>
      </c>
      <c r="I222" s="3" t="str">
        <f t="shared" si="19"/>
        <v xml:space="preserve">Medio </v>
      </c>
    </row>
    <row r="223" spans="1:9" x14ac:dyDescent="0.25">
      <c r="A223" t="s">
        <v>243</v>
      </c>
      <c r="B223">
        <f>SUM('Gestión de abastecimiento'!B224:G224)</f>
        <v>18</v>
      </c>
      <c r="C223" s="3" t="str">
        <f t="shared" si="15"/>
        <v xml:space="preserve">Medio </v>
      </c>
      <c r="D223">
        <f>SUM('Gestión de abastecimiento'!H224:M224)</f>
        <v>17</v>
      </c>
      <c r="E223" s="3" t="str">
        <f t="shared" si="16"/>
        <v xml:space="preserve">Medio </v>
      </c>
      <c r="F223">
        <f>SUM('Gestión de abastecimiento'!N224:S224)</f>
        <v>18</v>
      </c>
      <c r="G223" s="3" t="str">
        <f t="shared" si="17"/>
        <v xml:space="preserve">Medio </v>
      </c>
      <c r="H223">
        <f t="shared" si="18"/>
        <v>53</v>
      </c>
      <c r="I223" s="3" t="str">
        <f t="shared" si="19"/>
        <v xml:space="preserve">Medio </v>
      </c>
    </row>
    <row r="224" spans="1:9" x14ac:dyDescent="0.25">
      <c r="A224" t="s">
        <v>244</v>
      </c>
      <c r="B224">
        <f>SUM('Gestión de abastecimiento'!B225:G225)</f>
        <v>15</v>
      </c>
      <c r="C224" s="3" t="str">
        <f t="shared" si="15"/>
        <v xml:space="preserve">Medio </v>
      </c>
      <c r="D224">
        <f>SUM('Gestión de abastecimiento'!H225:M225)</f>
        <v>13</v>
      </c>
      <c r="E224" s="3" t="str">
        <f t="shared" si="16"/>
        <v>Bajo</v>
      </c>
      <c r="F224">
        <f>SUM('Gestión de abastecimiento'!N225:S225)</f>
        <v>12</v>
      </c>
      <c r="G224" s="3" t="str">
        <f t="shared" si="17"/>
        <v>Bajo</v>
      </c>
      <c r="H224">
        <f t="shared" si="18"/>
        <v>40</v>
      </c>
      <c r="I224" s="3" t="str">
        <f t="shared" si="19"/>
        <v>Bajo</v>
      </c>
    </row>
    <row r="225" spans="1:9" x14ac:dyDescent="0.25">
      <c r="A225" t="s">
        <v>245</v>
      </c>
      <c r="B225">
        <f>SUM('Gestión de abastecimiento'!B226:G226)</f>
        <v>18</v>
      </c>
      <c r="C225" s="3" t="str">
        <f t="shared" si="15"/>
        <v xml:space="preserve">Medio </v>
      </c>
      <c r="D225">
        <f>SUM('Gestión de abastecimiento'!H226:M226)</f>
        <v>17</v>
      </c>
      <c r="E225" s="3" t="str">
        <f t="shared" si="16"/>
        <v xml:space="preserve">Medio </v>
      </c>
      <c r="F225">
        <f>SUM('Gestión de abastecimiento'!N226:S226)</f>
        <v>18</v>
      </c>
      <c r="G225" s="3" t="str">
        <f t="shared" si="17"/>
        <v xml:space="preserve">Medio </v>
      </c>
      <c r="H225">
        <f t="shared" si="18"/>
        <v>53</v>
      </c>
      <c r="I225" s="3" t="str">
        <f t="shared" si="19"/>
        <v xml:space="preserve">Medio </v>
      </c>
    </row>
    <row r="226" spans="1:9" x14ac:dyDescent="0.25">
      <c r="A226" t="s">
        <v>246</v>
      </c>
      <c r="B226">
        <f>SUM('Gestión de abastecimiento'!B227:G227)</f>
        <v>18</v>
      </c>
      <c r="C226" s="3" t="str">
        <f t="shared" si="15"/>
        <v xml:space="preserve">Medio </v>
      </c>
      <c r="D226">
        <f>SUM('Gestión de abastecimiento'!H227:M227)</f>
        <v>22</v>
      </c>
      <c r="E226" s="3" t="str">
        <f t="shared" si="16"/>
        <v xml:space="preserve">Medio </v>
      </c>
      <c r="F226">
        <f>SUM('Gestión de abastecimiento'!N227:S227)</f>
        <v>20</v>
      </c>
      <c r="G226" s="3" t="str">
        <f t="shared" si="17"/>
        <v xml:space="preserve">Medio </v>
      </c>
      <c r="H226">
        <f t="shared" si="18"/>
        <v>60</v>
      </c>
      <c r="I226" s="3" t="str">
        <f t="shared" si="19"/>
        <v xml:space="preserve">Medio </v>
      </c>
    </row>
    <row r="227" spans="1:9" x14ac:dyDescent="0.25">
      <c r="A227" t="s">
        <v>247</v>
      </c>
      <c r="B227">
        <f>SUM('Gestión de abastecimiento'!B228:G228)</f>
        <v>25</v>
      </c>
      <c r="C227" s="3" t="str">
        <f t="shared" si="15"/>
        <v>Alto</v>
      </c>
      <c r="D227">
        <f>SUM('Gestión de abastecimiento'!H228:M228)</f>
        <v>25</v>
      </c>
      <c r="E227" s="3" t="str">
        <f t="shared" si="16"/>
        <v>Alto</v>
      </c>
      <c r="F227">
        <f>SUM('Gestión de abastecimiento'!N228:S228)</f>
        <v>24</v>
      </c>
      <c r="G227" s="3" t="str">
        <f t="shared" si="17"/>
        <v>Alto</v>
      </c>
      <c r="H227">
        <f t="shared" si="18"/>
        <v>74</v>
      </c>
      <c r="I227" s="3" t="str">
        <f t="shared" si="19"/>
        <v>Alto</v>
      </c>
    </row>
    <row r="228" spans="1:9" x14ac:dyDescent="0.25">
      <c r="A228" t="s">
        <v>248</v>
      </c>
      <c r="B228">
        <f>SUM('Gestión de abastecimiento'!B229:G229)</f>
        <v>20</v>
      </c>
      <c r="C228" s="3" t="str">
        <f t="shared" si="15"/>
        <v xml:space="preserve">Medio </v>
      </c>
      <c r="D228">
        <f>SUM('Gestión de abastecimiento'!H229:M229)</f>
        <v>22</v>
      </c>
      <c r="E228" s="3" t="str">
        <f t="shared" si="16"/>
        <v xml:space="preserve">Medio </v>
      </c>
      <c r="F228">
        <f>SUM('Gestión de abastecimiento'!N229:S229)</f>
        <v>18</v>
      </c>
      <c r="G228" s="3" t="str">
        <f t="shared" si="17"/>
        <v xml:space="preserve">Medio </v>
      </c>
      <c r="H228">
        <f t="shared" si="18"/>
        <v>60</v>
      </c>
      <c r="I228" s="3" t="str">
        <f t="shared" si="19"/>
        <v xml:space="preserve">Medio </v>
      </c>
    </row>
    <row r="229" spans="1:9" x14ac:dyDescent="0.25">
      <c r="A229" t="s">
        <v>249</v>
      </c>
      <c r="B229">
        <f>SUM('Gestión de abastecimiento'!B230:G230)</f>
        <v>18</v>
      </c>
      <c r="C229" s="3" t="str">
        <f t="shared" si="15"/>
        <v xml:space="preserve">Medio </v>
      </c>
      <c r="D229">
        <f>SUM('Gestión de abastecimiento'!H230:M230)</f>
        <v>19</v>
      </c>
      <c r="E229" s="3" t="str">
        <f t="shared" si="16"/>
        <v xml:space="preserve">Medio </v>
      </c>
      <c r="F229">
        <f>SUM('Gestión de abastecimiento'!N230:S230)</f>
        <v>18</v>
      </c>
      <c r="G229" s="3" t="str">
        <f t="shared" si="17"/>
        <v xml:space="preserve">Medio </v>
      </c>
      <c r="H229">
        <f t="shared" si="18"/>
        <v>55</v>
      </c>
      <c r="I229" s="3" t="str">
        <f t="shared" si="19"/>
        <v xml:space="preserve">Medio </v>
      </c>
    </row>
    <row r="230" spans="1:9" x14ac:dyDescent="0.25">
      <c r="A230" t="s">
        <v>250</v>
      </c>
      <c r="B230">
        <f>SUM('Gestión de abastecimiento'!B231:G231)</f>
        <v>13</v>
      </c>
      <c r="C230" s="3" t="str">
        <f t="shared" si="15"/>
        <v>Bajo</v>
      </c>
      <c r="D230">
        <f>SUM('Gestión de abastecimiento'!H231:M231)</f>
        <v>12</v>
      </c>
      <c r="E230" s="3" t="str">
        <f t="shared" si="16"/>
        <v>Bajo</v>
      </c>
      <c r="F230">
        <f>SUM('Gestión de abastecimiento'!N231:S231)</f>
        <v>12</v>
      </c>
      <c r="G230" s="3" t="str">
        <f t="shared" si="17"/>
        <v>Bajo</v>
      </c>
      <c r="H230">
        <f t="shared" si="18"/>
        <v>37</v>
      </c>
      <c r="I230" s="3" t="str">
        <f t="shared" si="19"/>
        <v>Bajo</v>
      </c>
    </row>
    <row r="231" spans="1:9" x14ac:dyDescent="0.25">
      <c r="A231" t="s">
        <v>251</v>
      </c>
      <c r="B231">
        <f>SUM('Gestión de abastecimiento'!B232:G232)</f>
        <v>23</v>
      </c>
      <c r="C231" s="3" t="str">
        <f t="shared" si="15"/>
        <v xml:space="preserve">Medio </v>
      </c>
      <c r="D231">
        <f>SUM('Gestión de abastecimiento'!H232:M232)</f>
        <v>24</v>
      </c>
      <c r="E231" s="3" t="str">
        <f t="shared" si="16"/>
        <v>Alto</v>
      </c>
      <c r="F231">
        <f>SUM('Gestión de abastecimiento'!N232:S232)</f>
        <v>23</v>
      </c>
      <c r="G231" s="3" t="str">
        <f t="shared" si="17"/>
        <v xml:space="preserve">Medio </v>
      </c>
      <c r="H231">
        <f t="shared" si="18"/>
        <v>70</v>
      </c>
      <c r="I231" s="3" t="str">
        <f t="shared" si="19"/>
        <v>Alto</v>
      </c>
    </row>
    <row r="232" spans="1:9" x14ac:dyDescent="0.25">
      <c r="A232" t="s">
        <v>252</v>
      </c>
      <c r="B232">
        <f>SUM('Gestión de abastecimiento'!B233:G233)</f>
        <v>20</v>
      </c>
      <c r="C232" s="3" t="str">
        <f t="shared" si="15"/>
        <v xml:space="preserve">Medio </v>
      </c>
      <c r="D232">
        <f>SUM('Gestión de abastecimiento'!H233:M233)</f>
        <v>21</v>
      </c>
      <c r="E232" s="3" t="str">
        <f t="shared" si="16"/>
        <v xml:space="preserve">Medio </v>
      </c>
      <c r="F232">
        <f>SUM('Gestión de abastecimiento'!N233:S233)</f>
        <v>18</v>
      </c>
      <c r="G232" s="3" t="str">
        <f t="shared" si="17"/>
        <v xml:space="preserve">Medio </v>
      </c>
      <c r="H232">
        <f t="shared" si="18"/>
        <v>59</v>
      </c>
      <c r="I232" s="3" t="str">
        <f t="shared" si="19"/>
        <v xml:space="preserve">Medio </v>
      </c>
    </row>
    <row r="233" spans="1:9" x14ac:dyDescent="0.25">
      <c r="A233" t="s">
        <v>253</v>
      </c>
      <c r="B233">
        <f>SUM('Gestión de abastecimiento'!B234:G234)</f>
        <v>13</v>
      </c>
      <c r="C233" s="3" t="str">
        <f t="shared" si="15"/>
        <v>Bajo</v>
      </c>
      <c r="D233">
        <f>SUM('Gestión de abastecimiento'!H234:M234)</f>
        <v>12</v>
      </c>
      <c r="E233" s="3" t="str">
        <f t="shared" si="16"/>
        <v>Bajo</v>
      </c>
      <c r="F233">
        <f>SUM('Gestión de abastecimiento'!N234:S234)</f>
        <v>12</v>
      </c>
      <c r="G233" s="3" t="str">
        <f t="shared" si="17"/>
        <v>Bajo</v>
      </c>
      <c r="H233">
        <f t="shared" si="18"/>
        <v>37</v>
      </c>
      <c r="I233" s="3" t="str">
        <f t="shared" si="19"/>
        <v>Bajo</v>
      </c>
    </row>
    <row r="234" spans="1:9" x14ac:dyDescent="0.25">
      <c r="A234" t="s">
        <v>254</v>
      </c>
      <c r="B234">
        <f>SUM('Gestión de abastecimiento'!B235:G235)</f>
        <v>28</v>
      </c>
      <c r="C234" s="3" t="str">
        <f t="shared" si="15"/>
        <v>Alto</v>
      </c>
      <c r="D234">
        <f>SUM('Gestión de abastecimiento'!H235:M235)</f>
        <v>29</v>
      </c>
      <c r="E234" s="3" t="str">
        <f t="shared" si="16"/>
        <v>Alto</v>
      </c>
      <c r="F234">
        <f>SUM('Gestión de abastecimiento'!N235:S235)</f>
        <v>29</v>
      </c>
      <c r="G234" s="3" t="str">
        <f t="shared" si="17"/>
        <v>Alto</v>
      </c>
      <c r="H234">
        <f t="shared" si="18"/>
        <v>86</v>
      </c>
      <c r="I234" s="3" t="str">
        <f t="shared" si="19"/>
        <v>Alto</v>
      </c>
    </row>
    <row r="235" spans="1:9" x14ac:dyDescent="0.25">
      <c r="A235" t="s">
        <v>255</v>
      </c>
      <c r="B235">
        <f>SUM('Gestión de abastecimiento'!B236:G236)</f>
        <v>22</v>
      </c>
      <c r="C235" s="3" t="str">
        <f t="shared" si="15"/>
        <v xml:space="preserve">Medio </v>
      </c>
      <c r="D235">
        <f>SUM('Gestión de abastecimiento'!H236:M236)</f>
        <v>21</v>
      </c>
      <c r="E235" s="3" t="str">
        <f t="shared" si="16"/>
        <v xml:space="preserve">Medio </v>
      </c>
      <c r="F235">
        <f>SUM('Gestión de abastecimiento'!N236:S236)</f>
        <v>22</v>
      </c>
      <c r="G235" s="3" t="str">
        <f t="shared" si="17"/>
        <v xml:space="preserve">Medio </v>
      </c>
      <c r="H235">
        <f t="shared" si="18"/>
        <v>65</v>
      </c>
      <c r="I235" s="3" t="str">
        <f t="shared" si="19"/>
        <v xml:space="preserve">Medio </v>
      </c>
    </row>
    <row r="236" spans="1:9" x14ac:dyDescent="0.25">
      <c r="A236" t="s">
        <v>256</v>
      </c>
      <c r="B236">
        <f>SUM('Gestión de abastecimiento'!B237:G237)</f>
        <v>12</v>
      </c>
      <c r="C236" s="3" t="str">
        <f t="shared" si="15"/>
        <v>Bajo</v>
      </c>
      <c r="D236">
        <f>SUM('Gestión de abastecimiento'!H237:M237)</f>
        <v>12</v>
      </c>
      <c r="E236" s="3" t="str">
        <f t="shared" si="16"/>
        <v>Bajo</v>
      </c>
      <c r="F236">
        <f>SUM('Gestión de abastecimiento'!N237:S237)</f>
        <v>12</v>
      </c>
      <c r="G236" s="3" t="str">
        <f t="shared" si="17"/>
        <v>Bajo</v>
      </c>
      <c r="H236">
        <f t="shared" si="18"/>
        <v>36</v>
      </c>
      <c r="I236" s="3" t="str">
        <f t="shared" si="19"/>
        <v>Bajo</v>
      </c>
    </row>
    <row r="237" spans="1:9" x14ac:dyDescent="0.25">
      <c r="A237" t="s">
        <v>257</v>
      </c>
      <c r="B237">
        <f>SUM('Gestión de abastecimiento'!B238:G238)</f>
        <v>13</v>
      </c>
      <c r="C237" s="3" t="str">
        <f t="shared" si="15"/>
        <v>Bajo</v>
      </c>
      <c r="D237">
        <f>SUM('Gestión de abastecimiento'!H238:M238)</f>
        <v>14</v>
      </c>
      <c r="E237" s="3" t="str">
        <f t="shared" si="16"/>
        <v>Bajo</v>
      </c>
      <c r="F237">
        <f>SUM('Gestión de abastecimiento'!N238:S238)</f>
        <v>14</v>
      </c>
      <c r="G237" s="3" t="str">
        <f t="shared" si="17"/>
        <v>Bajo</v>
      </c>
      <c r="H237">
        <f t="shared" si="18"/>
        <v>41</v>
      </c>
      <c r="I237" s="3" t="str">
        <f t="shared" si="19"/>
        <v>Bajo</v>
      </c>
    </row>
    <row r="238" spans="1:9" x14ac:dyDescent="0.25">
      <c r="A238" t="s">
        <v>258</v>
      </c>
      <c r="B238">
        <f>SUM('Gestión de abastecimiento'!B239:G239)</f>
        <v>10</v>
      </c>
      <c r="C238" s="3" t="str">
        <f t="shared" si="15"/>
        <v>Bajo</v>
      </c>
      <c r="D238">
        <f>SUM('Gestión de abastecimiento'!H239:M239)</f>
        <v>9</v>
      </c>
      <c r="E238" s="3" t="str">
        <f t="shared" si="16"/>
        <v>Bajo</v>
      </c>
      <c r="F238">
        <f>SUM('Gestión de abastecimiento'!N239:S239)</f>
        <v>9</v>
      </c>
      <c r="G238" s="3" t="str">
        <f t="shared" si="17"/>
        <v>Bajo</v>
      </c>
      <c r="H238">
        <f t="shared" si="18"/>
        <v>28</v>
      </c>
      <c r="I238" s="3" t="str">
        <f t="shared" si="19"/>
        <v>Bajo</v>
      </c>
    </row>
    <row r="239" spans="1:9" x14ac:dyDescent="0.25">
      <c r="A239" t="s">
        <v>259</v>
      </c>
      <c r="B239">
        <f>SUM('Gestión de abastecimiento'!B240:G240)</f>
        <v>13</v>
      </c>
      <c r="C239" s="3" t="str">
        <f t="shared" si="15"/>
        <v>Bajo</v>
      </c>
      <c r="D239">
        <f>SUM('Gestión de abastecimiento'!H240:M240)</f>
        <v>14</v>
      </c>
      <c r="E239" s="3" t="str">
        <f t="shared" si="16"/>
        <v>Bajo</v>
      </c>
      <c r="F239">
        <f>SUM('Gestión de abastecimiento'!N240:S240)</f>
        <v>14</v>
      </c>
      <c r="G239" s="3" t="str">
        <f t="shared" si="17"/>
        <v>Bajo</v>
      </c>
      <c r="H239">
        <f t="shared" si="18"/>
        <v>41</v>
      </c>
      <c r="I239" s="3" t="str">
        <f t="shared" si="19"/>
        <v>Bajo</v>
      </c>
    </row>
    <row r="240" spans="1:9" x14ac:dyDescent="0.25">
      <c r="A240" t="s">
        <v>260</v>
      </c>
      <c r="B240">
        <f>SUM('Gestión de abastecimiento'!B241:G241)</f>
        <v>14</v>
      </c>
      <c r="C240" s="3" t="str">
        <f t="shared" si="15"/>
        <v>Bajo</v>
      </c>
      <c r="D240">
        <f>SUM('Gestión de abastecimiento'!H241:M241)</f>
        <v>15</v>
      </c>
      <c r="E240" s="3" t="str">
        <f t="shared" si="16"/>
        <v xml:space="preserve">Medio </v>
      </c>
      <c r="F240">
        <f>SUM('Gestión de abastecimiento'!N241:S241)</f>
        <v>12</v>
      </c>
      <c r="G240" s="3" t="str">
        <f t="shared" si="17"/>
        <v>Bajo</v>
      </c>
      <c r="H240">
        <f t="shared" si="18"/>
        <v>41</v>
      </c>
      <c r="I240" s="3" t="str">
        <f t="shared" si="19"/>
        <v>Bajo</v>
      </c>
    </row>
    <row r="241" spans="1:9" x14ac:dyDescent="0.25">
      <c r="A241" t="s">
        <v>261</v>
      </c>
      <c r="B241">
        <f>SUM('Gestión de abastecimiento'!B242:G242)</f>
        <v>22</v>
      </c>
      <c r="C241" s="3" t="str">
        <f t="shared" si="15"/>
        <v xml:space="preserve">Medio </v>
      </c>
      <c r="D241">
        <f>SUM('Gestión de abastecimiento'!H242:M242)</f>
        <v>19</v>
      </c>
      <c r="E241" s="3" t="str">
        <f t="shared" si="16"/>
        <v xml:space="preserve">Medio </v>
      </c>
      <c r="F241">
        <f>SUM('Gestión de abastecimiento'!N242:S242)</f>
        <v>19</v>
      </c>
      <c r="G241" s="3" t="str">
        <f t="shared" si="17"/>
        <v xml:space="preserve">Medio </v>
      </c>
      <c r="H241">
        <f t="shared" si="18"/>
        <v>60</v>
      </c>
      <c r="I241" s="3" t="str">
        <f t="shared" si="19"/>
        <v xml:space="preserve">Medio </v>
      </c>
    </row>
    <row r="242" spans="1:9" x14ac:dyDescent="0.25">
      <c r="A242" t="s">
        <v>262</v>
      </c>
      <c r="B242">
        <f>SUM('Gestión de abastecimiento'!B243:G243)</f>
        <v>6</v>
      </c>
      <c r="C242" s="3" t="str">
        <f t="shared" si="15"/>
        <v>Bajo</v>
      </c>
      <c r="D242">
        <f>SUM('Gestión de abastecimiento'!H243:M243)</f>
        <v>6</v>
      </c>
      <c r="E242" s="3" t="str">
        <f t="shared" si="16"/>
        <v>Bajo</v>
      </c>
      <c r="F242">
        <f>SUM('Gestión de abastecimiento'!N243:S243)</f>
        <v>6</v>
      </c>
      <c r="G242" s="3" t="str">
        <f t="shared" si="17"/>
        <v>Bajo</v>
      </c>
      <c r="H242">
        <f t="shared" si="18"/>
        <v>18</v>
      </c>
      <c r="I242" s="3" t="str">
        <f t="shared" si="19"/>
        <v>Bajo</v>
      </c>
    </row>
    <row r="243" spans="1:9" x14ac:dyDescent="0.25">
      <c r="A243" t="s">
        <v>263</v>
      </c>
      <c r="B243">
        <f>SUM('Gestión de abastecimiento'!B244:G244)</f>
        <v>24</v>
      </c>
      <c r="C243" s="3" t="str">
        <f t="shared" si="15"/>
        <v>Alto</v>
      </c>
      <c r="D243">
        <f>SUM('Gestión de abastecimiento'!H244:M244)</f>
        <v>24</v>
      </c>
      <c r="E243" s="3" t="str">
        <f t="shared" si="16"/>
        <v>Alto</v>
      </c>
      <c r="F243">
        <f>SUM('Gestión de abastecimiento'!N244:S244)</f>
        <v>22</v>
      </c>
      <c r="G243" s="3" t="str">
        <f t="shared" si="17"/>
        <v xml:space="preserve">Medio </v>
      </c>
      <c r="H243">
        <f t="shared" si="18"/>
        <v>70</v>
      </c>
      <c r="I243" s="3" t="str">
        <f t="shared" si="19"/>
        <v>Alto</v>
      </c>
    </row>
    <row r="244" spans="1:9" x14ac:dyDescent="0.25">
      <c r="A244" t="s">
        <v>264</v>
      </c>
      <c r="B244">
        <f>SUM('Gestión de abastecimiento'!B245:G245)</f>
        <v>21</v>
      </c>
      <c r="C244" s="3" t="str">
        <f t="shared" si="15"/>
        <v xml:space="preserve">Medio </v>
      </c>
      <c r="D244">
        <f>SUM('Gestión de abastecimiento'!H245:M245)</f>
        <v>19</v>
      </c>
      <c r="E244" s="3" t="str">
        <f t="shared" si="16"/>
        <v xml:space="preserve">Medio </v>
      </c>
      <c r="F244">
        <f>SUM('Gestión de abastecimiento'!N245:S245)</f>
        <v>18</v>
      </c>
      <c r="G244" s="3" t="str">
        <f t="shared" si="17"/>
        <v xml:space="preserve">Medio </v>
      </c>
      <c r="H244">
        <f t="shared" si="18"/>
        <v>58</v>
      </c>
      <c r="I244" s="3" t="str">
        <f t="shared" si="19"/>
        <v xml:space="preserve">Medio </v>
      </c>
    </row>
    <row r="245" spans="1:9" x14ac:dyDescent="0.25">
      <c r="A245" t="s">
        <v>265</v>
      </c>
      <c r="B245">
        <f>SUM('Gestión de abastecimiento'!B246:G246)</f>
        <v>18</v>
      </c>
      <c r="C245" s="3" t="str">
        <f t="shared" si="15"/>
        <v xml:space="preserve">Medio </v>
      </c>
      <c r="D245">
        <f>SUM('Gestión de abastecimiento'!H246:M246)</f>
        <v>17</v>
      </c>
      <c r="E245" s="3" t="str">
        <f t="shared" si="16"/>
        <v xml:space="preserve">Medio </v>
      </c>
      <c r="F245">
        <f>SUM('Gestión de abastecimiento'!N246:S246)</f>
        <v>18</v>
      </c>
      <c r="G245" s="3" t="str">
        <f t="shared" si="17"/>
        <v xml:space="preserve">Medio </v>
      </c>
      <c r="H245">
        <f t="shared" si="18"/>
        <v>53</v>
      </c>
      <c r="I245" s="3" t="str">
        <f t="shared" si="19"/>
        <v xml:space="preserve">Medio </v>
      </c>
    </row>
    <row r="246" spans="1:9" x14ac:dyDescent="0.25">
      <c r="A246" t="s">
        <v>266</v>
      </c>
      <c r="B246">
        <f>SUM('Gestión de abastecimiento'!B247:G247)</f>
        <v>24</v>
      </c>
      <c r="C246" s="3" t="str">
        <f t="shared" si="15"/>
        <v>Alto</v>
      </c>
      <c r="D246">
        <f>SUM('Gestión de abastecimiento'!H247:M247)</f>
        <v>27</v>
      </c>
      <c r="E246" s="3" t="str">
        <f t="shared" si="16"/>
        <v>Alto</v>
      </c>
      <c r="F246">
        <f>SUM('Gestión de abastecimiento'!N247:S247)</f>
        <v>27</v>
      </c>
      <c r="G246" s="3" t="str">
        <f t="shared" si="17"/>
        <v>Alto</v>
      </c>
      <c r="H246">
        <f t="shared" si="18"/>
        <v>78</v>
      </c>
      <c r="I246" s="3" t="str">
        <f t="shared" si="19"/>
        <v>Alto</v>
      </c>
    </row>
    <row r="247" spans="1:9" x14ac:dyDescent="0.25">
      <c r="A247" t="s">
        <v>267</v>
      </c>
      <c r="B247">
        <f>SUM('Gestión de abastecimiento'!B248:G248)</f>
        <v>18</v>
      </c>
      <c r="C247" s="3" t="str">
        <f t="shared" si="15"/>
        <v xml:space="preserve">Medio </v>
      </c>
      <c r="D247">
        <f>SUM('Gestión de abastecimiento'!H248:M248)</f>
        <v>18</v>
      </c>
      <c r="E247" s="3" t="str">
        <f t="shared" si="16"/>
        <v xml:space="preserve">Medio </v>
      </c>
      <c r="F247">
        <f>SUM('Gestión de abastecimiento'!N248:S248)</f>
        <v>18</v>
      </c>
      <c r="G247" s="3" t="str">
        <f t="shared" si="17"/>
        <v xml:space="preserve">Medio </v>
      </c>
      <c r="H247">
        <f t="shared" si="18"/>
        <v>54</v>
      </c>
      <c r="I247" s="3" t="str">
        <f t="shared" si="19"/>
        <v xml:space="preserve">Medio </v>
      </c>
    </row>
    <row r="248" spans="1:9" x14ac:dyDescent="0.25">
      <c r="A248" t="s">
        <v>268</v>
      </c>
      <c r="B248">
        <f>SUM('Gestión de abastecimiento'!B249:G249)</f>
        <v>19</v>
      </c>
      <c r="C248" s="3" t="str">
        <f t="shared" si="15"/>
        <v xml:space="preserve">Medio </v>
      </c>
      <c r="D248">
        <f>SUM('Gestión de abastecimiento'!H249:M249)</f>
        <v>19</v>
      </c>
      <c r="E248" s="3" t="str">
        <f t="shared" si="16"/>
        <v xml:space="preserve">Medio </v>
      </c>
      <c r="F248">
        <f>SUM('Gestión de abastecimiento'!N249:S249)</f>
        <v>19</v>
      </c>
      <c r="G248" s="3" t="str">
        <f t="shared" si="17"/>
        <v xml:space="preserve">Medio </v>
      </c>
      <c r="H248">
        <f t="shared" si="18"/>
        <v>57</v>
      </c>
      <c r="I248" s="3" t="str">
        <f t="shared" si="19"/>
        <v xml:space="preserve">Medio </v>
      </c>
    </row>
    <row r="249" spans="1:9" x14ac:dyDescent="0.25">
      <c r="A249" t="s">
        <v>269</v>
      </c>
      <c r="B249">
        <f>SUM('Gestión de abastecimiento'!B250:G250)</f>
        <v>17</v>
      </c>
      <c r="C249" s="3" t="str">
        <f t="shared" si="15"/>
        <v xml:space="preserve">Medio </v>
      </c>
      <c r="D249">
        <f>SUM('Gestión de abastecimiento'!H250:M250)</f>
        <v>18</v>
      </c>
      <c r="E249" s="3" t="str">
        <f t="shared" si="16"/>
        <v xml:space="preserve">Medio </v>
      </c>
      <c r="F249">
        <f>SUM('Gestión de abastecimiento'!N250:S250)</f>
        <v>17</v>
      </c>
      <c r="G249" s="3" t="str">
        <f t="shared" si="17"/>
        <v xml:space="preserve">Medio </v>
      </c>
      <c r="H249">
        <f t="shared" si="18"/>
        <v>52</v>
      </c>
      <c r="I249" s="3" t="str">
        <f t="shared" si="19"/>
        <v xml:space="preserve">Medio </v>
      </c>
    </row>
    <row r="250" spans="1:9" x14ac:dyDescent="0.25">
      <c r="A250" t="s">
        <v>270</v>
      </c>
      <c r="B250">
        <f>SUM('Gestión de abastecimiento'!B251:G251)</f>
        <v>15</v>
      </c>
      <c r="C250" s="3" t="str">
        <f t="shared" si="15"/>
        <v xml:space="preserve">Medio </v>
      </c>
      <c r="D250">
        <f>SUM('Gestión de abastecimiento'!H251:M251)</f>
        <v>16</v>
      </c>
      <c r="E250" s="3" t="str">
        <f t="shared" si="16"/>
        <v xml:space="preserve">Medio </v>
      </c>
      <c r="F250">
        <f>SUM('Gestión de abastecimiento'!N251:S251)</f>
        <v>14</v>
      </c>
      <c r="G250" s="3" t="str">
        <f t="shared" si="17"/>
        <v>Bajo</v>
      </c>
      <c r="H250">
        <f t="shared" si="18"/>
        <v>45</v>
      </c>
      <c r="I250" s="3" t="str">
        <f t="shared" si="19"/>
        <v xml:space="preserve">Medio </v>
      </c>
    </row>
    <row r="251" spans="1:9" x14ac:dyDescent="0.25">
      <c r="A251" t="s">
        <v>271</v>
      </c>
      <c r="B251">
        <f>SUM('Gestión de abastecimiento'!B252:G252)</f>
        <v>19</v>
      </c>
      <c r="C251" s="3" t="str">
        <f t="shared" si="15"/>
        <v xml:space="preserve">Medio </v>
      </c>
      <c r="D251">
        <f>SUM('Gestión de abastecimiento'!H252:M252)</f>
        <v>18</v>
      </c>
      <c r="E251" s="3" t="str">
        <f t="shared" si="16"/>
        <v xml:space="preserve">Medio </v>
      </c>
      <c r="F251">
        <f>SUM('Gestión de abastecimiento'!N252:S252)</f>
        <v>18</v>
      </c>
      <c r="G251" s="3" t="str">
        <f t="shared" si="17"/>
        <v xml:space="preserve">Medio </v>
      </c>
      <c r="H251">
        <f t="shared" si="18"/>
        <v>55</v>
      </c>
      <c r="I251" s="3" t="str">
        <f t="shared" si="19"/>
        <v xml:space="preserve">Medio </v>
      </c>
    </row>
    <row r="252" spans="1:9" x14ac:dyDescent="0.25">
      <c r="A252" t="s">
        <v>272</v>
      </c>
      <c r="B252">
        <f>SUM('Gestión de abastecimiento'!B253:G253)</f>
        <v>18</v>
      </c>
      <c r="C252" s="3" t="str">
        <f t="shared" si="15"/>
        <v xml:space="preserve">Medio </v>
      </c>
      <c r="D252">
        <f>SUM('Gestión de abastecimiento'!H253:M253)</f>
        <v>17</v>
      </c>
      <c r="E252" s="3" t="str">
        <f t="shared" si="16"/>
        <v xml:space="preserve">Medio </v>
      </c>
      <c r="F252">
        <f>SUM('Gestión de abastecimiento'!N253:S253)</f>
        <v>18</v>
      </c>
      <c r="G252" s="3" t="str">
        <f t="shared" si="17"/>
        <v xml:space="preserve">Medio </v>
      </c>
      <c r="H252">
        <f t="shared" si="18"/>
        <v>53</v>
      </c>
      <c r="I252" s="3" t="str">
        <f t="shared" si="19"/>
        <v xml:space="preserve">Medio </v>
      </c>
    </row>
    <row r="253" spans="1:9" x14ac:dyDescent="0.25">
      <c r="A253" t="s">
        <v>273</v>
      </c>
      <c r="B253">
        <f>SUM('Gestión de abastecimiento'!B254:G254)</f>
        <v>24</v>
      </c>
      <c r="C253" s="3" t="str">
        <f t="shared" si="15"/>
        <v>Alto</v>
      </c>
      <c r="D253">
        <f>SUM('Gestión de abastecimiento'!H254:M254)</f>
        <v>25</v>
      </c>
      <c r="E253" s="3" t="str">
        <f t="shared" si="16"/>
        <v>Alto</v>
      </c>
      <c r="F253">
        <f>SUM('Gestión de abastecimiento'!N254:S254)</f>
        <v>24</v>
      </c>
      <c r="G253" s="3" t="str">
        <f t="shared" si="17"/>
        <v>Alto</v>
      </c>
      <c r="H253">
        <f t="shared" si="18"/>
        <v>73</v>
      </c>
      <c r="I253" s="3" t="str">
        <f t="shared" si="19"/>
        <v>Alto</v>
      </c>
    </row>
    <row r="254" spans="1:9" x14ac:dyDescent="0.25">
      <c r="A254" t="s">
        <v>274</v>
      </c>
      <c r="B254">
        <f>SUM('Gestión de abastecimiento'!B255:G255)</f>
        <v>20</v>
      </c>
      <c r="C254" s="3" t="str">
        <f t="shared" si="15"/>
        <v xml:space="preserve">Medio </v>
      </c>
      <c r="D254">
        <f>SUM('Gestión de abastecimiento'!H255:M255)</f>
        <v>19</v>
      </c>
      <c r="E254" s="3" t="str">
        <f t="shared" si="16"/>
        <v xml:space="preserve">Medio </v>
      </c>
      <c r="F254">
        <f>SUM('Gestión de abastecimiento'!N255:S255)</f>
        <v>19</v>
      </c>
      <c r="G254" s="3" t="str">
        <f t="shared" si="17"/>
        <v xml:space="preserve">Medio </v>
      </c>
      <c r="H254">
        <f t="shared" si="18"/>
        <v>58</v>
      </c>
      <c r="I254" s="3" t="str">
        <f t="shared" si="19"/>
        <v xml:space="preserve">Medio </v>
      </c>
    </row>
    <row r="255" spans="1:9" x14ac:dyDescent="0.25">
      <c r="A255" t="s">
        <v>275</v>
      </c>
      <c r="B255">
        <f>SUM('Gestión de abastecimiento'!B256:G256)</f>
        <v>16</v>
      </c>
      <c r="C255" s="3" t="str">
        <f t="shared" si="15"/>
        <v xml:space="preserve">Medio </v>
      </c>
      <c r="D255">
        <f>SUM('Gestión de abastecimiento'!H256:M256)</f>
        <v>16</v>
      </c>
      <c r="E255" s="3" t="str">
        <f t="shared" si="16"/>
        <v xml:space="preserve">Medio </v>
      </c>
      <c r="F255">
        <f>SUM('Gestión de abastecimiento'!N256:S256)</f>
        <v>14</v>
      </c>
      <c r="G255" s="3" t="str">
        <f t="shared" si="17"/>
        <v>Bajo</v>
      </c>
      <c r="H255">
        <f t="shared" si="18"/>
        <v>46</v>
      </c>
      <c r="I255" s="3" t="str">
        <f t="shared" si="19"/>
        <v xml:space="preserve">Medio </v>
      </c>
    </row>
    <row r="256" spans="1:9" x14ac:dyDescent="0.25">
      <c r="A256" t="s">
        <v>276</v>
      </c>
      <c r="B256">
        <f>SUM('Gestión de abastecimiento'!B257:G257)</f>
        <v>17</v>
      </c>
      <c r="C256" s="3" t="str">
        <f t="shared" si="15"/>
        <v xml:space="preserve">Medio </v>
      </c>
      <c r="D256">
        <f>SUM('Gestión de abastecimiento'!H257:M257)</f>
        <v>18</v>
      </c>
      <c r="E256" s="3" t="str">
        <f t="shared" si="16"/>
        <v xml:space="preserve">Medio </v>
      </c>
      <c r="F256">
        <f>SUM('Gestión de abastecimiento'!N257:S257)</f>
        <v>14</v>
      </c>
      <c r="G256" s="3" t="str">
        <f t="shared" si="17"/>
        <v>Bajo</v>
      </c>
      <c r="H256">
        <f t="shared" si="18"/>
        <v>49</v>
      </c>
      <c r="I256" s="3" t="str">
        <f t="shared" si="19"/>
        <v xml:space="preserve">Medio </v>
      </c>
    </row>
    <row r="257" spans="1:9" x14ac:dyDescent="0.25">
      <c r="A257" t="s">
        <v>277</v>
      </c>
      <c r="B257">
        <f>SUM('Gestión de abastecimiento'!B258:G258)</f>
        <v>20</v>
      </c>
      <c r="C257" s="3" t="str">
        <f t="shared" si="15"/>
        <v xml:space="preserve">Medio </v>
      </c>
      <c r="D257">
        <f>SUM('Gestión de abastecimiento'!H258:M258)</f>
        <v>21</v>
      </c>
      <c r="E257" s="3" t="str">
        <f t="shared" si="16"/>
        <v xml:space="preserve">Medio </v>
      </c>
      <c r="F257">
        <f>SUM('Gestión de abastecimiento'!N258:S258)</f>
        <v>22</v>
      </c>
      <c r="G257" s="3" t="str">
        <f t="shared" si="17"/>
        <v xml:space="preserve">Medio </v>
      </c>
      <c r="H257">
        <f t="shared" si="18"/>
        <v>63</v>
      </c>
      <c r="I257" s="3" t="str">
        <f t="shared" si="19"/>
        <v xml:space="preserve">Medio </v>
      </c>
    </row>
    <row r="258" spans="1:9" x14ac:dyDescent="0.25">
      <c r="A258" t="s">
        <v>278</v>
      </c>
      <c r="B258">
        <f>SUM('Gestión de abastecimiento'!B259:G259)</f>
        <v>13</v>
      </c>
      <c r="C258" s="3" t="str">
        <f t="shared" si="15"/>
        <v>Bajo</v>
      </c>
      <c r="D258">
        <f>SUM('Gestión de abastecimiento'!H259:M259)</f>
        <v>12</v>
      </c>
      <c r="E258" s="3" t="str">
        <f t="shared" si="16"/>
        <v>Bajo</v>
      </c>
      <c r="F258">
        <f>SUM('Gestión de abastecimiento'!N259:S259)</f>
        <v>12</v>
      </c>
      <c r="G258" s="3" t="str">
        <f t="shared" si="17"/>
        <v>Bajo</v>
      </c>
      <c r="H258">
        <f t="shared" si="18"/>
        <v>37</v>
      </c>
      <c r="I258" s="3" t="str">
        <f t="shared" si="19"/>
        <v>Bajo</v>
      </c>
    </row>
    <row r="259" spans="1:9" x14ac:dyDescent="0.25">
      <c r="A259" t="s">
        <v>279</v>
      </c>
      <c r="B259">
        <f>SUM('Gestión de abastecimiento'!B260:G260)</f>
        <v>12</v>
      </c>
      <c r="C259" s="3" t="str">
        <f t="shared" si="15"/>
        <v>Bajo</v>
      </c>
      <c r="D259">
        <f>SUM('Gestión de abastecimiento'!H260:M260)</f>
        <v>13</v>
      </c>
      <c r="E259" s="3" t="str">
        <f t="shared" si="16"/>
        <v>Bajo</v>
      </c>
      <c r="F259">
        <f>SUM('Gestión de abastecimiento'!N260:S260)</f>
        <v>12</v>
      </c>
      <c r="G259" s="3" t="str">
        <f t="shared" si="17"/>
        <v>Bajo</v>
      </c>
      <c r="H259">
        <f t="shared" si="18"/>
        <v>37</v>
      </c>
      <c r="I259" s="3" t="str">
        <f t="shared" si="19"/>
        <v>Bajo</v>
      </c>
    </row>
    <row r="260" spans="1:9" x14ac:dyDescent="0.25">
      <c r="A260" t="s">
        <v>280</v>
      </c>
      <c r="B260">
        <f>SUM('Gestión de abastecimiento'!B261:G261)</f>
        <v>21</v>
      </c>
      <c r="C260" s="3" t="str">
        <f t="shared" ref="C260:C323" si="20">IF(B260&lt;=$Q$19,"Bajo",IF(B260&lt;=$Q$20,"Medio ",IF(B260&lt;=$Q$21,"Alto",0)))</f>
        <v xml:space="preserve">Medio </v>
      </c>
      <c r="D260">
        <f>SUM('Gestión de abastecimiento'!H261:M261)</f>
        <v>22</v>
      </c>
      <c r="E260" s="3" t="str">
        <f t="shared" ref="E260:E323" si="21">IF(D260&lt;=$AC$19,"Bajo",IF(D260&lt;=$AC$20,"Medio ",IF(D260&lt;=$AC$21,"Alto",0)))</f>
        <v xml:space="preserve">Medio </v>
      </c>
      <c r="F260">
        <f>SUM('Gestión de abastecimiento'!N261:S261)</f>
        <v>20</v>
      </c>
      <c r="G260" s="3" t="str">
        <f t="shared" ref="G260:G323" si="22">IF(F260&lt;=$AO$19,"Bajo",IF(F260&lt;=$AO$20,"Medio ",IF(F260&lt;=$AO$21,"Alto",0)))</f>
        <v xml:space="preserve">Medio </v>
      </c>
      <c r="H260">
        <f t="shared" ref="H260:H292" si="23">SUM(B260:F260)</f>
        <v>63</v>
      </c>
      <c r="I260" s="3" t="str">
        <f t="shared" ref="I260:I323" si="24">IF(H260&lt;=$BA$19,"Bajo",IF(H260&lt;=$BA$20,"Medio ",IF(H260&lt;=$BA$21,"Alto",0)))</f>
        <v xml:space="preserve">Medio </v>
      </c>
    </row>
    <row r="261" spans="1:9" x14ac:dyDescent="0.25">
      <c r="A261" t="s">
        <v>281</v>
      </c>
      <c r="B261">
        <f>SUM('Gestión de abastecimiento'!B262:G262)</f>
        <v>13</v>
      </c>
      <c r="C261" s="3" t="str">
        <f t="shared" si="20"/>
        <v>Bajo</v>
      </c>
      <c r="D261">
        <f>SUM('Gestión de abastecimiento'!H262:M262)</f>
        <v>14</v>
      </c>
      <c r="E261" s="3" t="str">
        <f t="shared" si="21"/>
        <v>Bajo</v>
      </c>
      <c r="F261">
        <f>SUM('Gestión de abastecimiento'!N262:S262)</f>
        <v>12</v>
      </c>
      <c r="G261" s="3" t="str">
        <f t="shared" si="22"/>
        <v>Bajo</v>
      </c>
      <c r="H261">
        <f t="shared" si="23"/>
        <v>39</v>
      </c>
      <c r="I261" s="3" t="str">
        <f t="shared" si="24"/>
        <v>Bajo</v>
      </c>
    </row>
    <row r="262" spans="1:9" x14ac:dyDescent="0.25">
      <c r="A262" t="s">
        <v>282</v>
      </c>
      <c r="B262">
        <f>SUM('Gestión de abastecimiento'!B263:G263)</f>
        <v>16</v>
      </c>
      <c r="C262" s="3" t="str">
        <f t="shared" si="20"/>
        <v xml:space="preserve">Medio </v>
      </c>
      <c r="D262">
        <f>SUM('Gestión de abastecimiento'!H263:M263)</f>
        <v>15</v>
      </c>
      <c r="E262" s="3" t="str">
        <f t="shared" si="21"/>
        <v xml:space="preserve">Medio </v>
      </c>
      <c r="F262">
        <f>SUM('Gestión de abastecimiento'!N263:S263)</f>
        <v>13</v>
      </c>
      <c r="G262" s="3" t="str">
        <f t="shared" si="22"/>
        <v>Bajo</v>
      </c>
      <c r="H262">
        <f t="shared" si="23"/>
        <v>44</v>
      </c>
      <c r="I262" s="3" t="str">
        <f t="shared" si="24"/>
        <v xml:space="preserve">Medio </v>
      </c>
    </row>
    <row r="263" spans="1:9" x14ac:dyDescent="0.25">
      <c r="A263" t="s">
        <v>283</v>
      </c>
      <c r="B263">
        <f>SUM('Gestión de abastecimiento'!B264:G264)</f>
        <v>24</v>
      </c>
      <c r="C263" s="3" t="str">
        <f t="shared" si="20"/>
        <v>Alto</v>
      </c>
      <c r="D263">
        <f>SUM('Gestión de abastecimiento'!H264:M264)</f>
        <v>24</v>
      </c>
      <c r="E263" s="3" t="str">
        <f t="shared" si="21"/>
        <v>Alto</v>
      </c>
      <c r="F263">
        <f>SUM('Gestión de abastecimiento'!N264:S264)</f>
        <v>24</v>
      </c>
      <c r="G263" s="3" t="str">
        <f t="shared" si="22"/>
        <v>Alto</v>
      </c>
      <c r="H263">
        <f t="shared" si="23"/>
        <v>72</v>
      </c>
      <c r="I263" s="3" t="str">
        <f t="shared" si="24"/>
        <v>Alto</v>
      </c>
    </row>
    <row r="264" spans="1:9" x14ac:dyDescent="0.25">
      <c r="A264" t="s">
        <v>284</v>
      </c>
      <c r="B264">
        <f>SUM('Gestión de abastecimiento'!B265:G265)</f>
        <v>18</v>
      </c>
      <c r="C264" s="3" t="str">
        <f t="shared" si="20"/>
        <v xml:space="preserve">Medio </v>
      </c>
      <c r="D264">
        <f>SUM('Gestión de abastecimiento'!H265:M265)</f>
        <v>18</v>
      </c>
      <c r="E264" s="3" t="str">
        <f t="shared" si="21"/>
        <v xml:space="preserve">Medio </v>
      </c>
      <c r="F264">
        <f>SUM('Gestión de abastecimiento'!N265:S265)</f>
        <v>18</v>
      </c>
      <c r="G264" s="3" t="str">
        <f t="shared" si="22"/>
        <v xml:space="preserve">Medio </v>
      </c>
      <c r="H264">
        <f t="shared" si="23"/>
        <v>54</v>
      </c>
      <c r="I264" s="3" t="str">
        <f t="shared" si="24"/>
        <v xml:space="preserve">Medio </v>
      </c>
    </row>
    <row r="265" spans="1:9" x14ac:dyDescent="0.25">
      <c r="A265" t="s">
        <v>285</v>
      </c>
      <c r="B265">
        <f>SUM('Gestión de abastecimiento'!B266:G266)</f>
        <v>18</v>
      </c>
      <c r="C265" s="3" t="str">
        <f t="shared" si="20"/>
        <v xml:space="preserve">Medio </v>
      </c>
      <c r="D265">
        <f>SUM('Gestión de abastecimiento'!H266:M266)</f>
        <v>17</v>
      </c>
      <c r="E265" s="3" t="str">
        <f t="shared" si="21"/>
        <v xml:space="preserve">Medio </v>
      </c>
      <c r="F265">
        <f>SUM('Gestión de abastecimiento'!N266:S266)</f>
        <v>18</v>
      </c>
      <c r="G265" s="3" t="str">
        <f t="shared" si="22"/>
        <v xml:space="preserve">Medio </v>
      </c>
      <c r="H265">
        <f t="shared" si="23"/>
        <v>53</v>
      </c>
      <c r="I265" s="3" t="str">
        <f t="shared" si="24"/>
        <v xml:space="preserve">Medio </v>
      </c>
    </row>
    <row r="266" spans="1:9" x14ac:dyDescent="0.25">
      <c r="A266" t="s">
        <v>286</v>
      </c>
      <c r="B266">
        <f>SUM('Gestión de abastecimiento'!B267:G267)</f>
        <v>22</v>
      </c>
      <c r="C266" s="3" t="str">
        <f t="shared" si="20"/>
        <v xml:space="preserve">Medio </v>
      </c>
      <c r="D266">
        <f>SUM('Gestión de abastecimiento'!H267:M267)</f>
        <v>18</v>
      </c>
      <c r="E266" s="3" t="str">
        <f t="shared" si="21"/>
        <v xml:space="preserve">Medio </v>
      </c>
      <c r="F266">
        <f>SUM('Gestión de abastecimiento'!N267:S267)</f>
        <v>20</v>
      </c>
      <c r="G266" s="3" t="str">
        <f t="shared" si="22"/>
        <v xml:space="preserve">Medio </v>
      </c>
      <c r="H266">
        <f t="shared" si="23"/>
        <v>60</v>
      </c>
      <c r="I266" s="3" t="str">
        <f t="shared" si="24"/>
        <v xml:space="preserve">Medio </v>
      </c>
    </row>
    <row r="267" spans="1:9" x14ac:dyDescent="0.25">
      <c r="A267" t="s">
        <v>287</v>
      </c>
      <c r="B267">
        <f>SUM('Gestión de abastecimiento'!B268:G268)</f>
        <v>13</v>
      </c>
      <c r="C267" s="3" t="str">
        <f t="shared" si="20"/>
        <v>Bajo</v>
      </c>
      <c r="D267">
        <f>SUM('Gestión de abastecimiento'!H268:M268)</f>
        <v>12</v>
      </c>
      <c r="E267" s="3" t="str">
        <f t="shared" si="21"/>
        <v>Bajo</v>
      </c>
      <c r="F267">
        <f>SUM('Gestión de abastecimiento'!N268:S268)</f>
        <v>13</v>
      </c>
      <c r="G267" s="3" t="str">
        <f t="shared" si="22"/>
        <v>Bajo</v>
      </c>
      <c r="H267">
        <f t="shared" si="23"/>
        <v>38</v>
      </c>
      <c r="I267" s="3" t="str">
        <f t="shared" si="24"/>
        <v>Bajo</v>
      </c>
    </row>
    <row r="268" spans="1:9" x14ac:dyDescent="0.25">
      <c r="A268" t="s">
        <v>288</v>
      </c>
      <c r="B268">
        <f>SUM('Gestión de abastecimiento'!B269:G269)</f>
        <v>14</v>
      </c>
      <c r="C268" s="3" t="str">
        <f t="shared" si="20"/>
        <v>Bajo</v>
      </c>
      <c r="D268">
        <f>SUM('Gestión de abastecimiento'!H269:M269)</f>
        <v>15</v>
      </c>
      <c r="E268" s="3" t="str">
        <f t="shared" si="21"/>
        <v xml:space="preserve">Medio </v>
      </c>
      <c r="F268">
        <f>SUM('Gestión de abastecimiento'!N269:S269)</f>
        <v>15</v>
      </c>
      <c r="G268" s="3" t="str">
        <f t="shared" si="22"/>
        <v xml:space="preserve">Medio </v>
      </c>
      <c r="H268">
        <f t="shared" si="23"/>
        <v>44</v>
      </c>
      <c r="I268" s="3" t="str">
        <f t="shared" si="24"/>
        <v xml:space="preserve">Medio </v>
      </c>
    </row>
    <row r="269" spans="1:9" x14ac:dyDescent="0.25">
      <c r="A269" t="s">
        <v>289</v>
      </c>
      <c r="B269">
        <f>SUM('Gestión de abastecimiento'!B270:G270)</f>
        <v>25</v>
      </c>
      <c r="C269" s="3" t="str">
        <f t="shared" si="20"/>
        <v>Alto</v>
      </c>
      <c r="D269">
        <f>SUM('Gestión de abastecimiento'!H270:M270)</f>
        <v>24</v>
      </c>
      <c r="E269" s="3" t="str">
        <f t="shared" si="21"/>
        <v>Alto</v>
      </c>
      <c r="F269">
        <f>SUM('Gestión de abastecimiento'!N270:S270)</f>
        <v>25</v>
      </c>
      <c r="G269" s="3" t="str">
        <f t="shared" si="22"/>
        <v>Alto</v>
      </c>
      <c r="H269">
        <f t="shared" si="23"/>
        <v>74</v>
      </c>
      <c r="I269" s="3" t="str">
        <f t="shared" si="24"/>
        <v>Alto</v>
      </c>
    </row>
    <row r="270" spans="1:9" x14ac:dyDescent="0.25">
      <c r="A270" t="s">
        <v>290</v>
      </c>
      <c r="B270">
        <f>SUM('Gestión de abastecimiento'!B271:G271)</f>
        <v>17</v>
      </c>
      <c r="C270" s="3" t="str">
        <f t="shared" si="20"/>
        <v xml:space="preserve">Medio </v>
      </c>
      <c r="D270">
        <f>SUM('Gestión de abastecimiento'!H271:M271)</f>
        <v>16</v>
      </c>
      <c r="E270" s="3" t="str">
        <f t="shared" si="21"/>
        <v xml:space="preserve">Medio </v>
      </c>
      <c r="F270">
        <f>SUM('Gestión de abastecimiento'!N271:S271)</f>
        <v>15</v>
      </c>
      <c r="G270" s="3" t="str">
        <f t="shared" si="22"/>
        <v xml:space="preserve">Medio </v>
      </c>
      <c r="H270">
        <f t="shared" si="23"/>
        <v>48</v>
      </c>
      <c r="I270" s="3" t="str">
        <f t="shared" si="24"/>
        <v xml:space="preserve">Medio </v>
      </c>
    </row>
    <row r="271" spans="1:9" x14ac:dyDescent="0.25">
      <c r="A271" t="s">
        <v>291</v>
      </c>
      <c r="B271">
        <f>SUM('Gestión de abastecimiento'!B272:G272)</f>
        <v>18</v>
      </c>
      <c r="C271" s="3" t="str">
        <f t="shared" si="20"/>
        <v xml:space="preserve">Medio </v>
      </c>
      <c r="D271">
        <f>SUM('Gestión de abastecimiento'!H272:M272)</f>
        <v>19</v>
      </c>
      <c r="E271" s="3" t="str">
        <f t="shared" si="21"/>
        <v xml:space="preserve">Medio </v>
      </c>
      <c r="F271">
        <f>SUM('Gestión de abastecimiento'!N272:S272)</f>
        <v>18</v>
      </c>
      <c r="G271" s="3" t="str">
        <f t="shared" si="22"/>
        <v xml:space="preserve">Medio </v>
      </c>
      <c r="H271">
        <f t="shared" si="23"/>
        <v>55</v>
      </c>
      <c r="I271" s="3" t="str">
        <f t="shared" si="24"/>
        <v xml:space="preserve">Medio </v>
      </c>
    </row>
    <row r="272" spans="1:9" x14ac:dyDescent="0.25">
      <c r="A272" t="s">
        <v>292</v>
      </c>
      <c r="B272">
        <f>SUM('Gestión de abastecimiento'!B273:G273)</f>
        <v>24</v>
      </c>
      <c r="C272" s="3" t="str">
        <f t="shared" si="20"/>
        <v>Alto</v>
      </c>
      <c r="D272">
        <f>SUM('Gestión de abastecimiento'!H273:M273)</f>
        <v>24</v>
      </c>
      <c r="E272" s="3" t="str">
        <f t="shared" si="21"/>
        <v>Alto</v>
      </c>
      <c r="F272">
        <f>SUM('Gestión de abastecimiento'!N273:S273)</f>
        <v>24</v>
      </c>
      <c r="G272" s="3" t="str">
        <f t="shared" si="22"/>
        <v>Alto</v>
      </c>
      <c r="H272">
        <f t="shared" si="23"/>
        <v>72</v>
      </c>
      <c r="I272" s="3" t="str">
        <f t="shared" si="24"/>
        <v>Alto</v>
      </c>
    </row>
    <row r="273" spans="1:9" x14ac:dyDescent="0.25">
      <c r="A273" t="s">
        <v>293</v>
      </c>
      <c r="B273">
        <f>SUM('Gestión de abastecimiento'!B274:G274)</f>
        <v>18</v>
      </c>
      <c r="C273" s="3" t="str">
        <f t="shared" si="20"/>
        <v xml:space="preserve">Medio </v>
      </c>
      <c r="D273">
        <f>SUM('Gestión de abastecimiento'!H274:M274)</f>
        <v>18</v>
      </c>
      <c r="E273" s="3" t="str">
        <f t="shared" si="21"/>
        <v xml:space="preserve">Medio </v>
      </c>
      <c r="F273">
        <f>SUM('Gestión de abastecimiento'!N274:S274)</f>
        <v>18</v>
      </c>
      <c r="G273" s="3" t="str">
        <f t="shared" si="22"/>
        <v xml:space="preserve">Medio </v>
      </c>
      <c r="H273">
        <f t="shared" si="23"/>
        <v>54</v>
      </c>
      <c r="I273" s="3" t="str">
        <f t="shared" si="24"/>
        <v xml:space="preserve">Medio </v>
      </c>
    </row>
    <row r="274" spans="1:9" x14ac:dyDescent="0.25">
      <c r="A274" t="s">
        <v>294</v>
      </c>
      <c r="B274">
        <f>SUM('Gestión de abastecimiento'!B275:G275)</f>
        <v>8</v>
      </c>
      <c r="C274" s="3" t="str">
        <f t="shared" si="20"/>
        <v>Bajo</v>
      </c>
      <c r="D274">
        <f>SUM('Gestión de abastecimiento'!H275:M275)</f>
        <v>7</v>
      </c>
      <c r="E274" s="3" t="str">
        <f t="shared" si="21"/>
        <v>Bajo</v>
      </c>
      <c r="F274">
        <f>SUM('Gestión de abastecimiento'!N275:S275)</f>
        <v>6</v>
      </c>
      <c r="G274" s="3" t="str">
        <f t="shared" si="22"/>
        <v>Bajo</v>
      </c>
      <c r="H274">
        <f t="shared" si="23"/>
        <v>21</v>
      </c>
      <c r="I274" s="3" t="str">
        <f t="shared" si="24"/>
        <v>Bajo</v>
      </c>
    </row>
    <row r="275" spans="1:9" x14ac:dyDescent="0.25">
      <c r="A275" t="s">
        <v>295</v>
      </c>
      <c r="B275">
        <f>SUM('Gestión de abastecimiento'!B276:G276)</f>
        <v>21</v>
      </c>
      <c r="C275" s="3" t="str">
        <f t="shared" si="20"/>
        <v xml:space="preserve">Medio </v>
      </c>
      <c r="D275">
        <f>SUM('Gestión de abastecimiento'!H276:M276)</f>
        <v>21</v>
      </c>
      <c r="E275" s="3" t="str">
        <f t="shared" si="21"/>
        <v xml:space="preserve">Medio </v>
      </c>
      <c r="F275">
        <f>SUM('Gestión de abastecimiento'!N276:S276)</f>
        <v>19</v>
      </c>
      <c r="G275" s="3" t="str">
        <f t="shared" si="22"/>
        <v xml:space="preserve">Medio </v>
      </c>
      <c r="H275">
        <f t="shared" si="23"/>
        <v>61</v>
      </c>
      <c r="I275" s="3" t="str">
        <f t="shared" si="24"/>
        <v xml:space="preserve">Medio </v>
      </c>
    </row>
    <row r="276" spans="1:9" x14ac:dyDescent="0.25">
      <c r="A276" t="s">
        <v>296</v>
      </c>
      <c r="B276">
        <f>SUM('Gestión de abastecimiento'!B277:G277)</f>
        <v>19</v>
      </c>
      <c r="C276" s="3" t="str">
        <f t="shared" si="20"/>
        <v xml:space="preserve">Medio </v>
      </c>
      <c r="D276">
        <f>SUM('Gestión de abastecimiento'!H277:M277)</f>
        <v>19</v>
      </c>
      <c r="E276" s="3" t="str">
        <f t="shared" si="21"/>
        <v xml:space="preserve">Medio </v>
      </c>
      <c r="F276">
        <f>SUM('Gestión de abastecimiento'!N277:S277)</f>
        <v>20</v>
      </c>
      <c r="G276" s="3" t="str">
        <f t="shared" si="22"/>
        <v xml:space="preserve">Medio </v>
      </c>
      <c r="H276">
        <f t="shared" si="23"/>
        <v>58</v>
      </c>
      <c r="I276" s="3" t="str">
        <f t="shared" si="24"/>
        <v xml:space="preserve">Medio </v>
      </c>
    </row>
    <row r="277" spans="1:9" x14ac:dyDescent="0.25">
      <c r="A277" t="s">
        <v>297</v>
      </c>
      <c r="B277">
        <f>SUM('Gestión de abastecimiento'!B278:G278)</f>
        <v>14</v>
      </c>
      <c r="C277" s="3" t="str">
        <f t="shared" si="20"/>
        <v>Bajo</v>
      </c>
      <c r="D277">
        <f>SUM('Gestión de abastecimiento'!H278:M278)</f>
        <v>12</v>
      </c>
      <c r="E277" s="3" t="str">
        <f t="shared" si="21"/>
        <v>Bajo</v>
      </c>
      <c r="F277">
        <f>SUM('Gestión de abastecimiento'!N278:S278)</f>
        <v>13</v>
      </c>
      <c r="G277" s="3" t="str">
        <f t="shared" si="22"/>
        <v>Bajo</v>
      </c>
      <c r="H277">
        <f t="shared" si="23"/>
        <v>39</v>
      </c>
      <c r="I277" s="3" t="str">
        <f t="shared" si="24"/>
        <v>Bajo</v>
      </c>
    </row>
    <row r="278" spans="1:9" x14ac:dyDescent="0.25">
      <c r="A278" t="s">
        <v>298</v>
      </c>
      <c r="B278">
        <f>SUM('Gestión de abastecimiento'!B279:G279)</f>
        <v>18</v>
      </c>
      <c r="C278" s="3" t="str">
        <f t="shared" si="20"/>
        <v xml:space="preserve">Medio </v>
      </c>
      <c r="D278">
        <f>SUM('Gestión de abastecimiento'!H279:M279)</f>
        <v>19</v>
      </c>
      <c r="E278" s="3" t="str">
        <f t="shared" si="21"/>
        <v xml:space="preserve">Medio </v>
      </c>
      <c r="F278">
        <f>SUM('Gestión de abastecimiento'!N279:S279)</f>
        <v>17</v>
      </c>
      <c r="G278" s="3" t="str">
        <f t="shared" si="22"/>
        <v xml:space="preserve">Medio </v>
      </c>
      <c r="H278">
        <f t="shared" si="23"/>
        <v>54</v>
      </c>
      <c r="I278" s="3" t="str">
        <f t="shared" si="24"/>
        <v xml:space="preserve">Medio </v>
      </c>
    </row>
    <row r="279" spans="1:9" x14ac:dyDescent="0.25">
      <c r="A279" t="s">
        <v>299</v>
      </c>
      <c r="B279">
        <f>SUM('Gestión de abastecimiento'!B280:G280)</f>
        <v>12</v>
      </c>
      <c r="C279" s="3" t="str">
        <f t="shared" si="20"/>
        <v>Bajo</v>
      </c>
      <c r="D279">
        <f>SUM('Gestión de abastecimiento'!H280:M280)</f>
        <v>12</v>
      </c>
      <c r="E279" s="3" t="str">
        <f t="shared" si="21"/>
        <v>Bajo</v>
      </c>
      <c r="F279">
        <f>SUM('Gestión de abastecimiento'!N280:S280)</f>
        <v>10</v>
      </c>
      <c r="G279" s="3" t="str">
        <f t="shared" si="22"/>
        <v>Bajo</v>
      </c>
      <c r="H279">
        <f t="shared" si="23"/>
        <v>34</v>
      </c>
      <c r="I279" s="3" t="str">
        <f t="shared" si="24"/>
        <v>Bajo</v>
      </c>
    </row>
    <row r="280" spans="1:9" x14ac:dyDescent="0.25">
      <c r="A280" t="s">
        <v>300</v>
      </c>
      <c r="B280">
        <f>SUM('Gestión de abastecimiento'!B281:G281)</f>
        <v>24</v>
      </c>
      <c r="C280" s="3" t="str">
        <f t="shared" si="20"/>
        <v>Alto</v>
      </c>
      <c r="D280">
        <f>SUM('Gestión de abastecimiento'!H281:M281)</f>
        <v>24</v>
      </c>
      <c r="E280" s="3" t="str">
        <f t="shared" si="21"/>
        <v>Alto</v>
      </c>
      <c r="F280">
        <f>SUM('Gestión de abastecimiento'!N281:S281)</f>
        <v>24</v>
      </c>
      <c r="G280" s="3" t="str">
        <f t="shared" si="22"/>
        <v>Alto</v>
      </c>
      <c r="H280">
        <f t="shared" si="23"/>
        <v>72</v>
      </c>
      <c r="I280" s="3" t="str">
        <f t="shared" si="24"/>
        <v>Alto</v>
      </c>
    </row>
    <row r="281" spans="1:9" x14ac:dyDescent="0.25">
      <c r="A281" t="s">
        <v>301</v>
      </c>
      <c r="B281">
        <f>SUM('Gestión de abastecimiento'!B282:G282)</f>
        <v>20</v>
      </c>
      <c r="C281" s="3" t="str">
        <f t="shared" si="20"/>
        <v xml:space="preserve">Medio </v>
      </c>
      <c r="D281">
        <f>SUM('Gestión de abastecimiento'!H282:M282)</f>
        <v>19</v>
      </c>
      <c r="E281" s="3" t="str">
        <f t="shared" si="21"/>
        <v xml:space="preserve">Medio </v>
      </c>
      <c r="F281">
        <f>SUM('Gestión de abastecimiento'!N282:S282)</f>
        <v>19</v>
      </c>
      <c r="G281" s="3" t="str">
        <f t="shared" si="22"/>
        <v xml:space="preserve">Medio </v>
      </c>
      <c r="H281">
        <f t="shared" si="23"/>
        <v>58</v>
      </c>
      <c r="I281" s="3" t="str">
        <f t="shared" si="24"/>
        <v xml:space="preserve">Medio </v>
      </c>
    </row>
    <row r="282" spans="1:9" x14ac:dyDescent="0.25">
      <c r="A282" t="s">
        <v>302</v>
      </c>
      <c r="B282">
        <f>SUM('Gestión de abastecimiento'!B283:G283)</f>
        <v>18</v>
      </c>
      <c r="C282" s="3" t="str">
        <f t="shared" si="20"/>
        <v xml:space="preserve">Medio </v>
      </c>
      <c r="D282">
        <f>SUM('Gestión de abastecimiento'!H283:M283)</f>
        <v>18</v>
      </c>
      <c r="E282" s="3" t="str">
        <f t="shared" si="21"/>
        <v xml:space="preserve">Medio </v>
      </c>
      <c r="F282">
        <f>SUM('Gestión de abastecimiento'!N283:S283)</f>
        <v>18</v>
      </c>
      <c r="G282" s="3" t="str">
        <f t="shared" si="22"/>
        <v xml:space="preserve">Medio </v>
      </c>
      <c r="H282">
        <f t="shared" si="23"/>
        <v>54</v>
      </c>
      <c r="I282" s="3" t="str">
        <f t="shared" si="24"/>
        <v xml:space="preserve">Medio </v>
      </c>
    </row>
    <row r="283" spans="1:9" x14ac:dyDescent="0.25">
      <c r="A283" t="s">
        <v>303</v>
      </c>
      <c r="B283">
        <f>SUM('Gestión de abastecimiento'!B284:G284)</f>
        <v>18</v>
      </c>
      <c r="C283" s="3" t="str">
        <f t="shared" si="20"/>
        <v xml:space="preserve">Medio </v>
      </c>
      <c r="D283">
        <f>SUM('Gestión de abastecimiento'!H284:M284)</f>
        <v>17</v>
      </c>
      <c r="E283" s="3" t="str">
        <f t="shared" si="21"/>
        <v xml:space="preserve">Medio </v>
      </c>
      <c r="F283">
        <f>SUM('Gestión de abastecimiento'!N284:S284)</f>
        <v>17</v>
      </c>
      <c r="G283" s="3" t="str">
        <f t="shared" si="22"/>
        <v xml:space="preserve">Medio </v>
      </c>
      <c r="H283">
        <f t="shared" si="23"/>
        <v>52</v>
      </c>
      <c r="I283" s="3" t="str">
        <f t="shared" si="24"/>
        <v xml:space="preserve">Medio </v>
      </c>
    </row>
    <row r="284" spans="1:9" x14ac:dyDescent="0.25">
      <c r="A284" t="s">
        <v>304</v>
      </c>
      <c r="B284">
        <f>SUM('Gestión de abastecimiento'!B285:G285)</f>
        <v>15</v>
      </c>
      <c r="C284" s="3" t="str">
        <f t="shared" si="20"/>
        <v xml:space="preserve">Medio </v>
      </c>
      <c r="D284">
        <f>SUM('Gestión de abastecimiento'!H285:M285)</f>
        <v>14</v>
      </c>
      <c r="E284" s="3" t="str">
        <f t="shared" si="21"/>
        <v>Bajo</v>
      </c>
      <c r="F284">
        <f>SUM('Gestión de abastecimiento'!N285:S285)</f>
        <v>12</v>
      </c>
      <c r="G284" s="3" t="str">
        <f t="shared" si="22"/>
        <v>Bajo</v>
      </c>
      <c r="H284">
        <f t="shared" si="23"/>
        <v>41</v>
      </c>
      <c r="I284" s="3" t="str">
        <f t="shared" si="24"/>
        <v>Bajo</v>
      </c>
    </row>
    <row r="285" spans="1:9" x14ac:dyDescent="0.25">
      <c r="A285" t="s">
        <v>305</v>
      </c>
      <c r="B285">
        <f>SUM('Gestión de abastecimiento'!B286:G286)</f>
        <v>12</v>
      </c>
      <c r="C285" s="3" t="str">
        <f t="shared" si="20"/>
        <v>Bajo</v>
      </c>
      <c r="D285">
        <f>SUM('Gestión de abastecimiento'!H286:M286)</f>
        <v>11</v>
      </c>
      <c r="E285" s="3" t="str">
        <f t="shared" si="21"/>
        <v>Bajo</v>
      </c>
      <c r="F285">
        <f>SUM('Gestión de abastecimiento'!N286:S286)</f>
        <v>11</v>
      </c>
      <c r="G285" s="3" t="str">
        <f t="shared" si="22"/>
        <v>Bajo</v>
      </c>
      <c r="H285">
        <f t="shared" si="23"/>
        <v>34</v>
      </c>
      <c r="I285" s="3" t="str">
        <f t="shared" si="24"/>
        <v>Bajo</v>
      </c>
    </row>
    <row r="286" spans="1:9" x14ac:dyDescent="0.25">
      <c r="A286" t="s">
        <v>306</v>
      </c>
      <c r="B286">
        <f>SUM('Gestión de abastecimiento'!B287:G287)</f>
        <v>18</v>
      </c>
      <c r="C286" s="3" t="str">
        <f t="shared" si="20"/>
        <v xml:space="preserve">Medio </v>
      </c>
      <c r="D286">
        <f>SUM('Gestión de abastecimiento'!H287:M287)</f>
        <v>19</v>
      </c>
      <c r="E286" s="3" t="str">
        <f t="shared" si="21"/>
        <v xml:space="preserve">Medio </v>
      </c>
      <c r="F286">
        <f>SUM('Gestión de abastecimiento'!N287:S287)</f>
        <v>19</v>
      </c>
      <c r="G286" s="3" t="str">
        <f t="shared" si="22"/>
        <v xml:space="preserve">Medio </v>
      </c>
      <c r="H286">
        <f t="shared" si="23"/>
        <v>56</v>
      </c>
      <c r="I286" s="3" t="str">
        <f t="shared" si="24"/>
        <v xml:space="preserve">Medio </v>
      </c>
    </row>
    <row r="287" spans="1:9" x14ac:dyDescent="0.25">
      <c r="A287" t="s">
        <v>307</v>
      </c>
      <c r="B287">
        <f>SUM('Gestión de abastecimiento'!B288:G288)</f>
        <v>17</v>
      </c>
      <c r="C287" s="3" t="str">
        <f t="shared" si="20"/>
        <v xml:space="preserve">Medio </v>
      </c>
      <c r="D287">
        <f>SUM('Gestión de abastecimiento'!H288:M288)</f>
        <v>18</v>
      </c>
      <c r="E287" s="3" t="str">
        <f t="shared" si="21"/>
        <v xml:space="preserve">Medio </v>
      </c>
      <c r="F287">
        <f>SUM('Gestión de abastecimiento'!N288:S288)</f>
        <v>18</v>
      </c>
      <c r="G287" s="3" t="str">
        <f t="shared" si="22"/>
        <v xml:space="preserve">Medio </v>
      </c>
      <c r="H287">
        <f t="shared" si="23"/>
        <v>53</v>
      </c>
      <c r="I287" s="3" t="str">
        <f t="shared" si="24"/>
        <v xml:space="preserve">Medio </v>
      </c>
    </row>
    <row r="288" spans="1:9" x14ac:dyDescent="0.25">
      <c r="A288" t="s">
        <v>308</v>
      </c>
      <c r="B288">
        <f>SUM('Gestión de abastecimiento'!B289:G289)</f>
        <v>16</v>
      </c>
      <c r="C288" s="3" t="str">
        <f t="shared" si="20"/>
        <v xml:space="preserve">Medio </v>
      </c>
      <c r="D288">
        <f>SUM('Gestión de abastecimiento'!H289:M289)</f>
        <v>16</v>
      </c>
      <c r="E288" s="3" t="str">
        <f t="shared" si="21"/>
        <v xml:space="preserve">Medio </v>
      </c>
      <c r="F288">
        <f>SUM('Gestión de abastecimiento'!N289:S289)</f>
        <v>15</v>
      </c>
      <c r="G288" s="3" t="str">
        <f t="shared" si="22"/>
        <v xml:space="preserve">Medio </v>
      </c>
      <c r="H288">
        <f t="shared" si="23"/>
        <v>47</v>
      </c>
      <c r="I288" s="3" t="str">
        <f t="shared" si="24"/>
        <v xml:space="preserve">Medio </v>
      </c>
    </row>
    <row r="289" spans="1:9" x14ac:dyDescent="0.25">
      <c r="A289" t="s">
        <v>309</v>
      </c>
      <c r="B289">
        <f>SUM('Gestión de abastecimiento'!B290:G290)</f>
        <v>18</v>
      </c>
      <c r="C289" s="3" t="str">
        <f t="shared" si="20"/>
        <v xml:space="preserve">Medio </v>
      </c>
      <c r="D289">
        <f>SUM('Gestión de abastecimiento'!H290:M290)</f>
        <v>18</v>
      </c>
      <c r="E289" s="3" t="str">
        <f t="shared" si="21"/>
        <v xml:space="preserve">Medio </v>
      </c>
      <c r="F289">
        <f>SUM('Gestión de abastecimiento'!N290:S290)</f>
        <v>17</v>
      </c>
      <c r="G289" s="3" t="str">
        <f t="shared" si="22"/>
        <v xml:space="preserve">Medio </v>
      </c>
      <c r="H289">
        <f t="shared" si="23"/>
        <v>53</v>
      </c>
      <c r="I289" s="3" t="str">
        <f t="shared" si="24"/>
        <v xml:space="preserve">Medio </v>
      </c>
    </row>
    <row r="290" spans="1:9" x14ac:dyDescent="0.25">
      <c r="A290" t="s">
        <v>310</v>
      </c>
      <c r="B290">
        <f>SUM('Gestión de abastecimiento'!B291:G291)</f>
        <v>17</v>
      </c>
      <c r="C290" s="3" t="str">
        <f t="shared" si="20"/>
        <v xml:space="preserve">Medio </v>
      </c>
      <c r="D290">
        <f>SUM('Gestión de abastecimiento'!H291:M291)</f>
        <v>15</v>
      </c>
      <c r="E290" s="3" t="str">
        <f t="shared" si="21"/>
        <v xml:space="preserve">Medio </v>
      </c>
      <c r="F290">
        <f>SUM('Gestión de abastecimiento'!N291:S291)</f>
        <v>17</v>
      </c>
      <c r="G290" s="3" t="str">
        <f t="shared" si="22"/>
        <v xml:space="preserve">Medio </v>
      </c>
      <c r="H290">
        <f t="shared" si="23"/>
        <v>49</v>
      </c>
      <c r="I290" s="3" t="str">
        <f t="shared" si="24"/>
        <v xml:space="preserve">Medio </v>
      </c>
    </row>
    <row r="291" spans="1:9" x14ac:dyDescent="0.25">
      <c r="A291" t="s">
        <v>311</v>
      </c>
      <c r="B291">
        <f>SUM('Gestión de abastecimiento'!B292:G292)</f>
        <v>12</v>
      </c>
      <c r="C291" s="3" t="str">
        <f t="shared" si="20"/>
        <v>Bajo</v>
      </c>
      <c r="D291">
        <f>SUM('Gestión de abastecimiento'!H292:M292)</f>
        <v>13</v>
      </c>
      <c r="E291" s="3" t="str">
        <f t="shared" si="21"/>
        <v>Bajo</v>
      </c>
      <c r="F291">
        <f>SUM('Gestión de abastecimiento'!N292:S292)</f>
        <v>13</v>
      </c>
      <c r="G291" s="3" t="str">
        <f t="shared" si="22"/>
        <v>Bajo</v>
      </c>
      <c r="H291">
        <f t="shared" si="23"/>
        <v>38</v>
      </c>
      <c r="I291" s="3" t="str">
        <f t="shared" si="24"/>
        <v>Bajo</v>
      </c>
    </row>
    <row r="292" spans="1:9" x14ac:dyDescent="0.25">
      <c r="A292" t="s">
        <v>312</v>
      </c>
      <c r="B292">
        <f>SUM('Gestión de abastecimiento'!B293:G293)</f>
        <v>23</v>
      </c>
      <c r="C292" s="3" t="str">
        <f t="shared" si="20"/>
        <v xml:space="preserve">Medio </v>
      </c>
      <c r="D292">
        <f>SUM('Gestión de abastecimiento'!H293:M293)</f>
        <v>25</v>
      </c>
      <c r="E292" s="3" t="str">
        <f t="shared" si="21"/>
        <v>Alto</v>
      </c>
      <c r="F292">
        <f>SUM('Gestión de abastecimiento'!N293:S293)</f>
        <v>23</v>
      </c>
      <c r="G292" s="3" t="str">
        <f t="shared" si="22"/>
        <v xml:space="preserve">Medio </v>
      </c>
      <c r="H292">
        <f t="shared" si="23"/>
        <v>71</v>
      </c>
      <c r="I292" s="3" t="str">
        <f t="shared" si="24"/>
        <v>Alto</v>
      </c>
    </row>
    <row r="900" spans="11:50" x14ac:dyDescent="0.25">
      <c r="K900" t="s">
        <v>331</v>
      </c>
      <c r="W900" t="s">
        <v>331</v>
      </c>
      <c r="AI900" t="s">
        <v>331</v>
      </c>
      <c r="AU900" t="s">
        <v>331</v>
      </c>
    </row>
    <row r="901" spans="11:50" x14ac:dyDescent="0.25">
      <c r="K901" s="3" t="s">
        <v>333</v>
      </c>
      <c r="L901" s="3" t="str">
        <f>(N4)</f>
        <v>Gestión de abastecimiento</v>
      </c>
      <c r="N901" s="3" t="s">
        <v>358</v>
      </c>
      <c r="W901" s="3" t="s">
        <v>333</v>
      </c>
      <c r="X901" s="3" t="str">
        <f>(Z4)</f>
        <v>Gestión de abastecimiento</v>
      </c>
      <c r="Z901" s="3" t="s">
        <v>358</v>
      </c>
      <c r="AI901" s="3" t="s">
        <v>333</v>
      </c>
      <c r="AJ901" s="3" t="str">
        <f>(AL4)</f>
        <v>Gestión de abastecimiento</v>
      </c>
      <c r="AL901" s="3" t="s">
        <v>358</v>
      </c>
      <c r="AU901" s="3" t="s">
        <v>333</v>
      </c>
      <c r="AV901" s="3" t="str">
        <f>(AX4)</f>
        <v>Gestión de abastecimiento</v>
      </c>
      <c r="AX901" s="3" t="s">
        <v>358</v>
      </c>
    </row>
    <row r="902" spans="11:50" x14ac:dyDescent="0.25">
      <c r="K902" s="3" t="s">
        <v>359</v>
      </c>
      <c r="L902" s="3" t="str">
        <f>(N5)</f>
        <v>Planificación</v>
      </c>
      <c r="N902" s="3" t="s">
        <v>360</v>
      </c>
      <c r="W902" s="3" t="s">
        <v>359</v>
      </c>
      <c r="X902" s="3" t="str">
        <f>(Z5)</f>
        <v>Transparencia</v>
      </c>
      <c r="Z902" s="3" t="s">
        <v>360</v>
      </c>
      <c r="AI902" s="3" t="s">
        <v>359</v>
      </c>
      <c r="AJ902" s="3" t="str">
        <f>(AL5)</f>
        <v>Cumplimiento normativo</v>
      </c>
      <c r="AL902" s="3" t="s">
        <v>360</v>
      </c>
      <c r="AU902" s="3" t="s">
        <v>359</v>
      </c>
      <c r="AV902" s="3">
        <f>(AX5)</f>
        <v>0</v>
      </c>
      <c r="AX902" s="3" t="s">
        <v>360</v>
      </c>
    </row>
    <row r="903" spans="11:50" x14ac:dyDescent="0.25">
      <c r="K903" t="s">
        <v>331</v>
      </c>
      <c r="W903" t="s">
        <v>331</v>
      </c>
      <c r="AI903" t="s">
        <v>331</v>
      </c>
      <c r="AU903" t="s">
        <v>331</v>
      </c>
    </row>
    <row r="904" spans="11:50" x14ac:dyDescent="0.25">
      <c r="K904" s="3" t="s">
        <v>361</v>
      </c>
      <c r="L904" s="7">
        <f>MAX(S19:S21)</f>
        <v>0.68166089965397925</v>
      </c>
      <c r="M904" s="3" t="str">
        <f>IF(L2104=S19,O19,IF(L2104=S20,O20,IF(L2104=S21,O21,"algo esta mal")))</f>
        <v xml:space="preserve">Medio </v>
      </c>
      <c r="W904" s="3" t="s">
        <v>361</v>
      </c>
      <c r="X904" s="7">
        <f>MAX(AE19:AE21)</f>
        <v>0.65743944636678198</v>
      </c>
      <c r="Y904" s="3" t="str">
        <f>IF(X2104=AE19,AA19,IF(X2104=AE20,AA20,IF(X2104=AE21,AA21,"algo esta mal")))</f>
        <v xml:space="preserve">Medio </v>
      </c>
      <c r="AI904" s="3" t="s">
        <v>361</v>
      </c>
      <c r="AJ904" s="7">
        <f>MAX(AQ19:AQ21)</f>
        <v>0.643598615916955</v>
      </c>
      <c r="AK904" s="3" t="str">
        <f>IF(AJ2104=AQ19,AM19,IF(AJ2104=AQ20,AM20,IF(AJ2104=AQ21,AM21,"algo esta mal")))</f>
        <v xml:space="preserve">Medio </v>
      </c>
      <c r="AU904" s="3" t="s">
        <v>361</v>
      </c>
      <c r="AV904" s="7">
        <f>MAX(BC19:BC21)</f>
        <v>0.62283737024221453</v>
      </c>
      <c r="AW904" s="3" t="str">
        <f>IF(AV2104=BC19,AY19,IF(AV2104=BC20,AY20,IF(AV2104=BC21,AY21,"algo esta mal")))</f>
        <v xml:space="preserve">Medio </v>
      </c>
    </row>
    <row r="905" spans="11:50" x14ac:dyDescent="0.25">
      <c r="M905" s="3" t="s">
        <v>362</v>
      </c>
      <c r="N905" s="3" t="s">
        <v>363</v>
      </c>
      <c r="O905" s="3" t="s">
        <v>319</v>
      </c>
      <c r="P905" s="3" t="s">
        <v>320</v>
      </c>
      <c r="Q905" s="3" t="s">
        <v>321</v>
      </c>
      <c r="R905" s="3" t="s">
        <v>322</v>
      </c>
      <c r="S905" s="3" t="s">
        <v>323</v>
      </c>
      <c r="Y905" s="3" t="s">
        <v>362</v>
      </c>
      <c r="Z905" s="3" t="s">
        <v>363</v>
      </c>
      <c r="AA905" s="3" t="s">
        <v>319</v>
      </c>
      <c r="AB905" s="3" t="s">
        <v>320</v>
      </c>
      <c r="AC905" s="3" t="s">
        <v>321</v>
      </c>
      <c r="AD905" s="3" t="s">
        <v>322</v>
      </c>
      <c r="AE905" s="3" t="s">
        <v>323</v>
      </c>
      <c r="AK905" s="3" t="s">
        <v>362</v>
      </c>
      <c r="AL905" s="3" t="s">
        <v>363</v>
      </c>
      <c r="AM905" s="3" t="s">
        <v>319</v>
      </c>
      <c r="AN905" s="3" t="s">
        <v>320</v>
      </c>
      <c r="AO905" s="3" t="s">
        <v>321</v>
      </c>
      <c r="AP905" s="3" t="s">
        <v>322</v>
      </c>
      <c r="AQ905" s="3" t="s">
        <v>323</v>
      </c>
    </row>
    <row r="906" spans="11:50" x14ac:dyDescent="0.25">
      <c r="M906" s="3" t="s">
        <v>364</v>
      </c>
      <c r="N906" s="7" t="s">
        <v>364</v>
      </c>
      <c r="O906">
        <f>('Gestión de abastecimiento'!B306)</f>
        <v>3.4602076124567475E-3</v>
      </c>
      <c r="P906">
        <f>('Gestión de abastecimiento'!B307)</f>
        <v>0.11764705882352941</v>
      </c>
      <c r="Q906">
        <f>('Gestión de abastecimiento'!B308)</f>
        <v>0.50519031141868509</v>
      </c>
      <c r="R906">
        <f>('Gestión de abastecimiento'!B309)</f>
        <v>0.34256055363321797</v>
      </c>
      <c r="S906">
        <f>('Gestión de abastecimiento'!B310)</f>
        <v>3.1141868512110725E-2</v>
      </c>
      <c r="Y906" s="3" t="s">
        <v>364</v>
      </c>
      <c r="Z906" s="7" t="s">
        <v>364</v>
      </c>
      <c r="AA906">
        <f>('Gestión de abastecimiento'!H306)</f>
        <v>1.384083044982699E-2</v>
      </c>
      <c r="AB906">
        <f>('Gestión de abastecimiento'!H307)</f>
        <v>0.25605536332179929</v>
      </c>
      <c r="AC906">
        <f>('Gestión de abastecimiento'!H308)</f>
        <v>0.51903114186851207</v>
      </c>
      <c r="AD906">
        <f>('Gestión de abastecimiento'!H309)</f>
        <v>0.18685121107266436</v>
      </c>
      <c r="AE906">
        <f>('Gestión de abastecimiento'!H310)</f>
        <v>2.4221453287197232E-2</v>
      </c>
      <c r="AK906" s="3" t="s">
        <v>364</v>
      </c>
      <c r="AL906" s="7" t="s">
        <v>364</v>
      </c>
      <c r="AM906">
        <f>('Gestión de abastecimiento'!N306)</f>
        <v>2.768166089965398E-2</v>
      </c>
      <c r="AN906">
        <f>('Gestión de abastecimiento'!N307)</f>
        <v>0.29411764705882354</v>
      </c>
      <c r="AO906">
        <f>('Gestión de abastecimiento'!N308)</f>
        <v>0.4671280276816609</v>
      </c>
      <c r="AP906">
        <f>('Gestión de abastecimiento'!N309)</f>
        <v>0.18685121107266436</v>
      </c>
      <c r="AQ906">
        <f>('Gestión de abastecimiento'!N310)</f>
        <v>2.4221453287197232E-2</v>
      </c>
    </row>
    <row r="907" spans="11:50" x14ac:dyDescent="0.25">
      <c r="M907" s="3" t="s">
        <v>364</v>
      </c>
      <c r="N907" s="7" t="s">
        <v>364</v>
      </c>
      <c r="O907">
        <f>('Gestión de abastecimiento'!C306)</f>
        <v>1.384083044982699E-2</v>
      </c>
      <c r="P907">
        <f>('Gestión de abastecimiento'!C307)</f>
        <v>0.1972318339100346</v>
      </c>
      <c r="Q907">
        <f>('Gestión de abastecimiento'!C308)</f>
        <v>0.51903114186851207</v>
      </c>
      <c r="R907">
        <f>('Gestión de abastecimiento'!C309)</f>
        <v>0.2491349480968858</v>
      </c>
      <c r="S907">
        <f>('Gestión de abastecimiento'!C310)</f>
        <v>2.0761245674740483E-2</v>
      </c>
      <c r="Y907" s="3" t="s">
        <v>364</v>
      </c>
      <c r="Z907" s="7" t="s">
        <v>364</v>
      </c>
      <c r="AA907">
        <f>('Gestión de abastecimiento'!I306)</f>
        <v>6.920415224913495E-3</v>
      </c>
      <c r="AB907">
        <f>('Gestión de abastecimiento'!I307)</f>
        <v>0.15224913494809689</v>
      </c>
      <c r="AC907">
        <f>('Gestión de abastecimiento'!I308)</f>
        <v>0.51211072664359858</v>
      </c>
      <c r="AD907">
        <f>('Gestión de abastecimiento'!I309)</f>
        <v>0.29411764705882354</v>
      </c>
      <c r="AE907">
        <f>('Gestión de abastecimiento'!I310)</f>
        <v>3.4602076124567477E-2</v>
      </c>
      <c r="AK907" s="3" t="s">
        <v>364</v>
      </c>
      <c r="AL907" s="7" t="s">
        <v>364</v>
      </c>
      <c r="AM907">
        <f>('Gestión de abastecimiento'!O306)</f>
        <v>6.920415224913495E-3</v>
      </c>
      <c r="AN907">
        <f>('Gestión de abastecimiento'!O307)</f>
        <v>0.22145328719723184</v>
      </c>
      <c r="AO907">
        <f>('Gestión de abastecimiento'!O308)</f>
        <v>0.51903114186851207</v>
      </c>
      <c r="AP907">
        <f>('Gestión de abastecimiento'!O309)</f>
        <v>0.22491349480968859</v>
      </c>
      <c r="AQ907">
        <f>('Gestión de abastecimiento'!O310)</f>
        <v>2.768166089965398E-2</v>
      </c>
    </row>
    <row r="908" spans="11:50" x14ac:dyDescent="0.25">
      <c r="M908" s="3" t="s">
        <v>364</v>
      </c>
      <c r="N908" s="7" t="s">
        <v>364</v>
      </c>
      <c r="O908">
        <f>('Gestión de abastecimiento'!D306)</f>
        <v>1.0380622837370242E-2</v>
      </c>
      <c r="P908">
        <f>('Gestión de abastecimiento'!D307)</f>
        <v>0.16262975778546712</v>
      </c>
      <c r="Q908">
        <f>('Gestión de abastecimiento'!D308)</f>
        <v>0.53633217993079585</v>
      </c>
      <c r="R908">
        <f>('Gestión de abastecimiento'!D309)</f>
        <v>0.26297577854671278</v>
      </c>
      <c r="S908">
        <f>('Gestión de abastecimiento'!D310)</f>
        <v>2.768166089965398E-2</v>
      </c>
      <c r="Y908" s="3" t="s">
        <v>364</v>
      </c>
      <c r="Z908" s="7"/>
      <c r="AA908">
        <f>('Gestión de abastecimiento'!J306)</f>
        <v>1.384083044982699E-2</v>
      </c>
      <c r="AB908">
        <f>('Gestión de abastecimiento'!J307)</f>
        <v>0.25259515570934254</v>
      </c>
      <c r="AC908">
        <f>('Gestión de abastecimiento'!J308)</f>
        <v>0.48442906574394462</v>
      </c>
      <c r="AD908">
        <f>('Gestión de abastecimiento'!J309)</f>
        <v>0.23183391003460208</v>
      </c>
      <c r="AE908">
        <f>('Gestión de abastecimiento'!J310)</f>
        <v>1.7301038062283738E-2</v>
      </c>
      <c r="AK908" s="3" t="s">
        <v>364</v>
      </c>
      <c r="AL908" s="7" t="s">
        <v>364</v>
      </c>
      <c r="AM908">
        <f>('Gestión de abastecimiento'!P306)</f>
        <v>2.4221453287197232E-2</v>
      </c>
      <c r="AN908">
        <f>('Gestión de abastecimiento'!P307)</f>
        <v>0.26643598615916952</v>
      </c>
      <c r="AO908">
        <f>('Gestión de abastecimiento'!P308)</f>
        <v>0.49480968858131485</v>
      </c>
      <c r="AP908">
        <f>('Gestión de abastecimiento'!P309)</f>
        <v>0.19377162629757785</v>
      </c>
      <c r="AQ908">
        <f>('Gestión de abastecimiento'!P310)</f>
        <v>2.0761245674740483E-2</v>
      </c>
    </row>
    <row r="909" spans="11:50" x14ac:dyDescent="0.25">
      <c r="M909" s="3" t="s">
        <v>364</v>
      </c>
      <c r="N909" s="7"/>
      <c r="O909">
        <f>('Gestión de abastecimiento'!E306)</f>
        <v>2.0761245674740483E-2</v>
      </c>
      <c r="P909">
        <f>('Gestión de abastecimiento'!E307)</f>
        <v>0.25951557093425603</v>
      </c>
      <c r="Q909">
        <f>('Gestión de abastecimiento'!E308)</f>
        <v>0.48442906574394462</v>
      </c>
      <c r="R909">
        <f>('Gestión de abastecimiento'!E309)</f>
        <v>0.20761245674740483</v>
      </c>
      <c r="S909">
        <f>('Gestión de abastecimiento'!E310)</f>
        <v>2.768166089965398E-2</v>
      </c>
      <c r="Y909" s="3" t="s">
        <v>364</v>
      </c>
      <c r="Z909" s="7" t="s">
        <v>364</v>
      </c>
      <c r="AA909">
        <f>('Gestión de abastecimiento'!K306)</f>
        <v>1.0380622837370242E-2</v>
      </c>
      <c r="AB909">
        <f>('Gestión de abastecimiento'!K307)</f>
        <v>0.23875432525951557</v>
      </c>
      <c r="AC909">
        <f>('Gestión de abastecimiento'!K308)</f>
        <v>0.5017301038062284</v>
      </c>
      <c r="AD909">
        <f>('Gestión de abastecimiento'!K309)</f>
        <v>0.23183391003460208</v>
      </c>
      <c r="AE909">
        <f>('Gestión de abastecimiento'!K310)</f>
        <v>1.7301038062283738E-2</v>
      </c>
      <c r="AK909" s="3" t="s">
        <v>364</v>
      </c>
      <c r="AL909" s="7" t="s">
        <v>364</v>
      </c>
      <c r="AM909">
        <f>('Gestión de abastecimiento'!Q306)</f>
        <v>1.384083044982699E-2</v>
      </c>
      <c r="AN909">
        <f>('Gestión de abastecimiento'!Q307)</f>
        <v>0.20415224913494809</v>
      </c>
      <c r="AO909">
        <f>('Gestión de abastecimiento'!Q308)</f>
        <v>0.55017301038062283</v>
      </c>
      <c r="AP909">
        <f>('Gestión de abastecimiento'!Q309)</f>
        <v>0.21107266435986158</v>
      </c>
      <c r="AQ909">
        <f>('Gestión de abastecimiento'!Q310)</f>
        <v>2.0761245674740483E-2</v>
      </c>
    </row>
    <row r="910" spans="11:50" x14ac:dyDescent="0.25">
      <c r="M910" s="3"/>
      <c r="N910" s="7" t="s">
        <v>364</v>
      </c>
      <c r="O910">
        <f>('Gestión de abastecimiento'!F306)</f>
        <v>1.0380622837370242E-2</v>
      </c>
      <c r="P910">
        <f>('Gestión de abastecimiento'!F307)</f>
        <v>0.26297577854671278</v>
      </c>
      <c r="Q910">
        <f>('Gestión de abastecimiento'!F308)</f>
        <v>0.5017301038062284</v>
      </c>
      <c r="R910">
        <f>('Gestión de abastecimiento'!F309)</f>
        <v>0.21453287197231835</v>
      </c>
      <c r="S910">
        <f>('Gestión de abastecimiento'!F310)</f>
        <v>1.0380622837370242E-2</v>
      </c>
      <c r="Y910" s="3" t="s">
        <v>364</v>
      </c>
      <c r="Z910" s="7" t="s">
        <v>364</v>
      </c>
      <c r="AA910">
        <f>('Gestión de abastecimiento'!L306)</f>
        <v>1.384083044982699E-2</v>
      </c>
      <c r="AB910">
        <f>('Gestión de abastecimiento'!L307)</f>
        <v>0.20069204152249134</v>
      </c>
      <c r="AC910">
        <f>('Gestión de abastecimiento'!L308)</f>
        <v>0.50865051903114189</v>
      </c>
      <c r="AD910">
        <f>('Gestión de abastecimiento'!L309)</f>
        <v>0.2491349480968858</v>
      </c>
      <c r="AE910">
        <f>('Gestión de abastecimiento'!L310)</f>
        <v>2.768166089965398E-2</v>
      </c>
      <c r="AK910" s="3" t="s">
        <v>364</v>
      </c>
      <c r="AL910" s="7" t="s">
        <v>364</v>
      </c>
      <c r="AM910">
        <f>('Gestión de abastecimiento'!R306)</f>
        <v>3.1141868512110725E-2</v>
      </c>
      <c r="AN910">
        <f>('Gestión de abastecimiento'!R307)</f>
        <v>0.33564013840830448</v>
      </c>
      <c r="AO910">
        <f>('Gestión de abastecimiento'!R308)</f>
        <v>0.47750865051903113</v>
      </c>
      <c r="AP910">
        <f>('Gestión de abastecimiento'!R309)</f>
        <v>0.13840830449826991</v>
      </c>
      <c r="AQ910">
        <f>('Gestión de abastecimiento'!R310)</f>
        <v>1.7301038062283738E-2</v>
      </c>
    </row>
    <row r="911" spans="11:50" x14ac:dyDescent="0.25">
      <c r="M911" s="3" t="s">
        <v>364</v>
      </c>
      <c r="N911" s="7" t="s">
        <v>364</v>
      </c>
      <c r="O911">
        <f>('Gestión de abastecimiento'!G306)</f>
        <v>1.384083044982699E-2</v>
      </c>
      <c r="P911">
        <f>('Gestión de abastecimiento'!G307)</f>
        <v>0.22145328719723184</v>
      </c>
      <c r="Q911">
        <f>('Gestión de abastecimiento'!G308)</f>
        <v>0.52249134948096887</v>
      </c>
      <c r="R911">
        <f>('Gestión de abastecimiento'!G309)</f>
        <v>0.2179930795847751</v>
      </c>
      <c r="S911">
        <f>('Gestión de abastecimiento'!G310)</f>
        <v>2.4221453287197232E-2</v>
      </c>
      <c r="Y911" s="3" t="s">
        <v>364</v>
      </c>
      <c r="Z911" s="7" t="s">
        <v>364</v>
      </c>
      <c r="AA911">
        <f>('Gestión de abastecimiento'!M306)</f>
        <v>6.920415224913495E-3</v>
      </c>
      <c r="AB911">
        <f>('Gestión de abastecimiento'!M307)</f>
        <v>0.20069204152249134</v>
      </c>
      <c r="AC911">
        <f>('Gestión de abastecimiento'!M308)</f>
        <v>0.52595155709342556</v>
      </c>
      <c r="AD911">
        <f>('Gestión de abastecimiento'!M309)</f>
        <v>0.2491349480968858</v>
      </c>
      <c r="AE911">
        <f>('Gestión de abastecimiento'!M310)</f>
        <v>1.7301038062283738E-2</v>
      </c>
      <c r="AK911" s="3" t="s">
        <v>364</v>
      </c>
      <c r="AL911" s="7" t="s">
        <v>364</v>
      </c>
      <c r="AM911">
        <f>('Gestión de abastecimiento'!S306)</f>
        <v>1.384083044982699E-2</v>
      </c>
      <c r="AN911">
        <f>('Gestión de abastecimiento'!S307)</f>
        <v>0.20069204152249134</v>
      </c>
      <c r="AO911">
        <f>('Gestión de abastecimiento'!S308)</f>
        <v>0.49480968858131485</v>
      </c>
      <c r="AP911">
        <f>('Gestión de abastecimiento'!S309)</f>
        <v>0.25951557093425603</v>
      </c>
      <c r="AQ911">
        <f>('Gestión de abastecimiento'!S310)</f>
        <v>3.1141868512110725E-2</v>
      </c>
    </row>
    <row r="1015" spans="13:61" x14ac:dyDescent="0.25">
      <c r="M1015" s="3" t="s">
        <v>363</v>
      </c>
      <c r="N1015" s="3" t="str">
        <f>CONCATENATE(O905," y ",P905)</f>
        <v>Totalmente en desacuerdo y En desacuerdo</v>
      </c>
      <c r="O1015" s="3" t="str">
        <f t="shared" ref="O1015:O1021" si="25">(Q905)</f>
        <v>Ni de acuerdo ni en desacuerdo</v>
      </c>
      <c r="P1015" s="3" t="str">
        <f>CONCATENATE(R905," y ",S905)</f>
        <v>De acuerdo y Totalmente de acuerdo</v>
      </c>
      <c r="Q1015" s="3" t="s">
        <v>365</v>
      </c>
      <c r="R1015" s="3" t="s">
        <v>366</v>
      </c>
      <c r="S1015" s="3" t="s">
        <v>367</v>
      </c>
      <c r="T1015" s="3" t="s">
        <v>368</v>
      </c>
      <c r="U1015" s="3" t="s">
        <v>369</v>
      </c>
      <c r="Y1015" s="3" t="s">
        <v>363</v>
      </c>
      <c r="Z1015" s="3" t="str">
        <f>CONCATENATE(AA905," y ",AB905)</f>
        <v>Totalmente en desacuerdo y En desacuerdo</v>
      </c>
      <c r="AA1015" s="3" t="str">
        <f t="shared" ref="AA1015:AA1021" si="26">(AC905)</f>
        <v>Ni de acuerdo ni en desacuerdo</v>
      </c>
      <c r="AB1015" s="3" t="str">
        <f>CONCATENATE(AD905," y ",AE905)</f>
        <v>De acuerdo y Totalmente de acuerdo</v>
      </c>
      <c r="AC1015" s="3" t="s">
        <v>365</v>
      </c>
      <c r="AD1015" s="3" t="s">
        <v>366</v>
      </c>
      <c r="AE1015" s="3" t="s">
        <v>367</v>
      </c>
      <c r="AF1015" s="3" t="s">
        <v>368</v>
      </c>
      <c r="AG1015" s="3" t="s">
        <v>369</v>
      </c>
      <c r="AK1015" s="3" t="s">
        <v>363</v>
      </c>
      <c r="AL1015" s="3" t="str">
        <f>CONCATENATE(AM905," y ",AN905)</f>
        <v>Totalmente en desacuerdo y En desacuerdo</v>
      </c>
      <c r="AM1015" s="3" t="str">
        <f t="shared" ref="AM1015:AM1021" si="27">(AO905)</f>
        <v>Ni de acuerdo ni en desacuerdo</v>
      </c>
      <c r="AN1015" s="3" t="str">
        <f>CONCATENATE(AP905," y ",AQ905)</f>
        <v>De acuerdo y Totalmente de acuerdo</v>
      </c>
      <c r="AO1015" s="3" t="s">
        <v>365</v>
      </c>
      <c r="AP1015" s="3" t="s">
        <v>366</v>
      </c>
      <c r="AQ1015" s="3" t="s">
        <v>367</v>
      </c>
      <c r="AR1015" s="3" t="s">
        <v>368</v>
      </c>
      <c r="AS1015" s="3" t="s">
        <v>369</v>
      </c>
      <c r="AW1015" s="3" t="s">
        <v>370</v>
      </c>
      <c r="AX1015" s="3" t="s">
        <v>349</v>
      </c>
      <c r="AY1015" s="3" t="s">
        <v>350</v>
      </c>
      <c r="AZ1015" s="3" t="s">
        <v>351</v>
      </c>
      <c r="BA1015" s="3" t="s">
        <v>365</v>
      </c>
      <c r="BB1015" s="3" t="s">
        <v>371</v>
      </c>
      <c r="BC1015" s="3" t="s">
        <v>372</v>
      </c>
      <c r="BD1015" s="3" t="s">
        <v>373</v>
      </c>
      <c r="BE1015" s="3" t="s">
        <v>374</v>
      </c>
      <c r="BF1015" s="3" t="s">
        <v>375</v>
      </c>
      <c r="BG1015" s="3" t="s">
        <v>376</v>
      </c>
      <c r="BH1015" s="3" t="s">
        <v>377</v>
      </c>
      <c r="BI1015" s="3" t="s">
        <v>369</v>
      </c>
    </row>
    <row r="1016" spans="13:61" x14ac:dyDescent="0.25">
      <c r="M1016" s="3" t="str">
        <f t="shared" ref="M1016:M1021" si="28">(N906)</f>
        <v>x</v>
      </c>
      <c r="N1016" s="7">
        <f t="shared" ref="N1016:N1021" si="29">SUM(O906:P906)</f>
        <v>0.12110726643598616</v>
      </c>
      <c r="O1016" s="7">
        <f t="shared" si="25"/>
        <v>0.50519031141868509</v>
      </c>
      <c r="P1016" s="7">
        <f t="shared" ref="P1016:P1021" si="30">SUM(R906:S906)</f>
        <v>0.37370242214532867</v>
      </c>
      <c r="Q1016" s="7">
        <f t="shared" ref="Q1016:Q1021" si="31">MAX(N1016:P1016)</f>
        <v>0.50519031141868509</v>
      </c>
      <c r="R1016" s="3" t="str">
        <f t="shared" ref="R1016:R1021" si="32">IF(Q1016=N1016,$N$1015,IF(Q1016=O1016,$O$1015,IF(Q1016=P1016,$P$1015,"ALGO ESTA MAL")))</f>
        <v>Ni de acuerdo ni en desacuerdo</v>
      </c>
      <c r="S1016" s="3">
        <f t="shared" ref="S1016:S1021" ca="1" si="33">RANDBETWEEN(1,10)</f>
        <v>7</v>
      </c>
      <c r="T1016" s="3" t="str">
        <f t="shared" ref="T1016:T1021" ca="1" si="34">IF(S1016=$T$1100,$U$1100,IF(S1016=$T$1101,$U$1101,IF(S1016=$T$1102,$U$1102,IF(S1016=$T$1103,$U$1103,IF(S1016=$T$1104,$U$1104,IF(S1016=$T$1105,$U$1105,IF(S1016=$T$1106,$U$1106,IF(S1016=$T$1107,$U$1107,IF(S1016=$T$1108,$U$1108,IF(S1016=$T$1109,$U$1109,"algo esta mal"))))))))))</f>
        <v>mencionó</v>
      </c>
      <c r="U1016" s="3" t="str">
        <f ca="1">CONCATENATE("el ",ROUND(Q1016*100,0),"% ",T1016," como ",R1016 )</f>
        <v>el 51% mencionó como Ni de acuerdo ni en desacuerdo</v>
      </c>
      <c r="Y1016" s="3" t="str">
        <f t="shared" ref="Y1016:Y1021" si="35">(Z906)</f>
        <v>x</v>
      </c>
      <c r="Z1016" s="7">
        <f t="shared" ref="Z1016:Z1021" si="36">SUM(AA906:AB906)</f>
        <v>0.26989619377162627</v>
      </c>
      <c r="AA1016" s="7">
        <f t="shared" si="26"/>
        <v>0.51903114186851207</v>
      </c>
      <c r="AB1016" s="7">
        <f t="shared" ref="AB1016:AB1021" si="37">SUM(AD906:AE906)</f>
        <v>0.21107266435986161</v>
      </c>
      <c r="AC1016" s="7">
        <f t="shared" ref="AC1016:AC1021" si="38">MAX(Z1016:AB1016)</f>
        <v>0.51903114186851207</v>
      </c>
      <c r="AD1016" s="3" t="str">
        <f t="shared" ref="AD1016:AD1021" si="39">IF(AC1016=Z1016,$Z$1015,IF(AC1016=AA1016,$AA$1015,IF(AC1016=AB1016,$AB$1015,"ALGO ESTA MAL")))</f>
        <v>Ni de acuerdo ni en desacuerdo</v>
      </c>
      <c r="AE1016" s="3">
        <f t="shared" ref="AE1016:AE1021" ca="1" si="40">RANDBETWEEN(1,10)</f>
        <v>7</v>
      </c>
      <c r="AF1016" s="3" t="str">
        <f t="shared" ref="AF1016:AF1021" ca="1" si="41">IF(AE1016=$AF$1100,$AG$1100,IF(AE1016=$AF$1101,$AG$1101,IF(AE1016=$AF$1102,$AG$1102,IF(AE1016=$AF$1103,$AG$1103,IF(AE1016=$AF$1104,$AG$1104,IF(AE1016=$AF$1105,$AG$1105,IF(AE1016=$AF$1106,$AG$1106,IF(AE1016=$AF$1107,$AG$1107,IF(AE1016=$AF$1108,$AG$1108,IF(AE1016=$AF$1109,$AG$1109,"algo esta mal"))))))))))</f>
        <v>mencionó</v>
      </c>
      <c r="AG1016" s="3" t="str">
        <f ca="1">CONCATENATE("el ",ROUND(AC1016*100,0),"% ",AF1016," como ",AD1016 )</f>
        <v>el 52% mencionó como Ni de acuerdo ni en desacuerdo</v>
      </c>
      <c r="AK1016" s="3" t="str">
        <f t="shared" ref="AK1016:AK1021" si="42">(AL906)</f>
        <v>x</v>
      </c>
      <c r="AL1016" s="7">
        <f t="shared" ref="AL1016:AL1021" si="43">SUM(AM906:AN906)</f>
        <v>0.3217993079584775</v>
      </c>
      <c r="AM1016" s="7">
        <f t="shared" si="27"/>
        <v>0.4671280276816609</v>
      </c>
      <c r="AN1016" s="7">
        <f t="shared" ref="AN1016:AN1021" si="44">SUM(AP906:AQ906)</f>
        <v>0.21107266435986161</v>
      </c>
      <c r="AO1016" s="7">
        <f t="shared" ref="AO1016:AO1021" si="45">MAX(AL1016:AN1016)</f>
        <v>0.4671280276816609</v>
      </c>
      <c r="AP1016" s="3" t="str">
        <f t="shared" ref="AP1016:AP1021" si="46">IF(AO1016=AL1016,$AL$1015,IF(AO1016=AM1016,$AM$1015,IF(AO1016=AN1016,$AN$1015,"ALGO ESTA MAL")))</f>
        <v>Ni de acuerdo ni en desacuerdo</v>
      </c>
      <c r="AQ1016" s="3">
        <f t="shared" ref="AQ1016:AQ1021" ca="1" si="47">RANDBETWEEN(1,10)</f>
        <v>1</v>
      </c>
      <c r="AR1016" s="3" t="str">
        <f t="shared" ref="AR1016:AR1021" ca="1" si="48">IF(AQ1016=$AR$1100,$AS$1100,IF(AQ1016=$AR$1101,$AS$1101,IF(AQ1016=$AR$1102,$AS$1102,IF(AQ1016=$AR$1103,$AS$1103,IF(AQ1016=$AR$1104,$AS$1104,IF(AQ1016=$AR$1105,$AS$1105,IF(AQ1016=$AR$1106,$AS$1106,IF(AQ1016=$AR$1107,$AS$1107,IF(AQ1016=$AR$1108,$AS$1108,IF(AQ1016=$AR$1109,$AS$1109,"algo esta mal"))))))))))</f>
        <v>valoró</v>
      </c>
      <c r="AS1016" s="3" t="str">
        <f ca="1">CONCATENATE("el ",ROUND(AO1016*100,0),"% ",AR1016," como ",AP1016 )</f>
        <v>el 47% valoró como Ni de acuerdo ni en desacuerdo</v>
      </c>
      <c r="AW1016" s="7" t="str">
        <f>(O16)</f>
        <v>Planificación</v>
      </c>
      <c r="AX1016" s="7">
        <f>(S19)</f>
        <v>0.17647058823529413</v>
      </c>
      <c r="AY1016" s="2">
        <f>(S20)</f>
        <v>0.68166089965397925</v>
      </c>
      <c r="AZ1016" s="7">
        <f>(S21)</f>
        <v>0.14186851211072665</v>
      </c>
      <c r="BA1016" s="7">
        <f>MAX(AX1016:AZ1016)</f>
        <v>0.68166089965397925</v>
      </c>
      <c r="BB1016" s="3" t="str">
        <f>IF(BA1016=AX1016,$AX$1015,IF(BA1016=AY1016,$AY$1015,IF(BA1016=AZ1016,$AZ$1015,"algo esta mal")))</f>
        <v xml:space="preserve">Medio </v>
      </c>
      <c r="BC1016" s="3">
        <f ca="1" xml:space="preserve"> RANDBETWEEN(1,10)</f>
        <v>2</v>
      </c>
      <c r="BD1016" s="3" t="str">
        <f ca="1">IF(BC1016=$BD$1100,$BE$1100,IF(BC1016=$BD$1101,$BE$1101,IF(BC1016=$BD$1102,$BE$1102,IF(BC1016=$BD$1103,$BE$1103,IF(BC1016=$BD$1104,$BE$1104,IF(BC1016=$BD$1105,$BE$1105,IF(BC1016=$BD$1106,$BE$1106,IF(BC1016=$BD$1107,$BE$1107,IF(BC1016=$BD$1108,$BE$1108,IF(BC1016=$BD$1109,$BE$1109,"algo esta mal"))))))))))</f>
        <v>calificó</v>
      </c>
      <c r="BE1016" s="3">
        <f ca="1" xml:space="preserve"> RANDBETWEEN(1,7)</f>
        <v>5</v>
      </c>
      <c r="BF1016" s="3" t="str">
        <f ca="1">IF(BE1016=$BD$1110,$BE$1110,IF(BE1016=$BD$1111,$BE$1111,IF(BE1016=$BD$1112,$BE$1112,IF(BE1016=$BD$1113,$BE$1113,IF(BE1016=$BD$1114,$BE$1114,IF(BE1016=$BD$1115,$BE$1115,IF(BE1016=$BD$1116,$BE$1116,IF(BE1016=$BD$1047,$BE$1047,IF(BE1016=$BD$1048,$BE$1048,IF(BE1016=$BD$1049,$BE$1049,"algo esta mal"))))))))))</f>
        <v xml:space="preserve">en consecuencia </v>
      </c>
      <c r="BG1016" s="3">
        <f ca="1" xml:space="preserve"> RANDBETWEEN(1,2)</f>
        <v>2</v>
      </c>
      <c r="BH1016" s="3" t="str">
        <f ca="1">IF(BG1016=$BD$1120,$BE$1120,IF(BG1016=$BD$1121,$BE$1121,"algo esta mal"))</f>
        <v>Resultados</v>
      </c>
      <c r="BI1016" s="3" t="str">
        <f ca="1">CONCATENATE("el ",ROUND(BA1016*100,0),"% de los ",BH1016," ",BD1016," a la dimensión ",AW1016," como ",BB1016,", ",BF1016)</f>
        <v xml:space="preserve">el 68% de los Resultados calificó a la dimensión Planificación como Medio , en consecuencia </v>
      </c>
    </row>
    <row r="1017" spans="13:61" x14ac:dyDescent="0.25">
      <c r="M1017" s="3" t="str">
        <f t="shared" si="28"/>
        <v>x</v>
      </c>
      <c r="N1017" s="7">
        <f t="shared" si="29"/>
        <v>0.21107266435986158</v>
      </c>
      <c r="O1017" s="7">
        <f t="shared" si="25"/>
        <v>0.51903114186851207</v>
      </c>
      <c r="P1017" s="7">
        <f t="shared" si="30"/>
        <v>0.26989619377162627</v>
      </c>
      <c r="Q1017" s="7">
        <f t="shared" si="31"/>
        <v>0.51903114186851207</v>
      </c>
      <c r="R1017" s="3" t="str">
        <f t="shared" si="32"/>
        <v>Ni de acuerdo ni en desacuerdo</v>
      </c>
      <c r="S1017" s="3">
        <f t="shared" ca="1" si="33"/>
        <v>8</v>
      </c>
      <c r="T1017" s="3" t="str">
        <f t="shared" ca="1" si="34"/>
        <v>apreció</v>
      </c>
      <c r="U1017" s="3" t="str">
        <f ca="1">CONCATENATE("el ",ROUND(Q1017*100,0),"% de los ",T1017," como ",R1017)</f>
        <v>el 52% de los apreció como Ni de acuerdo ni en desacuerdo</v>
      </c>
      <c r="Y1017" s="3" t="str">
        <f t="shared" si="35"/>
        <v>x</v>
      </c>
      <c r="Z1017" s="7">
        <f t="shared" si="36"/>
        <v>0.15916955017301038</v>
      </c>
      <c r="AA1017" s="7">
        <f t="shared" si="26"/>
        <v>0.51211072664359858</v>
      </c>
      <c r="AB1017" s="7">
        <f t="shared" si="37"/>
        <v>0.32871972318339104</v>
      </c>
      <c r="AC1017" s="7">
        <f t="shared" si="38"/>
        <v>0.51211072664359858</v>
      </c>
      <c r="AD1017" s="3" t="str">
        <f t="shared" si="39"/>
        <v>Ni de acuerdo ni en desacuerdo</v>
      </c>
      <c r="AE1017" s="3">
        <f t="shared" ca="1" si="40"/>
        <v>5</v>
      </c>
      <c r="AF1017" s="3" t="str">
        <f t="shared" ca="1" si="41"/>
        <v>evaluó</v>
      </c>
      <c r="AG1017" s="3" t="str">
        <f ca="1">CONCATENATE("el ",ROUND(AC1017*100,0),"% de los ",AF1017," como ",AD1017)</f>
        <v>el 51% de los evaluó como Ni de acuerdo ni en desacuerdo</v>
      </c>
      <c r="AK1017" s="3" t="str">
        <f t="shared" si="42"/>
        <v>x</v>
      </c>
      <c r="AL1017" s="7">
        <f t="shared" si="43"/>
        <v>0.22837370242214533</v>
      </c>
      <c r="AM1017" s="7">
        <f t="shared" si="27"/>
        <v>0.51903114186851207</v>
      </c>
      <c r="AN1017" s="7">
        <f t="shared" si="44"/>
        <v>0.25259515570934254</v>
      </c>
      <c r="AO1017" s="7">
        <f t="shared" si="45"/>
        <v>0.51903114186851207</v>
      </c>
      <c r="AP1017" s="3" t="str">
        <f t="shared" si="46"/>
        <v>Ni de acuerdo ni en desacuerdo</v>
      </c>
      <c r="AQ1017" s="3">
        <f t="shared" ca="1" si="47"/>
        <v>6</v>
      </c>
      <c r="AR1017" s="3" t="str">
        <f t="shared" ca="1" si="48"/>
        <v>determinó</v>
      </c>
      <c r="AS1017" s="3" t="str">
        <f ca="1">CONCATENATE("el ",ROUND(AO1017*100,0),"% de los ",AR1017," como ",AP1017)</f>
        <v>el 52% de los determinó como Ni de acuerdo ni en desacuerdo</v>
      </c>
      <c r="AW1017" s="7" t="str">
        <f>(AA16)</f>
        <v>Transparencia</v>
      </c>
      <c r="AX1017" s="7">
        <f>(AE19)</f>
        <v>0.19031141868512111</v>
      </c>
      <c r="AY1017" s="2">
        <f>(AE20)</f>
        <v>0.65743944636678198</v>
      </c>
      <c r="AZ1017" s="7">
        <f>(AE21)</f>
        <v>0.15224913494809689</v>
      </c>
      <c r="BA1017" s="7">
        <f>MAX(AX1017:AZ1017)</f>
        <v>0.65743944636678198</v>
      </c>
      <c r="BB1017" s="3" t="str">
        <f>IF(BA1017=AX1017,$AX$1015,IF(BA1017=AY1017,$AY$1015,IF(BA1017=AZ1017,$AZ$1015,"algo esta mal")))</f>
        <v xml:space="preserve">Medio </v>
      </c>
      <c r="BC1017" s="3">
        <f ca="1" xml:space="preserve"> RANDBETWEEN(1,10)</f>
        <v>4</v>
      </c>
      <c r="BD1017" s="3" t="str">
        <f ca="1">IF(BC1017=$BD$1100,$BE$1100,IF(BC1017=$BD$1101,$BE$1101,IF(BC1017=$BD$1102,$BE$1102,IF(BC1017=$BD$1103,$BE$1103,IF(BC1017=$BD$1104,$BE$1104,IF(BC1017=$BD$1105,$BE$1105,IF(BC1017=$BD$1106,$BE$1106,IF(BC1017=$BD$1107,$BE$1107,IF(BC1017=$BD$1108,$BE$1108,IF(BC1017=$BD$1109,$BE$1109,"algo esta mal"))))))))))</f>
        <v>respondió</v>
      </c>
      <c r="BE1017" s="3">
        <f ca="1" xml:space="preserve"> RANDBETWEEN(1,7)</f>
        <v>5</v>
      </c>
      <c r="BF1017" s="3" t="str">
        <f ca="1">IF(BE1017=$BD$1110,$BE$1110,IF(BE1017=$BD$1111,$BE$1111,IF(BE1017=$BD$1112,$BE$1112,IF(BE1017=$BD$1113,$BE$1113,IF(BE1017=$BD$1114,$BE$1114,IF(BE1017=$BD$1115,$BE$1115,IF(BE1017=$BD$1116,$BE$1116,IF(BE1017=$BD$1047,$BE$1047,IF(BE1017=$BD$1048,$BE$1048,IF(BE1017=$BD$1049,$BE$1049,"algo esta mal"))))))))))</f>
        <v xml:space="preserve">en consecuencia </v>
      </c>
      <c r="BG1017" s="3">
        <f ca="1" xml:space="preserve"> RANDBETWEEN(1,2)</f>
        <v>2</v>
      </c>
      <c r="BH1017" s="3" t="str">
        <f ca="1">IF(BG1017=$BD$1120,$BE$1120,IF(BG1017=$BD$1121,$BE$1121,"algo esta mal"))</f>
        <v>Resultados</v>
      </c>
      <c r="BI1017" s="3" t="str">
        <f ca="1">CONCATENATE("el ",ROUND(BA1017*100,0),"% de los ",BH1017," ",BD1017," a la dimensión ",AW1017," como ",BB1017,", ",BF1017)</f>
        <v xml:space="preserve">el 66% de los Resultados respondió a la dimensión Transparencia como Medio , en consecuencia </v>
      </c>
    </row>
    <row r="1018" spans="13:61" x14ac:dyDescent="0.25">
      <c r="M1018" s="3" t="str">
        <f t="shared" si="28"/>
        <v>x</v>
      </c>
      <c r="N1018" s="7">
        <f t="shared" si="29"/>
        <v>0.17301038062283736</v>
      </c>
      <c r="O1018" s="7">
        <f t="shared" si="25"/>
        <v>0.53633217993079585</v>
      </c>
      <c r="P1018" s="7">
        <f t="shared" si="30"/>
        <v>0.29065743944636674</v>
      </c>
      <c r="Q1018" s="7">
        <f t="shared" si="31"/>
        <v>0.53633217993079585</v>
      </c>
      <c r="R1018" s="3" t="str">
        <f t="shared" si="32"/>
        <v>Ni de acuerdo ni en desacuerdo</v>
      </c>
      <c r="S1018" s="3">
        <f t="shared" ca="1" si="33"/>
        <v>8</v>
      </c>
      <c r="T1018" s="3" t="str">
        <f t="shared" ca="1" si="34"/>
        <v>apreció</v>
      </c>
      <c r="U1018" s="3" t="str">
        <f ca="1">CONCATENATE("el ",ROUND(Q1018*100,0),"% ",T1018," como ",R1018 )</f>
        <v>el 54% apreció como Ni de acuerdo ni en desacuerdo</v>
      </c>
      <c r="Y1018" s="3">
        <f t="shared" si="35"/>
        <v>0</v>
      </c>
      <c r="Z1018" s="7">
        <f t="shared" si="36"/>
        <v>0.26643598615916952</v>
      </c>
      <c r="AA1018" s="7">
        <f t="shared" si="26"/>
        <v>0.48442906574394462</v>
      </c>
      <c r="AB1018" s="7">
        <f t="shared" si="37"/>
        <v>0.2491349480968858</v>
      </c>
      <c r="AC1018" s="7">
        <f t="shared" si="38"/>
        <v>0.48442906574394462</v>
      </c>
      <c r="AD1018" s="3" t="str">
        <f t="shared" si="39"/>
        <v>Ni de acuerdo ni en desacuerdo</v>
      </c>
      <c r="AE1018" s="3">
        <f t="shared" ca="1" si="40"/>
        <v>4</v>
      </c>
      <c r="AF1018" s="3" t="str">
        <f t="shared" ca="1" si="41"/>
        <v>respondió</v>
      </c>
      <c r="AG1018" s="3" t="str">
        <f ca="1">CONCATENATE("el ",ROUND(AC1018*100,0),"% ",AF1018," como ",AD1018 )</f>
        <v>el 48% respondió como Ni de acuerdo ni en desacuerdo</v>
      </c>
      <c r="AK1018" s="3" t="str">
        <f t="shared" si="42"/>
        <v>x</v>
      </c>
      <c r="AL1018" s="7">
        <f t="shared" si="43"/>
        <v>0.29065743944636674</v>
      </c>
      <c r="AM1018" s="7">
        <f t="shared" si="27"/>
        <v>0.49480968858131485</v>
      </c>
      <c r="AN1018" s="7">
        <f t="shared" si="44"/>
        <v>0.21453287197231835</v>
      </c>
      <c r="AO1018" s="7">
        <f t="shared" si="45"/>
        <v>0.49480968858131485</v>
      </c>
      <c r="AP1018" s="3" t="str">
        <f t="shared" si="46"/>
        <v>Ni de acuerdo ni en desacuerdo</v>
      </c>
      <c r="AQ1018" s="3">
        <f t="shared" ca="1" si="47"/>
        <v>8</v>
      </c>
      <c r="AR1018" s="3" t="str">
        <f t="shared" ca="1" si="48"/>
        <v>apreció</v>
      </c>
      <c r="AS1018" s="3" t="str">
        <f ca="1">CONCATENATE("el ",ROUND(AO1018*100,0),"% ",AR1018," como ",AP1018 )</f>
        <v>el 49% apreció como Ni de acuerdo ni en desacuerdo</v>
      </c>
      <c r="AW1018" s="7" t="str">
        <f>(AM16)</f>
        <v>Cumplimiento normativo</v>
      </c>
      <c r="AX1018" s="7">
        <f>(AQ19)</f>
        <v>0.23875432525951557</v>
      </c>
      <c r="AY1018" s="2">
        <f>(AQ20)</f>
        <v>0.643598615916955</v>
      </c>
      <c r="AZ1018" s="7">
        <f>(AQ21)</f>
        <v>0.11764705882352941</v>
      </c>
      <c r="BA1018" s="7">
        <f>MAX(AX1018:AZ1018)</f>
        <v>0.643598615916955</v>
      </c>
      <c r="BB1018" s="3" t="str">
        <f>IF(BA1018=AX1018,$AX$1015,IF(BA1018=AY1018,$AY$1015,IF(BA1018=AZ1018,$AZ$1015,"algo esta mal")))</f>
        <v xml:space="preserve">Medio </v>
      </c>
      <c r="BC1018" s="3">
        <f ca="1" xml:space="preserve"> RANDBETWEEN(1,10)</f>
        <v>2</v>
      </c>
      <c r="BD1018" s="3" t="str">
        <f ca="1">IF(BC1018=$BD$1100,$BE$1100,IF(BC1018=$BD$1101,$BE$1101,IF(BC1018=$BD$1102,$BE$1102,IF(BC1018=$BD$1103,$BE$1103,IF(BC1018=$BD$1104,$BE$1104,IF(BC1018=$BD$1105,$BE$1105,IF(BC1018=$BD$1106,$BE$1106,IF(BC1018=$BD$1107,$BE$1107,IF(BC1018=$BD$1108,$BE$1108,IF(BC1018=$BD$1109,$BE$1109,"algo esta mal"))))))))))</f>
        <v>calificó</v>
      </c>
      <c r="BE1018" s="3">
        <f ca="1" xml:space="preserve"> RANDBETWEEN(1,7)</f>
        <v>4</v>
      </c>
      <c r="BF1018" s="3" t="str">
        <f ca="1">IF(BE1018=$BD$1110,$BE$1110,IF(BE1018=$BD$1111,$BE$1111,IF(BE1018=$BD$1112,$BE$1112,IF(BE1018=$BD$1113,$BE$1113,IF(BE1018=$BD$1114,$BE$1114,IF(BE1018=$BD$1115,$BE$1115,IF(BE1018=$BD$1116,$BE$1116,IF(BE1018=$BD$1047,$BE$1047,IF(BE1018=$BD$1048,$BE$1048,IF(BE1018=$BD$1049,$BE$1049,"algo esta mal"))))))))))</f>
        <v xml:space="preserve">ademas </v>
      </c>
      <c r="BG1018" s="3">
        <f ca="1" xml:space="preserve"> RANDBETWEEN(1,2)</f>
        <v>2</v>
      </c>
      <c r="BH1018" s="3" t="str">
        <f ca="1">IF(BG1018=$BD$1120,$BE$1120,IF(BG1018=$BD$1121,$BE$1121,"algo esta mal"))</f>
        <v>Resultados</v>
      </c>
      <c r="BI1018" s="3" t="str">
        <f ca="1">CONCATENATE("el ",ROUND(BA1018*100,0),"% de los ",BH1018," ",BD1018," a la dimensión ",AW1018," como ",BB1018,", ",BF1018)</f>
        <v xml:space="preserve">el 64% de los Resultados calificó a la dimensión Cumplimiento normativo como Medio , ademas </v>
      </c>
    </row>
    <row r="1019" spans="13:61" x14ac:dyDescent="0.25">
      <c r="M1019" s="3">
        <f t="shared" si="28"/>
        <v>0</v>
      </c>
      <c r="N1019" s="7">
        <f t="shared" si="29"/>
        <v>0.2802768166089965</v>
      </c>
      <c r="O1019" s="7">
        <f t="shared" si="25"/>
        <v>0.48442906574394462</v>
      </c>
      <c r="P1019" s="7">
        <f t="shared" si="30"/>
        <v>0.23529411764705882</v>
      </c>
      <c r="Q1019" s="7">
        <f t="shared" si="31"/>
        <v>0.48442906574394462</v>
      </c>
      <c r="R1019" s="3" t="str">
        <f t="shared" si="32"/>
        <v>Ni de acuerdo ni en desacuerdo</v>
      </c>
      <c r="S1019" s="3">
        <f t="shared" ca="1" si="33"/>
        <v>5</v>
      </c>
      <c r="T1019" s="3" t="str">
        <f t="shared" ca="1" si="34"/>
        <v>evaluó</v>
      </c>
      <c r="U1019" s="3" t="str">
        <f ca="1">CONCATENATE("el ",ROUND(Q1019*100,0),"% de los ",T1019," como ",R1019)</f>
        <v>el 48% de los evaluó como Ni de acuerdo ni en desacuerdo</v>
      </c>
      <c r="Y1019" s="3" t="str">
        <f t="shared" si="35"/>
        <v>x</v>
      </c>
      <c r="Z1019" s="7">
        <f t="shared" si="36"/>
        <v>0.2491349480968858</v>
      </c>
      <c r="AA1019" s="7">
        <f t="shared" si="26"/>
        <v>0.5017301038062284</v>
      </c>
      <c r="AB1019" s="7">
        <f t="shared" si="37"/>
        <v>0.2491349480968858</v>
      </c>
      <c r="AC1019" s="7">
        <f t="shared" si="38"/>
        <v>0.5017301038062284</v>
      </c>
      <c r="AD1019" s="3" t="str">
        <f t="shared" si="39"/>
        <v>Ni de acuerdo ni en desacuerdo</v>
      </c>
      <c r="AE1019" s="3">
        <f t="shared" ca="1" si="40"/>
        <v>4</v>
      </c>
      <c r="AF1019" s="3" t="str">
        <f t="shared" ca="1" si="41"/>
        <v>respondió</v>
      </c>
      <c r="AG1019" s="3" t="str">
        <f ca="1">CONCATENATE("el ",ROUND(AC1019*100,0),"% de los ",AF1019," como ",AD1019)</f>
        <v>el 50% de los respondió como Ni de acuerdo ni en desacuerdo</v>
      </c>
      <c r="AK1019" s="3" t="str">
        <f t="shared" si="42"/>
        <v>x</v>
      </c>
      <c r="AL1019" s="7">
        <f t="shared" si="43"/>
        <v>0.21799307958477507</v>
      </c>
      <c r="AM1019" s="7">
        <f t="shared" si="27"/>
        <v>0.55017301038062283</v>
      </c>
      <c r="AN1019" s="7">
        <f t="shared" si="44"/>
        <v>0.23183391003460208</v>
      </c>
      <c r="AO1019" s="7">
        <f t="shared" si="45"/>
        <v>0.55017301038062283</v>
      </c>
      <c r="AP1019" s="3" t="str">
        <f t="shared" si="46"/>
        <v>Ni de acuerdo ni en desacuerdo</v>
      </c>
      <c r="AQ1019" s="3">
        <f t="shared" ca="1" si="47"/>
        <v>7</v>
      </c>
      <c r="AR1019" s="3" t="str">
        <f t="shared" ca="1" si="48"/>
        <v>mencionó</v>
      </c>
      <c r="AS1019" s="3" t="str">
        <f ca="1">CONCATENATE("el ",ROUND(AO1019*100,0),"% de los ",AR1019," como ",AP1019)</f>
        <v>el 55% de los mencionó como Ni de acuerdo ni en desacuerdo</v>
      </c>
    </row>
    <row r="1020" spans="13:61" x14ac:dyDescent="0.25">
      <c r="M1020" s="3" t="str">
        <f t="shared" si="28"/>
        <v>x</v>
      </c>
      <c r="N1020" s="7">
        <f t="shared" si="29"/>
        <v>0.27335640138408301</v>
      </c>
      <c r="O1020" s="7">
        <f t="shared" si="25"/>
        <v>0.5017301038062284</v>
      </c>
      <c r="P1020" s="7">
        <f t="shared" si="30"/>
        <v>0.22491349480968859</v>
      </c>
      <c r="Q1020" s="7">
        <f t="shared" si="31"/>
        <v>0.5017301038062284</v>
      </c>
      <c r="R1020" s="3" t="str">
        <f t="shared" si="32"/>
        <v>Ni de acuerdo ni en desacuerdo</v>
      </c>
      <c r="S1020" s="3">
        <f t="shared" ca="1" si="33"/>
        <v>10</v>
      </c>
      <c r="T1020" s="3" t="str">
        <f t="shared" ca="1" si="34"/>
        <v>Tuvo una percepción de</v>
      </c>
      <c r="U1020" s="3" t="str">
        <f ca="1">CONCATENATE("el ",ROUND(Q1020*100,0),"% ",T1020," como ",R1020)</f>
        <v>el 50% Tuvo una percepción de como Ni de acuerdo ni en desacuerdo</v>
      </c>
      <c r="Y1020" s="3" t="str">
        <f t="shared" si="35"/>
        <v>x</v>
      </c>
      <c r="Z1020" s="7">
        <f t="shared" si="36"/>
        <v>0.21453287197231832</v>
      </c>
      <c r="AA1020" s="7">
        <f t="shared" si="26"/>
        <v>0.50865051903114189</v>
      </c>
      <c r="AB1020" s="7">
        <f t="shared" si="37"/>
        <v>0.27681660899653976</v>
      </c>
      <c r="AC1020" s="7">
        <f t="shared" si="38"/>
        <v>0.50865051903114189</v>
      </c>
      <c r="AD1020" s="3" t="str">
        <f t="shared" si="39"/>
        <v>Ni de acuerdo ni en desacuerdo</v>
      </c>
      <c r="AE1020" s="3">
        <f t="shared" ca="1" si="40"/>
        <v>10</v>
      </c>
      <c r="AF1020" s="3" t="str">
        <f t="shared" ca="1" si="41"/>
        <v>Tuvo una percepción de</v>
      </c>
      <c r="AG1020" s="3" t="str">
        <f ca="1">CONCATENATE("el ",ROUND(AC1020*100,0),"% ",AF1020," como ",AD1020)</f>
        <v>el 51% Tuvo una percepción de como Ni de acuerdo ni en desacuerdo</v>
      </c>
      <c r="AK1020" s="3" t="str">
        <f t="shared" si="42"/>
        <v>x</v>
      </c>
      <c r="AL1020" s="7">
        <f t="shared" si="43"/>
        <v>0.36678200692041518</v>
      </c>
      <c r="AM1020" s="7">
        <f t="shared" si="27"/>
        <v>0.47750865051903113</v>
      </c>
      <c r="AN1020" s="7">
        <f t="shared" si="44"/>
        <v>0.15570934256055363</v>
      </c>
      <c r="AO1020" s="7">
        <f t="shared" si="45"/>
        <v>0.47750865051903113</v>
      </c>
      <c r="AP1020" s="3" t="str">
        <f t="shared" si="46"/>
        <v>Ni de acuerdo ni en desacuerdo</v>
      </c>
      <c r="AQ1020" s="3">
        <f t="shared" ca="1" si="47"/>
        <v>8</v>
      </c>
      <c r="AR1020" s="3" t="str">
        <f t="shared" ca="1" si="48"/>
        <v>apreció</v>
      </c>
      <c r="AS1020" s="3" t="str">
        <f ca="1">CONCATENATE("el ",ROUND(AO1020*100,0),"% ",AR1020," como ",AP1020)</f>
        <v>el 48% apreció como Ni de acuerdo ni en desacuerdo</v>
      </c>
    </row>
    <row r="1021" spans="13:61" x14ac:dyDescent="0.25">
      <c r="M1021" s="3" t="str">
        <f t="shared" si="28"/>
        <v>x</v>
      </c>
      <c r="N1021" s="7">
        <f t="shared" si="29"/>
        <v>0.23529411764705882</v>
      </c>
      <c r="O1021" s="7">
        <f t="shared" si="25"/>
        <v>0.52249134948096887</v>
      </c>
      <c r="P1021" s="7">
        <f t="shared" si="30"/>
        <v>0.24221453287197234</v>
      </c>
      <c r="Q1021" s="7">
        <f t="shared" si="31"/>
        <v>0.52249134948096887</v>
      </c>
      <c r="R1021" s="3" t="str">
        <f t="shared" si="32"/>
        <v>Ni de acuerdo ni en desacuerdo</v>
      </c>
      <c r="S1021" s="3">
        <f t="shared" ca="1" si="33"/>
        <v>9</v>
      </c>
      <c r="T1021" s="3" t="str">
        <f t="shared" ca="1" si="34"/>
        <v>percibió</v>
      </c>
      <c r="U1021" s="3" t="str">
        <f ca="1">CONCATENATE("el ",ROUND(Q1021*100,0),"% ",T1021," como ",R1021)</f>
        <v>el 52% percibió como Ni de acuerdo ni en desacuerdo</v>
      </c>
      <c r="Y1021" s="3" t="str">
        <f t="shared" si="35"/>
        <v>x</v>
      </c>
      <c r="Z1021" s="7">
        <f t="shared" si="36"/>
        <v>0.20761245674740483</v>
      </c>
      <c r="AA1021" s="7">
        <f t="shared" si="26"/>
        <v>0.52595155709342556</v>
      </c>
      <c r="AB1021" s="7">
        <f t="shared" si="37"/>
        <v>0.26643598615916952</v>
      </c>
      <c r="AC1021" s="7">
        <f t="shared" si="38"/>
        <v>0.52595155709342556</v>
      </c>
      <c r="AD1021" s="3" t="str">
        <f t="shared" si="39"/>
        <v>Ni de acuerdo ni en desacuerdo</v>
      </c>
      <c r="AE1021" s="3">
        <f t="shared" ca="1" si="40"/>
        <v>7</v>
      </c>
      <c r="AF1021" s="3" t="str">
        <f t="shared" ca="1" si="41"/>
        <v>mencionó</v>
      </c>
      <c r="AG1021" s="3" t="str">
        <f ca="1">CONCATENATE("el ",ROUND(AC1021*100,0),"% ",AF1021," como ",AD1021)</f>
        <v>el 53% mencionó como Ni de acuerdo ni en desacuerdo</v>
      </c>
      <c r="AK1021" s="3" t="str">
        <f t="shared" si="42"/>
        <v>x</v>
      </c>
      <c r="AL1021" s="7">
        <f t="shared" si="43"/>
        <v>0.21453287197231832</v>
      </c>
      <c r="AM1021" s="7">
        <f t="shared" si="27"/>
        <v>0.49480968858131485</v>
      </c>
      <c r="AN1021" s="7">
        <f t="shared" si="44"/>
        <v>0.29065743944636674</v>
      </c>
      <c r="AO1021" s="7">
        <f t="shared" si="45"/>
        <v>0.49480968858131485</v>
      </c>
      <c r="AP1021" s="3" t="str">
        <f t="shared" si="46"/>
        <v>Ni de acuerdo ni en desacuerdo</v>
      </c>
      <c r="AQ1021" s="3">
        <f t="shared" ca="1" si="47"/>
        <v>4</v>
      </c>
      <c r="AR1021" s="3" t="str">
        <f t="shared" ca="1" si="48"/>
        <v>respondió</v>
      </c>
      <c r="AS1021" s="3" t="str">
        <f ca="1">CONCATENATE("el ",ROUND(AO1021*100,0),"% ",AR1021," como ",AP1021)</f>
        <v>el 49% respondió como Ni de acuerdo ni en desacuerdo</v>
      </c>
    </row>
    <row r="1100" spans="20:57" x14ac:dyDescent="0.25">
      <c r="T1100" s="3">
        <v>1</v>
      </c>
      <c r="U1100" s="3" t="s">
        <v>378</v>
      </c>
      <c r="AF1100" s="3">
        <v>1</v>
      </c>
      <c r="AG1100" s="3" t="s">
        <v>378</v>
      </c>
      <c r="AR1100" s="3">
        <v>1</v>
      </c>
      <c r="AS1100" s="3" t="s">
        <v>378</v>
      </c>
      <c r="BD1100" s="3">
        <v>1</v>
      </c>
      <c r="BE1100" s="3" t="s">
        <v>378</v>
      </c>
    </row>
    <row r="1101" spans="20:57" x14ac:dyDescent="0.25">
      <c r="T1101" s="3">
        <v>2</v>
      </c>
      <c r="U1101" s="3" t="s">
        <v>379</v>
      </c>
      <c r="AF1101" s="3">
        <v>2</v>
      </c>
      <c r="AG1101" s="3" t="s">
        <v>379</v>
      </c>
      <c r="AR1101" s="3">
        <v>2</v>
      </c>
      <c r="AS1101" s="3" t="s">
        <v>379</v>
      </c>
      <c r="BD1101" s="3">
        <v>2</v>
      </c>
      <c r="BE1101" s="3" t="s">
        <v>379</v>
      </c>
    </row>
    <row r="1102" spans="20:57" x14ac:dyDescent="0.25">
      <c r="T1102" s="3">
        <v>3</v>
      </c>
      <c r="U1102" s="3" t="s">
        <v>380</v>
      </c>
      <c r="AF1102" s="3">
        <v>3</v>
      </c>
      <c r="AG1102" s="3" t="s">
        <v>380</v>
      </c>
      <c r="AR1102" s="3">
        <v>3</v>
      </c>
      <c r="AS1102" s="3" t="s">
        <v>380</v>
      </c>
      <c r="BD1102" s="3">
        <v>3</v>
      </c>
      <c r="BE1102" s="3" t="s">
        <v>380</v>
      </c>
    </row>
    <row r="1103" spans="20:57" x14ac:dyDescent="0.25">
      <c r="T1103" s="3">
        <v>4</v>
      </c>
      <c r="U1103" s="3" t="s">
        <v>381</v>
      </c>
      <c r="AF1103" s="3">
        <v>4</v>
      </c>
      <c r="AG1103" s="3" t="s">
        <v>381</v>
      </c>
      <c r="AR1103" s="3">
        <v>4</v>
      </c>
      <c r="AS1103" s="3" t="s">
        <v>381</v>
      </c>
      <c r="BD1103" s="3">
        <v>4</v>
      </c>
      <c r="BE1103" s="3" t="s">
        <v>381</v>
      </c>
    </row>
    <row r="1104" spans="20:57" x14ac:dyDescent="0.25">
      <c r="T1104" s="3">
        <v>5</v>
      </c>
      <c r="U1104" s="3" t="s">
        <v>382</v>
      </c>
      <c r="AF1104" s="3">
        <v>5</v>
      </c>
      <c r="AG1104" s="3" t="s">
        <v>382</v>
      </c>
      <c r="AR1104" s="3">
        <v>5</v>
      </c>
      <c r="AS1104" s="3" t="s">
        <v>382</v>
      </c>
      <c r="BD1104" s="3">
        <v>5</v>
      </c>
      <c r="BE1104" s="3" t="s">
        <v>382</v>
      </c>
    </row>
    <row r="1105" spans="20:57" x14ac:dyDescent="0.25">
      <c r="T1105" s="3">
        <v>6</v>
      </c>
      <c r="U1105" s="3" t="s">
        <v>383</v>
      </c>
      <c r="AF1105" s="3">
        <v>6</v>
      </c>
      <c r="AG1105" s="3" t="s">
        <v>383</v>
      </c>
      <c r="AR1105" s="3">
        <v>6</v>
      </c>
      <c r="AS1105" s="3" t="s">
        <v>383</v>
      </c>
      <c r="BD1105" s="3">
        <v>6</v>
      </c>
      <c r="BE1105" s="3" t="s">
        <v>383</v>
      </c>
    </row>
    <row r="1106" spans="20:57" x14ac:dyDescent="0.25">
      <c r="T1106" s="3">
        <v>7</v>
      </c>
      <c r="U1106" s="3" t="s">
        <v>384</v>
      </c>
      <c r="AF1106" s="3">
        <v>7</v>
      </c>
      <c r="AG1106" s="3" t="s">
        <v>384</v>
      </c>
      <c r="AR1106" s="3">
        <v>7</v>
      </c>
      <c r="AS1106" s="3" t="s">
        <v>384</v>
      </c>
      <c r="BD1106" s="3">
        <v>7</v>
      </c>
      <c r="BE1106" s="3" t="s">
        <v>384</v>
      </c>
    </row>
    <row r="1107" spans="20:57" x14ac:dyDescent="0.25">
      <c r="T1107" s="3">
        <v>8</v>
      </c>
      <c r="U1107" s="3" t="s">
        <v>385</v>
      </c>
      <c r="AF1107" s="3">
        <v>8</v>
      </c>
      <c r="AG1107" s="3" t="s">
        <v>385</v>
      </c>
      <c r="AR1107" s="3">
        <v>8</v>
      </c>
      <c r="AS1107" s="3" t="s">
        <v>385</v>
      </c>
      <c r="BD1107" s="3">
        <v>8</v>
      </c>
      <c r="BE1107" s="3" t="s">
        <v>385</v>
      </c>
    </row>
    <row r="1108" spans="20:57" x14ac:dyDescent="0.25">
      <c r="T1108" s="3">
        <v>9</v>
      </c>
      <c r="U1108" s="3" t="s">
        <v>386</v>
      </c>
      <c r="AF1108" s="3">
        <v>9</v>
      </c>
      <c r="AG1108" s="3" t="s">
        <v>386</v>
      </c>
      <c r="AR1108" s="3">
        <v>9</v>
      </c>
      <c r="AS1108" s="3" t="s">
        <v>386</v>
      </c>
      <c r="BD1108" s="3">
        <v>9</v>
      </c>
      <c r="BE1108" s="3" t="s">
        <v>386</v>
      </c>
    </row>
    <row r="1109" spans="20:57" x14ac:dyDescent="0.25">
      <c r="T1109" s="3">
        <v>10</v>
      </c>
      <c r="U1109" s="3" t="s">
        <v>387</v>
      </c>
      <c r="AF1109" s="3">
        <v>10</v>
      </c>
      <c r="AG1109" s="3" t="s">
        <v>387</v>
      </c>
      <c r="AR1109" s="3">
        <v>10</v>
      </c>
      <c r="AS1109" s="3" t="s">
        <v>387</v>
      </c>
      <c r="BD1109" s="3">
        <v>10</v>
      </c>
      <c r="BE1109" s="3" t="s">
        <v>387</v>
      </c>
    </row>
    <row r="1110" spans="20:57" x14ac:dyDescent="0.25">
      <c r="BD1110" s="3">
        <v>1</v>
      </c>
      <c r="BE1110" s="3" t="s">
        <v>388</v>
      </c>
    </row>
    <row r="1111" spans="20:57" x14ac:dyDescent="0.25">
      <c r="BD1111" s="3">
        <v>2</v>
      </c>
      <c r="BE1111" s="3" t="s">
        <v>389</v>
      </c>
    </row>
    <row r="1112" spans="20:57" x14ac:dyDescent="0.25">
      <c r="BD1112" s="3">
        <v>3</v>
      </c>
      <c r="BE1112" s="3" t="s">
        <v>390</v>
      </c>
    </row>
    <row r="1113" spans="20:57" x14ac:dyDescent="0.25">
      <c r="BD1113" s="3">
        <v>4</v>
      </c>
      <c r="BE1113" s="3" t="s">
        <v>391</v>
      </c>
    </row>
    <row r="1114" spans="20:57" x14ac:dyDescent="0.25">
      <c r="BD1114" s="3">
        <v>5</v>
      </c>
      <c r="BE1114" s="3" t="s">
        <v>392</v>
      </c>
    </row>
    <row r="1115" spans="20:57" x14ac:dyDescent="0.25">
      <c r="BD1115" s="3">
        <v>6</v>
      </c>
      <c r="BE1115" s="3" t="s">
        <v>393</v>
      </c>
    </row>
    <row r="1116" spans="20:57" x14ac:dyDescent="0.25">
      <c r="BD1116" s="3">
        <v>7</v>
      </c>
      <c r="BE1116" s="3" t="s">
        <v>394</v>
      </c>
    </row>
    <row r="1120" spans="20:57" x14ac:dyDescent="0.25">
      <c r="BD1120" s="3">
        <v>1</v>
      </c>
      <c r="BE1120" s="3" t="str">
        <f>(AX902)</f>
        <v>Beneficiaross</v>
      </c>
    </row>
    <row r="1121" spans="56:57" x14ac:dyDescent="0.25">
      <c r="BD1121" s="3">
        <v>2</v>
      </c>
      <c r="BE1121" s="3" t="s">
        <v>395</v>
      </c>
    </row>
    <row r="2019" spans="16:55" x14ac:dyDescent="0.25">
      <c r="P2019">
        <f>N11</f>
        <v>6</v>
      </c>
      <c r="Q2019">
        <f>P19+N13</f>
        <v>14</v>
      </c>
      <c r="R2019">
        <f>COUNTIF($C$4:$C$292,$O19)</f>
        <v>51</v>
      </c>
      <c r="S2019" s="2">
        <f>R2019/R2022</f>
        <v>0.17647058823529413</v>
      </c>
      <c r="AB2019">
        <f>Z11</f>
        <v>6</v>
      </c>
      <c r="AC2019">
        <f>AB19+Z13</f>
        <v>14</v>
      </c>
      <c r="AD2019">
        <f>COUNTIF($E$4:$E$292,$AA19)</f>
        <v>55</v>
      </c>
      <c r="AE2019" s="2">
        <f>AD2019/AD2022</f>
        <v>0.19031141868512111</v>
      </c>
      <c r="AN2019">
        <f>AL11</f>
        <v>6</v>
      </c>
      <c r="AO2019">
        <f>AN19+AL13</f>
        <v>14</v>
      </c>
      <c r="AP2019">
        <f>COUNTIF($G$4:$G$292,$AM19)</f>
        <v>69</v>
      </c>
      <c r="AQ2019" s="2">
        <f>AP2019/AP2022</f>
        <v>0.23875432525951557</v>
      </c>
      <c r="AZ2019">
        <f>AX11</f>
        <v>18</v>
      </c>
      <c r="BA2019">
        <f>AZ19+AX13 - 1</f>
        <v>41</v>
      </c>
      <c r="BB2019">
        <f>COUNTIF($I$4:$I$292,$AY19)</f>
        <v>50</v>
      </c>
      <c r="BC2019" s="2">
        <f>BB2019/BB2022</f>
        <v>0.17301038062283736</v>
      </c>
    </row>
    <row r="2020" spans="16:55" x14ac:dyDescent="0.25">
      <c r="P2020">
        <f>Q19+ 1</f>
        <v>15</v>
      </c>
      <c r="Q2020">
        <f>P20+N13</f>
        <v>23</v>
      </c>
      <c r="R2020">
        <f>COUNTIF($C$4:$C$292,$O20)</f>
        <v>197</v>
      </c>
      <c r="S2020" s="2">
        <f>R2020/R2022</f>
        <v>0.68166089965397925</v>
      </c>
      <c r="AB2020">
        <f>AC19+ 1</f>
        <v>15</v>
      </c>
      <c r="AC2020">
        <f>AB20+Z13</f>
        <v>23</v>
      </c>
      <c r="AD2020">
        <f>COUNTIF($E$4:$E$292,$AA20)</f>
        <v>190</v>
      </c>
      <c r="AE2020" s="2">
        <f>AD2020/AD2022</f>
        <v>0.65743944636678198</v>
      </c>
      <c r="AN2020">
        <f>AO19+ 1</f>
        <v>15</v>
      </c>
      <c r="AO2020">
        <f>AN20+AL13</f>
        <v>23</v>
      </c>
      <c r="AP2020">
        <f>COUNTIF($G$4:$G$292,$AM20)</f>
        <v>186</v>
      </c>
      <c r="AQ2020" s="2">
        <f>AP2020/AP2022</f>
        <v>0.643598615916955</v>
      </c>
      <c r="AZ2020">
        <f>BA19+ 1</f>
        <v>42</v>
      </c>
      <c r="BA2020">
        <f>AZ20+AX13 - 1</f>
        <v>65</v>
      </c>
      <c r="BB2020">
        <f>COUNTIF($I$4:$I$292,$AY20)</f>
        <v>180</v>
      </c>
      <c r="BC2020" s="2">
        <f>BB2020/BB2022</f>
        <v>0.62283737024221453</v>
      </c>
    </row>
    <row r="2021" spans="16:55" x14ac:dyDescent="0.25">
      <c r="P2021">
        <f>Q20+ 1</f>
        <v>24</v>
      </c>
      <c r="Q2021">
        <f>N10</f>
        <v>30</v>
      </c>
      <c r="R2021">
        <f>COUNTIF($C$4:$C$292,$O21)</f>
        <v>41</v>
      </c>
      <c r="S2021" s="2">
        <f>R2021/R2022</f>
        <v>0.14186851211072665</v>
      </c>
      <c r="AB2021">
        <f>AC20+ 1</f>
        <v>24</v>
      </c>
      <c r="AC2021">
        <f>Z10</f>
        <v>30</v>
      </c>
      <c r="AD2021">
        <f>COUNTIF($E$4:$E$292,$AA21)</f>
        <v>44</v>
      </c>
      <c r="AE2021" s="2">
        <f>AD2021/AD2022</f>
        <v>0.15224913494809689</v>
      </c>
      <c r="AN2021">
        <f>AO20+ 1</f>
        <v>24</v>
      </c>
      <c r="AO2021">
        <f>AL10</f>
        <v>30</v>
      </c>
      <c r="AP2021">
        <f>COUNTIF($G$4:$G$292,$AM21)</f>
        <v>34</v>
      </c>
      <c r="AQ2021" s="2">
        <f>AP2021/AP2022</f>
        <v>0.11764705882352941</v>
      </c>
      <c r="AZ2021">
        <f>BA20+ 1</f>
        <v>66</v>
      </c>
      <c r="BA2021">
        <f>AX10</f>
        <v>90</v>
      </c>
      <c r="BB2021">
        <f>COUNTIF($I$4:$I$292,$AY21)</f>
        <v>59</v>
      </c>
      <c r="BC2021" s="2">
        <f>BB2021/BB2022</f>
        <v>0.20415224913494809</v>
      </c>
    </row>
    <row r="2022" spans="16:55" x14ac:dyDescent="0.25">
      <c r="R2022">
        <f>SUM(R2019:R2021)</f>
        <v>289</v>
      </c>
      <c r="S2022" s="2">
        <f>SUM(S2019:S2021)</f>
        <v>1</v>
      </c>
      <c r="AD2022">
        <f>SUM(AD2019:AD2021)</f>
        <v>289</v>
      </c>
      <c r="AE2022" s="2">
        <f>SUM(AE2019:AE2021)</f>
        <v>1</v>
      </c>
      <c r="AP2022">
        <f>SUM(AP2019:AP2021)</f>
        <v>289</v>
      </c>
      <c r="AQ2022" s="2">
        <f>SUM(AQ2019:AQ2021)</f>
        <v>1</v>
      </c>
      <c r="BB2022">
        <f>SUM(BB2019:BB2021)</f>
        <v>289</v>
      </c>
      <c r="BC2022" s="2">
        <f>SUM(BC2019:BC2021)</f>
        <v>1</v>
      </c>
    </row>
    <row r="2100" spans="11:50" x14ac:dyDescent="0.25">
      <c r="K2100" t="s">
        <v>331</v>
      </c>
      <c r="W2100" t="s">
        <v>331</v>
      </c>
      <c r="AI2100" t="s">
        <v>331</v>
      </c>
      <c r="AU2100" t="s">
        <v>331</v>
      </c>
    </row>
    <row r="2101" spans="11:50" x14ac:dyDescent="0.25">
      <c r="K2101" s="3" t="s">
        <v>333</v>
      </c>
      <c r="L2101" s="3" t="str">
        <f>(N4)</f>
        <v>Gestión de abastecimiento</v>
      </c>
      <c r="N2101" s="3" t="s">
        <v>358</v>
      </c>
      <c r="W2101" s="3" t="s">
        <v>333</v>
      </c>
      <c r="X2101" s="3" t="str">
        <f>(Z4)</f>
        <v>Gestión de abastecimiento</v>
      </c>
      <c r="Z2101" s="3" t="s">
        <v>358</v>
      </c>
      <c r="AI2101" s="3" t="s">
        <v>333</v>
      </c>
      <c r="AJ2101" s="3" t="str">
        <f>(AL4)</f>
        <v>Gestión de abastecimiento</v>
      </c>
      <c r="AL2101" s="3" t="s">
        <v>358</v>
      </c>
      <c r="AU2101" s="3" t="s">
        <v>333</v>
      </c>
      <c r="AV2101" s="3" t="str">
        <f>(AX4)</f>
        <v>Gestión de abastecimiento</v>
      </c>
      <c r="AX2101" s="3" t="s">
        <v>358</v>
      </c>
    </row>
    <row r="2102" spans="11:50" x14ac:dyDescent="0.25">
      <c r="K2102" s="3" t="s">
        <v>359</v>
      </c>
      <c r="L2102" s="3" t="str">
        <f>(N5)</f>
        <v>Planificación</v>
      </c>
      <c r="N2102" s="3" t="s">
        <v>360</v>
      </c>
      <c r="W2102" s="3" t="s">
        <v>359</v>
      </c>
      <c r="X2102" s="3" t="str">
        <f>(Z5)</f>
        <v>Transparencia</v>
      </c>
      <c r="Z2102" s="3" t="s">
        <v>360</v>
      </c>
      <c r="AI2102" s="3" t="s">
        <v>359</v>
      </c>
      <c r="AJ2102" s="3" t="str">
        <f>(AL5)</f>
        <v>Cumplimiento normativo</v>
      </c>
      <c r="AL2102" s="3" t="s">
        <v>360</v>
      </c>
      <c r="AU2102" s="3" t="s">
        <v>359</v>
      </c>
      <c r="AV2102" s="3">
        <f>(AX5)</f>
        <v>0</v>
      </c>
      <c r="AX2102" s="3" t="s">
        <v>360</v>
      </c>
    </row>
    <row r="2103" spans="11:50" x14ac:dyDescent="0.25">
      <c r="K2103" t="s">
        <v>331</v>
      </c>
      <c r="W2103" t="s">
        <v>331</v>
      </c>
      <c r="AI2103" t="s">
        <v>331</v>
      </c>
      <c r="AU2103" t="s">
        <v>331</v>
      </c>
    </row>
    <row r="2104" spans="11:50" x14ac:dyDescent="0.25">
      <c r="K2104" s="3" t="s">
        <v>361</v>
      </c>
      <c r="L2104" s="7">
        <f>MAX(S19:S21)</f>
        <v>0.68166089965397925</v>
      </c>
      <c r="M2104" s="3" t="str">
        <f>IF(L2104=S19,O19,IF(L2104=S20,O20,IF(L2104=S21,O21,"algo esta mal")))</f>
        <v xml:space="preserve">Medio </v>
      </c>
      <c r="W2104" s="3" t="s">
        <v>361</v>
      </c>
      <c r="X2104" s="7">
        <f>MAX(AE19:AE21)</f>
        <v>0.65743944636678198</v>
      </c>
      <c r="Y2104" s="3" t="str">
        <f>IF(X2104=AE19,AA19,IF(X2104=AE20,AA20,IF(X2104=AE21,AA21,"algo esta mal")))</f>
        <v xml:space="preserve">Medio </v>
      </c>
      <c r="AI2104" s="3" t="s">
        <v>361</v>
      </c>
      <c r="AJ2104" s="7">
        <f>MAX(AQ19:AQ21)</f>
        <v>0.643598615916955</v>
      </c>
      <c r="AK2104" s="3" t="str">
        <f>IF(AJ2104=AQ19,AM19,IF(AJ2104=AQ20,AM20,IF(AJ2104=AQ21,AM21,"algo esta mal")))</f>
        <v xml:space="preserve">Medio </v>
      </c>
      <c r="AU2104" s="3" t="s">
        <v>361</v>
      </c>
      <c r="AV2104" s="7">
        <f>MAX(BC19:BC21)</f>
        <v>0.62283737024221453</v>
      </c>
      <c r="AW2104" s="3" t="str">
        <f>IF(AV2104=BC19,AY19,IF(AV2104=BC20,AY20,IF(AV2104=BC21,AY21,"algo esta mal")))</f>
        <v xml:space="preserve">Medio </v>
      </c>
    </row>
    <row r="2105" spans="11:50" x14ac:dyDescent="0.25">
      <c r="M2105" s="3" t="s">
        <v>362</v>
      </c>
      <c r="N2105" s="3" t="s">
        <v>363</v>
      </c>
      <c r="O2105" s="3" t="s">
        <v>319</v>
      </c>
      <c r="P2105" s="3" t="s">
        <v>320</v>
      </c>
      <c r="Q2105" s="3" t="s">
        <v>321</v>
      </c>
      <c r="R2105" s="3" t="s">
        <v>322</v>
      </c>
      <c r="S2105" s="3" t="s">
        <v>323</v>
      </c>
      <c r="Y2105" s="3" t="s">
        <v>362</v>
      </c>
      <c r="Z2105" s="3" t="s">
        <v>363</v>
      </c>
      <c r="AA2105" s="3" t="s">
        <v>319</v>
      </c>
      <c r="AB2105" s="3" t="s">
        <v>320</v>
      </c>
      <c r="AC2105" s="3" t="s">
        <v>321</v>
      </c>
      <c r="AD2105" s="3" t="s">
        <v>322</v>
      </c>
      <c r="AE2105" s="3" t="s">
        <v>323</v>
      </c>
      <c r="AK2105" s="3" t="s">
        <v>362</v>
      </c>
      <c r="AL2105" s="3" t="s">
        <v>363</v>
      </c>
      <c r="AM2105" s="3" t="s">
        <v>319</v>
      </c>
      <c r="AN2105" s="3" t="s">
        <v>320</v>
      </c>
      <c r="AO2105" s="3" t="s">
        <v>321</v>
      </c>
      <c r="AP2105" s="3" t="s">
        <v>322</v>
      </c>
      <c r="AQ2105" s="3" t="s">
        <v>323</v>
      </c>
    </row>
    <row r="2205" spans="13:45" x14ac:dyDescent="0.25">
      <c r="M2205" s="3" t="s">
        <v>363</v>
      </c>
      <c r="N2205" s="3" t="str">
        <f>CONCATENATE(O2105," y ",P2105)</f>
        <v>Totalmente en desacuerdo y En desacuerdo</v>
      </c>
      <c r="O2205" s="3" t="str">
        <f>(Q2105)</f>
        <v>Ni de acuerdo ni en desacuerdo</v>
      </c>
      <c r="P2205" s="3" t="str">
        <f>CONCATENATE(R2105," y ",S2105)</f>
        <v>De acuerdo y Totalmente de acuerdo</v>
      </c>
      <c r="Q2205" s="3" t="s">
        <v>365</v>
      </c>
      <c r="R2205" s="3" t="s">
        <v>366</v>
      </c>
      <c r="S2205" s="3" t="s">
        <v>367</v>
      </c>
      <c r="T2205" s="3" t="s">
        <v>368</v>
      </c>
      <c r="U2205" s="3" t="s">
        <v>369</v>
      </c>
      <c r="Y2205" s="3" t="s">
        <v>363</v>
      </c>
      <c r="Z2205" s="3" t="str">
        <f>CONCATENATE(AA2105," y ",AB2105)</f>
        <v>Totalmente en desacuerdo y En desacuerdo</v>
      </c>
      <c r="AA2205" s="3" t="str">
        <f>(AC2105)</f>
        <v>Ni de acuerdo ni en desacuerdo</v>
      </c>
      <c r="AB2205" s="3" t="str">
        <f>CONCATENATE(AD2105," y ",AE2105)</f>
        <v>De acuerdo y Totalmente de acuerdo</v>
      </c>
      <c r="AC2205" s="3" t="s">
        <v>365</v>
      </c>
      <c r="AD2205" s="3" t="s">
        <v>366</v>
      </c>
      <c r="AE2205" s="3" t="s">
        <v>367</v>
      </c>
      <c r="AF2205" s="3" t="s">
        <v>368</v>
      </c>
      <c r="AG2205" s="3" t="s">
        <v>369</v>
      </c>
      <c r="AK2205" s="3" t="s">
        <v>363</v>
      </c>
      <c r="AL2205" s="3" t="str">
        <f>CONCATENATE(AM2105," y ",AN2105)</f>
        <v>Totalmente en desacuerdo y En desacuerdo</v>
      </c>
      <c r="AM2205" s="3" t="str">
        <f>(AO2105)</f>
        <v>Ni de acuerdo ni en desacuerdo</v>
      </c>
      <c r="AN2205" s="3" t="str">
        <f>CONCATENATE(AP2105," y ",AQ2105)</f>
        <v>De acuerdo y Totalmente de acuerdo</v>
      </c>
      <c r="AO2205" s="3" t="s">
        <v>365</v>
      </c>
      <c r="AP2205" s="3" t="s">
        <v>366</v>
      </c>
      <c r="AQ2205" s="3" t="s">
        <v>367</v>
      </c>
      <c r="AR2205" s="3" t="s">
        <v>368</v>
      </c>
      <c r="AS2205" s="3" t="s">
        <v>369</v>
      </c>
    </row>
  </sheetData>
  <sheetProtection formatCells="0" formatColumns="0" formatRows="0" insertColumns="0" insertRows="0" insertHyperlinks="0" deleteColumns="0" deleteRows="0" sort="0" autoFilter="0" pivotTables="0"/>
  <mergeCells count="34">
    <mergeCell ref="AY17:AY18"/>
    <mergeCell ref="AZ17:BA17"/>
    <mergeCell ref="BB17:BB18"/>
    <mergeCell ref="BC17:BC18"/>
    <mergeCell ref="AW47:BB53"/>
    <mergeCell ref="AM17:AM18"/>
    <mergeCell ref="AN17:AO17"/>
    <mergeCell ref="AP17:AP18"/>
    <mergeCell ref="AQ17:AQ18"/>
    <mergeCell ref="AK47:AP53"/>
    <mergeCell ref="AA17:AA18"/>
    <mergeCell ref="AB17:AC17"/>
    <mergeCell ref="AD17:AD18"/>
    <mergeCell ref="AE17:AE18"/>
    <mergeCell ref="Y47:AD53"/>
    <mergeCell ref="O17:O18"/>
    <mergeCell ref="P17:Q17"/>
    <mergeCell ref="R17:R18"/>
    <mergeCell ref="S17:S18"/>
    <mergeCell ref="M47:R53"/>
    <mergeCell ref="A1:I1"/>
    <mergeCell ref="A2:A3"/>
    <mergeCell ref="B2:C2"/>
    <mergeCell ref="B3"/>
    <mergeCell ref="C3"/>
    <mergeCell ref="D2:E2"/>
    <mergeCell ref="D3"/>
    <mergeCell ref="E3"/>
    <mergeCell ref="F2:G2"/>
    <mergeCell ref="F3"/>
    <mergeCell ref="G3"/>
    <mergeCell ref="H2:I2"/>
    <mergeCell ref="H3"/>
    <mergeCell ref="I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FE2143"/>
  <sheetViews>
    <sheetView workbookViewId="0">
      <selection activeCell="FA2135" sqref="FA2135"/>
    </sheetView>
  </sheetViews>
  <sheetFormatPr baseColWidth="10" defaultColWidth="9.140625" defaultRowHeight="15" x14ac:dyDescent="0.25"/>
  <cols>
    <col min="4" max="6" width="26" customWidth="1"/>
    <col min="13" max="15" width="26" customWidth="1"/>
    <col min="22" max="24" width="26" customWidth="1"/>
    <col min="31" max="33" width="26" customWidth="1"/>
    <col min="40" max="42" width="26" customWidth="1"/>
    <col min="49" max="51" width="26" customWidth="1"/>
    <col min="58" max="60" width="26" customWidth="1"/>
    <col min="67" max="69" width="26" customWidth="1"/>
    <col min="76" max="78" width="26" customWidth="1"/>
    <col min="85" max="87" width="26" customWidth="1"/>
    <col min="94" max="96" width="26" customWidth="1"/>
    <col min="103" max="105" width="26" customWidth="1"/>
    <col min="112" max="114" width="26" customWidth="1"/>
    <col min="121" max="123" width="26" customWidth="1"/>
    <col min="130" max="132" width="26" customWidth="1"/>
    <col min="139" max="141" width="26" customWidth="1"/>
    <col min="148" max="150" width="26" customWidth="1"/>
    <col min="157" max="159" width="26" customWidth="1"/>
  </cols>
  <sheetData>
    <row r="3" spans="2:161" x14ac:dyDescent="0.25">
      <c r="B3" s="4"/>
      <c r="C3" s="4"/>
      <c r="D3" s="4"/>
      <c r="E3" s="4"/>
      <c r="F3" s="4"/>
      <c r="G3" s="4"/>
      <c r="H3" s="4"/>
      <c r="K3" s="4"/>
      <c r="L3" s="4"/>
      <c r="M3" s="4"/>
      <c r="N3" s="4"/>
      <c r="O3" s="4"/>
      <c r="P3" s="4"/>
      <c r="Q3" s="4"/>
      <c r="T3" s="4"/>
      <c r="U3" s="4"/>
      <c r="V3" s="4"/>
      <c r="W3" s="4"/>
      <c r="X3" s="4"/>
      <c r="Y3" s="4"/>
      <c r="Z3" s="4"/>
      <c r="AC3" s="4"/>
      <c r="AD3" s="4"/>
      <c r="AE3" s="4"/>
      <c r="AF3" s="4"/>
      <c r="AG3" s="4"/>
      <c r="AH3" s="4"/>
      <c r="AI3" s="4"/>
      <c r="AL3" s="4"/>
      <c r="AM3" s="4"/>
      <c r="AN3" s="4"/>
      <c r="AO3" s="4"/>
      <c r="AP3" s="4"/>
      <c r="AQ3" s="4"/>
      <c r="AR3" s="4"/>
      <c r="AU3" s="4"/>
      <c r="AV3" s="4"/>
      <c r="AW3" s="4"/>
      <c r="AX3" s="4"/>
      <c r="AY3" s="4"/>
      <c r="AZ3" s="4"/>
      <c r="BA3" s="4"/>
      <c r="BD3" s="4"/>
      <c r="BE3" s="4"/>
      <c r="BF3" s="4"/>
      <c r="BG3" s="4"/>
      <c r="BH3" s="4"/>
      <c r="BI3" s="4"/>
      <c r="BJ3" s="4"/>
      <c r="BM3" s="4"/>
      <c r="BN3" s="4"/>
      <c r="BO3" s="4"/>
      <c r="BP3" s="4"/>
      <c r="BQ3" s="4"/>
      <c r="BR3" s="4"/>
      <c r="BS3" s="4"/>
      <c r="BV3" s="4"/>
      <c r="BW3" s="4"/>
      <c r="BX3" s="4"/>
      <c r="BY3" s="4"/>
      <c r="BZ3" s="4"/>
      <c r="CA3" s="4"/>
      <c r="CB3" s="4"/>
      <c r="CE3" s="4"/>
      <c r="CF3" s="4"/>
      <c r="CG3" s="4"/>
      <c r="CH3" s="4"/>
      <c r="CI3" s="4"/>
      <c r="CJ3" s="4"/>
      <c r="CK3" s="4"/>
      <c r="CN3" s="4"/>
      <c r="CO3" s="4"/>
      <c r="CP3" s="4"/>
      <c r="CQ3" s="4"/>
      <c r="CR3" s="4"/>
      <c r="CS3" s="4"/>
      <c r="CT3" s="4"/>
      <c r="CW3" s="4"/>
      <c r="CX3" s="4"/>
      <c r="CY3" s="4"/>
      <c r="CZ3" s="4"/>
      <c r="DA3" s="4"/>
      <c r="DB3" s="4"/>
      <c r="DC3" s="4"/>
      <c r="DF3" s="4"/>
      <c r="DG3" s="4"/>
      <c r="DH3" s="4"/>
      <c r="DI3" s="4"/>
      <c r="DJ3" s="4"/>
      <c r="DK3" s="4"/>
      <c r="DL3" s="4"/>
      <c r="DO3" s="4"/>
      <c r="DP3" s="4"/>
      <c r="DQ3" s="4"/>
      <c r="DR3" s="4"/>
      <c r="DS3" s="4"/>
      <c r="DT3" s="4"/>
      <c r="DU3" s="4"/>
      <c r="DX3" s="4"/>
      <c r="DY3" s="4"/>
      <c r="DZ3" s="4"/>
      <c r="EA3" s="4"/>
      <c r="EB3" s="4"/>
      <c r="EC3" s="4"/>
      <c r="ED3" s="4"/>
      <c r="EG3" s="4"/>
      <c r="EH3" s="4"/>
      <c r="EI3" s="4"/>
      <c r="EJ3" s="4"/>
      <c r="EK3" s="4"/>
      <c r="EL3" s="4"/>
      <c r="EM3" s="4"/>
      <c r="EP3" s="4"/>
      <c r="EQ3" s="4"/>
      <c r="ER3" s="4"/>
      <c r="ES3" s="4"/>
      <c r="ET3" s="4"/>
      <c r="EU3" s="4"/>
      <c r="EV3" s="4"/>
      <c r="EY3" s="4"/>
      <c r="EZ3" s="4"/>
      <c r="FA3" s="4"/>
      <c r="FB3" s="4"/>
      <c r="FC3" s="4"/>
      <c r="FD3" s="4"/>
      <c r="FE3" s="4"/>
    </row>
    <row r="4" spans="2:161" ht="15.75" x14ac:dyDescent="0.25">
      <c r="B4" s="4"/>
      <c r="D4" s="54" t="s">
        <v>396</v>
      </c>
      <c r="E4" s="55"/>
      <c r="F4" s="55"/>
      <c r="H4" s="4"/>
      <c r="K4" s="4"/>
      <c r="M4" s="54" t="s">
        <v>397</v>
      </c>
      <c r="N4" s="55"/>
      <c r="O4" s="55"/>
      <c r="Q4" s="4"/>
      <c r="T4" s="4"/>
      <c r="V4" s="54" t="s">
        <v>398</v>
      </c>
      <c r="W4" s="55"/>
      <c r="X4" s="55"/>
      <c r="Z4" s="4"/>
      <c r="AC4" s="4"/>
      <c r="AE4" s="54" t="s">
        <v>399</v>
      </c>
      <c r="AF4" s="55"/>
      <c r="AG4" s="55"/>
      <c r="AI4" s="4"/>
      <c r="AL4" s="4"/>
      <c r="AN4" s="54" t="s">
        <v>400</v>
      </c>
      <c r="AO4" s="55"/>
      <c r="AP4" s="55"/>
      <c r="AR4" s="4"/>
      <c r="AU4" s="4"/>
      <c r="AW4" s="54" t="s">
        <v>401</v>
      </c>
      <c r="AX4" s="55"/>
      <c r="AY4" s="55"/>
      <c r="BA4" s="4"/>
      <c r="BD4" s="4"/>
      <c r="BF4" s="54" t="s">
        <v>402</v>
      </c>
      <c r="BG4" s="55"/>
      <c r="BH4" s="55"/>
      <c r="BJ4" s="4"/>
      <c r="BM4" s="4"/>
      <c r="BO4" s="54" t="s">
        <v>403</v>
      </c>
      <c r="BP4" s="55"/>
      <c r="BQ4" s="55"/>
      <c r="BS4" s="4"/>
      <c r="BV4" s="4"/>
      <c r="BX4" s="54" t="s">
        <v>404</v>
      </c>
      <c r="BY4" s="55"/>
      <c r="BZ4" s="55"/>
      <c r="CB4" s="4"/>
      <c r="CE4" s="4"/>
      <c r="CG4" s="54" t="s">
        <v>405</v>
      </c>
      <c r="CH4" s="55"/>
      <c r="CI4" s="55"/>
      <c r="CK4" s="4"/>
      <c r="CN4" s="4"/>
      <c r="CP4" s="54" t="s">
        <v>406</v>
      </c>
      <c r="CQ4" s="55"/>
      <c r="CR4" s="55"/>
      <c r="CT4" s="4"/>
      <c r="CW4" s="4"/>
      <c r="CY4" s="54" t="s">
        <v>407</v>
      </c>
      <c r="CZ4" s="55"/>
      <c r="DA4" s="55"/>
      <c r="DC4" s="4"/>
      <c r="DF4" s="4"/>
      <c r="DH4" s="54" t="s">
        <v>408</v>
      </c>
      <c r="DI4" s="55"/>
      <c r="DJ4" s="55"/>
      <c r="DL4" s="4"/>
      <c r="DO4" s="4"/>
      <c r="DQ4" s="54" t="s">
        <v>409</v>
      </c>
      <c r="DR4" s="55"/>
      <c r="DS4" s="55"/>
      <c r="DU4" s="4"/>
      <c r="DX4" s="4"/>
      <c r="DZ4" s="54" t="s">
        <v>410</v>
      </c>
      <c r="EA4" s="55"/>
      <c r="EB4" s="55"/>
      <c r="ED4" s="4"/>
      <c r="EG4" s="4"/>
      <c r="EI4" s="54" t="s">
        <v>411</v>
      </c>
      <c r="EJ4" s="55"/>
      <c r="EK4" s="55"/>
      <c r="EM4" s="4"/>
      <c r="EP4" s="4"/>
      <c r="ER4" s="54" t="s">
        <v>412</v>
      </c>
      <c r="ES4" s="55"/>
      <c r="ET4" s="55"/>
      <c r="EV4" s="4"/>
      <c r="EY4" s="4"/>
      <c r="FA4" s="54" t="s">
        <v>413</v>
      </c>
      <c r="FB4" s="55"/>
      <c r="FC4" s="55"/>
      <c r="FE4" s="4"/>
    </row>
    <row r="5" spans="2:161" x14ac:dyDescent="0.25">
      <c r="B5" s="4"/>
      <c r="D5" s="3" t="s">
        <v>340</v>
      </c>
      <c r="H5" s="4"/>
      <c r="K5" s="4"/>
      <c r="M5" s="3" t="s">
        <v>341</v>
      </c>
      <c r="Q5" s="4"/>
      <c r="T5" s="4"/>
      <c r="V5" s="3" t="s">
        <v>342</v>
      </c>
      <c r="Z5" s="4"/>
      <c r="AC5" s="4"/>
      <c r="AE5" s="3" t="s">
        <v>343</v>
      </c>
      <c r="AI5" s="4"/>
      <c r="AL5" s="4"/>
      <c r="AN5" s="3" t="s">
        <v>414</v>
      </c>
      <c r="AR5" s="4"/>
      <c r="AU5" s="4"/>
      <c r="AW5" s="3" t="s">
        <v>415</v>
      </c>
      <c r="BA5" s="4"/>
      <c r="BD5" s="4"/>
      <c r="BF5" s="3" t="s">
        <v>416</v>
      </c>
      <c r="BJ5" s="4"/>
      <c r="BM5" s="4"/>
      <c r="BO5" s="3" t="s">
        <v>417</v>
      </c>
      <c r="BS5" s="4"/>
      <c r="BV5" s="4"/>
      <c r="BX5" s="3" t="s">
        <v>418</v>
      </c>
      <c r="CB5" s="4"/>
      <c r="CE5" s="4"/>
      <c r="CG5" s="3" t="s">
        <v>419</v>
      </c>
      <c r="CK5" s="4"/>
      <c r="CN5" s="4"/>
      <c r="CP5" s="3" t="s">
        <v>420</v>
      </c>
      <c r="CT5" s="4"/>
      <c r="CW5" s="4"/>
      <c r="CY5" s="3" t="s">
        <v>421</v>
      </c>
      <c r="DC5" s="4"/>
      <c r="DF5" s="4"/>
      <c r="DH5" s="3" t="s">
        <v>422</v>
      </c>
      <c r="DL5" s="4"/>
      <c r="DO5" s="4"/>
      <c r="DQ5" s="3" t="s">
        <v>423</v>
      </c>
      <c r="DU5" s="4"/>
      <c r="DX5" s="4"/>
      <c r="DZ5" s="3" t="s">
        <v>424</v>
      </c>
      <c r="ED5" s="4"/>
      <c r="EG5" s="4"/>
      <c r="EI5" s="3" t="s">
        <v>425</v>
      </c>
      <c r="EM5" s="4"/>
      <c r="EP5" s="4"/>
      <c r="ER5" s="3" t="s">
        <v>426</v>
      </c>
      <c r="EV5" s="4"/>
      <c r="EY5" s="4"/>
      <c r="FA5" s="3" t="s">
        <v>427</v>
      </c>
      <c r="FE5" s="4"/>
    </row>
    <row r="6" spans="2:161" x14ac:dyDescent="0.25">
      <c r="B6" s="4"/>
      <c r="D6" s="3" t="s">
        <v>364</v>
      </c>
      <c r="H6" s="4"/>
      <c r="K6" s="4"/>
      <c r="M6" s="3" t="s">
        <v>364</v>
      </c>
      <c r="Q6" s="4"/>
      <c r="T6" s="4"/>
      <c r="V6" s="3" t="s">
        <v>364</v>
      </c>
      <c r="Z6" s="4"/>
      <c r="AC6" s="4"/>
      <c r="AE6" s="3" t="s">
        <v>364</v>
      </c>
      <c r="AI6" s="4"/>
      <c r="AL6" s="4"/>
      <c r="AN6" s="3"/>
      <c r="AR6" s="4"/>
      <c r="AU6" s="4"/>
      <c r="AW6" s="3" t="s">
        <v>364</v>
      </c>
      <c r="BA6" s="4"/>
      <c r="BD6" s="4"/>
      <c r="BF6" s="3" t="s">
        <v>364</v>
      </c>
      <c r="BJ6" s="4"/>
      <c r="BM6" s="4"/>
      <c r="BO6" s="3" t="s">
        <v>364</v>
      </c>
      <c r="BS6" s="4"/>
      <c r="BV6" s="4"/>
      <c r="BX6" s="3" t="s">
        <v>364</v>
      </c>
      <c r="CB6" s="4"/>
      <c r="CE6" s="4"/>
      <c r="CG6" s="3" t="s">
        <v>364</v>
      </c>
      <c r="CK6" s="4"/>
      <c r="CN6" s="4"/>
      <c r="CP6" s="3" t="s">
        <v>364</v>
      </c>
      <c r="CT6" s="4"/>
      <c r="CW6" s="4"/>
      <c r="CY6" s="3" t="s">
        <v>364</v>
      </c>
      <c r="DC6" s="4"/>
      <c r="DF6" s="4"/>
      <c r="DH6" s="3" t="s">
        <v>364</v>
      </c>
      <c r="DL6" s="4"/>
      <c r="DO6" s="4"/>
      <c r="DQ6" s="3" t="s">
        <v>364</v>
      </c>
      <c r="DU6" s="4"/>
      <c r="DX6" s="4"/>
      <c r="DZ6" s="3" t="s">
        <v>364</v>
      </c>
      <c r="ED6" s="4"/>
      <c r="EG6" s="4"/>
      <c r="EI6" s="3" t="s">
        <v>364</v>
      </c>
      <c r="EM6" s="4"/>
      <c r="EP6" s="4"/>
      <c r="ER6" s="3" t="s">
        <v>364</v>
      </c>
      <c r="EV6" s="4"/>
      <c r="EY6" s="4"/>
      <c r="FA6" s="3" t="s">
        <v>364</v>
      </c>
      <c r="FE6" s="4"/>
    </row>
    <row r="7" spans="2:161" x14ac:dyDescent="0.25">
      <c r="B7" s="4"/>
      <c r="D7" s="6"/>
      <c r="E7" s="10" t="s">
        <v>345</v>
      </c>
      <c r="F7" s="10" t="s">
        <v>346</v>
      </c>
      <c r="H7" s="4"/>
      <c r="K7" s="4"/>
      <c r="M7" s="6"/>
      <c r="N7" s="10" t="s">
        <v>345</v>
      </c>
      <c r="O7" s="10" t="s">
        <v>346</v>
      </c>
      <c r="Q7" s="4"/>
      <c r="T7" s="4"/>
      <c r="V7" s="6"/>
      <c r="W7" s="10" t="s">
        <v>345</v>
      </c>
      <c r="X7" s="10" t="s">
        <v>346</v>
      </c>
      <c r="Z7" s="4"/>
      <c r="AC7" s="4"/>
      <c r="AE7" s="6"/>
      <c r="AF7" s="10" t="s">
        <v>345</v>
      </c>
      <c r="AG7" s="10" t="s">
        <v>346</v>
      </c>
      <c r="AI7" s="4"/>
      <c r="AL7" s="4"/>
      <c r="AN7" s="6"/>
      <c r="AO7" s="10" t="s">
        <v>345</v>
      </c>
      <c r="AP7" s="10" t="s">
        <v>346</v>
      </c>
      <c r="AR7" s="4"/>
      <c r="AU7" s="4"/>
      <c r="AW7" s="6"/>
      <c r="AX7" s="10" t="s">
        <v>345</v>
      </c>
      <c r="AY7" s="10" t="s">
        <v>346</v>
      </c>
      <c r="BA7" s="4"/>
      <c r="BD7" s="4"/>
      <c r="BF7" s="6"/>
      <c r="BG7" s="10" t="s">
        <v>345</v>
      </c>
      <c r="BH7" s="10" t="s">
        <v>346</v>
      </c>
      <c r="BJ7" s="4"/>
      <c r="BM7" s="4"/>
      <c r="BO7" s="6"/>
      <c r="BP7" s="10" t="s">
        <v>345</v>
      </c>
      <c r="BQ7" s="10" t="s">
        <v>346</v>
      </c>
      <c r="BS7" s="4"/>
      <c r="BV7" s="4"/>
      <c r="BX7" s="6"/>
      <c r="BY7" s="10" t="s">
        <v>345</v>
      </c>
      <c r="BZ7" s="10" t="s">
        <v>346</v>
      </c>
      <c r="CB7" s="4"/>
      <c r="CE7" s="4"/>
      <c r="CG7" s="6"/>
      <c r="CH7" s="10" t="s">
        <v>345</v>
      </c>
      <c r="CI7" s="10" t="s">
        <v>346</v>
      </c>
      <c r="CK7" s="4"/>
      <c r="CN7" s="4"/>
      <c r="CP7" s="6"/>
      <c r="CQ7" s="10" t="s">
        <v>345</v>
      </c>
      <c r="CR7" s="10" t="s">
        <v>346</v>
      </c>
      <c r="CT7" s="4"/>
      <c r="CW7" s="4"/>
      <c r="CY7" s="6"/>
      <c r="CZ7" s="10" t="s">
        <v>345</v>
      </c>
      <c r="DA7" s="10" t="s">
        <v>346</v>
      </c>
      <c r="DC7" s="4"/>
      <c r="DF7" s="4"/>
      <c r="DH7" s="6"/>
      <c r="DI7" s="10" t="s">
        <v>345</v>
      </c>
      <c r="DJ7" s="10" t="s">
        <v>346</v>
      </c>
      <c r="DL7" s="4"/>
      <c r="DO7" s="4"/>
      <c r="DQ7" s="6"/>
      <c r="DR7" s="10" t="s">
        <v>345</v>
      </c>
      <c r="DS7" s="10" t="s">
        <v>346</v>
      </c>
      <c r="DU7" s="4"/>
      <c r="DX7" s="4"/>
      <c r="DZ7" s="6"/>
      <c r="EA7" s="10" t="s">
        <v>345</v>
      </c>
      <c r="EB7" s="10" t="s">
        <v>346</v>
      </c>
      <c r="ED7" s="4"/>
      <c r="EG7" s="4"/>
      <c r="EI7" s="6"/>
      <c r="EJ7" s="10" t="s">
        <v>345</v>
      </c>
      <c r="EK7" s="10" t="s">
        <v>346</v>
      </c>
      <c r="EM7" s="4"/>
      <c r="EP7" s="4"/>
      <c r="ER7" s="6"/>
      <c r="ES7" s="10" t="s">
        <v>345</v>
      </c>
      <c r="ET7" s="10" t="s">
        <v>346</v>
      </c>
      <c r="EV7" s="4"/>
      <c r="EY7" s="4"/>
      <c r="FA7" s="6"/>
      <c r="FB7" s="10" t="s">
        <v>345</v>
      </c>
      <c r="FC7" s="10" t="s">
        <v>346</v>
      </c>
      <c r="FE7" s="4"/>
    </row>
    <row r="8" spans="2:161" x14ac:dyDescent="0.25">
      <c r="B8" s="4"/>
      <c r="D8" s="17" t="str">
        <f>('Gestión de abastecimiento'!A300)</f>
        <v>Totalmente en desacuerdo</v>
      </c>
      <c r="E8" s="9">
        <f>('Gestión de abastecimiento'!B300)</f>
        <v>1</v>
      </c>
      <c r="F8" s="13">
        <f>('Gestión de abastecimiento'!B306)</f>
        <v>3.4602076124567475E-3</v>
      </c>
      <c r="H8" s="4"/>
      <c r="K8" s="4"/>
      <c r="M8" s="17" t="str">
        <f>('Gestión de abastecimiento'!A300)</f>
        <v>Totalmente en desacuerdo</v>
      </c>
      <c r="N8" s="9">
        <f>('Gestión de abastecimiento'!C300)</f>
        <v>4</v>
      </c>
      <c r="O8" s="13">
        <f>('Gestión de abastecimiento'!C306)</f>
        <v>1.384083044982699E-2</v>
      </c>
      <c r="Q8" s="4"/>
      <c r="T8" s="4"/>
      <c r="V8" s="17" t="str">
        <f>('Gestión de abastecimiento'!A300)</f>
        <v>Totalmente en desacuerdo</v>
      </c>
      <c r="W8" s="9">
        <f>('Gestión de abastecimiento'!D300)</f>
        <v>3</v>
      </c>
      <c r="X8" s="13">
        <f>('Gestión de abastecimiento'!D306)</f>
        <v>1.0380622837370242E-2</v>
      </c>
      <c r="Z8" s="4"/>
      <c r="AC8" s="4"/>
      <c r="AE8" s="17" t="str">
        <f>('Gestión de abastecimiento'!A300)</f>
        <v>Totalmente en desacuerdo</v>
      </c>
      <c r="AF8" s="9">
        <f>('Gestión de abastecimiento'!E300)</f>
        <v>6</v>
      </c>
      <c r="AG8" s="13">
        <f>('Gestión de abastecimiento'!E306)</f>
        <v>2.0761245674740483E-2</v>
      </c>
      <c r="AI8" s="4"/>
      <c r="AL8" s="4"/>
      <c r="AN8" s="17" t="str">
        <f>('Gestión de abastecimiento'!A300)</f>
        <v>Totalmente en desacuerdo</v>
      </c>
      <c r="AO8" s="9">
        <f>('Gestión de abastecimiento'!F300)</f>
        <v>3</v>
      </c>
      <c r="AP8" s="13">
        <f>('Gestión de abastecimiento'!F306)</f>
        <v>1.0380622837370242E-2</v>
      </c>
      <c r="AR8" s="4"/>
      <c r="AU8" s="4"/>
      <c r="AW8" s="17" t="str">
        <f>('Gestión de abastecimiento'!A300)</f>
        <v>Totalmente en desacuerdo</v>
      </c>
      <c r="AX8" s="9">
        <f>('Gestión de abastecimiento'!G300)</f>
        <v>4</v>
      </c>
      <c r="AY8" s="13">
        <f>('Gestión de abastecimiento'!G306)</f>
        <v>1.384083044982699E-2</v>
      </c>
      <c r="BA8" s="4"/>
      <c r="BD8" s="4"/>
      <c r="BF8" s="17" t="str">
        <f>('Gestión de abastecimiento'!A300)</f>
        <v>Totalmente en desacuerdo</v>
      </c>
      <c r="BG8" s="9">
        <f>('Gestión de abastecimiento'!H300)</f>
        <v>4</v>
      </c>
      <c r="BH8" s="13">
        <f>('Gestión de abastecimiento'!H306)</f>
        <v>1.384083044982699E-2</v>
      </c>
      <c r="BJ8" s="4"/>
      <c r="BM8" s="4"/>
      <c r="BO8" s="17" t="str">
        <f>('Gestión de abastecimiento'!A300)</f>
        <v>Totalmente en desacuerdo</v>
      </c>
      <c r="BP8" s="9">
        <f>('Gestión de abastecimiento'!I300)</f>
        <v>2</v>
      </c>
      <c r="BQ8" s="13">
        <f>('Gestión de abastecimiento'!I306)</f>
        <v>6.920415224913495E-3</v>
      </c>
      <c r="BS8" s="4"/>
      <c r="BV8" s="4"/>
      <c r="BX8" s="17" t="str">
        <f>('Gestión de abastecimiento'!A300)</f>
        <v>Totalmente en desacuerdo</v>
      </c>
      <c r="BY8" s="9">
        <f>('Gestión de abastecimiento'!J300)</f>
        <v>4</v>
      </c>
      <c r="BZ8" s="13">
        <f>('Gestión de abastecimiento'!J306)</f>
        <v>1.384083044982699E-2</v>
      </c>
      <c r="CB8" s="4"/>
      <c r="CE8" s="4"/>
      <c r="CG8" s="17" t="str">
        <f>('Gestión de abastecimiento'!A300)</f>
        <v>Totalmente en desacuerdo</v>
      </c>
      <c r="CH8" s="9">
        <f>('Gestión de abastecimiento'!K300)</f>
        <v>3</v>
      </c>
      <c r="CI8" s="13">
        <f>('Gestión de abastecimiento'!K306)</f>
        <v>1.0380622837370242E-2</v>
      </c>
      <c r="CK8" s="4"/>
      <c r="CN8" s="4"/>
      <c r="CP8" s="17" t="str">
        <f>('Gestión de abastecimiento'!A300)</f>
        <v>Totalmente en desacuerdo</v>
      </c>
      <c r="CQ8" s="9">
        <f>('Gestión de abastecimiento'!L300)</f>
        <v>4</v>
      </c>
      <c r="CR8" s="13">
        <f>('Gestión de abastecimiento'!L306)</f>
        <v>1.384083044982699E-2</v>
      </c>
      <c r="CT8" s="4"/>
      <c r="CW8" s="4"/>
      <c r="CY8" s="17" t="str">
        <f>('Gestión de abastecimiento'!A300)</f>
        <v>Totalmente en desacuerdo</v>
      </c>
      <c r="CZ8" s="9">
        <f>('Gestión de abastecimiento'!M300)</f>
        <v>2</v>
      </c>
      <c r="DA8" s="13">
        <f>('Gestión de abastecimiento'!M306)</f>
        <v>6.920415224913495E-3</v>
      </c>
      <c r="DC8" s="4"/>
      <c r="DF8" s="4"/>
      <c r="DH8" s="17" t="str">
        <f>('Gestión de abastecimiento'!A300)</f>
        <v>Totalmente en desacuerdo</v>
      </c>
      <c r="DI8" s="9">
        <f>('Gestión de abastecimiento'!N300)</f>
        <v>8</v>
      </c>
      <c r="DJ8" s="13">
        <f>('Gestión de abastecimiento'!N306)</f>
        <v>2.768166089965398E-2</v>
      </c>
      <c r="DL8" s="4"/>
      <c r="DO8" s="4"/>
      <c r="DQ8" s="17" t="str">
        <f>('Gestión de abastecimiento'!A300)</f>
        <v>Totalmente en desacuerdo</v>
      </c>
      <c r="DR8" s="9">
        <f>('Gestión de abastecimiento'!O300)</f>
        <v>2</v>
      </c>
      <c r="DS8" s="13">
        <f>('Gestión de abastecimiento'!O306)</f>
        <v>6.920415224913495E-3</v>
      </c>
      <c r="DU8" s="4"/>
      <c r="DX8" s="4"/>
      <c r="DZ8" s="17" t="str">
        <f>('Gestión de abastecimiento'!A300)</f>
        <v>Totalmente en desacuerdo</v>
      </c>
      <c r="EA8" s="9">
        <f>('Gestión de abastecimiento'!P300)</f>
        <v>7</v>
      </c>
      <c r="EB8" s="13">
        <f>('Gestión de abastecimiento'!P306)</f>
        <v>2.4221453287197232E-2</v>
      </c>
      <c r="ED8" s="4"/>
      <c r="EG8" s="4"/>
      <c r="EI8" s="17" t="str">
        <f>('Gestión de abastecimiento'!A300)</f>
        <v>Totalmente en desacuerdo</v>
      </c>
      <c r="EJ8" s="9">
        <f>('Gestión de abastecimiento'!Q300)</f>
        <v>4</v>
      </c>
      <c r="EK8" s="13">
        <f>('Gestión de abastecimiento'!Q306)</f>
        <v>1.384083044982699E-2</v>
      </c>
      <c r="EM8" s="4"/>
      <c r="EP8" s="4"/>
      <c r="ER8" s="17" t="str">
        <f>('Gestión de abastecimiento'!A300)</f>
        <v>Totalmente en desacuerdo</v>
      </c>
      <c r="ES8" s="9">
        <f>('Gestión de abastecimiento'!R300)</f>
        <v>9</v>
      </c>
      <c r="ET8" s="13">
        <f>('Gestión de abastecimiento'!R306)</f>
        <v>3.1141868512110725E-2</v>
      </c>
      <c r="EV8" s="4"/>
      <c r="EY8" s="4"/>
      <c r="FA8" s="17" t="str">
        <f>('Gestión de abastecimiento'!A300)</f>
        <v>Totalmente en desacuerdo</v>
      </c>
      <c r="FB8" s="9">
        <f>('Gestión de abastecimiento'!S300)</f>
        <v>4</v>
      </c>
      <c r="FC8" s="13">
        <f>('Gestión de abastecimiento'!S306)</f>
        <v>1.384083044982699E-2</v>
      </c>
      <c r="FE8" s="4"/>
    </row>
    <row r="9" spans="2:161" x14ac:dyDescent="0.25">
      <c r="B9" s="4"/>
      <c r="D9" s="17" t="str">
        <f>('Gestión de abastecimiento'!A301)</f>
        <v>En desacuerdo</v>
      </c>
      <c r="E9" s="9">
        <f>('Gestión de abastecimiento'!B301)</f>
        <v>34</v>
      </c>
      <c r="F9" s="13">
        <f>('Gestión de abastecimiento'!B307)</f>
        <v>0.11764705882352941</v>
      </c>
      <c r="H9" s="4"/>
      <c r="K9" s="4"/>
      <c r="M9" s="17" t="str">
        <f>('Gestión de abastecimiento'!A301)</f>
        <v>En desacuerdo</v>
      </c>
      <c r="N9" s="9">
        <f>('Gestión de abastecimiento'!C301)</f>
        <v>57</v>
      </c>
      <c r="O9" s="13">
        <f>('Gestión de abastecimiento'!C307)</f>
        <v>0.1972318339100346</v>
      </c>
      <c r="Q9" s="4"/>
      <c r="T9" s="4"/>
      <c r="V9" s="17" t="str">
        <f>('Gestión de abastecimiento'!A301)</f>
        <v>En desacuerdo</v>
      </c>
      <c r="W9" s="9">
        <f>('Gestión de abastecimiento'!D301)</f>
        <v>47</v>
      </c>
      <c r="X9" s="13">
        <f>('Gestión de abastecimiento'!D307)</f>
        <v>0.16262975778546712</v>
      </c>
      <c r="Z9" s="4"/>
      <c r="AC9" s="4"/>
      <c r="AE9" s="17" t="str">
        <f>('Gestión de abastecimiento'!A301)</f>
        <v>En desacuerdo</v>
      </c>
      <c r="AF9" s="9">
        <f>('Gestión de abastecimiento'!E301)</f>
        <v>75</v>
      </c>
      <c r="AG9" s="13">
        <f>('Gestión de abastecimiento'!E307)</f>
        <v>0.25951557093425603</v>
      </c>
      <c r="AI9" s="4"/>
      <c r="AL9" s="4"/>
      <c r="AN9" s="17" t="str">
        <f>('Gestión de abastecimiento'!A301)</f>
        <v>En desacuerdo</v>
      </c>
      <c r="AO9" s="9">
        <f>('Gestión de abastecimiento'!F301)</f>
        <v>76</v>
      </c>
      <c r="AP9" s="13">
        <f>('Gestión de abastecimiento'!F307)</f>
        <v>0.26297577854671278</v>
      </c>
      <c r="AR9" s="4"/>
      <c r="AU9" s="4"/>
      <c r="AW9" s="17" t="str">
        <f>('Gestión de abastecimiento'!A301)</f>
        <v>En desacuerdo</v>
      </c>
      <c r="AX9" s="9">
        <f>('Gestión de abastecimiento'!G301)</f>
        <v>64</v>
      </c>
      <c r="AY9" s="13">
        <f>('Gestión de abastecimiento'!G307)</f>
        <v>0.22145328719723184</v>
      </c>
      <c r="BA9" s="4"/>
      <c r="BD9" s="4"/>
      <c r="BF9" s="17" t="str">
        <f>('Gestión de abastecimiento'!A301)</f>
        <v>En desacuerdo</v>
      </c>
      <c r="BG9" s="9">
        <f>('Gestión de abastecimiento'!H301)</f>
        <v>74</v>
      </c>
      <c r="BH9" s="13">
        <f>('Gestión de abastecimiento'!H307)</f>
        <v>0.25605536332179929</v>
      </c>
      <c r="BJ9" s="4"/>
      <c r="BM9" s="4"/>
      <c r="BO9" s="17" t="str">
        <f>('Gestión de abastecimiento'!A301)</f>
        <v>En desacuerdo</v>
      </c>
      <c r="BP9" s="9">
        <f>('Gestión de abastecimiento'!I301)</f>
        <v>44</v>
      </c>
      <c r="BQ9" s="13">
        <f>('Gestión de abastecimiento'!I307)</f>
        <v>0.15224913494809689</v>
      </c>
      <c r="BS9" s="4"/>
      <c r="BV9" s="4"/>
      <c r="BX9" s="17" t="str">
        <f>('Gestión de abastecimiento'!A301)</f>
        <v>En desacuerdo</v>
      </c>
      <c r="BY9" s="9">
        <f>('Gestión de abastecimiento'!J301)</f>
        <v>73</v>
      </c>
      <c r="BZ9" s="13">
        <f>('Gestión de abastecimiento'!J307)</f>
        <v>0.25259515570934254</v>
      </c>
      <c r="CB9" s="4"/>
      <c r="CE9" s="4"/>
      <c r="CG9" s="17" t="str">
        <f>('Gestión de abastecimiento'!A301)</f>
        <v>En desacuerdo</v>
      </c>
      <c r="CH9" s="9">
        <f>('Gestión de abastecimiento'!K301)</f>
        <v>69</v>
      </c>
      <c r="CI9" s="13">
        <f>('Gestión de abastecimiento'!K307)</f>
        <v>0.23875432525951557</v>
      </c>
      <c r="CK9" s="4"/>
      <c r="CN9" s="4"/>
      <c r="CP9" s="17" t="str">
        <f>('Gestión de abastecimiento'!A301)</f>
        <v>En desacuerdo</v>
      </c>
      <c r="CQ9" s="9">
        <f>('Gestión de abastecimiento'!L301)</f>
        <v>58</v>
      </c>
      <c r="CR9" s="13">
        <f>('Gestión de abastecimiento'!L307)</f>
        <v>0.20069204152249134</v>
      </c>
      <c r="CT9" s="4"/>
      <c r="CW9" s="4"/>
      <c r="CY9" s="17" t="str">
        <f>('Gestión de abastecimiento'!A301)</f>
        <v>En desacuerdo</v>
      </c>
      <c r="CZ9" s="9">
        <f>('Gestión de abastecimiento'!M301)</f>
        <v>58</v>
      </c>
      <c r="DA9" s="13">
        <f>('Gestión de abastecimiento'!M307)</f>
        <v>0.20069204152249134</v>
      </c>
      <c r="DC9" s="4"/>
      <c r="DF9" s="4"/>
      <c r="DH9" s="17" t="str">
        <f>('Gestión de abastecimiento'!A301)</f>
        <v>En desacuerdo</v>
      </c>
      <c r="DI9" s="9">
        <f>('Gestión de abastecimiento'!N301)</f>
        <v>85</v>
      </c>
      <c r="DJ9" s="13">
        <f>('Gestión de abastecimiento'!N307)</f>
        <v>0.29411764705882354</v>
      </c>
      <c r="DL9" s="4"/>
      <c r="DO9" s="4"/>
      <c r="DQ9" s="17" t="str">
        <f>('Gestión de abastecimiento'!A301)</f>
        <v>En desacuerdo</v>
      </c>
      <c r="DR9" s="9">
        <f>('Gestión de abastecimiento'!O301)</f>
        <v>64</v>
      </c>
      <c r="DS9" s="13">
        <f>('Gestión de abastecimiento'!O307)</f>
        <v>0.22145328719723184</v>
      </c>
      <c r="DU9" s="4"/>
      <c r="DX9" s="4"/>
      <c r="DZ9" s="17" t="str">
        <f>('Gestión de abastecimiento'!A301)</f>
        <v>En desacuerdo</v>
      </c>
      <c r="EA9" s="9">
        <f>('Gestión de abastecimiento'!P301)</f>
        <v>77</v>
      </c>
      <c r="EB9" s="13">
        <f>('Gestión de abastecimiento'!P307)</f>
        <v>0.26643598615916952</v>
      </c>
      <c r="ED9" s="4"/>
      <c r="EG9" s="4"/>
      <c r="EI9" s="17" t="str">
        <f>('Gestión de abastecimiento'!A301)</f>
        <v>En desacuerdo</v>
      </c>
      <c r="EJ9" s="9">
        <f>('Gestión de abastecimiento'!Q301)</f>
        <v>59</v>
      </c>
      <c r="EK9" s="13">
        <f>('Gestión de abastecimiento'!Q307)</f>
        <v>0.20415224913494809</v>
      </c>
      <c r="EM9" s="4"/>
      <c r="EP9" s="4"/>
      <c r="ER9" s="17" t="str">
        <f>('Gestión de abastecimiento'!A301)</f>
        <v>En desacuerdo</v>
      </c>
      <c r="ES9" s="9">
        <f>('Gestión de abastecimiento'!R301)</f>
        <v>97</v>
      </c>
      <c r="ET9" s="13">
        <f>('Gestión de abastecimiento'!R307)</f>
        <v>0.33564013840830448</v>
      </c>
      <c r="EV9" s="4"/>
      <c r="EY9" s="4"/>
      <c r="FA9" s="17" t="str">
        <f>('Gestión de abastecimiento'!A301)</f>
        <v>En desacuerdo</v>
      </c>
      <c r="FB9" s="9">
        <f>('Gestión de abastecimiento'!S301)</f>
        <v>58</v>
      </c>
      <c r="FC9" s="13">
        <f>('Gestión de abastecimiento'!S307)</f>
        <v>0.20069204152249134</v>
      </c>
      <c r="FE9" s="4"/>
    </row>
    <row r="10" spans="2:161" x14ac:dyDescent="0.25">
      <c r="B10" s="4"/>
      <c r="D10" s="17" t="str">
        <f>('Gestión de abastecimiento'!A302)</f>
        <v>Ni de acuerdo ni en desacuerdo</v>
      </c>
      <c r="E10" s="9">
        <f>('Gestión de abastecimiento'!B302)</f>
        <v>146</v>
      </c>
      <c r="F10" s="13">
        <f>('Gestión de abastecimiento'!B308)</f>
        <v>0.50519031141868509</v>
      </c>
      <c r="H10" s="4"/>
      <c r="K10" s="4"/>
      <c r="M10" s="17" t="str">
        <f>('Gestión de abastecimiento'!A302)</f>
        <v>Ni de acuerdo ni en desacuerdo</v>
      </c>
      <c r="N10" s="9">
        <f>('Gestión de abastecimiento'!C302)</f>
        <v>150</v>
      </c>
      <c r="O10" s="13">
        <f>('Gestión de abastecimiento'!C308)</f>
        <v>0.51903114186851207</v>
      </c>
      <c r="Q10" s="4"/>
      <c r="T10" s="4"/>
      <c r="V10" s="17" t="str">
        <f>('Gestión de abastecimiento'!A302)</f>
        <v>Ni de acuerdo ni en desacuerdo</v>
      </c>
      <c r="W10" s="9">
        <f>('Gestión de abastecimiento'!D302)</f>
        <v>155</v>
      </c>
      <c r="X10" s="13">
        <f>('Gestión de abastecimiento'!D308)</f>
        <v>0.53633217993079585</v>
      </c>
      <c r="Z10" s="4"/>
      <c r="AC10" s="4"/>
      <c r="AE10" s="17" t="str">
        <f>('Gestión de abastecimiento'!A302)</f>
        <v>Ni de acuerdo ni en desacuerdo</v>
      </c>
      <c r="AF10" s="9">
        <f>('Gestión de abastecimiento'!E302)</f>
        <v>140</v>
      </c>
      <c r="AG10" s="13">
        <f>('Gestión de abastecimiento'!E308)</f>
        <v>0.48442906574394462</v>
      </c>
      <c r="AI10" s="4"/>
      <c r="AL10" s="4"/>
      <c r="AN10" s="17" t="str">
        <f>('Gestión de abastecimiento'!A302)</f>
        <v>Ni de acuerdo ni en desacuerdo</v>
      </c>
      <c r="AO10" s="9">
        <f>('Gestión de abastecimiento'!F302)</f>
        <v>145</v>
      </c>
      <c r="AP10" s="13">
        <f>('Gestión de abastecimiento'!F308)</f>
        <v>0.5017301038062284</v>
      </c>
      <c r="AR10" s="4"/>
      <c r="AU10" s="4"/>
      <c r="AW10" s="17" t="str">
        <f>('Gestión de abastecimiento'!A302)</f>
        <v>Ni de acuerdo ni en desacuerdo</v>
      </c>
      <c r="AX10" s="9">
        <f>('Gestión de abastecimiento'!G302)</f>
        <v>151</v>
      </c>
      <c r="AY10" s="13">
        <f>('Gestión de abastecimiento'!G308)</f>
        <v>0.52249134948096887</v>
      </c>
      <c r="BA10" s="4"/>
      <c r="BD10" s="4"/>
      <c r="BF10" s="17" t="str">
        <f>('Gestión de abastecimiento'!A302)</f>
        <v>Ni de acuerdo ni en desacuerdo</v>
      </c>
      <c r="BG10" s="9">
        <f>('Gestión de abastecimiento'!H302)</f>
        <v>150</v>
      </c>
      <c r="BH10" s="13">
        <f>('Gestión de abastecimiento'!H308)</f>
        <v>0.51903114186851207</v>
      </c>
      <c r="BJ10" s="4"/>
      <c r="BM10" s="4"/>
      <c r="BO10" s="17" t="str">
        <f>('Gestión de abastecimiento'!A302)</f>
        <v>Ni de acuerdo ni en desacuerdo</v>
      </c>
      <c r="BP10" s="9">
        <f>('Gestión de abastecimiento'!I302)</f>
        <v>148</v>
      </c>
      <c r="BQ10" s="13">
        <f>('Gestión de abastecimiento'!I308)</f>
        <v>0.51211072664359858</v>
      </c>
      <c r="BS10" s="4"/>
      <c r="BV10" s="4"/>
      <c r="BX10" s="17" t="str">
        <f>('Gestión de abastecimiento'!A302)</f>
        <v>Ni de acuerdo ni en desacuerdo</v>
      </c>
      <c r="BY10" s="9">
        <f>('Gestión de abastecimiento'!J302)</f>
        <v>140</v>
      </c>
      <c r="BZ10" s="13">
        <f>('Gestión de abastecimiento'!J308)</f>
        <v>0.48442906574394462</v>
      </c>
      <c r="CB10" s="4"/>
      <c r="CE10" s="4"/>
      <c r="CG10" s="17" t="str">
        <f>('Gestión de abastecimiento'!A302)</f>
        <v>Ni de acuerdo ni en desacuerdo</v>
      </c>
      <c r="CH10" s="9">
        <f>('Gestión de abastecimiento'!K302)</f>
        <v>145</v>
      </c>
      <c r="CI10" s="13">
        <f>('Gestión de abastecimiento'!K308)</f>
        <v>0.5017301038062284</v>
      </c>
      <c r="CK10" s="4"/>
      <c r="CN10" s="4"/>
      <c r="CP10" s="17" t="str">
        <f>('Gestión de abastecimiento'!A302)</f>
        <v>Ni de acuerdo ni en desacuerdo</v>
      </c>
      <c r="CQ10" s="9">
        <f>('Gestión de abastecimiento'!L302)</f>
        <v>147</v>
      </c>
      <c r="CR10" s="13">
        <f>('Gestión de abastecimiento'!L308)</f>
        <v>0.50865051903114189</v>
      </c>
      <c r="CT10" s="4"/>
      <c r="CW10" s="4"/>
      <c r="CY10" s="17" t="str">
        <f>('Gestión de abastecimiento'!A302)</f>
        <v>Ni de acuerdo ni en desacuerdo</v>
      </c>
      <c r="CZ10" s="9">
        <f>('Gestión de abastecimiento'!M302)</f>
        <v>152</v>
      </c>
      <c r="DA10" s="13">
        <f>('Gestión de abastecimiento'!M308)</f>
        <v>0.52595155709342556</v>
      </c>
      <c r="DC10" s="4"/>
      <c r="DF10" s="4"/>
      <c r="DH10" s="17" t="str">
        <f>('Gestión de abastecimiento'!A302)</f>
        <v>Ni de acuerdo ni en desacuerdo</v>
      </c>
      <c r="DI10" s="9">
        <f>('Gestión de abastecimiento'!N302)</f>
        <v>135</v>
      </c>
      <c r="DJ10" s="13">
        <f>('Gestión de abastecimiento'!N308)</f>
        <v>0.4671280276816609</v>
      </c>
      <c r="DL10" s="4"/>
      <c r="DO10" s="4"/>
      <c r="DQ10" s="17" t="str">
        <f>('Gestión de abastecimiento'!A302)</f>
        <v>Ni de acuerdo ni en desacuerdo</v>
      </c>
      <c r="DR10" s="9">
        <f>('Gestión de abastecimiento'!O302)</f>
        <v>150</v>
      </c>
      <c r="DS10" s="13">
        <f>('Gestión de abastecimiento'!O308)</f>
        <v>0.51903114186851207</v>
      </c>
      <c r="DU10" s="4"/>
      <c r="DX10" s="4"/>
      <c r="DZ10" s="17" t="str">
        <f>('Gestión de abastecimiento'!A302)</f>
        <v>Ni de acuerdo ni en desacuerdo</v>
      </c>
      <c r="EA10" s="9">
        <f>('Gestión de abastecimiento'!P302)</f>
        <v>143</v>
      </c>
      <c r="EB10" s="13">
        <f>('Gestión de abastecimiento'!P308)</f>
        <v>0.49480968858131485</v>
      </c>
      <c r="ED10" s="4"/>
      <c r="EG10" s="4"/>
      <c r="EI10" s="17" t="str">
        <f>('Gestión de abastecimiento'!A302)</f>
        <v>Ni de acuerdo ni en desacuerdo</v>
      </c>
      <c r="EJ10" s="9">
        <f>('Gestión de abastecimiento'!Q302)</f>
        <v>159</v>
      </c>
      <c r="EK10" s="13">
        <f>('Gestión de abastecimiento'!Q308)</f>
        <v>0.55017301038062283</v>
      </c>
      <c r="EM10" s="4"/>
      <c r="EP10" s="4"/>
      <c r="ER10" s="17" t="str">
        <f>('Gestión de abastecimiento'!A302)</f>
        <v>Ni de acuerdo ni en desacuerdo</v>
      </c>
      <c r="ES10" s="9">
        <f>('Gestión de abastecimiento'!R302)</f>
        <v>138</v>
      </c>
      <c r="ET10" s="13">
        <f>('Gestión de abastecimiento'!R308)</f>
        <v>0.47750865051903113</v>
      </c>
      <c r="EV10" s="4"/>
      <c r="EY10" s="4"/>
      <c r="FA10" s="17" t="str">
        <f>('Gestión de abastecimiento'!A302)</f>
        <v>Ni de acuerdo ni en desacuerdo</v>
      </c>
      <c r="FB10" s="9">
        <f>('Gestión de abastecimiento'!S302)</f>
        <v>143</v>
      </c>
      <c r="FC10" s="13">
        <f>('Gestión de abastecimiento'!S308)</f>
        <v>0.49480968858131485</v>
      </c>
      <c r="FE10" s="4"/>
    </row>
    <row r="11" spans="2:161" x14ac:dyDescent="0.25">
      <c r="B11" s="4"/>
      <c r="D11" s="17" t="str">
        <f>('Gestión de abastecimiento'!A303)</f>
        <v>De acuerdo</v>
      </c>
      <c r="E11" s="9">
        <f>('Gestión de abastecimiento'!B303)</f>
        <v>99</v>
      </c>
      <c r="F11" s="13">
        <f>('Gestión de abastecimiento'!B309)</f>
        <v>0.34256055363321797</v>
      </c>
      <c r="H11" s="4"/>
      <c r="K11" s="4"/>
      <c r="M11" s="17" t="str">
        <f>('Gestión de abastecimiento'!A303)</f>
        <v>De acuerdo</v>
      </c>
      <c r="N11" s="9">
        <f>('Gestión de abastecimiento'!C303)</f>
        <v>72</v>
      </c>
      <c r="O11" s="13">
        <f>('Gestión de abastecimiento'!C309)</f>
        <v>0.2491349480968858</v>
      </c>
      <c r="Q11" s="4"/>
      <c r="T11" s="4"/>
      <c r="V11" s="17" t="str">
        <f>('Gestión de abastecimiento'!A303)</f>
        <v>De acuerdo</v>
      </c>
      <c r="W11" s="9">
        <f>('Gestión de abastecimiento'!D303)</f>
        <v>76</v>
      </c>
      <c r="X11" s="13">
        <f>('Gestión de abastecimiento'!D309)</f>
        <v>0.26297577854671278</v>
      </c>
      <c r="Z11" s="4"/>
      <c r="AC11" s="4"/>
      <c r="AE11" s="17" t="str">
        <f>('Gestión de abastecimiento'!A303)</f>
        <v>De acuerdo</v>
      </c>
      <c r="AF11" s="9">
        <f>('Gestión de abastecimiento'!E303)</f>
        <v>60</v>
      </c>
      <c r="AG11" s="13">
        <f>('Gestión de abastecimiento'!E309)</f>
        <v>0.20761245674740483</v>
      </c>
      <c r="AI11" s="4"/>
      <c r="AL11" s="4"/>
      <c r="AN11" s="17" t="str">
        <f>('Gestión de abastecimiento'!A303)</f>
        <v>De acuerdo</v>
      </c>
      <c r="AO11" s="9">
        <f>('Gestión de abastecimiento'!F303)</f>
        <v>62</v>
      </c>
      <c r="AP11" s="13">
        <f>('Gestión de abastecimiento'!F309)</f>
        <v>0.21453287197231835</v>
      </c>
      <c r="AR11" s="4"/>
      <c r="AU11" s="4"/>
      <c r="AW11" s="17" t="str">
        <f>('Gestión de abastecimiento'!A303)</f>
        <v>De acuerdo</v>
      </c>
      <c r="AX11" s="9">
        <f>('Gestión de abastecimiento'!G303)</f>
        <v>63</v>
      </c>
      <c r="AY11" s="13">
        <f>('Gestión de abastecimiento'!G309)</f>
        <v>0.2179930795847751</v>
      </c>
      <c r="BA11" s="4"/>
      <c r="BD11" s="4"/>
      <c r="BF11" s="17" t="str">
        <f>('Gestión de abastecimiento'!A303)</f>
        <v>De acuerdo</v>
      </c>
      <c r="BG11" s="9">
        <f>('Gestión de abastecimiento'!H303)</f>
        <v>54</v>
      </c>
      <c r="BH11" s="13">
        <f>('Gestión de abastecimiento'!H309)</f>
        <v>0.18685121107266436</v>
      </c>
      <c r="BJ11" s="4"/>
      <c r="BM11" s="4"/>
      <c r="BO11" s="17" t="str">
        <f>('Gestión de abastecimiento'!A303)</f>
        <v>De acuerdo</v>
      </c>
      <c r="BP11" s="9">
        <f>('Gestión de abastecimiento'!I303)</f>
        <v>85</v>
      </c>
      <c r="BQ11" s="13">
        <f>('Gestión de abastecimiento'!I309)</f>
        <v>0.29411764705882354</v>
      </c>
      <c r="BS11" s="4"/>
      <c r="BV11" s="4"/>
      <c r="BX11" s="17" t="str">
        <f>('Gestión de abastecimiento'!A303)</f>
        <v>De acuerdo</v>
      </c>
      <c r="BY11" s="9">
        <f>('Gestión de abastecimiento'!J303)</f>
        <v>67</v>
      </c>
      <c r="BZ11" s="13">
        <f>('Gestión de abastecimiento'!J309)</f>
        <v>0.23183391003460208</v>
      </c>
      <c r="CB11" s="4"/>
      <c r="CE11" s="4"/>
      <c r="CG11" s="17" t="str">
        <f>('Gestión de abastecimiento'!A303)</f>
        <v>De acuerdo</v>
      </c>
      <c r="CH11" s="9">
        <f>('Gestión de abastecimiento'!K303)</f>
        <v>67</v>
      </c>
      <c r="CI11" s="13">
        <f>('Gestión de abastecimiento'!K309)</f>
        <v>0.23183391003460208</v>
      </c>
      <c r="CK11" s="4"/>
      <c r="CN11" s="4"/>
      <c r="CP11" s="17" t="str">
        <f>('Gestión de abastecimiento'!A303)</f>
        <v>De acuerdo</v>
      </c>
      <c r="CQ11" s="9">
        <f>('Gestión de abastecimiento'!L303)</f>
        <v>72</v>
      </c>
      <c r="CR11" s="13">
        <f>('Gestión de abastecimiento'!L309)</f>
        <v>0.2491349480968858</v>
      </c>
      <c r="CT11" s="4"/>
      <c r="CW11" s="4"/>
      <c r="CY11" s="17" t="str">
        <f>('Gestión de abastecimiento'!A303)</f>
        <v>De acuerdo</v>
      </c>
      <c r="CZ11" s="9">
        <f>('Gestión de abastecimiento'!M303)</f>
        <v>72</v>
      </c>
      <c r="DA11" s="13">
        <f>('Gestión de abastecimiento'!M309)</f>
        <v>0.2491349480968858</v>
      </c>
      <c r="DC11" s="4"/>
      <c r="DF11" s="4"/>
      <c r="DH11" s="17" t="str">
        <f>('Gestión de abastecimiento'!A303)</f>
        <v>De acuerdo</v>
      </c>
      <c r="DI11" s="9">
        <f>('Gestión de abastecimiento'!N303)</f>
        <v>54</v>
      </c>
      <c r="DJ11" s="13">
        <f>('Gestión de abastecimiento'!N309)</f>
        <v>0.18685121107266436</v>
      </c>
      <c r="DL11" s="4"/>
      <c r="DO11" s="4"/>
      <c r="DQ11" s="17" t="str">
        <f>('Gestión de abastecimiento'!A303)</f>
        <v>De acuerdo</v>
      </c>
      <c r="DR11" s="9">
        <f>('Gestión de abastecimiento'!O303)</f>
        <v>65</v>
      </c>
      <c r="DS11" s="13">
        <f>('Gestión de abastecimiento'!O309)</f>
        <v>0.22491349480968859</v>
      </c>
      <c r="DU11" s="4"/>
      <c r="DX11" s="4"/>
      <c r="DZ11" s="17" t="str">
        <f>('Gestión de abastecimiento'!A303)</f>
        <v>De acuerdo</v>
      </c>
      <c r="EA11" s="9">
        <f>('Gestión de abastecimiento'!P303)</f>
        <v>56</v>
      </c>
      <c r="EB11" s="13">
        <f>('Gestión de abastecimiento'!P309)</f>
        <v>0.19377162629757785</v>
      </c>
      <c r="ED11" s="4"/>
      <c r="EG11" s="4"/>
      <c r="EI11" s="17" t="str">
        <f>('Gestión de abastecimiento'!A303)</f>
        <v>De acuerdo</v>
      </c>
      <c r="EJ11" s="9">
        <f>('Gestión de abastecimiento'!Q303)</f>
        <v>61</v>
      </c>
      <c r="EK11" s="13">
        <f>('Gestión de abastecimiento'!Q309)</f>
        <v>0.21107266435986158</v>
      </c>
      <c r="EM11" s="4"/>
      <c r="EP11" s="4"/>
      <c r="ER11" s="17" t="str">
        <f>('Gestión de abastecimiento'!A303)</f>
        <v>De acuerdo</v>
      </c>
      <c r="ES11" s="9">
        <f>('Gestión de abastecimiento'!R303)</f>
        <v>40</v>
      </c>
      <c r="ET11" s="13">
        <f>('Gestión de abastecimiento'!R309)</f>
        <v>0.13840830449826991</v>
      </c>
      <c r="EV11" s="4"/>
      <c r="EY11" s="4"/>
      <c r="FA11" s="17" t="str">
        <f>('Gestión de abastecimiento'!A303)</f>
        <v>De acuerdo</v>
      </c>
      <c r="FB11" s="9">
        <f>('Gestión de abastecimiento'!S303)</f>
        <v>75</v>
      </c>
      <c r="FC11" s="13">
        <f>('Gestión de abastecimiento'!S309)</f>
        <v>0.25951557093425603</v>
      </c>
      <c r="FE11" s="4"/>
    </row>
    <row r="12" spans="2:161" x14ac:dyDescent="0.25">
      <c r="B12" s="4"/>
      <c r="D12" s="17" t="str">
        <f>('Gestión de abastecimiento'!A304)</f>
        <v>Totalmente de acuerdo</v>
      </c>
      <c r="E12" s="9">
        <f>('Gestión de abastecimiento'!B304)</f>
        <v>9</v>
      </c>
      <c r="F12" s="13">
        <f>('Gestión de abastecimiento'!B310)</f>
        <v>3.1141868512110725E-2</v>
      </c>
      <c r="H12" s="4"/>
      <c r="K12" s="4"/>
      <c r="M12" s="17" t="str">
        <f>('Gestión de abastecimiento'!A304)</f>
        <v>Totalmente de acuerdo</v>
      </c>
      <c r="N12" s="9">
        <f>('Gestión de abastecimiento'!C304)</f>
        <v>6</v>
      </c>
      <c r="O12" s="13">
        <f>('Gestión de abastecimiento'!C310)</f>
        <v>2.0761245674740483E-2</v>
      </c>
      <c r="Q12" s="4"/>
      <c r="T12" s="4"/>
      <c r="V12" s="17" t="str">
        <f>('Gestión de abastecimiento'!A304)</f>
        <v>Totalmente de acuerdo</v>
      </c>
      <c r="W12" s="9">
        <f>('Gestión de abastecimiento'!D304)</f>
        <v>8</v>
      </c>
      <c r="X12" s="13">
        <f>('Gestión de abastecimiento'!D310)</f>
        <v>2.768166089965398E-2</v>
      </c>
      <c r="Z12" s="4"/>
      <c r="AC12" s="4"/>
      <c r="AE12" s="17" t="str">
        <f>('Gestión de abastecimiento'!A304)</f>
        <v>Totalmente de acuerdo</v>
      </c>
      <c r="AF12" s="9">
        <f>('Gestión de abastecimiento'!E304)</f>
        <v>8</v>
      </c>
      <c r="AG12" s="13">
        <f>('Gestión de abastecimiento'!E310)</f>
        <v>2.768166089965398E-2</v>
      </c>
      <c r="AI12" s="4"/>
      <c r="AL12" s="4"/>
      <c r="AN12" s="17" t="str">
        <f>('Gestión de abastecimiento'!A304)</f>
        <v>Totalmente de acuerdo</v>
      </c>
      <c r="AO12" s="9">
        <f>('Gestión de abastecimiento'!F304)</f>
        <v>3</v>
      </c>
      <c r="AP12" s="13">
        <f>('Gestión de abastecimiento'!F310)</f>
        <v>1.0380622837370242E-2</v>
      </c>
      <c r="AR12" s="4"/>
      <c r="AU12" s="4"/>
      <c r="AW12" s="17" t="str">
        <f>('Gestión de abastecimiento'!A304)</f>
        <v>Totalmente de acuerdo</v>
      </c>
      <c r="AX12" s="9">
        <f>('Gestión de abastecimiento'!G304)</f>
        <v>7</v>
      </c>
      <c r="AY12" s="13">
        <f>('Gestión de abastecimiento'!G310)</f>
        <v>2.4221453287197232E-2</v>
      </c>
      <c r="BA12" s="4"/>
      <c r="BD12" s="4"/>
      <c r="BF12" s="17" t="str">
        <f>('Gestión de abastecimiento'!A304)</f>
        <v>Totalmente de acuerdo</v>
      </c>
      <c r="BG12" s="9">
        <f>('Gestión de abastecimiento'!H304)</f>
        <v>7</v>
      </c>
      <c r="BH12" s="13">
        <f>('Gestión de abastecimiento'!H310)</f>
        <v>2.4221453287197232E-2</v>
      </c>
      <c r="BJ12" s="4"/>
      <c r="BM12" s="4"/>
      <c r="BO12" s="17" t="str">
        <f>('Gestión de abastecimiento'!A304)</f>
        <v>Totalmente de acuerdo</v>
      </c>
      <c r="BP12" s="9">
        <f>('Gestión de abastecimiento'!I304)</f>
        <v>10</v>
      </c>
      <c r="BQ12" s="13">
        <f>('Gestión de abastecimiento'!I310)</f>
        <v>3.4602076124567477E-2</v>
      </c>
      <c r="BS12" s="4"/>
      <c r="BV12" s="4"/>
      <c r="BX12" s="17" t="str">
        <f>('Gestión de abastecimiento'!A304)</f>
        <v>Totalmente de acuerdo</v>
      </c>
      <c r="BY12" s="9">
        <f>('Gestión de abastecimiento'!J304)</f>
        <v>5</v>
      </c>
      <c r="BZ12" s="13">
        <f>('Gestión de abastecimiento'!J310)</f>
        <v>1.7301038062283738E-2</v>
      </c>
      <c r="CB12" s="4"/>
      <c r="CE12" s="4"/>
      <c r="CG12" s="17" t="str">
        <f>('Gestión de abastecimiento'!A304)</f>
        <v>Totalmente de acuerdo</v>
      </c>
      <c r="CH12" s="9">
        <f>('Gestión de abastecimiento'!K304)</f>
        <v>5</v>
      </c>
      <c r="CI12" s="13">
        <f>('Gestión de abastecimiento'!K310)</f>
        <v>1.7301038062283738E-2</v>
      </c>
      <c r="CK12" s="4"/>
      <c r="CN12" s="4"/>
      <c r="CP12" s="17" t="str">
        <f>('Gestión de abastecimiento'!A304)</f>
        <v>Totalmente de acuerdo</v>
      </c>
      <c r="CQ12" s="9">
        <f>('Gestión de abastecimiento'!L304)</f>
        <v>8</v>
      </c>
      <c r="CR12" s="13">
        <f>('Gestión de abastecimiento'!L310)</f>
        <v>2.768166089965398E-2</v>
      </c>
      <c r="CT12" s="4"/>
      <c r="CW12" s="4"/>
      <c r="CY12" s="17" t="str">
        <f>('Gestión de abastecimiento'!A304)</f>
        <v>Totalmente de acuerdo</v>
      </c>
      <c r="CZ12" s="9">
        <f>('Gestión de abastecimiento'!M304)</f>
        <v>5</v>
      </c>
      <c r="DA12" s="13">
        <f>('Gestión de abastecimiento'!M310)</f>
        <v>1.7301038062283738E-2</v>
      </c>
      <c r="DC12" s="4"/>
      <c r="DF12" s="4"/>
      <c r="DH12" s="17" t="str">
        <f>('Gestión de abastecimiento'!A304)</f>
        <v>Totalmente de acuerdo</v>
      </c>
      <c r="DI12" s="9">
        <f>('Gestión de abastecimiento'!N304)</f>
        <v>7</v>
      </c>
      <c r="DJ12" s="13">
        <f>('Gestión de abastecimiento'!N310)</f>
        <v>2.4221453287197232E-2</v>
      </c>
      <c r="DL12" s="4"/>
      <c r="DO12" s="4"/>
      <c r="DQ12" s="17" t="str">
        <f>('Gestión de abastecimiento'!A304)</f>
        <v>Totalmente de acuerdo</v>
      </c>
      <c r="DR12" s="9">
        <f>('Gestión de abastecimiento'!O304)</f>
        <v>8</v>
      </c>
      <c r="DS12" s="13">
        <f>('Gestión de abastecimiento'!O310)</f>
        <v>2.768166089965398E-2</v>
      </c>
      <c r="DU12" s="4"/>
      <c r="DX12" s="4"/>
      <c r="DZ12" s="17" t="str">
        <f>('Gestión de abastecimiento'!A304)</f>
        <v>Totalmente de acuerdo</v>
      </c>
      <c r="EA12" s="9">
        <f>('Gestión de abastecimiento'!P304)</f>
        <v>6</v>
      </c>
      <c r="EB12" s="13">
        <f>('Gestión de abastecimiento'!P310)</f>
        <v>2.0761245674740483E-2</v>
      </c>
      <c r="ED12" s="4"/>
      <c r="EG12" s="4"/>
      <c r="EI12" s="17" t="str">
        <f>('Gestión de abastecimiento'!A304)</f>
        <v>Totalmente de acuerdo</v>
      </c>
      <c r="EJ12" s="9">
        <f>('Gestión de abastecimiento'!Q304)</f>
        <v>6</v>
      </c>
      <c r="EK12" s="13">
        <f>('Gestión de abastecimiento'!Q310)</f>
        <v>2.0761245674740483E-2</v>
      </c>
      <c r="EM12" s="4"/>
      <c r="EP12" s="4"/>
      <c r="ER12" s="17" t="str">
        <f>('Gestión de abastecimiento'!A304)</f>
        <v>Totalmente de acuerdo</v>
      </c>
      <c r="ES12" s="9">
        <f>('Gestión de abastecimiento'!R304)</f>
        <v>5</v>
      </c>
      <c r="ET12" s="13">
        <f>('Gestión de abastecimiento'!R310)</f>
        <v>1.7301038062283738E-2</v>
      </c>
      <c r="EV12" s="4"/>
      <c r="EY12" s="4"/>
      <c r="FA12" s="17" t="str">
        <f>('Gestión de abastecimiento'!A304)</f>
        <v>Totalmente de acuerdo</v>
      </c>
      <c r="FB12" s="9">
        <f>('Gestión de abastecimiento'!S304)</f>
        <v>9</v>
      </c>
      <c r="FC12" s="13">
        <f>('Gestión de abastecimiento'!S310)</f>
        <v>3.1141868512110725E-2</v>
      </c>
      <c r="FE12" s="4"/>
    </row>
    <row r="13" spans="2:161" x14ac:dyDescent="0.25">
      <c r="B13" s="4"/>
      <c r="D13" s="20" t="str">
        <f>('Gestión de abastecimiento'!A305)</f>
        <v>Total</v>
      </c>
      <c r="E13" s="10">
        <f>('Gestión de abastecimiento'!B305)</f>
        <v>289</v>
      </c>
      <c r="F13" s="14">
        <f>('Gestión de abastecimiento'!B311)</f>
        <v>1</v>
      </c>
      <c r="H13" s="4"/>
      <c r="K13" s="4"/>
      <c r="M13" s="20" t="str">
        <f>('Gestión de abastecimiento'!A305)</f>
        <v>Total</v>
      </c>
      <c r="N13" s="10">
        <f>('Gestión de abastecimiento'!C305)</f>
        <v>289</v>
      </c>
      <c r="O13" s="14">
        <f>('Gestión de abastecimiento'!C311)</f>
        <v>0.99999999999999989</v>
      </c>
      <c r="Q13" s="4"/>
      <c r="T13" s="4"/>
      <c r="V13" s="20" t="str">
        <f>('Gestión de abastecimiento'!A305)</f>
        <v>Total</v>
      </c>
      <c r="W13" s="10">
        <f>('Gestión de abastecimiento'!D305)</f>
        <v>289</v>
      </c>
      <c r="X13" s="14">
        <f>('Gestión de abastecimiento'!D311)</f>
        <v>1</v>
      </c>
      <c r="Z13" s="4"/>
      <c r="AC13" s="4"/>
      <c r="AE13" s="20" t="str">
        <f>('Gestión de abastecimiento'!A305)</f>
        <v>Total</v>
      </c>
      <c r="AF13" s="10">
        <f>('Gestión de abastecimiento'!E305)</f>
        <v>289</v>
      </c>
      <c r="AG13" s="14">
        <f>('Gestión de abastecimiento'!E311)</f>
        <v>0.99999999999999989</v>
      </c>
      <c r="AI13" s="4"/>
      <c r="AL13" s="4"/>
      <c r="AN13" s="20" t="str">
        <f>('Gestión de abastecimiento'!A305)</f>
        <v>Total</v>
      </c>
      <c r="AO13" s="10">
        <f>('Gestión de abastecimiento'!F305)</f>
        <v>289</v>
      </c>
      <c r="AP13" s="14">
        <f>('Gestión de abastecimiento'!F311)</f>
        <v>1</v>
      </c>
      <c r="AR13" s="4"/>
      <c r="AU13" s="4"/>
      <c r="AW13" s="20" t="str">
        <f>('Gestión de abastecimiento'!A305)</f>
        <v>Total</v>
      </c>
      <c r="AX13" s="10">
        <f>('Gestión de abastecimiento'!G305)</f>
        <v>289</v>
      </c>
      <c r="AY13" s="14">
        <f>('Gestión de abastecimiento'!G311)</f>
        <v>1</v>
      </c>
      <c r="BA13" s="4"/>
      <c r="BD13" s="4"/>
      <c r="BF13" s="20" t="str">
        <f>('Gestión de abastecimiento'!A305)</f>
        <v>Total</v>
      </c>
      <c r="BG13" s="10">
        <f>('Gestión de abastecimiento'!H305)</f>
        <v>289</v>
      </c>
      <c r="BH13" s="14">
        <f>('Gestión de abastecimiento'!H311)</f>
        <v>0.99999999999999989</v>
      </c>
      <c r="BJ13" s="4"/>
      <c r="BM13" s="4"/>
      <c r="BO13" s="20" t="str">
        <f>('Gestión de abastecimiento'!A305)</f>
        <v>Total</v>
      </c>
      <c r="BP13" s="10">
        <f>('Gestión de abastecimiento'!I305)</f>
        <v>289</v>
      </c>
      <c r="BQ13" s="14">
        <f>('Gestión de abastecimiento'!I311)</f>
        <v>0.99999999999999989</v>
      </c>
      <c r="BS13" s="4"/>
      <c r="BV13" s="4"/>
      <c r="BX13" s="20" t="str">
        <f>('Gestión de abastecimiento'!A305)</f>
        <v>Total</v>
      </c>
      <c r="BY13" s="10">
        <f>('Gestión de abastecimiento'!J305)</f>
        <v>289</v>
      </c>
      <c r="BZ13" s="14">
        <f>('Gestión de abastecimiento'!J311)</f>
        <v>1</v>
      </c>
      <c r="CB13" s="4"/>
      <c r="CE13" s="4"/>
      <c r="CG13" s="20" t="str">
        <f>('Gestión de abastecimiento'!A305)</f>
        <v>Total</v>
      </c>
      <c r="CH13" s="10">
        <f>('Gestión de abastecimiento'!K305)</f>
        <v>289</v>
      </c>
      <c r="CI13" s="14">
        <f>('Gestión de abastecimiento'!K311)</f>
        <v>1</v>
      </c>
      <c r="CK13" s="4"/>
      <c r="CN13" s="4"/>
      <c r="CP13" s="20" t="str">
        <f>('Gestión de abastecimiento'!A305)</f>
        <v>Total</v>
      </c>
      <c r="CQ13" s="10">
        <f>('Gestión de abastecimiento'!L305)</f>
        <v>289</v>
      </c>
      <c r="CR13" s="14">
        <f>('Gestión de abastecimiento'!L311)</f>
        <v>1</v>
      </c>
      <c r="CT13" s="4"/>
      <c r="CW13" s="4"/>
      <c r="CY13" s="20" t="str">
        <f>('Gestión de abastecimiento'!A305)</f>
        <v>Total</v>
      </c>
      <c r="CZ13" s="10">
        <f>('Gestión de abastecimiento'!M305)</f>
        <v>289</v>
      </c>
      <c r="DA13" s="14">
        <f>('Gestión de abastecimiento'!M311)</f>
        <v>1</v>
      </c>
      <c r="DC13" s="4"/>
      <c r="DF13" s="4"/>
      <c r="DH13" s="20" t="str">
        <f>('Gestión de abastecimiento'!A305)</f>
        <v>Total</v>
      </c>
      <c r="DI13" s="10">
        <f>('Gestión de abastecimiento'!N305)</f>
        <v>289</v>
      </c>
      <c r="DJ13" s="14">
        <f>('Gestión de abastecimiento'!N311)</f>
        <v>1</v>
      </c>
      <c r="DL13" s="4"/>
      <c r="DO13" s="4"/>
      <c r="DQ13" s="20" t="str">
        <f>('Gestión de abastecimiento'!A305)</f>
        <v>Total</v>
      </c>
      <c r="DR13" s="10">
        <f>('Gestión de abastecimiento'!O305)</f>
        <v>289</v>
      </c>
      <c r="DS13" s="14">
        <f>('Gestión de abastecimiento'!O311)</f>
        <v>0.99999999999999989</v>
      </c>
      <c r="DU13" s="4"/>
      <c r="DX13" s="4"/>
      <c r="DZ13" s="20" t="str">
        <f>('Gestión de abastecimiento'!A305)</f>
        <v>Total</v>
      </c>
      <c r="EA13" s="10">
        <f>('Gestión de abastecimiento'!P305)</f>
        <v>289</v>
      </c>
      <c r="EB13" s="14">
        <f>('Gestión de abastecimiento'!P311)</f>
        <v>0.99999999999999989</v>
      </c>
      <c r="ED13" s="4"/>
      <c r="EG13" s="4"/>
      <c r="EI13" s="20" t="str">
        <f>('Gestión de abastecimiento'!A305)</f>
        <v>Total</v>
      </c>
      <c r="EJ13" s="10">
        <f>('Gestión de abastecimiento'!Q305)</f>
        <v>289</v>
      </c>
      <c r="EK13" s="14">
        <f>('Gestión de abastecimiento'!Q311)</f>
        <v>1</v>
      </c>
      <c r="EM13" s="4"/>
      <c r="EP13" s="4"/>
      <c r="ER13" s="20" t="str">
        <f>('Gestión de abastecimiento'!A305)</f>
        <v>Total</v>
      </c>
      <c r="ES13" s="10">
        <f>('Gestión de abastecimiento'!R305)</f>
        <v>289</v>
      </c>
      <c r="ET13" s="14">
        <f>('Gestión de abastecimiento'!R311)</f>
        <v>1</v>
      </c>
      <c r="EV13" s="4"/>
      <c r="EY13" s="4"/>
      <c r="FA13" s="20" t="str">
        <f>('Gestión de abastecimiento'!A305)</f>
        <v>Total</v>
      </c>
      <c r="FB13" s="10">
        <f>('Gestión de abastecimiento'!S305)</f>
        <v>289</v>
      </c>
      <c r="FC13" s="14">
        <f>('Gestión de abastecimiento'!S311)</f>
        <v>1</v>
      </c>
      <c r="FE13" s="4"/>
    </row>
    <row r="14" spans="2:161" x14ac:dyDescent="0.25">
      <c r="B14" s="4"/>
      <c r="D14" s="3" t="s">
        <v>353</v>
      </c>
      <c r="H14" s="4"/>
      <c r="K14" s="4"/>
      <c r="M14" s="3" t="s">
        <v>353</v>
      </c>
      <c r="Q14" s="4"/>
      <c r="T14" s="4"/>
      <c r="V14" s="3" t="s">
        <v>353</v>
      </c>
      <c r="Z14" s="4"/>
      <c r="AC14" s="4"/>
      <c r="AE14" s="3" t="s">
        <v>353</v>
      </c>
      <c r="AI14" s="4"/>
      <c r="AL14" s="4"/>
      <c r="AN14" s="3" t="s">
        <v>353</v>
      </c>
      <c r="AR14" s="4"/>
      <c r="AU14" s="4"/>
      <c r="AW14" s="3" t="s">
        <v>353</v>
      </c>
      <c r="BA14" s="4"/>
      <c r="BD14" s="4"/>
      <c r="BF14" s="3" t="s">
        <v>353</v>
      </c>
      <c r="BJ14" s="4"/>
      <c r="BM14" s="4"/>
      <c r="BO14" s="3" t="s">
        <v>353</v>
      </c>
      <c r="BS14" s="4"/>
      <c r="BV14" s="4"/>
      <c r="BX14" s="3" t="s">
        <v>353</v>
      </c>
      <c r="CB14" s="4"/>
      <c r="CE14" s="4"/>
      <c r="CG14" s="3" t="s">
        <v>353</v>
      </c>
      <c r="CK14" s="4"/>
      <c r="CN14" s="4"/>
      <c r="CP14" s="3" t="s">
        <v>353</v>
      </c>
      <c r="CT14" s="4"/>
      <c r="CW14" s="4"/>
      <c r="CY14" s="3" t="s">
        <v>353</v>
      </c>
      <c r="DC14" s="4"/>
      <c r="DF14" s="4"/>
      <c r="DH14" s="3" t="s">
        <v>353</v>
      </c>
      <c r="DL14" s="4"/>
      <c r="DO14" s="4"/>
      <c r="DQ14" s="3" t="s">
        <v>353</v>
      </c>
      <c r="DU14" s="4"/>
      <c r="DX14" s="4"/>
      <c r="DZ14" s="3" t="s">
        <v>353</v>
      </c>
      <c r="ED14" s="4"/>
      <c r="EG14" s="4"/>
      <c r="EI14" s="3" t="s">
        <v>353</v>
      </c>
      <c r="EM14" s="4"/>
      <c r="EP14" s="4"/>
      <c r="ER14" s="3" t="s">
        <v>353</v>
      </c>
      <c r="EV14" s="4"/>
      <c r="EY14" s="4"/>
      <c r="FA14" s="3" t="s">
        <v>353</v>
      </c>
      <c r="FE14" s="4"/>
    </row>
    <row r="15" spans="2:161" x14ac:dyDescent="0.25">
      <c r="B15" s="4"/>
      <c r="D15" s="3" t="s">
        <v>352</v>
      </c>
      <c r="H15" s="4"/>
      <c r="K15" s="4"/>
      <c r="M15" s="3" t="s">
        <v>352</v>
      </c>
      <c r="Q15" s="4"/>
      <c r="T15" s="4"/>
      <c r="V15" s="3" t="s">
        <v>352</v>
      </c>
      <c r="Z15" s="4"/>
      <c r="AC15" s="4"/>
      <c r="AE15" s="3" t="s">
        <v>352</v>
      </c>
      <c r="AI15" s="4"/>
      <c r="AL15" s="4"/>
      <c r="AN15" s="3" t="s">
        <v>352</v>
      </c>
      <c r="AR15" s="4"/>
      <c r="AU15" s="4"/>
      <c r="AW15" s="3" t="s">
        <v>352</v>
      </c>
      <c r="BA15" s="4"/>
      <c r="BD15" s="4"/>
      <c r="BF15" s="3" t="s">
        <v>352</v>
      </c>
      <c r="BJ15" s="4"/>
      <c r="BM15" s="4"/>
      <c r="BO15" s="3" t="s">
        <v>352</v>
      </c>
      <c r="BS15" s="4"/>
      <c r="BV15" s="4"/>
      <c r="BX15" s="3" t="s">
        <v>352</v>
      </c>
      <c r="CB15" s="4"/>
      <c r="CE15" s="4"/>
      <c r="CG15" s="3" t="s">
        <v>352</v>
      </c>
      <c r="CK15" s="4"/>
      <c r="CN15" s="4"/>
      <c r="CP15" s="3" t="s">
        <v>352</v>
      </c>
      <c r="CT15" s="4"/>
      <c r="CW15" s="4"/>
      <c r="CY15" s="3" t="s">
        <v>352</v>
      </c>
      <c r="DC15" s="4"/>
      <c r="DF15" s="4"/>
      <c r="DH15" s="3" t="s">
        <v>352</v>
      </c>
      <c r="DL15" s="4"/>
      <c r="DO15" s="4"/>
      <c r="DQ15" s="3" t="s">
        <v>352</v>
      </c>
      <c r="DU15" s="4"/>
      <c r="DX15" s="4"/>
      <c r="DZ15" s="3" t="s">
        <v>352</v>
      </c>
      <c r="ED15" s="4"/>
      <c r="EG15" s="4"/>
      <c r="EI15" s="3" t="s">
        <v>352</v>
      </c>
      <c r="EM15" s="4"/>
      <c r="EP15" s="4"/>
      <c r="ER15" s="3" t="s">
        <v>352</v>
      </c>
      <c r="EV15" s="4"/>
      <c r="EY15" s="4"/>
      <c r="FA15" s="3" t="s">
        <v>352</v>
      </c>
      <c r="FE15" s="4"/>
    </row>
    <row r="16" spans="2:161" x14ac:dyDescent="0.25">
      <c r="B16" s="4"/>
      <c r="H16" s="4"/>
      <c r="K16" s="4"/>
      <c r="Q16" s="4"/>
      <c r="T16" s="4"/>
      <c r="Z16" s="4"/>
      <c r="AC16" s="4"/>
      <c r="AI16" s="4"/>
      <c r="AL16" s="4"/>
      <c r="AR16" s="4"/>
      <c r="AU16" s="4"/>
      <c r="BA16" s="4"/>
      <c r="BD16" s="4"/>
      <c r="BJ16" s="4"/>
      <c r="BM16" s="4"/>
      <c r="BS16" s="4"/>
      <c r="BV16" s="4"/>
      <c r="CB16" s="4"/>
      <c r="CE16" s="4"/>
      <c r="CK16" s="4"/>
      <c r="CN16" s="4"/>
      <c r="CT16" s="4"/>
      <c r="CW16" s="4"/>
      <c r="DC16" s="4"/>
      <c r="DF16" s="4"/>
      <c r="DL16" s="4"/>
      <c r="DO16" s="4"/>
      <c r="DU16" s="4"/>
      <c r="DX16" s="4"/>
      <c r="ED16" s="4"/>
      <c r="EG16" s="4"/>
      <c r="EM16" s="4"/>
      <c r="EP16" s="4"/>
      <c r="EV16" s="4"/>
      <c r="EY16" s="4"/>
      <c r="FE16" s="4"/>
    </row>
    <row r="17" spans="2:161" x14ac:dyDescent="0.25">
      <c r="B17" s="4"/>
      <c r="H17" s="4"/>
      <c r="K17" s="4"/>
      <c r="Q17" s="4"/>
      <c r="T17" s="4"/>
      <c r="Z17" s="4"/>
      <c r="AC17" s="4"/>
      <c r="AI17" s="4"/>
      <c r="AL17" s="4"/>
      <c r="AR17" s="4"/>
      <c r="AU17" s="4"/>
      <c r="BA17" s="4"/>
      <c r="BD17" s="4"/>
      <c r="BJ17" s="4"/>
      <c r="BM17" s="4"/>
      <c r="BS17" s="4"/>
      <c r="BV17" s="4"/>
      <c r="CB17" s="4"/>
      <c r="CE17" s="4"/>
      <c r="CK17" s="4"/>
      <c r="CN17" s="4"/>
      <c r="CT17" s="4"/>
      <c r="CW17" s="4"/>
      <c r="DC17" s="4"/>
      <c r="DF17" s="4"/>
      <c r="DL17" s="4"/>
      <c r="DO17" s="4"/>
      <c r="DU17" s="4"/>
      <c r="DX17" s="4"/>
      <c r="ED17" s="4"/>
      <c r="EG17" s="4"/>
      <c r="EM17" s="4"/>
      <c r="EP17" s="4"/>
      <c r="EV17" s="4"/>
      <c r="EY17" s="4"/>
      <c r="FE17" s="4"/>
    </row>
    <row r="18" spans="2:161" x14ac:dyDescent="0.25">
      <c r="B18" s="4"/>
      <c r="H18" s="4"/>
      <c r="K18" s="4"/>
      <c r="Q18" s="4"/>
      <c r="T18" s="4"/>
      <c r="Z18" s="4"/>
      <c r="AC18" s="4"/>
      <c r="AI18" s="4"/>
      <c r="AL18" s="4"/>
      <c r="AR18" s="4"/>
      <c r="AU18" s="4"/>
      <c r="BA18" s="4"/>
      <c r="BD18" s="4"/>
      <c r="BJ18" s="4"/>
      <c r="BM18" s="4"/>
      <c r="BS18" s="4"/>
      <c r="BV18" s="4"/>
      <c r="CB18" s="4"/>
      <c r="CE18" s="4"/>
      <c r="CK18" s="4"/>
      <c r="CN18" s="4"/>
      <c r="CT18" s="4"/>
      <c r="CW18" s="4"/>
      <c r="DC18" s="4"/>
      <c r="DF18" s="4"/>
      <c r="DL18" s="4"/>
      <c r="DO18" s="4"/>
      <c r="DU18" s="4"/>
      <c r="DX18" s="4"/>
      <c r="ED18" s="4"/>
      <c r="EG18" s="4"/>
      <c r="EM18" s="4"/>
      <c r="EP18" s="4"/>
      <c r="EV18" s="4"/>
      <c r="EY18" s="4"/>
      <c r="FE18" s="4"/>
    </row>
    <row r="19" spans="2:161" x14ac:dyDescent="0.25">
      <c r="B19" s="4"/>
      <c r="H19" s="4"/>
      <c r="K19" s="4"/>
      <c r="Q19" s="4"/>
      <c r="T19" s="4"/>
      <c r="Z19" s="4"/>
      <c r="AC19" s="4"/>
      <c r="AI19" s="4"/>
      <c r="AL19" s="4"/>
      <c r="AR19" s="4"/>
      <c r="AU19" s="4"/>
      <c r="BA19" s="4"/>
      <c r="BD19" s="4"/>
      <c r="BJ19" s="4"/>
      <c r="BM19" s="4"/>
      <c r="BS19" s="4"/>
      <c r="BV19" s="4"/>
      <c r="CB19" s="4"/>
      <c r="CE19" s="4"/>
      <c r="CK19" s="4"/>
      <c r="CN19" s="4"/>
      <c r="CT19" s="4"/>
      <c r="CW19" s="4"/>
      <c r="DC19" s="4"/>
      <c r="DF19" s="4"/>
      <c r="DL19" s="4"/>
      <c r="DO19" s="4"/>
      <c r="DU19" s="4"/>
      <c r="DX19" s="4"/>
      <c r="ED19" s="4"/>
      <c r="EG19" s="4"/>
      <c r="EM19" s="4"/>
      <c r="EP19" s="4"/>
      <c r="EV19" s="4"/>
      <c r="EY19" s="4"/>
      <c r="FE19" s="4"/>
    </row>
    <row r="20" spans="2:161" x14ac:dyDescent="0.25">
      <c r="B20" s="4"/>
      <c r="H20" s="4"/>
      <c r="K20" s="4"/>
      <c r="Q20" s="4"/>
      <c r="T20" s="4"/>
      <c r="Z20" s="4"/>
      <c r="AC20" s="4"/>
      <c r="AI20" s="4"/>
      <c r="AL20" s="4"/>
      <c r="AR20" s="4"/>
      <c r="AU20" s="4"/>
      <c r="BA20" s="4"/>
      <c r="BD20" s="4"/>
      <c r="BJ20" s="4"/>
      <c r="BM20" s="4"/>
      <c r="BS20" s="4"/>
      <c r="BV20" s="4"/>
      <c r="CB20" s="4"/>
      <c r="CE20" s="4"/>
      <c r="CK20" s="4"/>
      <c r="CN20" s="4"/>
      <c r="CT20" s="4"/>
      <c r="CW20" s="4"/>
      <c r="DC20" s="4"/>
      <c r="DF20" s="4"/>
      <c r="DL20" s="4"/>
      <c r="DO20" s="4"/>
      <c r="DU20" s="4"/>
      <c r="DX20" s="4"/>
      <c r="ED20" s="4"/>
      <c r="EG20" s="4"/>
      <c r="EM20" s="4"/>
      <c r="EP20" s="4"/>
      <c r="EV20" s="4"/>
      <c r="EY20" s="4"/>
      <c r="FE20" s="4"/>
    </row>
    <row r="21" spans="2:161" x14ac:dyDescent="0.25">
      <c r="B21" s="4"/>
      <c r="H21" s="4"/>
      <c r="K21" s="4"/>
      <c r="Q21" s="4"/>
      <c r="T21" s="4"/>
      <c r="Z21" s="4"/>
      <c r="AC21" s="4"/>
      <c r="AI21" s="4"/>
      <c r="AL21" s="4"/>
      <c r="AR21" s="4"/>
      <c r="AU21" s="4"/>
      <c r="BA21" s="4"/>
      <c r="BD21" s="4"/>
      <c r="BJ21" s="4"/>
      <c r="BM21" s="4"/>
      <c r="BS21" s="4"/>
      <c r="BV21" s="4"/>
      <c r="CB21" s="4"/>
      <c r="CE21" s="4"/>
      <c r="CK21" s="4"/>
      <c r="CN21" s="4"/>
      <c r="CT21" s="4"/>
      <c r="CW21" s="4"/>
      <c r="DC21" s="4"/>
      <c r="DF21" s="4"/>
      <c r="DL21" s="4"/>
      <c r="DO21" s="4"/>
      <c r="DU21" s="4"/>
      <c r="DX21" s="4"/>
      <c r="ED21" s="4"/>
      <c r="EG21" s="4"/>
      <c r="EM21" s="4"/>
      <c r="EP21" s="4"/>
      <c r="EV21" s="4"/>
      <c r="EY21" s="4"/>
      <c r="FE21" s="4"/>
    </row>
    <row r="22" spans="2:161" x14ac:dyDescent="0.25">
      <c r="B22" s="4"/>
      <c r="H22" s="4"/>
      <c r="K22" s="4"/>
      <c r="Q22" s="4"/>
      <c r="T22" s="4"/>
      <c r="Z22" s="4"/>
      <c r="AC22" s="4"/>
      <c r="AI22" s="4"/>
      <c r="AL22" s="4"/>
      <c r="AR22" s="4"/>
      <c r="AU22" s="4"/>
      <c r="BA22" s="4"/>
      <c r="BD22" s="4"/>
      <c r="BJ22" s="4"/>
      <c r="BM22" s="4"/>
      <c r="BS22" s="4"/>
      <c r="BV22" s="4"/>
      <c r="CB22" s="4"/>
      <c r="CE22" s="4"/>
      <c r="CK22" s="4"/>
      <c r="CN22" s="4"/>
      <c r="CT22" s="4"/>
      <c r="CW22" s="4"/>
      <c r="DC22" s="4"/>
      <c r="DF22" s="4"/>
      <c r="DL22" s="4"/>
      <c r="DO22" s="4"/>
      <c r="DU22" s="4"/>
      <c r="DX22" s="4"/>
      <c r="ED22" s="4"/>
      <c r="EG22" s="4"/>
      <c r="EM22" s="4"/>
      <c r="EP22" s="4"/>
      <c r="EV22" s="4"/>
      <c r="EY22" s="4"/>
      <c r="FE22" s="4"/>
    </row>
    <row r="23" spans="2:161" x14ac:dyDescent="0.25">
      <c r="B23" s="4"/>
      <c r="H23" s="4"/>
      <c r="K23" s="4"/>
      <c r="Q23" s="4"/>
      <c r="T23" s="4"/>
      <c r="Z23" s="4"/>
      <c r="AC23" s="4"/>
      <c r="AI23" s="4"/>
      <c r="AL23" s="4"/>
      <c r="AR23" s="4"/>
      <c r="AU23" s="4"/>
      <c r="BA23" s="4"/>
      <c r="BD23" s="4"/>
      <c r="BJ23" s="4"/>
      <c r="BM23" s="4"/>
      <c r="BS23" s="4"/>
      <c r="BV23" s="4"/>
      <c r="CB23" s="4"/>
      <c r="CE23" s="4"/>
      <c r="CK23" s="4"/>
      <c r="CN23" s="4"/>
      <c r="CT23" s="4"/>
      <c r="CW23" s="4"/>
      <c r="DC23" s="4"/>
      <c r="DF23" s="4"/>
      <c r="DL23" s="4"/>
      <c r="DO23" s="4"/>
      <c r="DU23" s="4"/>
      <c r="DX23" s="4"/>
      <c r="ED23" s="4"/>
      <c r="EG23" s="4"/>
      <c r="EM23" s="4"/>
      <c r="EP23" s="4"/>
      <c r="EV23" s="4"/>
      <c r="EY23" s="4"/>
      <c r="FE23" s="4"/>
    </row>
    <row r="24" spans="2:161" x14ac:dyDescent="0.25">
      <c r="B24" s="4"/>
      <c r="H24" s="4"/>
      <c r="K24" s="4"/>
      <c r="Q24" s="4"/>
      <c r="T24" s="4"/>
      <c r="Z24" s="4"/>
      <c r="AC24" s="4"/>
      <c r="AI24" s="4"/>
      <c r="AL24" s="4"/>
      <c r="AR24" s="4"/>
      <c r="AU24" s="4"/>
      <c r="BA24" s="4"/>
      <c r="BD24" s="4"/>
      <c r="BJ24" s="4"/>
      <c r="BM24" s="4"/>
      <c r="BS24" s="4"/>
      <c r="BV24" s="4"/>
      <c r="CB24" s="4"/>
      <c r="CE24" s="4"/>
      <c r="CK24" s="4"/>
      <c r="CN24" s="4"/>
      <c r="CT24" s="4"/>
      <c r="CW24" s="4"/>
      <c r="DC24" s="4"/>
      <c r="DF24" s="4"/>
      <c r="DL24" s="4"/>
      <c r="DO24" s="4"/>
      <c r="DU24" s="4"/>
      <c r="DX24" s="4"/>
      <c r="ED24" s="4"/>
      <c r="EG24" s="4"/>
      <c r="EM24" s="4"/>
      <c r="EP24" s="4"/>
      <c r="EV24" s="4"/>
      <c r="EY24" s="4"/>
      <c r="FE24" s="4"/>
    </row>
    <row r="25" spans="2:161" x14ac:dyDescent="0.25">
      <c r="B25" s="4"/>
      <c r="H25" s="4"/>
      <c r="K25" s="4"/>
      <c r="Q25" s="4"/>
      <c r="T25" s="4"/>
      <c r="Z25" s="4"/>
      <c r="AC25" s="4"/>
      <c r="AI25" s="4"/>
      <c r="AL25" s="4"/>
      <c r="AR25" s="4"/>
      <c r="AU25" s="4"/>
      <c r="BA25" s="4"/>
      <c r="BD25" s="4"/>
      <c r="BJ25" s="4"/>
      <c r="BM25" s="4"/>
      <c r="BS25" s="4"/>
      <c r="BV25" s="4"/>
      <c r="CB25" s="4"/>
      <c r="CE25" s="4"/>
      <c r="CK25" s="4"/>
      <c r="CN25" s="4"/>
      <c r="CT25" s="4"/>
      <c r="CW25" s="4"/>
      <c r="DC25" s="4"/>
      <c r="DF25" s="4"/>
      <c r="DL25" s="4"/>
      <c r="DO25" s="4"/>
      <c r="DU25" s="4"/>
      <c r="DX25" s="4"/>
      <c r="ED25" s="4"/>
      <c r="EG25" s="4"/>
      <c r="EM25" s="4"/>
      <c r="EP25" s="4"/>
      <c r="EV25" s="4"/>
      <c r="EY25" s="4"/>
      <c r="FE25" s="4"/>
    </row>
    <row r="26" spans="2:161" x14ac:dyDescent="0.25">
      <c r="B26" s="4"/>
      <c r="H26" s="4"/>
      <c r="K26" s="4"/>
      <c r="Q26" s="4"/>
      <c r="T26" s="4"/>
      <c r="Z26" s="4"/>
      <c r="AC26" s="4"/>
      <c r="AI26" s="4"/>
      <c r="AL26" s="4"/>
      <c r="AR26" s="4"/>
      <c r="AU26" s="4"/>
      <c r="BA26" s="4"/>
      <c r="BD26" s="4"/>
      <c r="BJ26" s="4"/>
      <c r="BM26" s="4"/>
      <c r="BS26" s="4"/>
      <c r="BV26" s="4"/>
      <c r="CB26" s="4"/>
      <c r="CE26" s="4"/>
      <c r="CK26" s="4"/>
      <c r="CN26" s="4"/>
      <c r="CT26" s="4"/>
      <c r="CW26" s="4"/>
      <c r="DC26" s="4"/>
      <c r="DF26" s="4"/>
      <c r="DL26" s="4"/>
      <c r="DO26" s="4"/>
      <c r="DU26" s="4"/>
      <c r="DX26" s="4"/>
      <c r="ED26" s="4"/>
      <c r="EG26" s="4"/>
      <c r="EM26" s="4"/>
      <c r="EP26" s="4"/>
      <c r="EV26" s="4"/>
      <c r="EY26" s="4"/>
      <c r="FE26" s="4"/>
    </row>
    <row r="27" spans="2:161" x14ac:dyDescent="0.25">
      <c r="B27" s="4"/>
      <c r="H27" s="4"/>
      <c r="K27" s="4"/>
      <c r="Q27" s="4"/>
      <c r="T27" s="4"/>
      <c r="Z27" s="4"/>
      <c r="AC27" s="4"/>
      <c r="AI27" s="4"/>
      <c r="AL27" s="4"/>
      <c r="AR27" s="4"/>
      <c r="AU27" s="4"/>
      <c r="BA27" s="4"/>
      <c r="BD27" s="4"/>
      <c r="BJ27" s="4"/>
      <c r="BM27" s="4"/>
      <c r="BS27" s="4"/>
      <c r="BV27" s="4"/>
      <c r="CB27" s="4"/>
      <c r="CE27" s="4"/>
      <c r="CK27" s="4"/>
      <c r="CN27" s="4"/>
      <c r="CT27" s="4"/>
      <c r="CW27" s="4"/>
      <c r="DC27" s="4"/>
      <c r="DF27" s="4"/>
      <c r="DL27" s="4"/>
      <c r="DO27" s="4"/>
      <c r="DU27" s="4"/>
      <c r="DX27" s="4"/>
      <c r="ED27" s="4"/>
      <c r="EG27" s="4"/>
      <c r="EM27" s="4"/>
      <c r="EP27" s="4"/>
      <c r="EV27" s="4"/>
      <c r="EY27" s="4"/>
      <c r="FE27" s="4"/>
    </row>
    <row r="28" spans="2:161" x14ac:dyDescent="0.25">
      <c r="B28" s="4"/>
      <c r="H28" s="4"/>
      <c r="K28" s="4"/>
      <c r="Q28" s="4"/>
      <c r="T28" s="4"/>
      <c r="Z28" s="4"/>
      <c r="AC28" s="4"/>
      <c r="AI28" s="4"/>
      <c r="AL28" s="4"/>
      <c r="AR28" s="4"/>
      <c r="AU28" s="4"/>
      <c r="BA28" s="4"/>
      <c r="BD28" s="4"/>
      <c r="BJ28" s="4"/>
      <c r="BM28" s="4"/>
      <c r="BS28" s="4"/>
      <c r="BV28" s="4"/>
      <c r="CB28" s="4"/>
      <c r="CE28" s="4"/>
      <c r="CK28" s="4"/>
      <c r="CN28" s="4"/>
      <c r="CT28" s="4"/>
      <c r="CW28" s="4"/>
      <c r="DC28" s="4"/>
      <c r="DF28" s="4"/>
      <c r="DL28" s="4"/>
      <c r="DO28" s="4"/>
      <c r="DU28" s="4"/>
      <c r="DX28" s="4"/>
      <c r="ED28" s="4"/>
      <c r="EG28" s="4"/>
      <c r="EM28" s="4"/>
      <c r="EP28" s="4"/>
      <c r="EV28" s="4"/>
      <c r="EY28" s="4"/>
      <c r="FE28" s="4"/>
    </row>
    <row r="29" spans="2:161" x14ac:dyDescent="0.25">
      <c r="B29" s="4"/>
      <c r="H29" s="4"/>
      <c r="K29" s="4"/>
      <c r="Q29" s="4"/>
      <c r="T29" s="4"/>
      <c r="Z29" s="4"/>
      <c r="AC29" s="4"/>
      <c r="AI29" s="4"/>
      <c r="AL29" s="4"/>
      <c r="AR29" s="4"/>
      <c r="AU29" s="4"/>
      <c r="BA29" s="4"/>
      <c r="BD29" s="4"/>
      <c r="BJ29" s="4"/>
      <c r="BM29" s="4"/>
      <c r="BS29" s="4"/>
      <c r="BV29" s="4"/>
      <c r="CB29" s="4"/>
      <c r="CE29" s="4"/>
      <c r="CK29" s="4"/>
      <c r="CN29" s="4"/>
      <c r="CT29" s="4"/>
      <c r="CW29" s="4"/>
      <c r="DC29" s="4"/>
      <c r="DF29" s="4"/>
      <c r="DL29" s="4"/>
      <c r="DO29" s="4"/>
      <c r="DU29" s="4"/>
      <c r="DX29" s="4"/>
      <c r="ED29" s="4"/>
      <c r="EG29" s="4"/>
      <c r="EM29" s="4"/>
      <c r="EP29" s="4"/>
      <c r="EV29" s="4"/>
      <c r="EY29" s="4"/>
      <c r="FE29" s="4"/>
    </row>
    <row r="30" spans="2:161" x14ac:dyDescent="0.25">
      <c r="B30" s="4"/>
      <c r="H30" s="4"/>
      <c r="K30" s="4"/>
      <c r="Q30" s="4"/>
      <c r="T30" s="4"/>
      <c r="Z30" s="4"/>
      <c r="AC30" s="4"/>
      <c r="AI30" s="4"/>
      <c r="AL30" s="4"/>
      <c r="AR30" s="4"/>
      <c r="AU30" s="4"/>
      <c r="BA30" s="4"/>
      <c r="BD30" s="4"/>
      <c r="BJ30" s="4"/>
      <c r="BM30" s="4"/>
      <c r="BS30" s="4"/>
      <c r="BV30" s="4"/>
      <c r="CB30" s="4"/>
      <c r="CE30" s="4"/>
      <c r="CK30" s="4"/>
      <c r="CN30" s="4"/>
      <c r="CT30" s="4"/>
      <c r="CW30" s="4"/>
      <c r="DC30" s="4"/>
      <c r="DF30" s="4"/>
      <c r="DL30" s="4"/>
      <c r="DO30" s="4"/>
      <c r="DU30" s="4"/>
      <c r="DX30" s="4"/>
      <c r="ED30" s="4"/>
      <c r="EG30" s="4"/>
      <c r="EM30" s="4"/>
      <c r="EP30" s="4"/>
      <c r="EV30" s="4"/>
      <c r="EY30" s="4"/>
      <c r="FE30" s="4"/>
    </row>
    <row r="31" spans="2:161" x14ac:dyDescent="0.25">
      <c r="B31" s="4"/>
      <c r="H31" s="4"/>
      <c r="K31" s="4"/>
      <c r="Q31" s="4"/>
      <c r="T31" s="4"/>
      <c r="Z31" s="4"/>
      <c r="AC31" s="4"/>
      <c r="AI31" s="4"/>
      <c r="AL31" s="4"/>
      <c r="AR31" s="4"/>
      <c r="AU31" s="4"/>
      <c r="BA31" s="4"/>
      <c r="BD31" s="4"/>
      <c r="BJ31" s="4"/>
      <c r="BM31" s="4"/>
      <c r="BS31" s="4"/>
      <c r="BV31" s="4"/>
      <c r="CB31" s="4"/>
      <c r="CE31" s="4"/>
      <c r="CK31" s="4"/>
      <c r="CN31" s="4"/>
      <c r="CT31" s="4"/>
      <c r="CW31" s="4"/>
      <c r="DC31" s="4"/>
      <c r="DF31" s="4"/>
      <c r="DL31" s="4"/>
      <c r="DO31" s="4"/>
      <c r="DU31" s="4"/>
      <c r="DX31" s="4"/>
      <c r="ED31" s="4"/>
      <c r="EG31" s="4"/>
      <c r="EM31" s="4"/>
      <c r="EP31" s="4"/>
      <c r="EV31" s="4"/>
      <c r="EY31" s="4"/>
      <c r="FE31" s="4"/>
    </row>
    <row r="32" spans="2:161" x14ac:dyDescent="0.25">
      <c r="B32" s="4"/>
      <c r="H32" s="4"/>
      <c r="K32" s="4"/>
      <c r="Q32" s="4"/>
      <c r="T32" s="4"/>
      <c r="Z32" s="4"/>
      <c r="AC32" s="4"/>
      <c r="AI32" s="4"/>
      <c r="AL32" s="4"/>
      <c r="AR32" s="4"/>
      <c r="AU32" s="4"/>
      <c r="BA32" s="4"/>
      <c r="BD32" s="4"/>
      <c r="BJ32" s="4"/>
      <c r="BM32" s="4"/>
      <c r="BS32" s="4"/>
      <c r="BV32" s="4"/>
      <c r="CB32" s="4"/>
      <c r="CE32" s="4"/>
      <c r="CK32" s="4"/>
      <c r="CN32" s="4"/>
      <c r="CT32" s="4"/>
      <c r="CW32" s="4"/>
      <c r="DC32" s="4"/>
      <c r="DF32" s="4"/>
      <c r="DL32" s="4"/>
      <c r="DO32" s="4"/>
      <c r="DU32" s="4"/>
      <c r="DX32" s="4"/>
      <c r="ED32" s="4"/>
      <c r="EG32" s="4"/>
      <c r="EM32" s="4"/>
      <c r="EP32" s="4"/>
      <c r="EV32" s="4"/>
      <c r="EY32" s="4"/>
      <c r="FE32" s="4"/>
    </row>
    <row r="33" spans="2:161" x14ac:dyDescent="0.25">
      <c r="B33" s="4"/>
      <c r="D33" s="3" t="s">
        <v>428</v>
      </c>
      <c r="H33" s="4"/>
      <c r="K33" s="4"/>
      <c r="M33" s="3" t="s">
        <v>429</v>
      </c>
      <c r="Q33" s="4"/>
      <c r="T33" s="4"/>
      <c r="V33" s="3" t="s">
        <v>430</v>
      </c>
      <c r="Z33" s="4"/>
      <c r="AC33" s="4"/>
      <c r="AE33" s="3" t="s">
        <v>431</v>
      </c>
      <c r="AI33" s="4"/>
      <c r="AL33" s="4"/>
      <c r="AN33" s="3" t="s">
        <v>432</v>
      </c>
      <c r="AR33" s="4"/>
      <c r="AU33" s="4"/>
      <c r="AW33" s="3" t="s">
        <v>433</v>
      </c>
      <c r="BA33" s="4"/>
      <c r="BD33" s="4"/>
      <c r="BF33" s="3" t="s">
        <v>434</v>
      </c>
      <c r="BJ33" s="4"/>
      <c r="BM33" s="4"/>
      <c r="BO33" s="3" t="s">
        <v>435</v>
      </c>
      <c r="BS33" s="4"/>
      <c r="BV33" s="4"/>
      <c r="BX33" s="3" t="s">
        <v>436</v>
      </c>
      <c r="CB33" s="4"/>
      <c r="CE33" s="4"/>
      <c r="CG33" s="3" t="s">
        <v>437</v>
      </c>
      <c r="CK33" s="4"/>
      <c r="CN33" s="4"/>
      <c r="CP33" s="3" t="s">
        <v>438</v>
      </c>
      <c r="CT33" s="4"/>
      <c r="CW33" s="4"/>
      <c r="CY33" s="3" t="s">
        <v>439</v>
      </c>
      <c r="DC33" s="4"/>
      <c r="DF33" s="4"/>
      <c r="DH33" s="3" t="s">
        <v>440</v>
      </c>
      <c r="DL33" s="4"/>
      <c r="DO33" s="4"/>
      <c r="DQ33" s="3" t="s">
        <v>441</v>
      </c>
      <c r="DU33" s="4"/>
      <c r="DX33" s="4"/>
      <c r="DZ33" s="3" t="s">
        <v>442</v>
      </c>
      <c r="ED33" s="4"/>
      <c r="EG33" s="4"/>
      <c r="EI33" s="3" t="s">
        <v>443</v>
      </c>
      <c r="EM33" s="4"/>
      <c r="EP33" s="4"/>
      <c r="ER33" s="3" t="s">
        <v>444</v>
      </c>
      <c r="EV33" s="4"/>
      <c r="EY33" s="4"/>
      <c r="FA33" s="3" t="s">
        <v>445</v>
      </c>
      <c r="FE33" s="4"/>
    </row>
    <row r="34" spans="2:161" x14ac:dyDescent="0.25">
      <c r="B34" s="4"/>
      <c r="D34" s="3" t="s">
        <v>364</v>
      </c>
      <c r="H34" s="4"/>
      <c r="K34" s="4"/>
      <c r="M34" s="3" t="s">
        <v>364</v>
      </c>
      <c r="Q34" s="4"/>
      <c r="T34" s="4"/>
      <c r="V34" s="3" t="s">
        <v>364</v>
      </c>
      <c r="Z34" s="4"/>
      <c r="AC34" s="4"/>
      <c r="AE34" s="3" t="s">
        <v>364</v>
      </c>
      <c r="AI34" s="4"/>
      <c r="AL34" s="4"/>
      <c r="AN34" s="3"/>
      <c r="AR34" s="4"/>
      <c r="AU34" s="4"/>
      <c r="AW34" s="3" t="s">
        <v>364</v>
      </c>
      <c r="BA34" s="4"/>
      <c r="BD34" s="4"/>
      <c r="BF34" s="3" t="s">
        <v>364</v>
      </c>
      <c r="BJ34" s="4"/>
      <c r="BM34" s="4"/>
      <c r="BO34" s="3" t="s">
        <v>364</v>
      </c>
      <c r="BS34" s="4"/>
      <c r="BV34" s="4"/>
      <c r="BX34" s="3" t="s">
        <v>364</v>
      </c>
      <c r="CB34" s="4"/>
      <c r="CE34" s="4"/>
      <c r="CG34" s="3" t="s">
        <v>364</v>
      </c>
      <c r="CK34" s="4"/>
      <c r="CN34" s="4"/>
      <c r="CP34" s="3" t="s">
        <v>364</v>
      </c>
      <c r="CT34" s="4"/>
      <c r="CW34" s="4"/>
      <c r="CY34" s="3" t="s">
        <v>364</v>
      </c>
      <c r="DC34" s="4"/>
      <c r="DF34" s="4"/>
      <c r="DH34" s="3" t="s">
        <v>364</v>
      </c>
      <c r="DL34" s="4"/>
      <c r="DO34" s="4"/>
      <c r="DQ34" s="3" t="s">
        <v>364</v>
      </c>
      <c r="DU34" s="4"/>
      <c r="DX34" s="4"/>
      <c r="DZ34" s="3" t="s">
        <v>364</v>
      </c>
      <c r="ED34" s="4"/>
      <c r="EG34" s="4"/>
      <c r="EI34" s="3" t="s">
        <v>364</v>
      </c>
      <c r="EM34" s="4"/>
      <c r="EP34" s="4"/>
      <c r="ER34" s="3" t="s">
        <v>364</v>
      </c>
      <c r="EV34" s="4"/>
      <c r="EY34" s="4"/>
      <c r="FA34" s="3" t="s">
        <v>364</v>
      </c>
      <c r="FE34" s="4"/>
    </row>
    <row r="35" spans="2:161" x14ac:dyDescent="0.25">
      <c r="B35" s="4"/>
      <c r="D35" s="52" t="str">
        <f>CONCATENATE("En ","la ",D5," y ",D33," se observa los resultados  del  ",D4," el cual aborda ",E1062,",en donde se demuestra que el ",ROUND(F8*100,0),"%"," de los ",D1045," tienen una percepción de ",G1046,", el ",ROUND(F9*100,0),"%"," ",G1047,", un ",ROUND(F10*100,0),"%"," ",G1048,",",IF(E1049&gt;0,CONCATENATE(" ademas el ",ROUND(F11*100,0),"%"," ",G1049,)," "),IF(E1049&gt;0,CONCATENATE(" y ",ROUND(F12*100,0),"%",", ",G1050,)," "),"en tal sentido la mayoría de los ",D1045," es decir el ",ROUND(E1053*100,0),"%"," tienen una percepción con una inclinación a un valor ",D1056,","," para ",E1062,".")</f>
        <v>En la Tabla 1 y Figura. 1 se observa los resultados  del  Item 1 el cual aborda x,en donde se demuestra que el 0% de los Beneficiaross tienen una percepción de Ni de acuerdo ni en desacuerdo, el 12% De acuerdo, un 51% En desacuerdo, ademas el 34% Totalmente de acuerdo y 3%, Totalmente en desacuerdoen tal sentido la mayoría de los Beneficiaross es decir el 88% tienen una percepción con una inclinación a un valor Bajo, para x.</v>
      </c>
      <c r="E35" s="53"/>
      <c r="F35" s="53"/>
      <c r="H35" s="4"/>
      <c r="K35" s="4"/>
      <c r="M35" s="52" t="str">
        <f>CONCATENATE("En ","la ",M5," y ",M33," se observa los resultados  del  ",M4," el cual aborda ",N1062,",en donde se demuestra que el ",ROUND(O8*100,0),"%"," de los ",M1045," tienen una percepción de ",P1046,", el ",ROUND(O9*100,0),"%"," ",P1047,", un ",ROUND(O10*100,0),"%"," ",P1048,",",IF(N1049&gt;0,CONCATENATE(" ademas el ",ROUND(O11*100,0),"%"," ",P1049,)," "),IF(N1049&gt;0,CONCATENATE(" y ",ROUND(O12*100,0),"%",", ",P1050,)," "),"en tal sentido la mayoría de los ",M1045," es decir el ",ROUND(N1053*100,0),"%"," tienen una percepción con una inclinación a un valor ",M1056,","," para ",N1062,".")</f>
        <v>En la Tabla 2 y Figura. 2 se observa los resultados  del  Item 2 el cual aborda x,en donde se demuestra que el 1% de los Beneficiaross tienen una percepción de Ni de acuerdo ni en desacuerdo, el 20% De acuerdo, un 52% En desacuerdo, ademas el 25% Totalmente de acuerdo y 2%, Totalmente en desacuerdoen tal sentido la mayoría de los Beneficiaross es decir el 79% tienen una percepción con una inclinación a un valor Bajo, para x.</v>
      </c>
      <c r="N35" s="53"/>
      <c r="O35" s="53"/>
      <c r="Q35" s="4"/>
      <c r="T35" s="4"/>
      <c r="V35" s="52" t="str">
        <f>CONCATENATE("En ","la ",V5," y ",V33," se observa los resultados  del  ",V4," el cual aborda ",W1062,",en donde se demuestra que el ",ROUND(X8*100,0),"%"," de los ",V1045," tienen una percepción de ",Y1046,", el ",ROUND(X9*100,0),"%"," ",Y1047,", un ",ROUND(X10*100,0),"%"," ",Y1048,",",IF(W1049&gt;0,CONCATENATE(" ademas el ",ROUND(X11*100,0),"%"," ",Y1049,)," "),IF(W1049&gt;0,CONCATENATE(" y ",ROUND(X12*100,0),"%",", ",Y1050,)," "),"en tal sentido la mayoría de los ",V1045," es decir el ",ROUND(W1053*100,0),"%"," tienen una percepción con una inclinación a un valor ",V1056,","," para ",W1062,".")</f>
        <v>En la Tabla 3 y Figura. 3 se observa los resultados  del  Item 3 el cual aborda x,en donde se demuestra que el 1% de los Beneficiaross tienen una percepción de Ni de acuerdo ni en desacuerdo, el 16% De acuerdo, un 54% En desacuerdo, ademas el 26% Totalmente de acuerdo y 3%, Totalmente en desacuerdoen tal sentido la mayoría de los Beneficiaross es decir el 83% tienen una percepción con una inclinación a un valor Bajo, para x.</v>
      </c>
      <c r="W35" s="53"/>
      <c r="X35" s="53"/>
      <c r="Z35" s="4"/>
      <c r="AC35" s="4"/>
      <c r="AE35" s="52" t="str">
        <f>CONCATENATE("En ","la ",AE5," y ",AE33," se observa los resultados  del  ",AE4," el cual aborda ",AF1062,",en donde se demuestra que el ",ROUND(AG8*100,0),"%"," de los ",AE1045," tienen una percepción de ",AH1046,", el ",ROUND(AG9*100,0),"%"," ",AH1047,", un ",ROUND(AG10*100,0),"%"," ",AH1048,",",IF(AF1049&gt;0,CONCATENATE(" ademas el ",ROUND(AG11*100,0),"%"," ",AH1049,)," "),IF(AF1049&gt;0,CONCATENATE(" y ",ROUND(AG12*100,0),"%",", ",AH1050,)," "),"en tal sentido la mayoría de los ",AE1045," es decir el ",ROUND(AF1053*100,0),"%"," tienen una percepción con una inclinación a un valor ",AE1056,","," para ",AF1062,".")</f>
        <v>En la Tabla 4 y Figura. 4 se observa los resultados  del  Item 4 el cual aborda ,en donde se demuestra que el 2% de los Beneficiaross tienen una percepción de Ni de acuerdo ni en desacuerdo, el 26% En desacuerdo, un 48% De acuerdo, ademas el 21% Totalmente de acuerdo y 3%, Totalmente en desacuerdoen tal sentido la mayoría de los Beneficiaross es decir el 76% tienen una percepción con una inclinación a un valor Bajo, para .</v>
      </c>
      <c r="AF35" s="53"/>
      <c r="AG35" s="53"/>
      <c r="AI35" s="4"/>
      <c r="AL35" s="4"/>
      <c r="AN35" s="52" t="str">
        <f>CONCATENATE("En ","la ",AN5," y ",AN33," se observa los resultados  del  ",AN4," el cual aborda ",AO1062,",en donde se demuestra que el ",ROUND(AP8*100,0),"%"," de los ",AN1045," tienen una percepción de ",AQ1046,", el ",ROUND(AP9*100,0),"%"," ",AQ1047,", un ",ROUND(AP10*100,0),"%"," ",AQ1048,",",IF(AO1049&gt;0,CONCATENATE(" ademas el ",ROUND(AP11*100,0),"%"," ",AQ1049,)," "),IF(AO1049&gt;0,CONCATENATE(" y ",ROUND(AP12*100,0),"%",", ",AQ1050,)," "),"en tal sentido la mayoría de los ",AN1045," es decir el ",ROUND(AO1053*100,0),"%"," tienen una percepción con una inclinación a un valor ",AN1056,","," para ",AO1062,".")</f>
        <v>En la Tabla 5 y Figura. 5 se observa los resultados  del  Item 5 el cual aborda x,en donde se demuestra que el 1% de los Beneficiaross tienen una percepción de Ni de acuerdo ni en desacuerdo, el 26% En desacuerdo, un 50% De acuerdo, ademas el 21% Totalmente en desacuerdo y 1%, Totalmente en desacuerdoen tal sentido la mayoría de los Beneficiaross es decir el 78% tienen una percepción con una inclinación a un valor Bajo, para x.</v>
      </c>
      <c r="AO35" s="53"/>
      <c r="AP35" s="53"/>
      <c r="AR35" s="4"/>
      <c r="AU35" s="4"/>
      <c r="AW35" s="52" t="str">
        <f>CONCATENATE("En ","la ",AW5," y ",AW33," se observa los resultados  del  ",AW4," el cual aborda ",AX1062,",en donde se demuestra que el ",ROUND(AY8*100,0),"%"," de los ",AW1045," tienen una percepción de ",AZ1046,", el ",ROUND(AY9*100,0),"%"," ",AZ1047,", un ",ROUND(AY10*100,0),"%"," ",AZ1048,",",IF(AX1049&gt;0,CONCATENATE(" ademas el ",ROUND(AY11*100,0),"%"," ",AZ1049,)," "),IF(AX1049&gt;0,CONCATENATE(" y ",ROUND(AY12*100,0),"%",", ",AZ1050,)," "),"en tal sentido la mayoría de los ",AW1045," es decir el ",ROUND(AX1053*100,0),"%"," tienen una percepción con una inclinación a un valor ",AW1056,","," para ",AX1062,".")</f>
        <v>En la Tabla 6 y Figura. 6 se observa los resultados  del  Item 6 el cual aborda x,en donde se demuestra que el 1% de los Beneficiaross tienen una percepción de Ni de acuerdo ni en desacuerdo, el 22% En desacuerdo, un 52% De acuerdo, ademas el 22% Totalmente de acuerdo y 2%, Totalmente en desacuerdoen tal sentido la mayoría de los Beneficiaross es decir el 76% tienen una percepción con una inclinación a un valor Bajo, para x.</v>
      </c>
      <c r="AX35" s="53"/>
      <c r="AY35" s="53"/>
      <c r="BA35" s="4"/>
      <c r="BD35" s="4"/>
      <c r="BF35" s="52" t="str">
        <f>CONCATENATE("En ","la ",BF5," y ",BF33," se observa los resultados  del  ",BF4," el cual aborda ",BG1062,",en donde se demuestra que el ",ROUND(BH8*100,0),"%"," de los ",BF1045," tienen una percepción de ",BI1046,", el ",ROUND(BH9*100,0),"%"," ",BI1047,", un ",ROUND(BH10*100,0),"%"," ",BI1048,",",IF(BG1049&gt;0,CONCATENATE(" ademas el ",ROUND(BH11*100,0),"%"," ",BI1049,)," "),IF(BG1049&gt;0,CONCATENATE(" y ",ROUND(BH12*100,0),"%",", ",BI1050,)," "),"en tal sentido la mayoría de los ",BF1045," es decir el ",ROUND(BG1053*100,0),"%"," tienen una percepción con una inclinación a un valor ",BF1056,","," para ",BG1062,".")</f>
        <v>En la Tabla 7 y Figura. 7 se observa los resultados  del  Item 7 el cual aborda x,en donde se demuestra que el 1% de los Beneficiaross tienen una percepción de Ni de acuerdo ni en desacuerdo, el 26% En desacuerdo, un 52% De acuerdo, ademas el 19% Totalmente de acuerdo y 2%, Totalmente en desacuerdoen tal sentido la mayoría de los Beneficiaross es decir el 79% tienen una percepción con una inclinación a un valor Bajo, para x.</v>
      </c>
      <c r="BG35" s="53"/>
      <c r="BH35" s="53"/>
      <c r="BJ35" s="4"/>
      <c r="BM35" s="4"/>
      <c r="BO35" s="52" t="str">
        <f>CONCATENATE("En ","la ",BO5," y ",BO33," se observa los resultados  del  ",BO4," el cual aborda ",BP1062,",en donde se demuestra que el ",ROUND(BQ8*100,0),"%"," de los ",BO1045," tienen una percepción de ",BR1046,", el ",ROUND(BQ9*100,0),"%"," ",BR1047,", un ",ROUND(BQ10*100,0),"%"," ",BR1048,",",IF(BP1049&gt;0,CONCATENATE(" ademas el ",ROUND(BQ11*100,0),"%"," ",BR1049,)," "),IF(BP1049&gt;0,CONCATENATE(" y ",ROUND(BQ12*100,0),"%",", ",BR1050,)," "),"en tal sentido la mayoría de los ",BO1045," es decir el ",ROUND(BP1053*100,0),"%"," tienen una percepción con una inclinación a un valor ",BO1056,","," para ",BP1062,".")</f>
        <v>En la Tabla 8 y Figura. 8 se observa los resultados  del  Item 8 el cual aborda x,en donde se demuestra que el 1% de los Beneficiaross tienen una percepción de Ni de acuerdo ni en desacuerdo, el 15% De acuerdo, un 51% En desacuerdo, ademas el 29% Totalmente de acuerdo y 3%, Totalmente en desacuerdoen tal sentido la mayoría de los Beneficiaross es decir el 84% tienen una percepción con una inclinación a un valor Bajo, para x.</v>
      </c>
      <c r="BP35" s="53"/>
      <c r="BQ35" s="53"/>
      <c r="BS35" s="4"/>
      <c r="BV35" s="4"/>
      <c r="BX35" s="52" t="str">
        <f>CONCATENATE("En ","la ",BX5," y ",BX33," se observa los resultados  del  ",BX4," el cual aborda ",BY1062,",en donde se demuestra que el ",ROUND(BZ8*100,0),"%"," de los ",BX1045," tienen una percepción de ",CA1046,", el ",ROUND(BZ9*100,0),"%"," ",CA1047,", un ",ROUND(BZ10*100,0),"%"," ",CA1048,",",IF(BY1049&gt;0,CONCATENATE(" ademas el ",ROUND(BZ11*100,0),"%"," ",CA1049,)," "),IF(BY1049&gt;0,CONCATENATE(" y ",ROUND(BZ12*100,0),"%",", ",CA1050,)," "),"en tal sentido la mayoría de los ",BX1045," es decir el ",ROUND(BY1053*100,0),"%"," tienen una percepción con una inclinación a un valor ",BX1056,","," para ",BY1062,".")</f>
        <v>En la Tabla 9 y Figura. 9 se observa los resultados  del  Item 9 el cual aborda ,en donde se demuestra que el 1% de los Beneficiaross tienen una percepción de Ni de acuerdo ni en desacuerdo, el 25% En desacuerdo, un 48% De acuerdo, ademas el 23% Totalmente de acuerdo y 2%, Totalmente en desacuerdoen tal sentido la mayoría de los Beneficiaross es decir el 75% tienen una percepción con una inclinación a un valor Bajo, para .</v>
      </c>
      <c r="BY35" s="53"/>
      <c r="BZ35" s="53"/>
      <c r="CB35" s="4"/>
      <c r="CE35" s="4"/>
      <c r="CG35" s="52" t="str">
        <f>CONCATENATE("En ","la ",CG5," y ",CG33," se observa los resultados  del  ",CG4," el cual aborda ",CH1062,",en donde se demuestra que el ",ROUND(CI8*100,0),"%"," de los ",CG1045," tienen una percepción de ",CJ1046,", el ",ROUND(CI9*100,0),"%"," ",CJ1047,", un ",ROUND(CI10*100,0),"%"," ",CJ1048,",",IF(CH1049&gt;0,CONCATENATE(" ademas el ",ROUND(CI11*100,0),"%"," ",CJ1049,)," "),IF(CH1049&gt;0,CONCATENATE(" y ",ROUND(CI12*100,0),"%",", ",CJ1050,)," "),"en tal sentido la mayoría de los ",CG1045," es decir el ",ROUND(CH1053*100,0),"%"," tienen una percepción con una inclinación a un valor ",CG1056,","," para ",CH1062,".")</f>
        <v>En la Tabla 10 y Figura. 10 se observa los resultados  del  Item 10 el cual aborda x,en donde se demuestra que el 1% de los Beneficiaross tienen una percepción de Ni de acuerdo ni en desacuerdo, el 24% En desacuerdo, un 50% De acuerdo, ademas el 23% Totalmente de acuerdo y 2%, Totalmente en desacuerdoen tal sentido la mayoría de los Beneficiaross es decir el 75% tienen una percepción con una inclinación a un valor Bajo, para x.</v>
      </c>
      <c r="CH35" s="53"/>
      <c r="CI35" s="53"/>
      <c r="CK35" s="4"/>
      <c r="CN35" s="4"/>
      <c r="CP35" s="52" t="str">
        <f>CONCATENATE("En ","la ",CP5," y ",CP33," se observa los resultados  del  ",CP4," el cual aborda ",CQ1062,",en donde se demuestra que el ",ROUND(CR8*100,0),"%"," de los ",CP1045," tienen una percepción de ",CS1046,", el ",ROUND(CR9*100,0),"%"," ",CS1047,", un ",ROUND(CR10*100,0),"%"," ",CS1048,",",IF(CQ1049&gt;0,CONCATENATE(" ademas el ",ROUND(CR11*100,0),"%"," ",CS1049,)," "),IF(CQ1049&gt;0,CONCATENATE(" y ",ROUND(CR12*100,0),"%",", ",CS1050,)," "),"en tal sentido la mayoría de los ",CP1045," es decir el ",ROUND(CQ1053*100,0),"%"," tienen una percepción con una inclinación a un valor ",CP1056,","," para ",CQ1062,".")</f>
        <v>En la Tabla 11 y Figura. 11 se observa los resultados  del  Item 11 el cual aborda x,en donde se demuestra que el 1% de los Beneficiaross tienen una percepción de Ni de acuerdo ni en desacuerdo, el 20% De acuerdo, un 51% En desacuerdo, ademas el 25% Totalmente de acuerdo y 3%, Totalmente en desacuerdoen tal sentido la mayoría de los Beneficiaross es decir el 79% tienen una percepción con una inclinación a un valor Bajo, para x.</v>
      </c>
      <c r="CQ35" s="53"/>
      <c r="CR35" s="53"/>
      <c r="CT35" s="4"/>
      <c r="CW35" s="4"/>
      <c r="CY35" s="52" t="str">
        <f>CONCATENATE("En ","la ",CY5," y ",CY33," se observa los resultados  del  ",CY4," el cual aborda ",CZ1062,",en donde se demuestra que el ",ROUND(DA8*100,0),"%"," de los ",CY1045," tienen una percepción de ",DB1046,", el ",ROUND(DA9*100,0),"%"," ",DB1047,", un ",ROUND(DA10*100,0),"%"," ",DB1048,",",IF(CZ1049&gt;0,CONCATENATE(" ademas el ",ROUND(DA11*100,0),"%"," ",DB1049,)," "),IF(CZ1049&gt;0,CONCATENATE(" y ",ROUND(DA12*100,0),"%",", ",DB1050,)," "),"en tal sentido la mayoría de los ",CY1045," es decir el ",ROUND(CZ1053*100,0),"%"," tienen una percepción con una inclinación a un valor ",CY1056,","," para ",CZ1062,".")</f>
        <v>En la Tabla 12 y Figura. 12 se observa los resultados  del  Item 12 el cual aborda x,en donde se demuestra que el 1% de los Beneficiaross tienen una percepción de Ni de acuerdo ni en desacuerdo, el 20% De acuerdo, un 53% En desacuerdo, ademas el 25% Totalmente de acuerdo y 2%, Totalmente en desacuerdoen tal sentido la mayoría de los Beneficiaross es decir el 79% tienen una percepción con una inclinación a un valor Bajo, para x.</v>
      </c>
      <c r="CZ35" s="53"/>
      <c r="DA35" s="53"/>
      <c r="DC35" s="4"/>
      <c r="DF35" s="4"/>
      <c r="DH35" s="52" t="str">
        <f>CONCATENATE("En ","la ",DH5," y ",DH33," se observa los resultados  del  ",DH4," el cual aborda ",DI1062,",en donde se demuestra que el ",ROUND(DJ8*100,0),"%"," de los ",DH1045," tienen una percepción de ",DK1046,", el ",ROUND(DJ9*100,0),"%"," ",DK1047,", un ",ROUND(DJ10*100,0),"%"," ",DK1048,",",IF(DI1049&gt;0,CONCATENATE(" ademas el ",ROUND(DJ11*100,0),"%"," ",DK1049,)," "),IF(DI1049&gt;0,CONCATENATE(" y ",ROUND(DJ12*100,0),"%",", ",DK1050,)," "),"en tal sentido la mayoría de los ",DH1045," es decir el ",ROUND(DI1053*100,0),"%"," tienen una percepción con una inclinación a un valor ",DH1056,","," para ",DI1062,".")</f>
        <v>En la Tabla 13 y Figura. 13 se observa los resultados  del  Item 13 el cual aborda x,en donde se demuestra que el 3% de los Beneficiaross tienen una percepción de Ni de acuerdo ni en desacuerdo, el 29% En desacuerdo, un 47% De acuerdo, ademas el 19% Totalmente en desacuerdo y 2%, Totalmente de acuerdoen tal sentido la mayoría de los Beneficiaross es decir el 79% tienen una percepción con una inclinación a un valor Bajo, para x.</v>
      </c>
      <c r="DI35" s="53"/>
      <c r="DJ35" s="53"/>
      <c r="DL35" s="4"/>
      <c r="DO35" s="4"/>
      <c r="DQ35" s="52" t="str">
        <f>CONCATENATE("En ","la ",DQ5," y ",DQ33," se observa los resultados  del  ",DQ4," el cual aborda ",DR1062,",en donde se demuestra que el ",ROUND(DS8*100,0),"%"," de los ",DQ1045," tienen una percepción de ",DT1046,", el ",ROUND(DS9*100,0),"%"," ",DT1047,", un ",ROUND(DS10*100,0),"%"," ",DT1048,",",IF(DR1049&gt;0,CONCATENATE(" ademas el ",ROUND(DS11*100,0),"%"," ",DT1049,)," "),IF(DR1049&gt;0,CONCATENATE(" y ",ROUND(DS12*100,0),"%",", ",DT1050,)," "),"en tal sentido la mayoría de los ",DQ1045," es decir el ",ROUND(DR1053*100,0),"%"," tienen una percepción con una inclinación a un valor ",DQ1056,","," para ",DR1062,".")</f>
        <v>En la Tabla 14 y Figura. 14 se observa los resultados  del  Item 14 el cual aborda x,en donde se demuestra que el 1% de los Beneficiaross tienen una percepción de Ni de acuerdo ni en desacuerdo, el 22% De acuerdo, un 52% En desacuerdo, ademas el 22% Totalmente de acuerdo y 3%, Totalmente en desacuerdoen tal sentido la mayoría de los Beneficiaross es decir el 77% tienen una percepción con una inclinación a un valor Bajo, para x.</v>
      </c>
      <c r="DR35" s="53"/>
      <c r="DS35" s="53"/>
      <c r="DU35" s="4"/>
      <c r="DX35" s="4"/>
      <c r="DZ35" s="52" t="str">
        <f>CONCATENATE("En ","la ",DZ5," y ",DZ33," se observa los resultados  del  ",DZ4," el cual aborda ",EA1062,",en donde se demuestra que el ",ROUND(EB8*100,0),"%"," de los ",DZ1045," tienen una percepción de ",EC1046,", el ",ROUND(EB9*100,0),"%"," ",EC1047,", un ",ROUND(EB10*100,0),"%"," ",EC1048,",",IF(EA1049&gt;0,CONCATENATE(" ademas el ",ROUND(EB11*100,0),"%"," ",EC1049,)," "),IF(EA1049&gt;0,CONCATENATE(" y ",ROUND(EB12*100,0),"%",", ",EC1050,)," "),"en tal sentido la mayoría de los ",DZ1045," es decir el ",ROUND(EA1053*100,0),"%"," tienen una percepción con una inclinación a un valor ",DZ1056,","," para ",EA1062,".")</f>
        <v>En la Tabla 15 y Figura. 15 se observa los resultados  del  Item 15 el cual aborda x,en donde se demuestra que el 2% de los Beneficiaross tienen una percepción de Ni de acuerdo ni en desacuerdo, el 27% En desacuerdo, un 49% De acuerdo, ademas el 19% Totalmente en desacuerdo y 2%, Totalmente de acuerdoen tal sentido la mayoría de los Beneficiaross es decir el 79% tienen una percepción con una inclinación a un valor Bajo, para x.</v>
      </c>
      <c r="EA35" s="53"/>
      <c r="EB35" s="53"/>
      <c r="ED35" s="4"/>
      <c r="EG35" s="4"/>
      <c r="EI35" s="52" t="str">
        <f>CONCATENATE("En ","la ",EI5," y ",EI33," se observa los resultados  del  ",EI4," el cual aborda ",EJ1062,",en donde se demuestra que el ",ROUND(EK8*100,0),"%"," de los ",EI1045," tienen una percepción de ",EL1046,", el ",ROUND(EK9*100,0),"%"," ",EL1047,", un ",ROUND(EK10*100,0),"%"," ",EL1048,",",IF(EJ1049&gt;0,CONCATENATE(" ademas el ",ROUND(EK11*100,0),"%"," ",EL1049,)," "),IF(EJ1049&gt;0,CONCATENATE(" y ",ROUND(EK12*100,0),"%",", ",EL1050,)," "),"en tal sentido la mayoría de los ",EI1045," es decir el ",ROUND(EJ1053*100,0),"%"," tienen una percepción con una inclinación a un valor ",EI1056,","," para ",EJ1062,".")</f>
        <v>En la Tabla 16 y Figura. 16 se observa los resultados  del  Item 16 el cual aborda x,en donde se demuestra que el 1% de los Beneficiaross tienen una percepción de Ni de acuerdo ni en desacuerdo, el 20% De acuerdo, un 55% En desacuerdo, ademas el 21% Totalmente de acuerdo y 2%, Totalmente en desacuerdoen tal sentido la mayoría de los Beneficiaross es decir el 78% tienen una percepción con una inclinación a un valor Bajo, para x.</v>
      </c>
      <c r="EJ35" s="53"/>
      <c r="EK35" s="53"/>
      <c r="EM35" s="4"/>
      <c r="EP35" s="4"/>
      <c r="ER35" s="52" t="str">
        <f>CONCATENATE("En ","la ",ER5," y ",ER33," se observa los resultados  del  ",ER4," el cual aborda ",ES1062,",en donde se demuestra que el ",ROUND(ET8*100,0),"%"," de los ",ER1045," tienen una percepción de ",EU1046,", el ",ROUND(ET9*100,0),"%"," ",EU1047,", un ",ROUND(ET10*100,0),"%"," ",EU1048,",",IF(ES1049&gt;0,CONCATENATE(" ademas el ",ROUND(ET11*100,0),"%"," ",EU1049,)," "),IF(ES1049&gt;0,CONCATENATE(" y ",ROUND(ET12*100,0),"%",", ",EU1050,)," "),"en tal sentido la mayoría de los ",ER1045," es decir el ",ROUND(ES1053*100,0),"%"," tienen una percepción con una inclinación a un valor ",ER1056,","," para ",ES1062,".")</f>
        <v>En la Tabla 17 y Figura. 17 se observa los resultados  del  Item 17 el cual aborda x,en donde se demuestra que el 3% de los Beneficiaross tienen una percepción de Ni de acuerdo ni en desacuerdo, el 34% En desacuerdo, un 48% De acuerdo, ademas el 14% Totalmente en desacuerdo y 2%, Totalmente de acuerdoen tal sentido la mayoría de los Beneficiaross es decir el 84% tienen una percepción con una inclinación a un valor Bajo, para x.</v>
      </c>
      <c r="ES35" s="53"/>
      <c r="ET35" s="53"/>
      <c r="EV35" s="4"/>
      <c r="EY35" s="4"/>
      <c r="FA35" s="52" t="str">
        <f>CONCATENATE("En ","la ",FA5," y ",FA33," se observa los resultados  del  ",FA4," el cual aborda ",FB1062,",en donde se demuestra que el ",ROUND(FC8*100,0),"%"," de los ",FA1045," tienen una percepción de ",FD1046,", el ",ROUND(FC9*100,0),"%"," ",FD1047,", un ",ROUND(FC10*100,0),"%"," ",FD1048,",",IF(FB1049&gt;0,CONCATENATE(" ademas el ",ROUND(FC11*100,0),"%"," ",FD1049,)," "),IF(FB1049&gt;0,CONCATENATE(" y ",ROUND(FC12*100,0),"%",", ",FD1050,)," "),"en tal sentido la mayoría de los ",FA1045," es decir el ",ROUND(FB1053*100,0),"%"," tienen una percepción con una inclinación a un valor ",FA1056,","," para ",FB1062,".")</f>
        <v>En la Tabla 18 y Figura. 18 se observa los resultados  del  Item 18 el cual aborda x,en donde se demuestra que el 1% de los Beneficiaross tienen una percepción de Ni de acuerdo ni en desacuerdo, el 20% De acuerdo, un 49% En desacuerdo, ademas el 26% Totalmente de acuerdo y 3%, Totalmente en desacuerdoen tal sentido la mayoría de los Beneficiaross es decir el 79% tienen una percepción con una inclinación a un valor Bajo, para x.</v>
      </c>
      <c r="FB35" s="53"/>
      <c r="FC35" s="53"/>
      <c r="FE35" s="4"/>
    </row>
    <row r="36" spans="2:161" x14ac:dyDescent="0.25">
      <c r="B36" s="4"/>
      <c r="D36" s="53"/>
      <c r="E36" s="53"/>
      <c r="F36" s="53"/>
      <c r="H36" s="4"/>
      <c r="K36" s="4"/>
      <c r="M36" s="53"/>
      <c r="N36" s="53"/>
      <c r="O36" s="53"/>
      <c r="Q36" s="4"/>
      <c r="T36" s="4"/>
      <c r="V36" s="53"/>
      <c r="W36" s="53"/>
      <c r="X36" s="53"/>
      <c r="Z36" s="4"/>
      <c r="AC36" s="4"/>
      <c r="AE36" s="53"/>
      <c r="AF36" s="53"/>
      <c r="AG36" s="53"/>
      <c r="AI36" s="4"/>
      <c r="AL36" s="4"/>
      <c r="AN36" s="53"/>
      <c r="AO36" s="53"/>
      <c r="AP36" s="53"/>
      <c r="AR36" s="4"/>
      <c r="AU36" s="4"/>
      <c r="AW36" s="53"/>
      <c r="AX36" s="53"/>
      <c r="AY36" s="53"/>
      <c r="BA36" s="4"/>
      <c r="BD36" s="4"/>
      <c r="BF36" s="53"/>
      <c r="BG36" s="53"/>
      <c r="BH36" s="53"/>
      <c r="BJ36" s="4"/>
      <c r="BM36" s="4"/>
      <c r="BO36" s="53"/>
      <c r="BP36" s="53"/>
      <c r="BQ36" s="53"/>
      <c r="BS36" s="4"/>
      <c r="BV36" s="4"/>
      <c r="BX36" s="53"/>
      <c r="BY36" s="53"/>
      <c r="BZ36" s="53"/>
      <c r="CB36" s="4"/>
      <c r="CE36" s="4"/>
      <c r="CG36" s="53"/>
      <c r="CH36" s="53"/>
      <c r="CI36" s="53"/>
      <c r="CK36" s="4"/>
      <c r="CN36" s="4"/>
      <c r="CP36" s="53"/>
      <c r="CQ36" s="53"/>
      <c r="CR36" s="53"/>
      <c r="CT36" s="4"/>
      <c r="CW36" s="4"/>
      <c r="CY36" s="53"/>
      <c r="CZ36" s="53"/>
      <c r="DA36" s="53"/>
      <c r="DC36" s="4"/>
      <c r="DF36" s="4"/>
      <c r="DH36" s="53"/>
      <c r="DI36" s="53"/>
      <c r="DJ36" s="53"/>
      <c r="DL36" s="4"/>
      <c r="DO36" s="4"/>
      <c r="DQ36" s="53"/>
      <c r="DR36" s="53"/>
      <c r="DS36" s="53"/>
      <c r="DU36" s="4"/>
      <c r="DX36" s="4"/>
      <c r="DZ36" s="53"/>
      <c r="EA36" s="53"/>
      <c r="EB36" s="53"/>
      <c r="ED36" s="4"/>
      <c r="EG36" s="4"/>
      <c r="EI36" s="53"/>
      <c r="EJ36" s="53"/>
      <c r="EK36" s="53"/>
      <c r="EM36" s="4"/>
      <c r="EP36" s="4"/>
      <c r="ER36" s="53"/>
      <c r="ES36" s="53"/>
      <c r="ET36" s="53"/>
      <c r="EV36" s="4"/>
      <c r="EY36" s="4"/>
      <c r="FA36" s="53"/>
      <c r="FB36" s="53"/>
      <c r="FC36" s="53"/>
      <c r="FE36" s="4"/>
    </row>
    <row r="37" spans="2:161" x14ac:dyDescent="0.25">
      <c r="B37" s="4"/>
      <c r="D37" s="53"/>
      <c r="E37" s="53"/>
      <c r="F37" s="53"/>
      <c r="H37" s="4"/>
      <c r="K37" s="4"/>
      <c r="M37" s="53"/>
      <c r="N37" s="53"/>
      <c r="O37" s="53"/>
      <c r="Q37" s="4"/>
      <c r="T37" s="4"/>
      <c r="V37" s="53"/>
      <c r="W37" s="53"/>
      <c r="X37" s="53"/>
      <c r="Z37" s="4"/>
      <c r="AC37" s="4"/>
      <c r="AE37" s="53"/>
      <c r="AF37" s="53"/>
      <c r="AG37" s="53"/>
      <c r="AI37" s="4"/>
      <c r="AL37" s="4"/>
      <c r="AN37" s="53"/>
      <c r="AO37" s="53"/>
      <c r="AP37" s="53"/>
      <c r="AR37" s="4"/>
      <c r="AU37" s="4"/>
      <c r="AW37" s="53"/>
      <c r="AX37" s="53"/>
      <c r="AY37" s="53"/>
      <c r="BA37" s="4"/>
      <c r="BD37" s="4"/>
      <c r="BF37" s="53"/>
      <c r="BG37" s="53"/>
      <c r="BH37" s="53"/>
      <c r="BJ37" s="4"/>
      <c r="BM37" s="4"/>
      <c r="BO37" s="53"/>
      <c r="BP37" s="53"/>
      <c r="BQ37" s="53"/>
      <c r="BS37" s="4"/>
      <c r="BV37" s="4"/>
      <c r="BX37" s="53"/>
      <c r="BY37" s="53"/>
      <c r="BZ37" s="53"/>
      <c r="CB37" s="4"/>
      <c r="CE37" s="4"/>
      <c r="CG37" s="53"/>
      <c r="CH37" s="53"/>
      <c r="CI37" s="53"/>
      <c r="CK37" s="4"/>
      <c r="CN37" s="4"/>
      <c r="CP37" s="53"/>
      <c r="CQ37" s="53"/>
      <c r="CR37" s="53"/>
      <c r="CT37" s="4"/>
      <c r="CW37" s="4"/>
      <c r="CY37" s="53"/>
      <c r="CZ37" s="53"/>
      <c r="DA37" s="53"/>
      <c r="DC37" s="4"/>
      <c r="DF37" s="4"/>
      <c r="DH37" s="53"/>
      <c r="DI37" s="53"/>
      <c r="DJ37" s="53"/>
      <c r="DL37" s="4"/>
      <c r="DO37" s="4"/>
      <c r="DQ37" s="53"/>
      <c r="DR37" s="53"/>
      <c r="DS37" s="53"/>
      <c r="DU37" s="4"/>
      <c r="DX37" s="4"/>
      <c r="DZ37" s="53"/>
      <c r="EA37" s="53"/>
      <c r="EB37" s="53"/>
      <c r="ED37" s="4"/>
      <c r="EG37" s="4"/>
      <c r="EI37" s="53"/>
      <c r="EJ37" s="53"/>
      <c r="EK37" s="53"/>
      <c r="EM37" s="4"/>
      <c r="EP37" s="4"/>
      <c r="ER37" s="53"/>
      <c r="ES37" s="53"/>
      <c r="ET37" s="53"/>
      <c r="EV37" s="4"/>
      <c r="EY37" s="4"/>
      <c r="FA37" s="53"/>
      <c r="FB37" s="53"/>
      <c r="FC37" s="53"/>
      <c r="FE37" s="4"/>
    </row>
    <row r="38" spans="2:161" x14ac:dyDescent="0.25">
      <c r="B38" s="4"/>
      <c r="D38" s="53"/>
      <c r="E38" s="53"/>
      <c r="F38" s="53"/>
      <c r="H38" s="4"/>
      <c r="K38" s="4"/>
      <c r="M38" s="53"/>
      <c r="N38" s="53"/>
      <c r="O38" s="53"/>
      <c r="Q38" s="4"/>
      <c r="T38" s="4"/>
      <c r="V38" s="53"/>
      <c r="W38" s="53"/>
      <c r="X38" s="53"/>
      <c r="Z38" s="4"/>
      <c r="AC38" s="4"/>
      <c r="AE38" s="53"/>
      <c r="AF38" s="53"/>
      <c r="AG38" s="53"/>
      <c r="AI38" s="4"/>
      <c r="AL38" s="4"/>
      <c r="AN38" s="53"/>
      <c r="AO38" s="53"/>
      <c r="AP38" s="53"/>
      <c r="AR38" s="4"/>
      <c r="AU38" s="4"/>
      <c r="AW38" s="53"/>
      <c r="AX38" s="53"/>
      <c r="AY38" s="53"/>
      <c r="BA38" s="4"/>
      <c r="BD38" s="4"/>
      <c r="BF38" s="53"/>
      <c r="BG38" s="53"/>
      <c r="BH38" s="53"/>
      <c r="BJ38" s="4"/>
      <c r="BM38" s="4"/>
      <c r="BO38" s="53"/>
      <c r="BP38" s="53"/>
      <c r="BQ38" s="53"/>
      <c r="BS38" s="4"/>
      <c r="BV38" s="4"/>
      <c r="BX38" s="53"/>
      <c r="BY38" s="53"/>
      <c r="BZ38" s="53"/>
      <c r="CB38" s="4"/>
      <c r="CE38" s="4"/>
      <c r="CG38" s="53"/>
      <c r="CH38" s="53"/>
      <c r="CI38" s="53"/>
      <c r="CK38" s="4"/>
      <c r="CN38" s="4"/>
      <c r="CP38" s="53"/>
      <c r="CQ38" s="53"/>
      <c r="CR38" s="53"/>
      <c r="CT38" s="4"/>
      <c r="CW38" s="4"/>
      <c r="CY38" s="53"/>
      <c r="CZ38" s="53"/>
      <c r="DA38" s="53"/>
      <c r="DC38" s="4"/>
      <c r="DF38" s="4"/>
      <c r="DH38" s="53"/>
      <c r="DI38" s="53"/>
      <c r="DJ38" s="53"/>
      <c r="DL38" s="4"/>
      <c r="DO38" s="4"/>
      <c r="DQ38" s="53"/>
      <c r="DR38" s="53"/>
      <c r="DS38" s="53"/>
      <c r="DU38" s="4"/>
      <c r="DX38" s="4"/>
      <c r="DZ38" s="53"/>
      <c r="EA38" s="53"/>
      <c r="EB38" s="53"/>
      <c r="ED38" s="4"/>
      <c r="EG38" s="4"/>
      <c r="EI38" s="53"/>
      <c r="EJ38" s="53"/>
      <c r="EK38" s="53"/>
      <c r="EM38" s="4"/>
      <c r="EP38" s="4"/>
      <c r="ER38" s="53"/>
      <c r="ES38" s="53"/>
      <c r="ET38" s="53"/>
      <c r="EV38" s="4"/>
      <c r="EY38" s="4"/>
      <c r="FA38" s="53"/>
      <c r="FB38" s="53"/>
      <c r="FC38" s="53"/>
      <c r="FE38" s="4"/>
    </row>
    <row r="39" spans="2:161" x14ac:dyDescent="0.25">
      <c r="B39" s="4"/>
      <c r="D39" s="53"/>
      <c r="E39" s="53"/>
      <c r="F39" s="53"/>
      <c r="H39" s="4"/>
      <c r="K39" s="4"/>
      <c r="M39" s="53"/>
      <c r="N39" s="53"/>
      <c r="O39" s="53"/>
      <c r="Q39" s="4"/>
      <c r="T39" s="4"/>
      <c r="V39" s="53"/>
      <c r="W39" s="53"/>
      <c r="X39" s="53"/>
      <c r="Z39" s="4"/>
      <c r="AC39" s="4"/>
      <c r="AE39" s="53"/>
      <c r="AF39" s="53"/>
      <c r="AG39" s="53"/>
      <c r="AI39" s="4"/>
      <c r="AL39" s="4"/>
      <c r="AN39" s="53"/>
      <c r="AO39" s="53"/>
      <c r="AP39" s="53"/>
      <c r="AR39" s="4"/>
      <c r="AU39" s="4"/>
      <c r="AW39" s="53"/>
      <c r="AX39" s="53"/>
      <c r="AY39" s="53"/>
      <c r="BA39" s="4"/>
      <c r="BD39" s="4"/>
      <c r="BF39" s="53"/>
      <c r="BG39" s="53"/>
      <c r="BH39" s="53"/>
      <c r="BJ39" s="4"/>
      <c r="BM39" s="4"/>
      <c r="BO39" s="53"/>
      <c r="BP39" s="53"/>
      <c r="BQ39" s="53"/>
      <c r="BS39" s="4"/>
      <c r="BV39" s="4"/>
      <c r="BX39" s="53"/>
      <c r="BY39" s="53"/>
      <c r="BZ39" s="53"/>
      <c r="CB39" s="4"/>
      <c r="CE39" s="4"/>
      <c r="CG39" s="53"/>
      <c r="CH39" s="53"/>
      <c r="CI39" s="53"/>
      <c r="CK39" s="4"/>
      <c r="CN39" s="4"/>
      <c r="CP39" s="53"/>
      <c r="CQ39" s="53"/>
      <c r="CR39" s="53"/>
      <c r="CT39" s="4"/>
      <c r="CW39" s="4"/>
      <c r="CY39" s="53"/>
      <c r="CZ39" s="53"/>
      <c r="DA39" s="53"/>
      <c r="DC39" s="4"/>
      <c r="DF39" s="4"/>
      <c r="DH39" s="53"/>
      <c r="DI39" s="53"/>
      <c r="DJ39" s="53"/>
      <c r="DL39" s="4"/>
      <c r="DO39" s="4"/>
      <c r="DQ39" s="53"/>
      <c r="DR39" s="53"/>
      <c r="DS39" s="53"/>
      <c r="DU39" s="4"/>
      <c r="DX39" s="4"/>
      <c r="DZ39" s="53"/>
      <c r="EA39" s="53"/>
      <c r="EB39" s="53"/>
      <c r="ED39" s="4"/>
      <c r="EG39" s="4"/>
      <c r="EI39" s="53"/>
      <c r="EJ39" s="53"/>
      <c r="EK39" s="53"/>
      <c r="EM39" s="4"/>
      <c r="EP39" s="4"/>
      <c r="ER39" s="53"/>
      <c r="ES39" s="53"/>
      <c r="ET39" s="53"/>
      <c r="EV39" s="4"/>
      <c r="EY39" s="4"/>
      <c r="FA39" s="53"/>
      <c r="FB39" s="53"/>
      <c r="FC39" s="53"/>
      <c r="FE39" s="4"/>
    </row>
    <row r="40" spans="2:161" x14ac:dyDescent="0.25">
      <c r="D40" s="53"/>
      <c r="E40" s="53"/>
      <c r="F40" s="53"/>
      <c r="M40" s="53"/>
      <c r="N40" s="53"/>
      <c r="O40" s="53"/>
      <c r="V40" s="53"/>
      <c r="W40" s="53"/>
      <c r="X40" s="53"/>
      <c r="AE40" s="53"/>
      <c r="AF40" s="53"/>
      <c r="AG40" s="53"/>
      <c r="AN40" s="53"/>
      <c r="AO40" s="53"/>
      <c r="AP40" s="53"/>
      <c r="AW40" s="53"/>
      <c r="AX40" s="53"/>
      <c r="AY40" s="53"/>
      <c r="BF40" s="53"/>
      <c r="BG40" s="53"/>
      <c r="BH40" s="53"/>
      <c r="BO40" s="53"/>
      <c r="BP40" s="53"/>
      <c r="BQ40" s="53"/>
      <c r="BX40" s="53"/>
      <c r="BY40" s="53"/>
      <c r="BZ40" s="53"/>
      <c r="CG40" s="53"/>
      <c r="CH40" s="53"/>
      <c r="CI40" s="53"/>
      <c r="CP40" s="53"/>
      <c r="CQ40" s="53"/>
      <c r="CR40" s="53"/>
      <c r="CY40" s="53"/>
      <c r="CZ40" s="53"/>
      <c r="DA40" s="53"/>
      <c r="DH40" s="53"/>
      <c r="DI40" s="53"/>
      <c r="DJ40" s="53"/>
      <c r="DQ40" s="53"/>
      <c r="DR40" s="53"/>
      <c r="DS40" s="53"/>
      <c r="DZ40" s="53"/>
      <c r="EA40" s="53"/>
      <c r="EB40" s="53"/>
      <c r="EI40" s="53"/>
      <c r="EJ40" s="53"/>
      <c r="EK40" s="53"/>
      <c r="ER40" s="53"/>
      <c r="ES40" s="53"/>
      <c r="ET40" s="53"/>
      <c r="FA40" s="53"/>
      <c r="FB40" s="53"/>
      <c r="FC40" s="53"/>
    </row>
    <row r="41" spans="2:161" x14ac:dyDescent="0.25">
      <c r="D41" s="53"/>
      <c r="E41" s="53"/>
      <c r="F41" s="53"/>
      <c r="M41" s="53"/>
      <c r="N41" s="53"/>
      <c r="O41" s="53"/>
      <c r="V41" s="53"/>
      <c r="W41" s="53"/>
      <c r="X41" s="53"/>
      <c r="AE41" s="53"/>
      <c r="AF41" s="53"/>
      <c r="AG41" s="53"/>
      <c r="AN41" s="53"/>
      <c r="AO41" s="53"/>
      <c r="AP41" s="53"/>
      <c r="AW41" s="53"/>
      <c r="AX41" s="53"/>
      <c r="AY41" s="53"/>
      <c r="BF41" s="53"/>
      <c r="BG41" s="53"/>
      <c r="BH41" s="53"/>
      <c r="BO41" s="53"/>
      <c r="BP41" s="53"/>
      <c r="BQ41" s="53"/>
      <c r="BX41" s="53"/>
      <c r="BY41" s="53"/>
      <c r="BZ41" s="53"/>
      <c r="CG41" s="53"/>
      <c r="CH41" s="53"/>
      <c r="CI41" s="53"/>
      <c r="CP41" s="53"/>
      <c r="CQ41" s="53"/>
      <c r="CR41" s="53"/>
      <c r="CY41" s="53"/>
      <c r="CZ41" s="53"/>
      <c r="DA41" s="53"/>
      <c r="DH41" s="53"/>
      <c r="DI41" s="53"/>
      <c r="DJ41" s="53"/>
      <c r="DQ41" s="53"/>
      <c r="DR41" s="53"/>
      <c r="DS41" s="53"/>
      <c r="DZ41" s="53"/>
      <c r="EA41" s="53"/>
      <c r="EB41" s="53"/>
      <c r="EI41" s="53"/>
      <c r="EJ41" s="53"/>
      <c r="EK41" s="53"/>
      <c r="ER41" s="53"/>
      <c r="ES41" s="53"/>
      <c r="ET41" s="53"/>
      <c r="FA41" s="53"/>
      <c r="FB41" s="53"/>
      <c r="FC41" s="53"/>
    </row>
    <row r="42" spans="2:161" x14ac:dyDescent="0.25">
      <c r="D42" s="53"/>
      <c r="E42" s="53"/>
      <c r="F42" s="53"/>
      <c r="M42" s="53"/>
      <c r="N42" s="53"/>
      <c r="O42" s="53"/>
      <c r="V42" s="53"/>
      <c r="W42" s="53"/>
      <c r="X42" s="53"/>
      <c r="AE42" s="53"/>
      <c r="AF42" s="53"/>
      <c r="AG42" s="53"/>
      <c r="AN42" s="53"/>
      <c r="AO42" s="53"/>
      <c r="AP42" s="53"/>
      <c r="AW42" s="53"/>
      <c r="AX42" s="53"/>
      <c r="AY42" s="53"/>
      <c r="BF42" s="53"/>
      <c r="BG42" s="53"/>
      <c r="BH42" s="53"/>
      <c r="BO42" s="53"/>
      <c r="BP42" s="53"/>
      <c r="BQ42" s="53"/>
      <c r="BX42" s="53"/>
      <c r="BY42" s="53"/>
      <c r="BZ42" s="53"/>
      <c r="CG42" s="53"/>
      <c r="CH42" s="53"/>
      <c r="CI42" s="53"/>
      <c r="CP42" s="53"/>
      <c r="CQ42" s="53"/>
      <c r="CR42" s="53"/>
      <c r="CY42" s="53"/>
      <c r="CZ42" s="53"/>
      <c r="DA42" s="53"/>
      <c r="DH42" s="53"/>
      <c r="DI42" s="53"/>
      <c r="DJ42" s="53"/>
      <c r="DQ42" s="53"/>
      <c r="DR42" s="53"/>
      <c r="DS42" s="53"/>
      <c r="DZ42" s="53"/>
      <c r="EA42" s="53"/>
      <c r="EB42" s="53"/>
      <c r="EI42" s="53"/>
      <c r="EJ42" s="53"/>
      <c r="EK42" s="53"/>
      <c r="ER42" s="53"/>
      <c r="ES42" s="53"/>
      <c r="ET42" s="53"/>
      <c r="FA42" s="53"/>
      <c r="FB42" s="53"/>
      <c r="FC42" s="53"/>
    </row>
    <row r="43" spans="2:161" x14ac:dyDescent="0.25">
      <c r="D43" s="53"/>
      <c r="E43" s="53"/>
      <c r="F43" s="53"/>
      <c r="M43" s="53"/>
      <c r="N43" s="53"/>
      <c r="O43" s="53"/>
      <c r="V43" s="53"/>
      <c r="W43" s="53"/>
      <c r="X43" s="53"/>
      <c r="AE43" s="53"/>
      <c r="AF43" s="53"/>
      <c r="AG43" s="53"/>
      <c r="AN43" s="53"/>
      <c r="AO43" s="53"/>
      <c r="AP43" s="53"/>
      <c r="AW43" s="53"/>
      <c r="AX43" s="53"/>
      <c r="AY43" s="53"/>
      <c r="BF43" s="53"/>
      <c r="BG43" s="53"/>
      <c r="BH43" s="53"/>
      <c r="BO43" s="53"/>
      <c r="BP43" s="53"/>
      <c r="BQ43" s="53"/>
      <c r="BX43" s="53"/>
      <c r="BY43" s="53"/>
      <c r="BZ43" s="53"/>
      <c r="CG43" s="53"/>
      <c r="CH43" s="53"/>
      <c r="CI43" s="53"/>
      <c r="CP43" s="53"/>
      <c r="CQ43" s="53"/>
      <c r="CR43" s="53"/>
      <c r="CY43" s="53"/>
      <c r="CZ43" s="53"/>
      <c r="DA43" s="53"/>
      <c r="DH43" s="53"/>
      <c r="DI43" s="53"/>
      <c r="DJ43" s="53"/>
      <c r="DQ43" s="53"/>
      <c r="DR43" s="53"/>
      <c r="DS43" s="53"/>
      <c r="DZ43" s="53"/>
      <c r="EA43" s="53"/>
      <c r="EB43" s="53"/>
      <c r="EI43" s="53"/>
      <c r="EJ43" s="53"/>
      <c r="EK43" s="53"/>
      <c r="ER43" s="53"/>
      <c r="ES43" s="53"/>
      <c r="ET43" s="53"/>
      <c r="FA43" s="53"/>
      <c r="FB43" s="53"/>
      <c r="FC43" s="53"/>
    </row>
    <row r="1045" spans="3:160" x14ac:dyDescent="0.25">
      <c r="D1045" s="21" t="s">
        <v>360</v>
      </c>
      <c r="E1045" s="21" t="s">
        <v>364</v>
      </c>
      <c r="M1045" s="21" t="s">
        <v>360</v>
      </c>
      <c r="N1045" s="21" t="s">
        <v>364</v>
      </c>
      <c r="V1045" s="21" t="s">
        <v>360</v>
      </c>
      <c r="W1045" s="21" t="s">
        <v>364</v>
      </c>
      <c r="AE1045" s="21" t="s">
        <v>360</v>
      </c>
      <c r="AF1045" s="21"/>
      <c r="AN1045" s="21" t="s">
        <v>360</v>
      </c>
      <c r="AO1045" s="21" t="s">
        <v>364</v>
      </c>
      <c r="AW1045" s="21" t="s">
        <v>360</v>
      </c>
      <c r="AX1045" s="21" t="s">
        <v>364</v>
      </c>
      <c r="BF1045" s="21" t="s">
        <v>360</v>
      </c>
      <c r="BG1045" s="21" t="s">
        <v>364</v>
      </c>
      <c r="BO1045" s="21" t="s">
        <v>360</v>
      </c>
      <c r="BP1045" s="21" t="s">
        <v>364</v>
      </c>
      <c r="BX1045" s="21" t="s">
        <v>360</v>
      </c>
      <c r="BY1045" s="21"/>
      <c r="CG1045" s="21" t="s">
        <v>360</v>
      </c>
      <c r="CH1045" s="21" t="s">
        <v>364</v>
      </c>
      <c r="CP1045" s="21" t="s">
        <v>360</v>
      </c>
      <c r="CQ1045" s="21" t="s">
        <v>364</v>
      </c>
      <c r="CY1045" s="21" t="s">
        <v>360</v>
      </c>
      <c r="CZ1045" s="21" t="s">
        <v>364</v>
      </c>
      <c r="DH1045" s="21" t="s">
        <v>360</v>
      </c>
      <c r="DI1045" s="21" t="s">
        <v>364</v>
      </c>
      <c r="DQ1045" s="21" t="s">
        <v>360</v>
      </c>
      <c r="DR1045" s="21" t="s">
        <v>364</v>
      </c>
      <c r="DZ1045" s="21" t="s">
        <v>360</v>
      </c>
      <c r="EA1045" s="21" t="s">
        <v>364</v>
      </c>
      <c r="EI1045" s="21" t="s">
        <v>360</v>
      </c>
      <c r="EJ1045" s="21" t="s">
        <v>364</v>
      </c>
      <c r="ER1045" s="21" t="s">
        <v>360</v>
      </c>
      <c r="ES1045" s="21" t="s">
        <v>364</v>
      </c>
      <c r="FA1045" s="21" t="s">
        <v>360</v>
      </c>
      <c r="FB1045" s="21" t="s">
        <v>364</v>
      </c>
    </row>
    <row r="1046" spans="3:160" x14ac:dyDescent="0.25">
      <c r="C1046" s="21">
        <v>1</v>
      </c>
      <c r="D1046" s="21" t="str">
        <f>IF(E1046=F8,D8,IF(E1046=F9,D9,IF(E1046=F10,D10,IF(E1046=F11,D11,IF(E1046=F12,D12,"ALGO ESTA MAL")))))</f>
        <v>Ni de acuerdo ni en desacuerdo</v>
      </c>
      <c r="E1046" s="22">
        <f>LARGE($F$8:$F$12,C1046)</f>
        <v>0.50519031141868509</v>
      </c>
      <c r="F1046" s="22">
        <f>IF(E1046&gt;0.1%,E1046,"Algo Esta Mal")</f>
        <v>0.50519031141868509</v>
      </c>
      <c r="G1046" s="21" t="str">
        <f>IF(F1046=E1046,D1046," ")</f>
        <v>Ni de acuerdo ni en desacuerdo</v>
      </c>
      <c r="L1046" s="21">
        <v>1</v>
      </c>
      <c r="M1046" s="21" t="str">
        <f>IF(N1046=O8,M8,IF(N1046=O9,M9,IF(N1046=O10,M10,IF(N1046=O11,M11,IF(N1046=O12,M12,"ALGO ESTA MAL")))))</f>
        <v>Ni de acuerdo ni en desacuerdo</v>
      </c>
      <c r="N1046" s="22">
        <f>LARGE($O$8:$O$12,L1046)</f>
        <v>0.51903114186851207</v>
      </c>
      <c r="O1046" s="22">
        <f>IF(N1046&gt;0.1%,N1046,"Algo Esta Mal")</f>
        <v>0.51903114186851207</v>
      </c>
      <c r="P1046" s="21" t="str">
        <f>IF(O1046=N1046,M1046," ")</f>
        <v>Ni de acuerdo ni en desacuerdo</v>
      </c>
      <c r="U1046" s="21">
        <v>1</v>
      </c>
      <c r="V1046" s="21" t="str">
        <f>IF(W1046=X8,V8,IF(W1046=X9,V9,IF(W1046=X10,V10,IF(W1046=X11,V11,IF(W1046=X12,V12,"ALGO ESTA MAL")))))</f>
        <v>Ni de acuerdo ni en desacuerdo</v>
      </c>
      <c r="W1046" s="22">
        <f>LARGE($X$8:$X$12,U1046)</f>
        <v>0.53633217993079585</v>
      </c>
      <c r="X1046" s="22">
        <f>IF(W1046&gt;0.1%,W1046,"Algo Esta Mal")</f>
        <v>0.53633217993079585</v>
      </c>
      <c r="Y1046" s="21" t="str">
        <f>IF(X1046=W1046,V1046," ")</f>
        <v>Ni de acuerdo ni en desacuerdo</v>
      </c>
      <c r="AD1046" s="21">
        <v>1</v>
      </c>
      <c r="AE1046" s="21" t="str">
        <f>IF(AF1046=AG8,AE8,IF(AF1046=AG9,AE9,IF(AF1046=AG10,AE10,IF(AF1046=AG11,AE11,IF(AF1046=AG12,AE12,"ALGO ESTA MAL")))))</f>
        <v>Ni de acuerdo ni en desacuerdo</v>
      </c>
      <c r="AF1046" s="22">
        <f>LARGE($AG$8:$AG$12,AD1046)</f>
        <v>0.48442906574394462</v>
      </c>
      <c r="AG1046" s="22">
        <f>IF(AF1046&gt;0.1%,AF1046,"Algo Esta Mal")</f>
        <v>0.48442906574394462</v>
      </c>
      <c r="AH1046" s="21" t="str">
        <f>IF(AG1046=AF1046,AE1046," ")</f>
        <v>Ni de acuerdo ni en desacuerdo</v>
      </c>
      <c r="AM1046" s="21">
        <v>1</v>
      </c>
      <c r="AN1046" s="21" t="str">
        <f>IF(AO1046=AP8,AN8,IF(AO1046=AP9,AN9,IF(AO1046=AP10,AN10,IF(AO1046=AP11,AN11,IF(AO1046=AP12,AN12,"ALGO ESTA MAL")))))</f>
        <v>Ni de acuerdo ni en desacuerdo</v>
      </c>
      <c r="AO1046" s="22">
        <f>LARGE($AP$8:$AP$12,AM1046)</f>
        <v>0.5017301038062284</v>
      </c>
      <c r="AP1046" s="22">
        <f>IF(AO1046&gt;0.1%,AO1046,"Algo Esta Mal")</f>
        <v>0.5017301038062284</v>
      </c>
      <c r="AQ1046" s="21" t="str">
        <f>IF(AP1046=AO1046,AN1046," ")</f>
        <v>Ni de acuerdo ni en desacuerdo</v>
      </c>
      <c r="AV1046" s="21">
        <v>1</v>
      </c>
      <c r="AW1046" s="21" t="str">
        <f>IF(AX1046=AY8,AW8,IF(AX1046=AY9,AW9,IF(AX1046=AY10,AW10,IF(AX1046=AY11,AW11,IF(AX1046=AY12,AW12,"ALGO ESTA MAL")))))</f>
        <v>Ni de acuerdo ni en desacuerdo</v>
      </c>
      <c r="AX1046" s="22">
        <f>LARGE($AY$8:$AY$12,AV1046)</f>
        <v>0.52249134948096887</v>
      </c>
      <c r="AY1046" s="22">
        <f>IF(AX1046&gt;0.1%,AX1046,"Algo Esta Mal")</f>
        <v>0.52249134948096887</v>
      </c>
      <c r="AZ1046" s="21" t="str">
        <f>IF(AY1046=AX1046,AW1046," ")</f>
        <v>Ni de acuerdo ni en desacuerdo</v>
      </c>
      <c r="BE1046" s="21">
        <v>1</v>
      </c>
      <c r="BF1046" s="21" t="str">
        <f>IF(BG1046=BH8,BF8,IF(BG1046=BH9,BF9,IF(BG1046=BH10,BF10,IF(BG1046=BH11,BF11,IF(BG1046=BH12,BF12,"ALGO ESTA MAL")))))</f>
        <v>Ni de acuerdo ni en desacuerdo</v>
      </c>
      <c r="BG1046" s="22">
        <f>LARGE($BH$8:$BH$12,BE1046)</f>
        <v>0.51903114186851207</v>
      </c>
      <c r="BH1046" s="22">
        <f>IF(BG1046&gt;0.1%,BG1046,"Algo Esta Mal")</f>
        <v>0.51903114186851207</v>
      </c>
      <c r="BI1046" s="21" t="str">
        <f>IF(BH1046=BG1046,BF1046," ")</f>
        <v>Ni de acuerdo ni en desacuerdo</v>
      </c>
      <c r="BN1046" s="21">
        <v>1</v>
      </c>
      <c r="BO1046" s="21" t="str">
        <f>IF(BP1046=BQ8,BO8,IF(BP1046=BQ9,BO9,IF(BP1046=BQ10,BO10,IF(BP1046=BQ11,BO11,IF(BP1046=BQ12,BO12,"ALGO ESTA MAL")))))</f>
        <v>Ni de acuerdo ni en desacuerdo</v>
      </c>
      <c r="BP1046" s="22">
        <f>LARGE($BQ$8:$BQ$12,BN1046)</f>
        <v>0.51211072664359858</v>
      </c>
      <c r="BQ1046" s="22">
        <f>IF(BP1046&gt;0.1%,BP1046,"Algo Esta Mal")</f>
        <v>0.51211072664359858</v>
      </c>
      <c r="BR1046" s="21" t="str">
        <f>IF(BQ1046=BP1046,BO1046," ")</f>
        <v>Ni de acuerdo ni en desacuerdo</v>
      </c>
      <c r="BW1046" s="21">
        <v>1</v>
      </c>
      <c r="BX1046" s="21" t="str">
        <f>IF(BY1046=BZ8,BX8,IF(BY1046=BZ9,BX9,IF(BY1046=BZ10,BX10,IF(BY1046=BZ11,BX11,IF(BY1046=BZ12,BX12,"ALGO ESTA MAL")))))</f>
        <v>Ni de acuerdo ni en desacuerdo</v>
      </c>
      <c r="BY1046" s="22">
        <f>LARGE($BZ$8:$BZ$12,BW1046)</f>
        <v>0.48442906574394462</v>
      </c>
      <c r="BZ1046" s="22">
        <f>IF(BY1046&gt;0.1%,BY1046,"Algo Esta Mal")</f>
        <v>0.48442906574394462</v>
      </c>
      <c r="CA1046" s="21" t="str">
        <f>IF(BZ1046=BY1046,BX1046," ")</f>
        <v>Ni de acuerdo ni en desacuerdo</v>
      </c>
      <c r="CF1046" s="21">
        <v>1</v>
      </c>
      <c r="CG1046" s="21" t="str">
        <f>IF(CH1046=CI8,CG8,IF(CH1046=CI9,CG9,IF(CH1046=CI10,CG10,IF(CH1046=CI11,CG11,IF(CH1046=CI12,CG12,"ALGO ESTA MAL")))))</f>
        <v>Ni de acuerdo ni en desacuerdo</v>
      </c>
      <c r="CH1046" s="22">
        <f>LARGE($CI$8:$CI$12,CF1046)</f>
        <v>0.5017301038062284</v>
      </c>
      <c r="CI1046" s="22">
        <f>IF(CH1046&gt;0.1%,CH1046,"Algo Esta Mal")</f>
        <v>0.5017301038062284</v>
      </c>
      <c r="CJ1046" s="21" t="str">
        <f>IF(CI1046=CH1046,CG1046," ")</f>
        <v>Ni de acuerdo ni en desacuerdo</v>
      </c>
      <c r="CO1046" s="21">
        <v>1</v>
      </c>
      <c r="CP1046" s="21" t="str">
        <f>IF(CQ1046=CR8,CP8,IF(CQ1046=CR9,CP9,IF(CQ1046=CR10,CP10,IF(CQ1046=CR11,CP11,IF(CQ1046=CR12,CP12,"ALGO ESTA MAL")))))</f>
        <v>Ni de acuerdo ni en desacuerdo</v>
      </c>
      <c r="CQ1046" s="22">
        <f>LARGE($CR$8:$CR$12,CO1046)</f>
        <v>0.50865051903114189</v>
      </c>
      <c r="CR1046" s="22">
        <f>IF(CQ1046&gt;0.1%,CQ1046,"Algo Esta Mal")</f>
        <v>0.50865051903114189</v>
      </c>
      <c r="CS1046" s="21" t="str">
        <f>IF(CR1046=CQ1046,CP1046," ")</f>
        <v>Ni de acuerdo ni en desacuerdo</v>
      </c>
      <c r="CX1046" s="21">
        <v>1</v>
      </c>
      <c r="CY1046" s="21" t="str">
        <f>IF(CZ1046=DA8,CY8,IF(CZ1046=DA9,CY9,IF(CZ1046=DA10,CY10,IF(CZ1046=DA11,CY11,IF(CZ1046=DA12,CY12,"ALGO ESTA MAL")))))</f>
        <v>Ni de acuerdo ni en desacuerdo</v>
      </c>
      <c r="CZ1046" s="22">
        <f>LARGE($DA$8:$DA$12,CX1046)</f>
        <v>0.52595155709342556</v>
      </c>
      <c r="DA1046" s="22">
        <f>IF(CZ1046&gt;0.1%,CZ1046,"Algo Esta Mal")</f>
        <v>0.52595155709342556</v>
      </c>
      <c r="DB1046" s="21" t="str">
        <f>IF(DA1046=CZ1046,CY1046," ")</f>
        <v>Ni de acuerdo ni en desacuerdo</v>
      </c>
      <c r="DG1046" s="21">
        <v>1</v>
      </c>
      <c r="DH1046" s="21" t="str">
        <f>IF(DI1046=DJ8,DH8,IF(DI1046=DJ9,DH9,IF(DI1046=DJ10,DH10,IF(DI1046=DJ11,DH11,IF(DI1046=DJ12,DH12,"ALGO ESTA MAL")))))</f>
        <v>Ni de acuerdo ni en desacuerdo</v>
      </c>
      <c r="DI1046" s="22">
        <f>LARGE($DJ$8:$DJ$12,DG1046)</f>
        <v>0.4671280276816609</v>
      </c>
      <c r="DJ1046" s="22">
        <f>IF(DI1046&gt;0.1%,DI1046,"Algo Esta Mal")</f>
        <v>0.4671280276816609</v>
      </c>
      <c r="DK1046" s="21" t="str">
        <f>IF(DJ1046=DI1046,DH1046," ")</f>
        <v>Ni de acuerdo ni en desacuerdo</v>
      </c>
      <c r="DP1046" s="21">
        <v>1</v>
      </c>
      <c r="DQ1046" s="21" t="str">
        <f>IF(DR1046=DS8,DQ8,IF(DR1046=DS9,DQ9,IF(DR1046=DS10,DQ10,IF(DR1046=DS11,DQ11,IF(DR1046=DS12,DQ12,"ALGO ESTA MAL")))))</f>
        <v>Ni de acuerdo ni en desacuerdo</v>
      </c>
      <c r="DR1046" s="22">
        <f>LARGE($DS$8:$DS$12,DP1046)</f>
        <v>0.51903114186851207</v>
      </c>
      <c r="DS1046" s="22">
        <f>IF(DR1046&gt;0.1%,DR1046,"Algo Esta Mal")</f>
        <v>0.51903114186851207</v>
      </c>
      <c r="DT1046" s="21" t="str">
        <f>IF(DS1046=DR1046,DQ1046," ")</f>
        <v>Ni de acuerdo ni en desacuerdo</v>
      </c>
      <c r="DY1046" s="21">
        <v>1</v>
      </c>
      <c r="DZ1046" s="21" t="str">
        <f>IF(EA1046=EB8,DZ8,IF(EA1046=EB9,DZ9,IF(EA1046=EB10,DZ10,IF(EA1046=EB11,DZ11,IF(EA1046=EB12,DZ12,"ALGO ESTA MAL")))))</f>
        <v>Ni de acuerdo ni en desacuerdo</v>
      </c>
      <c r="EA1046" s="22">
        <f>LARGE($EB$8:$EB$12,DY1046)</f>
        <v>0.49480968858131485</v>
      </c>
      <c r="EB1046" s="22">
        <f>IF(EA1046&gt;0.1%,EA1046,"Algo Esta Mal")</f>
        <v>0.49480968858131485</v>
      </c>
      <c r="EC1046" s="21" t="str">
        <f>IF(EB1046=EA1046,DZ1046," ")</f>
        <v>Ni de acuerdo ni en desacuerdo</v>
      </c>
      <c r="EH1046" s="21">
        <v>1</v>
      </c>
      <c r="EI1046" s="21" t="str">
        <f>IF(EJ1046=EK8,EI8,IF(EJ1046=EK9,EI9,IF(EJ1046=EK10,EI10,IF(EJ1046=EK11,EI11,IF(EJ1046=EK12,EI12,"ALGO ESTA MAL")))))</f>
        <v>Ni de acuerdo ni en desacuerdo</v>
      </c>
      <c r="EJ1046" s="22">
        <f>LARGE($EK$8:$EK$12,EH1046)</f>
        <v>0.55017301038062283</v>
      </c>
      <c r="EK1046" s="22">
        <f>IF(EJ1046&gt;0.1%,EJ1046,"Algo Esta Mal")</f>
        <v>0.55017301038062283</v>
      </c>
      <c r="EL1046" s="21" t="str">
        <f>IF(EK1046=EJ1046,EI1046," ")</f>
        <v>Ni de acuerdo ni en desacuerdo</v>
      </c>
      <c r="EQ1046" s="21">
        <v>1</v>
      </c>
      <c r="ER1046" s="21" t="str">
        <f>IF(ES1046=ET8,ER8,IF(ES1046=ET9,ER9,IF(ES1046=ET10,ER10,IF(ES1046=ET11,ER11,IF(ES1046=ET12,ER12,"ALGO ESTA MAL")))))</f>
        <v>Ni de acuerdo ni en desacuerdo</v>
      </c>
      <c r="ES1046" s="22">
        <f>LARGE($ET$8:$ET$12,EQ1046)</f>
        <v>0.47750865051903113</v>
      </c>
      <c r="ET1046" s="22">
        <f>IF(ES1046&gt;0.1%,ES1046,"Algo Esta Mal")</f>
        <v>0.47750865051903113</v>
      </c>
      <c r="EU1046" s="21" t="str">
        <f>IF(ET1046=ES1046,ER1046," ")</f>
        <v>Ni de acuerdo ni en desacuerdo</v>
      </c>
      <c r="EZ1046" s="21">
        <v>1</v>
      </c>
      <c r="FA1046" s="21" t="str">
        <f>IF(FB1046=FC8,FA8,IF(FB1046=FC9,FA9,IF(FB1046=FC10,FA10,IF(FB1046=FC11,FA11,IF(FB1046=FC12,FA12,"ALGO ESTA MAL")))))</f>
        <v>Ni de acuerdo ni en desacuerdo</v>
      </c>
      <c r="FB1046" s="22">
        <f>LARGE($FC$8:$FC$12,EZ1046)</f>
        <v>0.49480968858131485</v>
      </c>
      <c r="FC1046" s="22">
        <f>IF(FB1046&gt;0.1%,FB1046,"Algo Esta Mal")</f>
        <v>0.49480968858131485</v>
      </c>
      <c r="FD1046" s="21" t="str">
        <f>IF(FC1046=FB1046,FA1046," ")</f>
        <v>Ni de acuerdo ni en desacuerdo</v>
      </c>
    </row>
    <row r="1047" spans="3:160" x14ac:dyDescent="0.25">
      <c r="C1047" s="21">
        <v>2</v>
      </c>
      <c r="D1047" s="21" t="str">
        <f>IF(E1047=F8,D8,IF(E1047=F9,D9,IF(E1047=F10,D10,IF(E1047=F11,D11,IF(E1047=F12,D12,"ALGO ESTA MAL")))))</f>
        <v>De acuerdo</v>
      </c>
      <c r="E1047" s="22">
        <f>LARGE($F$8:$F$12,C1047)</f>
        <v>0.34256055363321797</v>
      </c>
      <c r="F1047" s="22">
        <f>IF(E1047&gt;0.1%,E1047,"Algo Esta Mal")</f>
        <v>0.34256055363321797</v>
      </c>
      <c r="G1047" s="21" t="str">
        <f>IF(F1047=E1047,D1047," ")</f>
        <v>De acuerdo</v>
      </c>
      <c r="L1047" s="21">
        <v>2</v>
      </c>
      <c r="M1047" s="21" t="str">
        <f>IF(N1047=O8,M8,IF(N1047=O9,M9,IF(N1047=O10,M10,IF(N1047=O11,M11,IF(N1047=O12,M12,"ALGO ESTA MAL")))))</f>
        <v>De acuerdo</v>
      </c>
      <c r="N1047" s="22">
        <f>LARGE($O$8:$O$12,L1047)</f>
        <v>0.2491349480968858</v>
      </c>
      <c r="O1047" s="22">
        <f>IF(N1047&gt;0.1%,N1047,"Algo Esta Mal")</f>
        <v>0.2491349480968858</v>
      </c>
      <c r="P1047" s="21" t="str">
        <f>IF(O1047=N1047,M1047," ")</f>
        <v>De acuerdo</v>
      </c>
      <c r="U1047" s="21">
        <v>2</v>
      </c>
      <c r="V1047" s="21" t="str">
        <f>IF(W1047=X8,V8,IF(W1047=X9,V9,IF(W1047=X10,V10,IF(W1047=X11,V11,IF(W1047=X12,V12,"ALGO ESTA MAL")))))</f>
        <v>De acuerdo</v>
      </c>
      <c r="W1047" s="22">
        <f>LARGE($X$8:$X$12,U1047)</f>
        <v>0.26297577854671278</v>
      </c>
      <c r="X1047" s="22">
        <f>IF(W1047&gt;0.1%,W1047,"Algo Esta Mal")</f>
        <v>0.26297577854671278</v>
      </c>
      <c r="Y1047" s="21" t="str">
        <f>IF(X1047=W1047,V1047," ")</f>
        <v>De acuerdo</v>
      </c>
      <c r="AD1047" s="21">
        <v>2</v>
      </c>
      <c r="AE1047" s="21" t="str">
        <f>IF(AF1047=AG8,AE8,IF(AF1047=AG9,AE9,IF(AF1047=AG10,AE10,IF(AF1047=AG11,AE11,IF(AF1047=AG12,AE12,"ALGO ESTA MAL")))))</f>
        <v>En desacuerdo</v>
      </c>
      <c r="AF1047" s="22">
        <f>LARGE($AG$8:$AG$12,AD1047)</f>
        <v>0.25951557093425603</v>
      </c>
      <c r="AG1047" s="22">
        <f>IF(AF1047&gt;0.1%,AF1047,"Algo Esta Mal")</f>
        <v>0.25951557093425603</v>
      </c>
      <c r="AH1047" s="21" t="str">
        <f>IF(AG1047=AF1047,AE1047," ")</f>
        <v>En desacuerdo</v>
      </c>
      <c r="AM1047" s="21">
        <v>2</v>
      </c>
      <c r="AN1047" s="21" t="str">
        <f>IF(AO1047=AP8,AN8,IF(AO1047=AP9,AN9,IF(AO1047=AP10,AN10,IF(AO1047=AP11,AN11,IF(AO1047=AP12,AN12,"ALGO ESTA MAL")))))</f>
        <v>En desacuerdo</v>
      </c>
      <c r="AO1047" s="22">
        <f>LARGE($AP$8:$AP$12,AM1047)</f>
        <v>0.26297577854671278</v>
      </c>
      <c r="AP1047" s="22">
        <f>IF(AO1047&gt;0.1%,AO1047,"Algo Esta Mal")</f>
        <v>0.26297577854671278</v>
      </c>
      <c r="AQ1047" s="21" t="str">
        <f>IF(AP1047=AO1047,AN1047," ")</f>
        <v>En desacuerdo</v>
      </c>
      <c r="AV1047" s="21">
        <v>2</v>
      </c>
      <c r="AW1047" s="21" t="str">
        <f>IF(AX1047=AY8,AW8,IF(AX1047=AY9,AW9,IF(AX1047=AY10,AW10,IF(AX1047=AY11,AW11,IF(AX1047=AY12,AW12,"ALGO ESTA MAL")))))</f>
        <v>En desacuerdo</v>
      </c>
      <c r="AX1047" s="22">
        <f>LARGE($AY$8:$AY$12,AV1047)</f>
        <v>0.22145328719723184</v>
      </c>
      <c r="AY1047" s="22">
        <f>IF(AX1047&gt;0.1%,AX1047,"Algo Esta Mal")</f>
        <v>0.22145328719723184</v>
      </c>
      <c r="AZ1047" s="21" t="str">
        <f>IF(AY1047=AX1047,AW1047," ")</f>
        <v>En desacuerdo</v>
      </c>
      <c r="BE1047" s="21">
        <v>2</v>
      </c>
      <c r="BF1047" s="21" t="str">
        <f>IF(BG1047=BH8,BF8,IF(BG1047=BH9,BF9,IF(BG1047=BH10,BF10,IF(BG1047=BH11,BF11,IF(BG1047=BH12,BF12,"ALGO ESTA MAL")))))</f>
        <v>En desacuerdo</v>
      </c>
      <c r="BG1047" s="22">
        <f>LARGE($BH$8:$BH$12,BE1047)</f>
        <v>0.25605536332179929</v>
      </c>
      <c r="BH1047" s="22">
        <f>IF(BG1047&gt;0.1%,BG1047,"Algo Esta Mal")</f>
        <v>0.25605536332179929</v>
      </c>
      <c r="BI1047" s="21" t="str">
        <f>IF(BH1047=BG1047,BF1047," ")</f>
        <v>En desacuerdo</v>
      </c>
      <c r="BN1047" s="21">
        <v>2</v>
      </c>
      <c r="BO1047" s="21" t="str">
        <f>IF(BP1047=BQ8,BO8,IF(BP1047=BQ9,BO9,IF(BP1047=BQ10,BO10,IF(BP1047=BQ11,BO11,IF(BP1047=BQ12,BO12,"ALGO ESTA MAL")))))</f>
        <v>De acuerdo</v>
      </c>
      <c r="BP1047" s="22">
        <f>LARGE($BQ$8:$BQ$12,BN1047)</f>
        <v>0.29411764705882354</v>
      </c>
      <c r="BQ1047" s="22">
        <f>IF(BP1047&gt;0.1%,BP1047,"Algo Esta Mal")</f>
        <v>0.29411764705882354</v>
      </c>
      <c r="BR1047" s="21" t="str">
        <f>IF(BQ1047=BP1047,BO1047," ")</f>
        <v>De acuerdo</v>
      </c>
      <c r="BW1047" s="21">
        <v>2</v>
      </c>
      <c r="BX1047" s="21" t="str">
        <f>IF(BY1047=BZ8,BX8,IF(BY1047=BZ9,BX9,IF(BY1047=BZ10,BX10,IF(BY1047=BZ11,BX11,IF(BY1047=BZ12,BX12,"ALGO ESTA MAL")))))</f>
        <v>En desacuerdo</v>
      </c>
      <c r="BY1047" s="22">
        <f>LARGE($BZ$8:$BZ$12,BW1047)</f>
        <v>0.25259515570934254</v>
      </c>
      <c r="BZ1047" s="22">
        <f>IF(BY1047&gt;0.1%,BY1047,"Algo Esta Mal")</f>
        <v>0.25259515570934254</v>
      </c>
      <c r="CA1047" s="21" t="str">
        <f>IF(BZ1047=BY1047,BX1047," ")</f>
        <v>En desacuerdo</v>
      </c>
      <c r="CF1047" s="21">
        <v>2</v>
      </c>
      <c r="CG1047" s="21" t="str">
        <f>IF(CH1047=CI8,CG8,IF(CH1047=CI9,CG9,IF(CH1047=CI10,CG10,IF(CH1047=CI11,CG11,IF(CH1047=CI12,CG12,"ALGO ESTA MAL")))))</f>
        <v>En desacuerdo</v>
      </c>
      <c r="CH1047" s="22">
        <f>LARGE($CI$8:$CI$12,CF1047)</f>
        <v>0.23875432525951557</v>
      </c>
      <c r="CI1047" s="22">
        <f>IF(CH1047&gt;0.1%,CH1047,"Algo Esta Mal")</f>
        <v>0.23875432525951557</v>
      </c>
      <c r="CJ1047" s="21" t="str">
        <f>IF(CI1047=CH1047,CG1047," ")</f>
        <v>En desacuerdo</v>
      </c>
      <c r="CO1047" s="21">
        <v>2</v>
      </c>
      <c r="CP1047" s="21" t="str">
        <f>IF(CQ1047=CR8,CP8,IF(CQ1047=CR9,CP9,IF(CQ1047=CR10,CP10,IF(CQ1047=CR11,CP11,IF(CQ1047=CR12,CP12,"ALGO ESTA MAL")))))</f>
        <v>De acuerdo</v>
      </c>
      <c r="CQ1047" s="22">
        <f>LARGE($CR$8:$CR$12,CO1047)</f>
        <v>0.2491349480968858</v>
      </c>
      <c r="CR1047" s="22">
        <f>IF(CQ1047&gt;0.1%,CQ1047,"Algo Esta Mal")</f>
        <v>0.2491349480968858</v>
      </c>
      <c r="CS1047" s="21" t="str">
        <f>IF(CR1047=CQ1047,CP1047," ")</f>
        <v>De acuerdo</v>
      </c>
      <c r="CX1047" s="21">
        <v>2</v>
      </c>
      <c r="CY1047" s="21" t="str">
        <f>IF(CZ1047=DA8,CY8,IF(CZ1047=DA9,CY9,IF(CZ1047=DA10,CY10,IF(CZ1047=DA11,CY11,IF(CZ1047=DA12,CY12,"ALGO ESTA MAL")))))</f>
        <v>De acuerdo</v>
      </c>
      <c r="CZ1047" s="22">
        <f>LARGE($DA$8:$DA$12,CX1047)</f>
        <v>0.2491349480968858</v>
      </c>
      <c r="DA1047" s="22">
        <f>IF(CZ1047&gt;0.1%,CZ1047,"Algo Esta Mal")</f>
        <v>0.2491349480968858</v>
      </c>
      <c r="DB1047" s="21" t="str">
        <f>IF(DA1047=CZ1047,CY1047," ")</f>
        <v>De acuerdo</v>
      </c>
      <c r="DG1047" s="21">
        <v>2</v>
      </c>
      <c r="DH1047" s="21" t="str">
        <f>IF(DI1047=DJ8,DH8,IF(DI1047=DJ9,DH9,IF(DI1047=DJ10,DH10,IF(DI1047=DJ11,DH11,IF(DI1047=DJ12,DH12,"ALGO ESTA MAL")))))</f>
        <v>En desacuerdo</v>
      </c>
      <c r="DI1047" s="22">
        <f>LARGE($DJ$8:$DJ$12,DG1047)</f>
        <v>0.29411764705882354</v>
      </c>
      <c r="DJ1047" s="22">
        <f>IF(DI1047&gt;0.1%,DI1047,"Algo Esta Mal")</f>
        <v>0.29411764705882354</v>
      </c>
      <c r="DK1047" s="21" t="str">
        <f>IF(DJ1047=DI1047,DH1047," ")</f>
        <v>En desacuerdo</v>
      </c>
      <c r="DP1047" s="21">
        <v>2</v>
      </c>
      <c r="DQ1047" s="21" t="str">
        <f>IF(DR1047=DS8,DQ8,IF(DR1047=DS9,DQ9,IF(DR1047=DS10,DQ10,IF(DR1047=DS11,DQ11,IF(DR1047=DS12,DQ12,"ALGO ESTA MAL")))))</f>
        <v>De acuerdo</v>
      </c>
      <c r="DR1047" s="22">
        <f>LARGE($DS$8:$DS$12,DP1047)</f>
        <v>0.22491349480968859</v>
      </c>
      <c r="DS1047" s="22">
        <f>IF(DR1047&gt;0.1%,DR1047,"Algo Esta Mal")</f>
        <v>0.22491349480968859</v>
      </c>
      <c r="DT1047" s="21" t="str">
        <f>IF(DS1047=DR1047,DQ1047," ")</f>
        <v>De acuerdo</v>
      </c>
      <c r="DY1047" s="21">
        <v>2</v>
      </c>
      <c r="DZ1047" s="21" t="str">
        <f>IF(EA1047=EB8,DZ8,IF(EA1047=EB9,DZ9,IF(EA1047=EB10,DZ10,IF(EA1047=EB11,DZ11,IF(EA1047=EB12,DZ12,"ALGO ESTA MAL")))))</f>
        <v>En desacuerdo</v>
      </c>
      <c r="EA1047" s="22">
        <f>LARGE($EB$8:$EB$12,DY1047)</f>
        <v>0.26643598615916952</v>
      </c>
      <c r="EB1047" s="22">
        <f>IF(EA1047&gt;0.1%,EA1047,"Algo Esta Mal")</f>
        <v>0.26643598615916952</v>
      </c>
      <c r="EC1047" s="21" t="str">
        <f>IF(EB1047=EA1047,DZ1047," ")</f>
        <v>En desacuerdo</v>
      </c>
      <c r="EH1047" s="21">
        <v>2</v>
      </c>
      <c r="EI1047" s="21" t="str">
        <f>IF(EJ1047=EK8,EI8,IF(EJ1047=EK9,EI9,IF(EJ1047=EK10,EI10,IF(EJ1047=EK11,EI11,IF(EJ1047=EK12,EI12,"ALGO ESTA MAL")))))</f>
        <v>De acuerdo</v>
      </c>
      <c r="EJ1047" s="22">
        <f>LARGE($EK$8:$EK$12,EH1047)</f>
        <v>0.21107266435986158</v>
      </c>
      <c r="EK1047" s="22">
        <f>IF(EJ1047&gt;0.1%,EJ1047,"Algo Esta Mal")</f>
        <v>0.21107266435986158</v>
      </c>
      <c r="EL1047" s="21" t="str">
        <f>IF(EK1047=EJ1047,EI1047," ")</f>
        <v>De acuerdo</v>
      </c>
      <c r="EQ1047" s="21">
        <v>2</v>
      </c>
      <c r="ER1047" s="21" t="str">
        <f>IF(ES1047=ET8,ER8,IF(ES1047=ET9,ER9,IF(ES1047=ET10,ER10,IF(ES1047=ET11,ER11,IF(ES1047=ET12,ER12,"ALGO ESTA MAL")))))</f>
        <v>En desacuerdo</v>
      </c>
      <c r="ES1047" s="22">
        <f>LARGE($ET$8:$ET$12,EQ1047)</f>
        <v>0.33564013840830448</v>
      </c>
      <c r="ET1047" s="22">
        <f>IF(ES1047&gt;0.1%,ES1047,"Algo Esta Mal")</f>
        <v>0.33564013840830448</v>
      </c>
      <c r="EU1047" s="21" t="str">
        <f>IF(ET1047=ES1047,ER1047," ")</f>
        <v>En desacuerdo</v>
      </c>
      <c r="EZ1047" s="21">
        <v>2</v>
      </c>
      <c r="FA1047" s="21" t="str">
        <f>IF(FB1047=FC8,FA8,IF(FB1047=FC9,FA9,IF(FB1047=FC10,FA10,IF(FB1047=FC11,FA11,IF(FB1047=FC12,FA12,"ALGO ESTA MAL")))))</f>
        <v>De acuerdo</v>
      </c>
      <c r="FB1047" s="22">
        <f>LARGE($FC$8:$FC$12,EZ1047)</f>
        <v>0.25951557093425603</v>
      </c>
      <c r="FC1047" s="22">
        <f>IF(FB1047&gt;0.1%,FB1047,"Algo Esta Mal")</f>
        <v>0.25951557093425603</v>
      </c>
      <c r="FD1047" s="21" t="str">
        <f>IF(FC1047=FB1047,FA1047," ")</f>
        <v>De acuerdo</v>
      </c>
    </row>
    <row r="1048" spans="3:160" x14ac:dyDescent="0.25">
      <c r="C1048" s="21">
        <v>3</v>
      </c>
      <c r="D1048" s="21" t="str">
        <f>IF(E1048=F8,D8,IF(E1048=F9,D9,IF(E1048=F10,D10,IF(E1048=F11,D11,IF(E1048=F12,D12,"ALGO ESTA MAL")))))</f>
        <v>En desacuerdo</v>
      </c>
      <c r="E1048" s="22">
        <f>LARGE($F$8:$F$12,C1048)</f>
        <v>0.11764705882352941</v>
      </c>
      <c r="F1048" s="22">
        <f>IF(E1048&gt;0.1%,E1048,"Algo Esta Mal")</f>
        <v>0.11764705882352941</v>
      </c>
      <c r="G1048" s="21" t="str">
        <f>IF(F1048=E1048,D1048," ")</f>
        <v>En desacuerdo</v>
      </c>
      <c r="L1048" s="21">
        <v>3</v>
      </c>
      <c r="M1048" s="21" t="str">
        <f>IF(N1048=O8,M8,IF(N1048=O9,M9,IF(N1048=O10,M10,IF(N1048=O11,M11,IF(N1048=O12,M12,"ALGO ESTA MAL")))))</f>
        <v>En desacuerdo</v>
      </c>
      <c r="N1048" s="22">
        <f>LARGE($O$8:$O$12,L1048)</f>
        <v>0.1972318339100346</v>
      </c>
      <c r="O1048" s="22">
        <f>IF(N1048&gt;0.1%,N1048,"Algo Esta Mal")</f>
        <v>0.1972318339100346</v>
      </c>
      <c r="P1048" s="21" t="str">
        <f>IF(O1048=N1048,M1048," ")</f>
        <v>En desacuerdo</v>
      </c>
      <c r="U1048" s="21">
        <v>3</v>
      </c>
      <c r="V1048" s="21" t="str">
        <f>IF(W1048=X8,V8,IF(W1048=X9,V9,IF(W1048=X10,V10,IF(W1048=X11,V11,IF(W1048=X12,V12,"ALGO ESTA MAL")))))</f>
        <v>En desacuerdo</v>
      </c>
      <c r="W1048" s="22">
        <f>LARGE($X$8:$X$12,U1048)</f>
        <v>0.16262975778546712</v>
      </c>
      <c r="X1048" s="22">
        <f>IF(W1048&gt;0.1%,W1048,"Algo Esta Mal")</f>
        <v>0.16262975778546712</v>
      </c>
      <c r="Y1048" s="21" t="str">
        <f>IF(X1048=W1048,V1048," ")</f>
        <v>En desacuerdo</v>
      </c>
      <c r="AD1048" s="21">
        <v>3</v>
      </c>
      <c r="AE1048" s="21" t="str">
        <f>IF(AF1048=AG8,AE8,IF(AF1048=AG9,AE9,IF(AF1048=AG10,AE10,IF(AF1048=AG11,AE11,IF(AF1048=AG12,AE12,"ALGO ESTA MAL")))))</f>
        <v>De acuerdo</v>
      </c>
      <c r="AF1048" s="22">
        <f>LARGE($AG$8:$AG$12,AD1048)</f>
        <v>0.20761245674740483</v>
      </c>
      <c r="AG1048" s="22">
        <f>IF(AF1048&gt;0.1%,AF1048,"Algo Esta Mal")</f>
        <v>0.20761245674740483</v>
      </c>
      <c r="AH1048" s="21" t="str">
        <f>IF(AG1048=AF1048,AE1048," ")</f>
        <v>De acuerdo</v>
      </c>
      <c r="AM1048" s="21">
        <v>3</v>
      </c>
      <c r="AN1048" s="21" t="str">
        <f>IF(AO1048=AP8,AN8,IF(AO1048=AP9,AN9,IF(AO1048=AP10,AN10,IF(AO1048=AP11,AN11,IF(AO1048=AP12,AN12,"ALGO ESTA MAL")))))</f>
        <v>De acuerdo</v>
      </c>
      <c r="AO1048" s="22">
        <f>LARGE($AP$8:$AP$12,AM1048)</f>
        <v>0.21453287197231835</v>
      </c>
      <c r="AP1048" s="22">
        <f>IF(AO1048&gt;0.1%,AO1048,"Algo Esta Mal")</f>
        <v>0.21453287197231835</v>
      </c>
      <c r="AQ1048" s="21" t="str">
        <f>IF(AP1048=AO1048,AN1048," ")</f>
        <v>De acuerdo</v>
      </c>
      <c r="AV1048" s="21">
        <v>3</v>
      </c>
      <c r="AW1048" s="21" t="str">
        <f>IF(AX1048=AY8,AW8,IF(AX1048=AY9,AW9,IF(AX1048=AY10,AW10,IF(AX1048=AY11,AW11,IF(AX1048=AY12,AW12,"ALGO ESTA MAL")))))</f>
        <v>De acuerdo</v>
      </c>
      <c r="AX1048" s="22">
        <f>LARGE($AY$8:$AY$12,AV1048)</f>
        <v>0.2179930795847751</v>
      </c>
      <c r="AY1048" s="22">
        <f>IF(AX1048&gt;0.1%,AX1048,"Algo Esta Mal")</f>
        <v>0.2179930795847751</v>
      </c>
      <c r="AZ1048" s="21" t="str">
        <f>IF(AY1048=AX1048,AW1048," ")</f>
        <v>De acuerdo</v>
      </c>
      <c r="BE1048" s="21">
        <v>3</v>
      </c>
      <c r="BF1048" s="21" t="str">
        <f>IF(BG1048=BH8,BF8,IF(BG1048=BH9,BF9,IF(BG1048=BH10,BF10,IF(BG1048=BH11,BF11,IF(BG1048=BH12,BF12,"ALGO ESTA MAL")))))</f>
        <v>De acuerdo</v>
      </c>
      <c r="BG1048" s="22">
        <f>LARGE($BH$8:$BH$12,BE1048)</f>
        <v>0.18685121107266436</v>
      </c>
      <c r="BH1048" s="22">
        <f>IF(BG1048&gt;0.1%,BG1048,"Algo Esta Mal")</f>
        <v>0.18685121107266436</v>
      </c>
      <c r="BI1048" s="21" t="str">
        <f>IF(BH1048=BG1048,BF1048," ")</f>
        <v>De acuerdo</v>
      </c>
      <c r="BN1048" s="21">
        <v>3</v>
      </c>
      <c r="BO1048" s="21" t="str">
        <f>IF(BP1048=BQ8,BO8,IF(BP1048=BQ9,BO9,IF(BP1048=BQ10,BO10,IF(BP1048=BQ11,BO11,IF(BP1048=BQ12,BO12,"ALGO ESTA MAL")))))</f>
        <v>En desacuerdo</v>
      </c>
      <c r="BP1048" s="22">
        <f>LARGE($BQ$8:$BQ$12,BN1048)</f>
        <v>0.15224913494809689</v>
      </c>
      <c r="BQ1048" s="22">
        <f>IF(BP1048&gt;0.1%,BP1048,"Algo Esta Mal")</f>
        <v>0.15224913494809689</v>
      </c>
      <c r="BR1048" s="21" t="str">
        <f>IF(BQ1048=BP1048,BO1048," ")</f>
        <v>En desacuerdo</v>
      </c>
      <c r="BW1048" s="21">
        <v>3</v>
      </c>
      <c r="BX1048" s="21" t="str">
        <f>IF(BY1048=BZ8,BX8,IF(BY1048=BZ9,BX9,IF(BY1048=BZ10,BX10,IF(BY1048=BZ11,BX11,IF(BY1048=BZ12,BX12,"ALGO ESTA MAL")))))</f>
        <v>De acuerdo</v>
      </c>
      <c r="BY1048" s="22">
        <f>LARGE($BZ$8:$BZ$12,BW1048)</f>
        <v>0.23183391003460208</v>
      </c>
      <c r="BZ1048" s="22">
        <f>IF(BY1048&gt;0.1%,BY1048,"Algo Esta Mal")</f>
        <v>0.23183391003460208</v>
      </c>
      <c r="CA1048" s="21" t="str">
        <f>IF(BZ1048=BY1048,BX1048," ")</f>
        <v>De acuerdo</v>
      </c>
      <c r="CF1048" s="21">
        <v>3</v>
      </c>
      <c r="CG1048" s="21" t="str">
        <f>IF(CH1048=CI8,CG8,IF(CH1048=CI9,CG9,IF(CH1048=CI10,CG10,IF(CH1048=CI11,CG11,IF(CH1048=CI12,CG12,"ALGO ESTA MAL")))))</f>
        <v>De acuerdo</v>
      </c>
      <c r="CH1048" s="22">
        <f>LARGE($CI$8:$CI$12,CF1048)</f>
        <v>0.23183391003460208</v>
      </c>
      <c r="CI1048" s="22">
        <f>IF(CH1048&gt;0.1%,CH1048,"Algo Esta Mal")</f>
        <v>0.23183391003460208</v>
      </c>
      <c r="CJ1048" s="21" t="str">
        <f>IF(CI1048=CH1048,CG1048," ")</f>
        <v>De acuerdo</v>
      </c>
      <c r="CO1048" s="21">
        <v>3</v>
      </c>
      <c r="CP1048" s="21" t="str">
        <f>IF(CQ1048=CR8,CP8,IF(CQ1048=CR9,CP9,IF(CQ1048=CR10,CP10,IF(CQ1048=CR11,CP11,IF(CQ1048=CR12,CP12,"ALGO ESTA MAL")))))</f>
        <v>En desacuerdo</v>
      </c>
      <c r="CQ1048" s="22">
        <f>LARGE($CR$8:$CR$12,CO1048)</f>
        <v>0.20069204152249134</v>
      </c>
      <c r="CR1048" s="22">
        <f>IF(CQ1048&gt;0.1%,CQ1048,"Algo Esta Mal")</f>
        <v>0.20069204152249134</v>
      </c>
      <c r="CS1048" s="21" t="str">
        <f>IF(CR1048=CQ1048,CP1048," ")</f>
        <v>En desacuerdo</v>
      </c>
      <c r="CX1048" s="21">
        <v>3</v>
      </c>
      <c r="CY1048" s="21" t="str">
        <f>IF(CZ1048=DA8,CY8,IF(CZ1048=DA9,CY9,IF(CZ1048=DA10,CY10,IF(CZ1048=DA11,CY11,IF(CZ1048=DA12,CY12,"ALGO ESTA MAL")))))</f>
        <v>En desacuerdo</v>
      </c>
      <c r="CZ1048" s="22">
        <f>LARGE($DA$8:$DA$12,CX1048)</f>
        <v>0.20069204152249134</v>
      </c>
      <c r="DA1048" s="22">
        <f>IF(CZ1048&gt;0.1%,CZ1048,"Algo Esta Mal")</f>
        <v>0.20069204152249134</v>
      </c>
      <c r="DB1048" s="21" t="str">
        <f>IF(DA1048=CZ1048,CY1048," ")</f>
        <v>En desacuerdo</v>
      </c>
      <c r="DG1048" s="21">
        <v>3</v>
      </c>
      <c r="DH1048" s="21" t="str">
        <f>IF(DI1048=DJ8,DH8,IF(DI1048=DJ9,DH9,IF(DI1048=DJ10,DH10,IF(DI1048=DJ11,DH11,IF(DI1048=DJ12,DH12,"ALGO ESTA MAL")))))</f>
        <v>De acuerdo</v>
      </c>
      <c r="DI1048" s="22">
        <f>LARGE($DJ$8:$DJ$12,DG1048)</f>
        <v>0.18685121107266436</v>
      </c>
      <c r="DJ1048" s="22">
        <f>IF(DI1048&gt;0.1%,DI1048,"Algo Esta Mal")</f>
        <v>0.18685121107266436</v>
      </c>
      <c r="DK1048" s="21" t="str">
        <f>IF(DJ1048=DI1048,DH1048," ")</f>
        <v>De acuerdo</v>
      </c>
      <c r="DP1048" s="21">
        <v>3</v>
      </c>
      <c r="DQ1048" s="21" t="str">
        <f>IF(DR1048=DS8,DQ8,IF(DR1048=DS9,DQ9,IF(DR1048=DS10,DQ10,IF(DR1048=DS11,DQ11,IF(DR1048=DS12,DQ12,"ALGO ESTA MAL")))))</f>
        <v>En desacuerdo</v>
      </c>
      <c r="DR1048" s="22">
        <f>LARGE($DS$8:$DS$12,DP1048)</f>
        <v>0.22145328719723184</v>
      </c>
      <c r="DS1048" s="22">
        <f>IF(DR1048&gt;0.1%,DR1048,"Algo Esta Mal")</f>
        <v>0.22145328719723184</v>
      </c>
      <c r="DT1048" s="21" t="str">
        <f>IF(DS1048=DR1048,DQ1048," ")</f>
        <v>En desacuerdo</v>
      </c>
      <c r="DY1048" s="21">
        <v>3</v>
      </c>
      <c r="DZ1048" s="21" t="str">
        <f>IF(EA1048=EB8,DZ8,IF(EA1048=EB9,DZ9,IF(EA1048=EB10,DZ10,IF(EA1048=EB11,DZ11,IF(EA1048=EB12,DZ12,"ALGO ESTA MAL")))))</f>
        <v>De acuerdo</v>
      </c>
      <c r="EA1048" s="22">
        <f>LARGE($EB$8:$EB$12,DY1048)</f>
        <v>0.19377162629757785</v>
      </c>
      <c r="EB1048" s="22">
        <f>IF(EA1048&gt;0.1%,EA1048,"Algo Esta Mal")</f>
        <v>0.19377162629757785</v>
      </c>
      <c r="EC1048" s="21" t="str">
        <f>IF(EB1048=EA1048,DZ1048," ")</f>
        <v>De acuerdo</v>
      </c>
      <c r="EH1048" s="21">
        <v>3</v>
      </c>
      <c r="EI1048" s="21" t="str">
        <f>IF(EJ1048=EK8,EI8,IF(EJ1048=EK9,EI9,IF(EJ1048=EK10,EI10,IF(EJ1048=EK11,EI11,IF(EJ1048=EK12,EI12,"ALGO ESTA MAL")))))</f>
        <v>En desacuerdo</v>
      </c>
      <c r="EJ1048" s="22">
        <f>LARGE($EK$8:$EK$12,EH1048)</f>
        <v>0.20415224913494809</v>
      </c>
      <c r="EK1048" s="22">
        <f>IF(EJ1048&gt;0.1%,EJ1048,"Algo Esta Mal")</f>
        <v>0.20415224913494809</v>
      </c>
      <c r="EL1048" s="21" t="str">
        <f>IF(EK1048=EJ1048,EI1048," ")</f>
        <v>En desacuerdo</v>
      </c>
      <c r="EQ1048" s="21">
        <v>3</v>
      </c>
      <c r="ER1048" s="21" t="str">
        <f>IF(ES1048=ET8,ER8,IF(ES1048=ET9,ER9,IF(ES1048=ET10,ER10,IF(ES1048=ET11,ER11,IF(ES1048=ET12,ER12,"ALGO ESTA MAL")))))</f>
        <v>De acuerdo</v>
      </c>
      <c r="ES1048" s="22">
        <f>LARGE($ET$8:$ET$12,EQ1048)</f>
        <v>0.13840830449826991</v>
      </c>
      <c r="ET1048" s="22">
        <f>IF(ES1048&gt;0.1%,ES1048,"Algo Esta Mal")</f>
        <v>0.13840830449826991</v>
      </c>
      <c r="EU1048" s="21" t="str">
        <f>IF(ET1048=ES1048,ER1048," ")</f>
        <v>De acuerdo</v>
      </c>
      <c r="EZ1048" s="21">
        <v>3</v>
      </c>
      <c r="FA1048" s="21" t="str">
        <f>IF(FB1048=FC8,FA8,IF(FB1048=FC9,FA9,IF(FB1048=FC10,FA10,IF(FB1048=FC11,FA11,IF(FB1048=FC12,FA12,"ALGO ESTA MAL")))))</f>
        <v>En desacuerdo</v>
      </c>
      <c r="FB1048" s="22">
        <f>LARGE($FC$8:$FC$12,EZ1048)</f>
        <v>0.20069204152249134</v>
      </c>
      <c r="FC1048" s="22">
        <f>IF(FB1048&gt;0.1%,FB1048,"Algo Esta Mal")</f>
        <v>0.20069204152249134</v>
      </c>
      <c r="FD1048" s="21" t="str">
        <f>IF(FC1048=FB1048,FA1048," ")</f>
        <v>En desacuerdo</v>
      </c>
    </row>
    <row r="1049" spans="3:160" x14ac:dyDescent="0.25">
      <c r="C1049" s="21">
        <v>4</v>
      </c>
      <c r="D1049" s="21" t="str">
        <f>IF(E1049=F8,D8,IF(E1049=F9,D9,IF(E1049=F10,D10,IF(E1049=F11,D11,IF(E1049=F12,D12,"ALGO ESTA MAL")))))</f>
        <v>Totalmente de acuerdo</v>
      </c>
      <c r="E1049" s="22">
        <f>LARGE($F$8:$F$12,C1049)</f>
        <v>3.1141868512110725E-2</v>
      </c>
      <c r="F1049" s="22">
        <f>IF(E1049&gt;0.1%,E1049,"Algo Esta Mal")</f>
        <v>3.1141868512110725E-2</v>
      </c>
      <c r="G1049" s="21" t="str">
        <f>IF(F1049=E1049,D1049," ")</f>
        <v>Totalmente de acuerdo</v>
      </c>
      <c r="L1049" s="21">
        <v>4</v>
      </c>
      <c r="M1049" s="21" t="str">
        <f>IF(N1049=O8,M8,IF(N1049=O9,M9,IF(N1049=O10,M10,IF(N1049=O11,M11,IF(N1049=O12,M12,"ALGO ESTA MAL")))))</f>
        <v>Totalmente de acuerdo</v>
      </c>
      <c r="N1049" s="22">
        <f>LARGE($O$8:$O$12,L1049)</f>
        <v>2.0761245674740483E-2</v>
      </c>
      <c r="O1049" s="22">
        <f>IF(N1049&gt;0.1%,N1049,"Algo Esta Mal")</f>
        <v>2.0761245674740483E-2</v>
      </c>
      <c r="P1049" s="21" t="str">
        <f>IF(O1049=N1049,M1049," ")</f>
        <v>Totalmente de acuerdo</v>
      </c>
      <c r="U1049" s="21">
        <v>4</v>
      </c>
      <c r="V1049" s="21" t="str">
        <f>IF(W1049=X8,V8,IF(W1049=X9,V9,IF(W1049=X10,V10,IF(W1049=X11,V11,IF(W1049=X12,V12,"ALGO ESTA MAL")))))</f>
        <v>Totalmente de acuerdo</v>
      </c>
      <c r="W1049" s="22">
        <f>LARGE($X$8:$X$12,U1049)</f>
        <v>2.768166089965398E-2</v>
      </c>
      <c r="X1049" s="22">
        <f>IF(W1049&gt;0.1%,W1049,"Algo Esta Mal")</f>
        <v>2.768166089965398E-2</v>
      </c>
      <c r="Y1049" s="21" t="str">
        <f>IF(X1049=W1049,V1049," ")</f>
        <v>Totalmente de acuerdo</v>
      </c>
      <c r="AD1049" s="21">
        <v>4</v>
      </c>
      <c r="AE1049" s="21" t="str">
        <f>IF(AF1049=AG8,AE8,IF(AF1049=AG9,AE9,IF(AF1049=AG10,AE10,IF(AF1049=AG11,AE11,IF(AF1049=AG12,AE12,"ALGO ESTA MAL")))))</f>
        <v>Totalmente de acuerdo</v>
      </c>
      <c r="AF1049" s="22">
        <f>LARGE($AG$8:$AG$12,AD1049)</f>
        <v>2.768166089965398E-2</v>
      </c>
      <c r="AG1049" s="22">
        <f>IF(AF1049&gt;0.1%,AF1049,"Algo Esta Mal")</f>
        <v>2.768166089965398E-2</v>
      </c>
      <c r="AH1049" s="21" t="str">
        <f>IF(AG1049=AF1049,AE1049," ")</f>
        <v>Totalmente de acuerdo</v>
      </c>
      <c r="AM1049" s="21">
        <v>4</v>
      </c>
      <c r="AN1049" s="21" t="str">
        <f>IF(AO1049=AP8,AN8,IF(AO1049=AP9,AN9,IF(AO1049=AP10,AN10,IF(AO1049=AP11,AN11,IF(AO1049=AP12,AN12,"ALGO ESTA MAL")))))</f>
        <v>Totalmente en desacuerdo</v>
      </c>
      <c r="AO1049" s="22">
        <f>LARGE($AP$8:$AP$12,AM1049)</f>
        <v>1.0380622837370242E-2</v>
      </c>
      <c r="AP1049" s="22">
        <f>IF(AO1049&gt;0.1%,AO1049,"Algo Esta Mal")</f>
        <v>1.0380622837370242E-2</v>
      </c>
      <c r="AQ1049" s="21" t="str">
        <f>IF(AP1049=AO1049,AN1049," ")</f>
        <v>Totalmente en desacuerdo</v>
      </c>
      <c r="AV1049" s="21">
        <v>4</v>
      </c>
      <c r="AW1049" s="21" t="str">
        <f>IF(AX1049=AY8,AW8,IF(AX1049=AY9,AW9,IF(AX1049=AY10,AW10,IF(AX1049=AY11,AW11,IF(AX1049=AY12,AW12,"ALGO ESTA MAL")))))</f>
        <v>Totalmente de acuerdo</v>
      </c>
      <c r="AX1049" s="22">
        <f>LARGE($AY$8:$AY$12,AV1049)</f>
        <v>2.4221453287197232E-2</v>
      </c>
      <c r="AY1049" s="22">
        <f>IF(AX1049&gt;0.1%,AX1049,"Algo Esta Mal")</f>
        <v>2.4221453287197232E-2</v>
      </c>
      <c r="AZ1049" s="21" t="str">
        <f>IF(AY1049=AX1049,AW1049," ")</f>
        <v>Totalmente de acuerdo</v>
      </c>
      <c r="BE1049" s="21">
        <v>4</v>
      </c>
      <c r="BF1049" s="21" t="str">
        <f>IF(BG1049=BH8,BF8,IF(BG1049=BH9,BF9,IF(BG1049=BH10,BF10,IF(BG1049=BH11,BF11,IF(BG1049=BH12,BF12,"ALGO ESTA MAL")))))</f>
        <v>Totalmente de acuerdo</v>
      </c>
      <c r="BG1049" s="22">
        <f>LARGE($BH$8:$BH$12,BE1049)</f>
        <v>2.4221453287197232E-2</v>
      </c>
      <c r="BH1049" s="22">
        <f>IF(BG1049&gt;0.1%,BG1049,"Algo Esta Mal")</f>
        <v>2.4221453287197232E-2</v>
      </c>
      <c r="BI1049" s="21" t="str">
        <f>IF(BH1049=BG1049,BF1049," ")</f>
        <v>Totalmente de acuerdo</v>
      </c>
      <c r="BN1049" s="21">
        <v>4</v>
      </c>
      <c r="BO1049" s="21" t="str">
        <f>IF(BP1049=BQ8,BO8,IF(BP1049=BQ9,BO9,IF(BP1049=BQ10,BO10,IF(BP1049=BQ11,BO11,IF(BP1049=BQ12,BO12,"ALGO ESTA MAL")))))</f>
        <v>Totalmente de acuerdo</v>
      </c>
      <c r="BP1049" s="22">
        <f>LARGE($BQ$8:$BQ$12,BN1049)</f>
        <v>3.4602076124567477E-2</v>
      </c>
      <c r="BQ1049" s="22">
        <f>IF(BP1049&gt;0.1%,BP1049,"Algo Esta Mal")</f>
        <v>3.4602076124567477E-2</v>
      </c>
      <c r="BR1049" s="21" t="str">
        <f>IF(BQ1049=BP1049,BO1049," ")</f>
        <v>Totalmente de acuerdo</v>
      </c>
      <c r="BW1049" s="21">
        <v>4</v>
      </c>
      <c r="BX1049" s="21" t="str">
        <f>IF(BY1049=BZ8,BX8,IF(BY1049=BZ9,BX9,IF(BY1049=BZ10,BX10,IF(BY1049=BZ11,BX11,IF(BY1049=BZ12,BX12,"ALGO ESTA MAL")))))</f>
        <v>Totalmente de acuerdo</v>
      </c>
      <c r="BY1049" s="22">
        <f>LARGE($BZ$8:$BZ$12,BW1049)</f>
        <v>1.7301038062283738E-2</v>
      </c>
      <c r="BZ1049" s="22">
        <f>IF(BY1049&gt;0.1%,BY1049,"Algo Esta Mal")</f>
        <v>1.7301038062283738E-2</v>
      </c>
      <c r="CA1049" s="21" t="str">
        <f>IF(BZ1049=BY1049,BX1049," ")</f>
        <v>Totalmente de acuerdo</v>
      </c>
      <c r="CF1049" s="21">
        <v>4</v>
      </c>
      <c r="CG1049" s="21" t="str">
        <f>IF(CH1049=CI8,CG8,IF(CH1049=CI9,CG9,IF(CH1049=CI10,CG10,IF(CH1049=CI11,CG11,IF(CH1049=CI12,CG12,"ALGO ESTA MAL")))))</f>
        <v>Totalmente de acuerdo</v>
      </c>
      <c r="CH1049" s="22">
        <f>LARGE($CI$8:$CI$12,CF1049)</f>
        <v>1.7301038062283738E-2</v>
      </c>
      <c r="CI1049" s="22">
        <f>IF(CH1049&gt;0.1%,CH1049,"Algo Esta Mal")</f>
        <v>1.7301038062283738E-2</v>
      </c>
      <c r="CJ1049" s="21" t="str">
        <f>IF(CI1049=CH1049,CG1049," ")</f>
        <v>Totalmente de acuerdo</v>
      </c>
      <c r="CO1049" s="21">
        <v>4</v>
      </c>
      <c r="CP1049" s="21" t="str">
        <f>IF(CQ1049=CR8,CP8,IF(CQ1049=CR9,CP9,IF(CQ1049=CR10,CP10,IF(CQ1049=CR11,CP11,IF(CQ1049=CR12,CP12,"ALGO ESTA MAL")))))</f>
        <v>Totalmente de acuerdo</v>
      </c>
      <c r="CQ1049" s="22">
        <f>LARGE($CR$8:$CR$12,CO1049)</f>
        <v>2.768166089965398E-2</v>
      </c>
      <c r="CR1049" s="22">
        <f>IF(CQ1049&gt;0.1%,CQ1049,"Algo Esta Mal")</f>
        <v>2.768166089965398E-2</v>
      </c>
      <c r="CS1049" s="21" t="str">
        <f>IF(CR1049=CQ1049,CP1049," ")</f>
        <v>Totalmente de acuerdo</v>
      </c>
      <c r="CX1049" s="21">
        <v>4</v>
      </c>
      <c r="CY1049" s="21" t="str">
        <f>IF(CZ1049=DA8,CY8,IF(CZ1049=DA9,CY9,IF(CZ1049=DA10,CY10,IF(CZ1049=DA11,CY11,IF(CZ1049=DA12,CY12,"ALGO ESTA MAL")))))</f>
        <v>Totalmente de acuerdo</v>
      </c>
      <c r="CZ1049" s="22">
        <f>LARGE($DA$8:$DA$12,CX1049)</f>
        <v>1.7301038062283738E-2</v>
      </c>
      <c r="DA1049" s="22">
        <f>IF(CZ1049&gt;0.1%,CZ1049,"Algo Esta Mal")</f>
        <v>1.7301038062283738E-2</v>
      </c>
      <c r="DB1049" s="21" t="str">
        <f>IF(DA1049=CZ1049,CY1049," ")</f>
        <v>Totalmente de acuerdo</v>
      </c>
      <c r="DG1049" s="21">
        <v>4</v>
      </c>
      <c r="DH1049" s="21" t="str">
        <f>IF(DI1049=DJ8,DH8,IF(DI1049=DJ9,DH9,IF(DI1049=DJ10,DH10,IF(DI1049=DJ11,DH11,IF(DI1049=DJ12,DH12,"ALGO ESTA MAL")))))</f>
        <v>Totalmente en desacuerdo</v>
      </c>
      <c r="DI1049" s="22">
        <f>LARGE($DJ$8:$DJ$12,DG1049)</f>
        <v>2.768166089965398E-2</v>
      </c>
      <c r="DJ1049" s="22">
        <f>IF(DI1049&gt;0.1%,DI1049,"Algo Esta Mal")</f>
        <v>2.768166089965398E-2</v>
      </c>
      <c r="DK1049" s="21" t="str">
        <f>IF(DJ1049=DI1049,DH1049," ")</f>
        <v>Totalmente en desacuerdo</v>
      </c>
      <c r="DP1049" s="21">
        <v>4</v>
      </c>
      <c r="DQ1049" s="21" t="str">
        <f>IF(DR1049=DS8,DQ8,IF(DR1049=DS9,DQ9,IF(DR1049=DS10,DQ10,IF(DR1049=DS11,DQ11,IF(DR1049=DS12,DQ12,"ALGO ESTA MAL")))))</f>
        <v>Totalmente de acuerdo</v>
      </c>
      <c r="DR1049" s="22">
        <f>LARGE($DS$8:$DS$12,DP1049)</f>
        <v>2.768166089965398E-2</v>
      </c>
      <c r="DS1049" s="22">
        <f>IF(DR1049&gt;0.1%,DR1049,"Algo Esta Mal")</f>
        <v>2.768166089965398E-2</v>
      </c>
      <c r="DT1049" s="21" t="str">
        <f>IF(DS1049=DR1049,DQ1049," ")</f>
        <v>Totalmente de acuerdo</v>
      </c>
      <c r="DY1049" s="21">
        <v>4</v>
      </c>
      <c r="DZ1049" s="21" t="str">
        <f>IF(EA1049=EB8,DZ8,IF(EA1049=EB9,DZ9,IF(EA1049=EB10,DZ10,IF(EA1049=EB11,DZ11,IF(EA1049=EB12,DZ12,"ALGO ESTA MAL")))))</f>
        <v>Totalmente en desacuerdo</v>
      </c>
      <c r="EA1049" s="22">
        <f>LARGE($EB$8:$EB$12,DY1049)</f>
        <v>2.4221453287197232E-2</v>
      </c>
      <c r="EB1049" s="22">
        <f>IF(EA1049&gt;0.1%,EA1049,"Algo Esta Mal")</f>
        <v>2.4221453287197232E-2</v>
      </c>
      <c r="EC1049" s="21" t="str">
        <f>IF(EB1049=EA1049,DZ1049," ")</f>
        <v>Totalmente en desacuerdo</v>
      </c>
      <c r="EH1049" s="21">
        <v>4</v>
      </c>
      <c r="EI1049" s="21" t="str">
        <f>IF(EJ1049=EK8,EI8,IF(EJ1049=EK9,EI9,IF(EJ1049=EK10,EI10,IF(EJ1049=EK11,EI11,IF(EJ1049=EK12,EI12,"ALGO ESTA MAL")))))</f>
        <v>Totalmente de acuerdo</v>
      </c>
      <c r="EJ1049" s="22">
        <f>LARGE($EK$8:$EK$12,EH1049)</f>
        <v>2.0761245674740483E-2</v>
      </c>
      <c r="EK1049" s="22">
        <f>IF(EJ1049&gt;0.1%,EJ1049,"Algo Esta Mal")</f>
        <v>2.0761245674740483E-2</v>
      </c>
      <c r="EL1049" s="21" t="str">
        <f>IF(EK1049=EJ1049,EI1049," ")</f>
        <v>Totalmente de acuerdo</v>
      </c>
      <c r="EQ1049" s="21">
        <v>4</v>
      </c>
      <c r="ER1049" s="21" t="str">
        <f>IF(ES1049=ET8,ER8,IF(ES1049=ET9,ER9,IF(ES1049=ET10,ER10,IF(ES1049=ET11,ER11,IF(ES1049=ET12,ER12,"ALGO ESTA MAL")))))</f>
        <v>Totalmente en desacuerdo</v>
      </c>
      <c r="ES1049" s="22">
        <f>LARGE($ET$8:$ET$12,EQ1049)</f>
        <v>3.1141868512110725E-2</v>
      </c>
      <c r="ET1049" s="22">
        <f>IF(ES1049&gt;0.1%,ES1049,"Algo Esta Mal")</f>
        <v>3.1141868512110725E-2</v>
      </c>
      <c r="EU1049" s="21" t="str">
        <f>IF(ET1049=ES1049,ER1049," ")</f>
        <v>Totalmente en desacuerdo</v>
      </c>
      <c r="EZ1049" s="21">
        <v>4</v>
      </c>
      <c r="FA1049" s="21" t="str">
        <f>IF(FB1049=FC8,FA8,IF(FB1049=FC9,FA9,IF(FB1049=FC10,FA10,IF(FB1049=FC11,FA11,IF(FB1049=FC12,FA12,"ALGO ESTA MAL")))))</f>
        <v>Totalmente de acuerdo</v>
      </c>
      <c r="FB1049" s="22">
        <f>LARGE($FC$8:$FC$12,EZ1049)</f>
        <v>3.1141868512110725E-2</v>
      </c>
      <c r="FC1049" s="22">
        <f>IF(FB1049&gt;0.1%,FB1049,"Algo Esta Mal")</f>
        <v>3.1141868512110725E-2</v>
      </c>
      <c r="FD1049" s="21" t="str">
        <f>IF(FC1049=FB1049,FA1049," ")</f>
        <v>Totalmente de acuerdo</v>
      </c>
    </row>
    <row r="1050" spans="3:160" x14ac:dyDescent="0.25">
      <c r="C1050" s="21">
        <v>5</v>
      </c>
      <c r="D1050" s="21" t="str">
        <f>IF(E1050=F8,D8,IF(E1050=F9,D9,IF(E1050=F10,D10,IF(E1050=F11,D11,IF(E1050=F12,D12,"ALGO ESTA MAL")))))</f>
        <v>Totalmente en desacuerdo</v>
      </c>
      <c r="E1050" s="22">
        <f>LARGE($F$8:$F$12,C1050)</f>
        <v>3.4602076124567475E-3</v>
      </c>
      <c r="F1050" s="22">
        <f>IF(E1050&gt;0.1%,E1050,"Algo Esta Mal")</f>
        <v>3.4602076124567475E-3</v>
      </c>
      <c r="G1050" s="21" t="str">
        <f>IF(F1050=E1050,D1050," ")</f>
        <v>Totalmente en desacuerdo</v>
      </c>
      <c r="L1050" s="21">
        <v>5</v>
      </c>
      <c r="M1050" s="21" t="str">
        <f>IF(N1050=O8,M8,IF(N1050=O9,M9,IF(N1050=O10,M10,IF(N1050=O11,M11,IF(N1050=O12,M12,"ALGO ESTA MAL")))))</f>
        <v>Totalmente en desacuerdo</v>
      </c>
      <c r="N1050" s="22">
        <f>LARGE($O$8:$O$12,L1050)</f>
        <v>1.384083044982699E-2</v>
      </c>
      <c r="O1050" s="22">
        <f>IF(N1050&gt;0.1%,N1050,"Algo Esta Mal")</f>
        <v>1.384083044982699E-2</v>
      </c>
      <c r="P1050" s="21" t="str">
        <f>IF(O1050=N1050,M1050," ")</f>
        <v>Totalmente en desacuerdo</v>
      </c>
      <c r="U1050" s="21">
        <v>5</v>
      </c>
      <c r="V1050" s="21" t="str">
        <f>IF(W1050=X8,V8,IF(W1050=X9,V9,IF(W1050=X10,V10,IF(W1050=X11,V11,IF(W1050=X12,V12,"ALGO ESTA MAL")))))</f>
        <v>Totalmente en desacuerdo</v>
      </c>
      <c r="W1050" s="22">
        <f>LARGE($X$8:$X$12,U1050)</f>
        <v>1.0380622837370242E-2</v>
      </c>
      <c r="X1050" s="22">
        <f>IF(W1050&gt;0.1%,W1050,"Algo Esta Mal")</f>
        <v>1.0380622837370242E-2</v>
      </c>
      <c r="Y1050" s="21" t="str">
        <f>IF(X1050=W1050,V1050," ")</f>
        <v>Totalmente en desacuerdo</v>
      </c>
      <c r="AD1050" s="21">
        <v>5</v>
      </c>
      <c r="AE1050" s="21" t="str">
        <f>IF(AF1050=AG8,AE8,IF(AF1050=AG9,AE9,IF(AF1050=AG10,AE10,IF(AF1050=AG11,AE11,IF(AF1050=AG12,AE12,"ALGO ESTA MAL")))))</f>
        <v>Totalmente en desacuerdo</v>
      </c>
      <c r="AF1050" s="22">
        <f>LARGE($AG$8:$AG$12,AD1050)</f>
        <v>2.0761245674740483E-2</v>
      </c>
      <c r="AG1050" s="22">
        <f>IF(AF1050&gt;0.1%,AF1050,"Algo Esta Mal")</f>
        <v>2.0761245674740483E-2</v>
      </c>
      <c r="AH1050" s="21" t="str">
        <f>IF(AG1050=AF1050,AE1050," ")</f>
        <v>Totalmente en desacuerdo</v>
      </c>
      <c r="AM1050" s="21">
        <v>5</v>
      </c>
      <c r="AN1050" s="21" t="str">
        <f>IF(AO1050=AP8,AN8,IF(AO1050=AP9,AN9,IF(AO1050=AP10,AN10,IF(AO1050=AP11,AN11,IF(AO1050=AP12,AN12,"ALGO ESTA MAL")))))</f>
        <v>Totalmente en desacuerdo</v>
      </c>
      <c r="AO1050" s="22">
        <f>LARGE($AP$8:$AP$12,AM1050)</f>
        <v>1.0380622837370242E-2</v>
      </c>
      <c r="AP1050" s="22">
        <f>IF(AO1050&gt;0.1%,AO1050,"Algo Esta Mal")</f>
        <v>1.0380622837370242E-2</v>
      </c>
      <c r="AQ1050" s="21" t="str">
        <f>IF(AP1050=AO1050,AN1050," ")</f>
        <v>Totalmente en desacuerdo</v>
      </c>
      <c r="AV1050" s="21">
        <v>5</v>
      </c>
      <c r="AW1050" s="21" t="str">
        <f>IF(AX1050=AY8,AW8,IF(AX1050=AY9,AW9,IF(AX1050=AY10,AW10,IF(AX1050=AY11,AW11,IF(AX1050=AY12,AW12,"ALGO ESTA MAL")))))</f>
        <v>Totalmente en desacuerdo</v>
      </c>
      <c r="AX1050" s="22">
        <f>LARGE($AY$8:$AY$12,AV1050)</f>
        <v>1.384083044982699E-2</v>
      </c>
      <c r="AY1050" s="22">
        <f>IF(AX1050&gt;0.1%,AX1050,"Algo Esta Mal")</f>
        <v>1.384083044982699E-2</v>
      </c>
      <c r="AZ1050" s="21" t="str">
        <f>IF(AY1050=AX1050,AW1050," ")</f>
        <v>Totalmente en desacuerdo</v>
      </c>
      <c r="BE1050" s="21">
        <v>5</v>
      </c>
      <c r="BF1050" s="21" t="str">
        <f>IF(BG1050=BH8,BF8,IF(BG1050=BH9,BF9,IF(BG1050=BH10,BF10,IF(BG1050=BH11,BF11,IF(BG1050=BH12,BF12,"ALGO ESTA MAL")))))</f>
        <v>Totalmente en desacuerdo</v>
      </c>
      <c r="BG1050" s="22">
        <f>LARGE($BH$8:$BH$12,BE1050)</f>
        <v>1.384083044982699E-2</v>
      </c>
      <c r="BH1050" s="22">
        <f>IF(BG1050&gt;0.1%,BG1050,"Algo Esta Mal")</f>
        <v>1.384083044982699E-2</v>
      </c>
      <c r="BI1050" s="21" t="str">
        <f>IF(BH1050=BG1050,BF1050," ")</f>
        <v>Totalmente en desacuerdo</v>
      </c>
      <c r="BN1050" s="21">
        <v>5</v>
      </c>
      <c r="BO1050" s="21" t="str">
        <f>IF(BP1050=BQ8,BO8,IF(BP1050=BQ9,BO9,IF(BP1050=BQ10,BO10,IF(BP1050=BQ11,BO11,IF(BP1050=BQ12,BO12,"ALGO ESTA MAL")))))</f>
        <v>Totalmente en desacuerdo</v>
      </c>
      <c r="BP1050" s="22">
        <f>LARGE($BQ$8:$BQ$12,BN1050)</f>
        <v>6.920415224913495E-3</v>
      </c>
      <c r="BQ1050" s="22">
        <f>IF(BP1050&gt;0.1%,BP1050,"Algo Esta Mal")</f>
        <v>6.920415224913495E-3</v>
      </c>
      <c r="BR1050" s="21" t="str">
        <f>IF(BQ1050=BP1050,BO1050," ")</f>
        <v>Totalmente en desacuerdo</v>
      </c>
      <c r="BW1050" s="21">
        <v>5</v>
      </c>
      <c r="BX1050" s="21" t="str">
        <f>IF(BY1050=BZ8,BX8,IF(BY1050=BZ9,BX9,IF(BY1050=BZ10,BX10,IF(BY1050=BZ11,BX11,IF(BY1050=BZ12,BX12,"ALGO ESTA MAL")))))</f>
        <v>Totalmente en desacuerdo</v>
      </c>
      <c r="BY1050" s="22">
        <f>LARGE($BZ$8:$BZ$12,BW1050)</f>
        <v>1.384083044982699E-2</v>
      </c>
      <c r="BZ1050" s="22">
        <f>IF(BY1050&gt;0.1%,BY1050,"Algo Esta Mal")</f>
        <v>1.384083044982699E-2</v>
      </c>
      <c r="CA1050" s="21" t="str">
        <f>IF(BZ1050=BY1050,BX1050," ")</f>
        <v>Totalmente en desacuerdo</v>
      </c>
      <c r="CF1050" s="21">
        <v>5</v>
      </c>
      <c r="CG1050" s="21" t="str">
        <f>IF(CH1050=CI8,CG8,IF(CH1050=CI9,CG9,IF(CH1050=CI10,CG10,IF(CH1050=CI11,CG11,IF(CH1050=CI12,CG12,"ALGO ESTA MAL")))))</f>
        <v>Totalmente en desacuerdo</v>
      </c>
      <c r="CH1050" s="22">
        <f>LARGE($CI$8:$CI$12,CF1050)</f>
        <v>1.0380622837370242E-2</v>
      </c>
      <c r="CI1050" s="22">
        <f>IF(CH1050&gt;0.1%,CH1050,"Algo Esta Mal")</f>
        <v>1.0380622837370242E-2</v>
      </c>
      <c r="CJ1050" s="21" t="str">
        <f>IF(CI1050=CH1050,CG1050," ")</f>
        <v>Totalmente en desacuerdo</v>
      </c>
      <c r="CO1050" s="21">
        <v>5</v>
      </c>
      <c r="CP1050" s="21" t="str">
        <f>IF(CQ1050=CR8,CP8,IF(CQ1050=CR9,CP9,IF(CQ1050=CR10,CP10,IF(CQ1050=CR11,CP11,IF(CQ1050=CR12,CP12,"ALGO ESTA MAL")))))</f>
        <v>Totalmente en desacuerdo</v>
      </c>
      <c r="CQ1050" s="22">
        <f>LARGE($CR$8:$CR$12,CO1050)</f>
        <v>1.384083044982699E-2</v>
      </c>
      <c r="CR1050" s="22">
        <f>IF(CQ1050&gt;0.1%,CQ1050,"Algo Esta Mal")</f>
        <v>1.384083044982699E-2</v>
      </c>
      <c r="CS1050" s="21" t="str">
        <f>IF(CR1050=CQ1050,CP1050," ")</f>
        <v>Totalmente en desacuerdo</v>
      </c>
      <c r="CX1050" s="21">
        <v>5</v>
      </c>
      <c r="CY1050" s="21" t="str">
        <f>IF(CZ1050=DA8,CY8,IF(CZ1050=DA9,CY9,IF(CZ1050=DA10,CY10,IF(CZ1050=DA11,CY11,IF(CZ1050=DA12,CY12,"ALGO ESTA MAL")))))</f>
        <v>Totalmente en desacuerdo</v>
      </c>
      <c r="CZ1050" s="22">
        <f>LARGE($DA$8:$DA$12,CX1050)</f>
        <v>6.920415224913495E-3</v>
      </c>
      <c r="DA1050" s="22">
        <f>IF(CZ1050&gt;0.1%,CZ1050,"Algo Esta Mal")</f>
        <v>6.920415224913495E-3</v>
      </c>
      <c r="DB1050" s="21" t="str">
        <f>IF(DA1050=CZ1050,CY1050," ")</f>
        <v>Totalmente en desacuerdo</v>
      </c>
      <c r="DG1050" s="21">
        <v>5</v>
      </c>
      <c r="DH1050" s="21" t="str">
        <f>IF(DI1050=DJ8,DH8,IF(DI1050=DJ9,DH9,IF(DI1050=DJ10,DH10,IF(DI1050=DJ11,DH11,IF(DI1050=DJ12,DH12,"ALGO ESTA MAL")))))</f>
        <v>Totalmente de acuerdo</v>
      </c>
      <c r="DI1050" s="22">
        <f>LARGE($DJ$8:$DJ$12,DG1050)</f>
        <v>2.4221453287197232E-2</v>
      </c>
      <c r="DJ1050" s="22">
        <f>IF(DI1050&gt;0.1%,DI1050,"Algo Esta Mal")</f>
        <v>2.4221453287197232E-2</v>
      </c>
      <c r="DK1050" s="21" t="str">
        <f>IF(DJ1050=DI1050,DH1050," ")</f>
        <v>Totalmente de acuerdo</v>
      </c>
      <c r="DP1050" s="21">
        <v>5</v>
      </c>
      <c r="DQ1050" s="21" t="str">
        <f>IF(DR1050=DS8,DQ8,IF(DR1050=DS9,DQ9,IF(DR1050=DS10,DQ10,IF(DR1050=DS11,DQ11,IF(DR1050=DS12,DQ12,"ALGO ESTA MAL")))))</f>
        <v>Totalmente en desacuerdo</v>
      </c>
      <c r="DR1050" s="22">
        <f>LARGE($DS$8:$DS$12,DP1050)</f>
        <v>6.920415224913495E-3</v>
      </c>
      <c r="DS1050" s="22">
        <f>IF(DR1050&gt;0.1%,DR1050,"Algo Esta Mal")</f>
        <v>6.920415224913495E-3</v>
      </c>
      <c r="DT1050" s="21" t="str">
        <f>IF(DS1050=DR1050,DQ1050," ")</f>
        <v>Totalmente en desacuerdo</v>
      </c>
      <c r="DY1050" s="21">
        <v>5</v>
      </c>
      <c r="DZ1050" s="21" t="str">
        <f>IF(EA1050=EB8,DZ8,IF(EA1050=EB9,DZ9,IF(EA1050=EB10,DZ10,IF(EA1050=EB11,DZ11,IF(EA1050=EB12,DZ12,"ALGO ESTA MAL")))))</f>
        <v>Totalmente de acuerdo</v>
      </c>
      <c r="EA1050" s="22">
        <f>LARGE($EB$8:$EB$12,DY1050)</f>
        <v>2.0761245674740483E-2</v>
      </c>
      <c r="EB1050" s="22">
        <f>IF(EA1050&gt;0.1%,EA1050,"Algo Esta Mal")</f>
        <v>2.0761245674740483E-2</v>
      </c>
      <c r="EC1050" s="21" t="str">
        <f>IF(EB1050=EA1050,DZ1050," ")</f>
        <v>Totalmente de acuerdo</v>
      </c>
      <c r="EH1050" s="21">
        <v>5</v>
      </c>
      <c r="EI1050" s="21" t="str">
        <f>IF(EJ1050=EK8,EI8,IF(EJ1050=EK9,EI9,IF(EJ1050=EK10,EI10,IF(EJ1050=EK11,EI11,IF(EJ1050=EK12,EI12,"ALGO ESTA MAL")))))</f>
        <v>Totalmente en desacuerdo</v>
      </c>
      <c r="EJ1050" s="22">
        <f>LARGE($EK$8:$EK$12,EH1050)</f>
        <v>1.384083044982699E-2</v>
      </c>
      <c r="EK1050" s="22">
        <f>IF(EJ1050&gt;0.1%,EJ1050,"Algo Esta Mal")</f>
        <v>1.384083044982699E-2</v>
      </c>
      <c r="EL1050" s="21" t="str">
        <f>IF(EK1050=EJ1050,EI1050," ")</f>
        <v>Totalmente en desacuerdo</v>
      </c>
      <c r="EQ1050" s="21">
        <v>5</v>
      </c>
      <c r="ER1050" s="21" t="str">
        <f>IF(ES1050=ET8,ER8,IF(ES1050=ET9,ER9,IF(ES1050=ET10,ER10,IF(ES1050=ET11,ER11,IF(ES1050=ET12,ER12,"ALGO ESTA MAL")))))</f>
        <v>Totalmente de acuerdo</v>
      </c>
      <c r="ES1050" s="22">
        <f>LARGE($ET$8:$ET$12,EQ1050)</f>
        <v>1.7301038062283738E-2</v>
      </c>
      <c r="ET1050" s="22">
        <f>IF(ES1050&gt;0.1%,ES1050,"Algo Esta Mal")</f>
        <v>1.7301038062283738E-2</v>
      </c>
      <c r="EU1050" s="21" t="str">
        <f>IF(ET1050=ES1050,ER1050," ")</f>
        <v>Totalmente de acuerdo</v>
      </c>
      <c r="EZ1050" s="21">
        <v>5</v>
      </c>
      <c r="FA1050" s="21" t="str">
        <f>IF(FB1050=FC8,FA8,IF(FB1050=FC9,FA9,IF(FB1050=FC10,FA10,IF(FB1050=FC11,FA11,IF(FB1050=FC12,FA12,"ALGO ESTA MAL")))))</f>
        <v>Totalmente en desacuerdo</v>
      </c>
      <c r="FB1050" s="22">
        <f>LARGE($FC$8:$FC$12,EZ1050)</f>
        <v>1.384083044982699E-2</v>
      </c>
      <c r="FC1050" s="22">
        <f>IF(FB1050&gt;0.1%,FB1050,"Algo Esta Mal")</f>
        <v>1.384083044982699E-2</v>
      </c>
      <c r="FD1050" s="21" t="str">
        <f>IF(FC1050=FB1050,FA1050," ")</f>
        <v>Totalmente en desacuerdo</v>
      </c>
    </row>
    <row r="1052" spans="3:160" x14ac:dyDescent="0.25">
      <c r="D1052" s="21" t="s">
        <v>446</v>
      </c>
      <c r="M1052" s="21" t="s">
        <v>446</v>
      </c>
      <c r="V1052" s="21" t="s">
        <v>446</v>
      </c>
      <c r="AE1052" s="21" t="s">
        <v>446</v>
      </c>
      <c r="AN1052" s="21" t="s">
        <v>446</v>
      </c>
      <c r="AW1052" s="21" t="s">
        <v>446</v>
      </c>
      <c r="BF1052" s="21" t="s">
        <v>446</v>
      </c>
      <c r="BO1052" s="21" t="s">
        <v>446</v>
      </c>
      <c r="BX1052" s="21" t="s">
        <v>446</v>
      </c>
      <c r="CG1052" s="21" t="s">
        <v>446</v>
      </c>
      <c r="CP1052" s="21" t="s">
        <v>446</v>
      </c>
      <c r="CY1052" s="21" t="s">
        <v>446</v>
      </c>
      <c r="DH1052" s="21" t="s">
        <v>446</v>
      </c>
      <c r="DQ1052" s="21" t="s">
        <v>446</v>
      </c>
      <c r="DZ1052" s="21" t="s">
        <v>446</v>
      </c>
      <c r="EI1052" s="21" t="s">
        <v>446</v>
      </c>
      <c r="ER1052" s="21" t="s">
        <v>446</v>
      </c>
      <c r="FA1052" s="21" t="s">
        <v>446</v>
      </c>
    </row>
    <row r="1053" spans="3:160" x14ac:dyDescent="0.25">
      <c r="D1053" s="22">
        <f>SUM(F8:F10)</f>
        <v>0.62629757785467122</v>
      </c>
      <c r="E1053" s="22">
        <f>MAX(D1053:D1054)</f>
        <v>0.87889273356401376</v>
      </c>
      <c r="M1053" s="22">
        <f>SUM(O8:O10)</f>
        <v>0.73010380622837368</v>
      </c>
      <c r="N1053" s="22">
        <f>MAX(M1053:M1054)</f>
        <v>0.78892733564013839</v>
      </c>
      <c r="V1053" s="22">
        <f>SUM(X8:X10)</f>
        <v>0.70934256055363321</v>
      </c>
      <c r="W1053" s="22">
        <f>MAX(V1053:V1054)</f>
        <v>0.82698961937716264</v>
      </c>
      <c r="AE1053" s="22">
        <f>SUM(AG8:AG10)</f>
        <v>0.76470588235294112</v>
      </c>
      <c r="AF1053" s="22">
        <f>MAX(AE1053:AE1054)</f>
        <v>0.76470588235294112</v>
      </c>
      <c r="AN1053" s="22">
        <f>SUM(AP8:AP10)</f>
        <v>0.77508650519031141</v>
      </c>
      <c r="AO1053" s="22">
        <f>MAX(AN1053:AN1054)</f>
        <v>0.77508650519031141</v>
      </c>
      <c r="AW1053" s="22">
        <f>SUM(AY8:AY10)</f>
        <v>0.75778546712802775</v>
      </c>
      <c r="AX1053" s="22">
        <f>MAX(AW1053:AW1054)</f>
        <v>0.76470588235294124</v>
      </c>
      <c r="BF1053" s="22">
        <f>SUM(BH8:BH10)</f>
        <v>0.78892733564013828</v>
      </c>
      <c r="BG1053" s="22">
        <f>MAX(BF1053:BF1054)</f>
        <v>0.78892733564013828</v>
      </c>
      <c r="BO1053" s="22">
        <f>SUM(BQ8:BQ10)</f>
        <v>0.67128027681660896</v>
      </c>
      <c r="BP1053" s="22">
        <f>MAX(BO1053:BO1054)</f>
        <v>0.84083044982698951</v>
      </c>
      <c r="BX1053" s="22">
        <f>SUM(BZ8:BZ10)</f>
        <v>0.75086505190311414</v>
      </c>
      <c r="BY1053" s="22">
        <f>MAX(BX1053:BX1054)</f>
        <v>0.75086505190311414</v>
      </c>
      <c r="CG1053" s="22">
        <f>SUM(CI8:CI10)</f>
        <v>0.75086505190311414</v>
      </c>
      <c r="CH1053" s="22">
        <f>MAX(CG1053:CG1054)</f>
        <v>0.75086505190311426</v>
      </c>
      <c r="CP1053" s="22">
        <f>SUM(CR8:CR10)</f>
        <v>0.72318339100346019</v>
      </c>
      <c r="CQ1053" s="22">
        <f>MAX(CP1053:CP1054)</f>
        <v>0.7854671280276817</v>
      </c>
      <c r="CY1053" s="22">
        <f>SUM(DA8:DA10)</f>
        <v>0.73356401384083036</v>
      </c>
      <c r="CZ1053" s="22">
        <f>MAX(CY1053:CY1054)</f>
        <v>0.79238754325259508</v>
      </c>
      <c r="DH1053" s="22">
        <f>SUM(DJ8:DJ10)</f>
        <v>0.78892733564013839</v>
      </c>
      <c r="DI1053" s="22">
        <f>MAX(DH1053:DH1054)</f>
        <v>0.78892733564013839</v>
      </c>
      <c r="DQ1053" s="22">
        <f>SUM(DS8:DS10)</f>
        <v>0.74740484429065734</v>
      </c>
      <c r="DR1053" s="22">
        <f>MAX(DQ1053:DQ1054)</f>
        <v>0.77162629757785461</v>
      </c>
      <c r="DZ1053" s="22">
        <f>SUM(EB8:EB10)</f>
        <v>0.78546712802768159</v>
      </c>
      <c r="EA1053" s="22">
        <f>MAX(DZ1053:DZ1054)</f>
        <v>0.78546712802768159</v>
      </c>
      <c r="EI1053" s="22">
        <f>SUM(EK8:EK10)</f>
        <v>0.76816608996539792</v>
      </c>
      <c r="EJ1053" s="22">
        <f>MAX(EI1053:EI1054)</f>
        <v>0.7820069204152249</v>
      </c>
      <c r="ER1053" s="22">
        <f>SUM(ET8:ET10)</f>
        <v>0.84429065743944631</v>
      </c>
      <c r="ES1053" s="22">
        <f>MAX(ER1053:ER1054)</f>
        <v>0.84429065743944631</v>
      </c>
      <c r="FA1053" s="22">
        <f>SUM(FC8:FC10)</f>
        <v>0.70934256055363321</v>
      </c>
      <c r="FB1053" s="22">
        <f>MAX(FA1053:FA1054)</f>
        <v>0.7854671280276817</v>
      </c>
    </row>
    <row r="1054" spans="3:160" x14ac:dyDescent="0.25">
      <c r="D1054" s="22">
        <f>SUM(F10:F12)</f>
        <v>0.87889273356401376</v>
      </c>
      <c r="M1054" s="22">
        <f>SUM(O10:O12)</f>
        <v>0.78892733564013839</v>
      </c>
      <c r="V1054" s="22">
        <f>SUM(X10:X12)</f>
        <v>0.82698961937716264</v>
      </c>
      <c r="AE1054" s="22">
        <f>SUM(AG10:AG12)</f>
        <v>0.71972318339100338</v>
      </c>
      <c r="AN1054" s="22">
        <f>SUM(AP10:AP12)</f>
        <v>0.7266435986159171</v>
      </c>
      <c r="AW1054" s="22">
        <f>SUM(AY10:AY12)</f>
        <v>0.76470588235294124</v>
      </c>
      <c r="BF1054" s="22">
        <f>SUM(BH10:BH12)</f>
        <v>0.73010380622837368</v>
      </c>
      <c r="BO1054" s="22">
        <f>SUM(BQ10:BQ12)</f>
        <v>0.84083044982698951</v>
      </c>
      <c r="BX1054" s="22">
        <f>SUM(BZ10:BZ12)</f>
        <v>0.73356401384083048</v>
      </c>
      <c r="CG1054" s="22">
        <f>SUM(CI10:CI12)</f>
        <v>0.75086505190311426</v>
      </c>
      <c r="CP1054" s="22">
        <f>SUM(CR10:CR12)</f>
        <v>0.7854671280276817</v>
      </c>
      <c r="CY1054" s="22">
        <f>SUM(DA10:DA12)</f>
        <v>0.79238754325259508</v>
      </c>
      <c r="DH1054" s="22">
        <f>SUM(DJ10:DJ12)</f>
        <v>0.67820069204152256</v>
      </c>
      <c r="DQ1054" s="22">
        <f>SUM(DS10:DS12)</f>
        <v>0.77162629757785461</v>
      </c>
      <c r="DZ1054" s="22">
        <f>SUM(EB10:EB12)</f>
        <v>0.70934256055363321</v>
      </c>
      <c r="EI1054" s="22">
        <f>SUM(EK10:EK12)</f>
        <v>0.7820069204152249</v>
      </c>
      <c r="ER1054" s="22">
        <f>SUM(ET10:ET12)</f>
        <v>0.63321799307958482</v>
      </c>
      <c r="FA1054" s="22">
        <f>SUM(FC10:FC12)</f>
        <v>0.7854671280276817</v>
      </c>
    </row>
    <row r="1056" spans="3:160" x14ac:dyDescent="0.25">
      <c r="D1056" s="21" t="s">
        <v>349</v>
      </c>
      <c r="E1056" s="22">
        <f>SUM(F8:F9)</f>
        <v>0.12110726643598616</v>
      </c>
      <c r="M1056" s="21" t="s">
        <v>349</v>
      </c>
      <c r="N1056" s="22">
        <f>SUM(O8:O9)</f>
        <v>0.21107266435986158</v>
      </c>
      <c r="V1056" s="21" t="s">
        <v>349</v>
      </c>
      <c r="W1056" s="22">
        <f>SUM(X8:X9)</f>
        <v>0.17301038062283736</v>
      </c>
      <c r="AE1056" s="21" t="s">
        <v>349</v>
      </c>
      <c r="AF1056" s="22">
        <f>SUM(AG8:AG9)</f>
        <v>0.2802768166089965</v>
      </c>
      <c r="AN1056" s="21" t="s">
        <v>349</v>
      </c>
      <c r="AO1056" s="22">
        <f>SUM(AP8:AP9)</f>
        <v>0.27335640138408301</v>
      </c>
      <c r="AW1056" s="21" t="s">
        <v>349</v>
      </c>
      <c r="AX1056" s="22">
        <f>SUM(AY8:AY9)</f>
        <v>0.23529411764705882</v>
      </c>
      <c r="BF1056" s="21" t="s">
        <v>349</v>
      </c>
      <c r="BG1056" s="22">
        <f>SUM(BH8:BH9)</f>
        <v>0.26989619377162627</v>
      </c>
      <c r="BO1056" s="21" t="s">
        <v>349</v>
      </c>
      <c r="BP1056" s="22">
        <f>SUM(BQ8:BQ9)</f>
        <v>0.15916955017301038</v>
      </c>
      <c r="BX1056" s="21" t="s">
        <v>349</v>
      </c>
      <c r="BY1056" s="22">
        <f>SUM(BZ8:BZ9)</f>
        <v>0.26643598615916952</v>
      </c>
      <c r="CG1056" s="21" t="s">
        <v>349</v>
      </c>
      <c r="CH1056" s="22">
        <f>SUM(CI8:CI9)</f>
        <v>0.2491349480968858</v>
      </c>
      <c r="CP1056" s="21" t="s">
        <v>349</v>
      </c>
      <c r="CQ1056" s="22">
        <f>SUM(CR8:CR9)</f>
        <v>0.21453287197231832</v>
      </c>
      <c r="CY1056" s="21" t="s">
        <v>349</v>
      </c>
      <c r="CZ1056" s="22">
        <f>SUM(DA8:DA9)</f>
        <v>0.20761245674740483</v>
      </c>
      <c r="DH1056" s="21" t="s">
        <v>349</v>
      </c>
      <c r="DI1056" s="22">
        <f>SUM(DJ8:DJ9)</f>
        <v>0.3217993079584775</v>
      </c>
      <c r="DQ1056" s="21" t="s">
        <v>349</v>
      </c>
      <c r="DR1056" s="22">
        <f>SUM(DS8:DS9)</f>
        <v>0.22837370242214533</v>
      </c>
      <c r="DZ1056" s="21" t="s">
        <v>349</v>
      </c>
      <c r="EA1056" s="22">
        <f>SUM(EB8:EB9)</f>
        <v>0.29065743944636674</v>
      </c>
      <c r="EI1056" s="21" t="s">
        <v>349</v>
      </c>
      <c r="EJ1056" s="22">
        <f>SUM(EK8:EK9)</f>
        <v>0.21799307958477507</v>
      </c>
      <c r="ER1056" s="21" t="s">
        <v>349</v>
      </c>
      <c r="ES1056" s="22">
        <f>SUM(ET8:ET9)</f>
        <v>0.36678200692041518</v>
      </c>
      <c r="FA1056" s="21" t="s">
        <v>349</v>
      </c>
      <c r="FB1056" s="22">
        <f>SUM(FC8:FC9)</f>
        <v>0.21453287197231832</v>
      </c>
    </row>
    <row r="1057" spans="4:158" x14ac:dyDescent="0.25">
      <c r="D1057" s="21" t="s">
        <v>350</v>
      </c>
      <c r="E1057" s="22">
        <f>SUM(F10)</f>
        <v>0.50519031141868509</v>
      </c>
      <c r="M1057" s="21" t="s">
        <v>350</v>
      </c>
      <c r="N1057" s="22">
        <f>SUM(O10)</f>
        <v>0.51903114186851207</v>
      </c>
      <c r="V1057" s="21" t="s">
        <v>350</v>
      </c>
      <c r="W1057" s="22">
        <f>SUM(X10)</f>
        <v>0.53633217993079585</v>
      </c>
      <c r="AE1057" s="21" t="s">
        <v>350</v>
      </c>
      <c r="AF1057" s="22">
        <f>SUM(AG10)</f>
        <v>0.48442906574394462</v>
      </c>
      <c r="AN1057" s="21" t="s">
        <v>350</v>
      </c>
      <c r="AO1057" s="22">
        <f>SUM(AP10)</f>
        <v>0.5017301038062284</v>
      </c>
      <c r="AW1057" s="21" t="s">
        <v>350</v>
      </c>
      <c r="AX1057" s="22">
        <f>SUM(AY10)</f>
        <v>0.52249134948096887</v>
      </c>
      <c r="BF1057" s="21" t="s">
        <v>350</v>
      </c>
      <c r="BG1057" s="22">
        <f>SUM(BH10)</f>
        <v>0.51903114186851207</v>
      </c>
      <c r="BO1057" s="21" t="s">
        <v>350</v>
      </c>
      <c r="BP1057" s="22">
        <f>SUM(BQ10)</f>
        <v>0.51211072664359858</v>
      </c>
      <c r="BX1057" s="21" t="s">
        <v>350</v>
      </c>
      <c r="BY1057" s="22">
        <f>SUM(BZ10)</f>
        <v>0.48442906574394462</v>
      </c>
      <c r="CG1057" s="21" t="s">
        <v>350</v>
      </c>
      <c r="CH1057" s="22">
        <f>SUM(CI10)</f>
        <v>0.5017301038062284</v>
      </c>
      <c r="CP1057" s="21" t="s">
        <v>350</v>
      </c>
      <c r="CQ1057" s="22">
        <f>SUM(CR10)</f>
        <v>0.50865051903114189</v>
      </c>
      <c r="CY1057" s="21" t="s">
        <v>350</v>
      </c>
      <c r="CZ1057" s="22">
        <f>SUM(DA10)</f>
        <v>0.52595155709342556</v>
      </c>
      <c r="DH1057" s="21" t="s">
        <v>350</v>
      </c>
      <c r="DI1057" s="22">
        <f>SUM(DJ10)</f>
        <v>0.4671280276816609</v>
      </c>
      <c r="DQ1057" s="21" t="s">
        <v>350</v>
      </c>
      <c r="DR1057" s="22">
        <f>SUM(DS10)</f>
        <v>0.51903114186851207</v>
      </c>
      <c r="DZ1057" s="21" t="s">
        <v>350</v>
      </c>
      <c r="EA1057" s="22">
        <f>SUM(EB10)</f>
        <v>0.49480968858131485</v>
      </c>
      <c r="EI1057" s="21" t="s">
        <v>350</v>
      </c>
      <c r="EJ1057" s="22">
        <f>SUM(EK10)</f>
        <v>0.55017301038062283</v>
      </c>
      <c r="ER1057" s="21" t="s">
        <v>350</v>
      </c>
      <c r="ES1057" s="22">
        <f>SUM(ET10)</f>
        <v>0.47750865051903113</v>
      </c>
      <c r="FA1057" s="21" t="s">
        <v>350</v>
      </c>
      <c r="FB1057" s="22">
        <f>SUM(FC10)</f>
        <v>0.49480968858131485</v>
      </c>
    </row>
    <row r="1058" spans="4:158" x14ac:dyDescent="0.25">
      <c r="D1058" s="21" t="s">
        <v>351</v>
      </c>
      <c r="E1058" s="22">
        <f>SUM(F11:F12)</f>
        <v>0.37370242214532867</v>
      </c>
      <c r="M1058" s="21" t="s">
        <v>351</v>
      </c>
      <c r="N1058" s="22">
        <f>SUM(O11:O12)</f>
        <v>0.26989619377162627</v>
      </c>
      <c r="V1058" s="21" t="s">
        <v>351</v>
      </c>
      <c r="W1058" s="22">
        <f>SUM(X11:X12)</f>
        <v>0.29065743944636674</v>
      </c>
      <c r="AE1058" s="21" t="s">
        <v>351</v>
      </c>
      <c r="AF1058" s="22">
        <f>SUM(AG11:AG12)</f>
        <v>0.23529411764705882</v>
      </c>
      <c r="AN1058" s="21" t="s">
        <v>351</v>
      </c>
      <c r="AO1058" s="22">
        <f>SUM(AP11:AP12)</f>
        <v>0.22491349480968859</v>
      </c>
      <c r="AW1058" s="21" t="s">
        <v>351</v>
      </c>
      <c r="AX1058" s="22">
        <f>SUM(AY11:AY12)</f>
        <v>0.24221453287197234</v>
      </c>
      <c r="BF1058" s="21" t="s">
        <v>351</v>
      </c>
      <c r="BG1058" s="22">
        <f>SUM(BH11:BH12)</f>
        <v>0.21107266435986161</v>
      </c>
      <c r="BO1058" s="21" t="s">
        <v>351</v>
      </c>
      <c r="BP1058" s="22">
        <f>SUM(BQ11:BQ12)</f>
        <v>0.32871972318339104</v>
      </c>
      <c r="BX1058" s="21" t="s">
        <v>351</v>
      </c>
      <c r="BY1058" s="22">
        <f>SUM(BZ11:BZ12)</f>
        <v>0.2491349480968858</v>
      </c>
      <c r="CG1058" s="21" t="s">
        <v>351</v>
      </c>
      <c r="CH1058" s="22">
        <f>SUM(CI11:CI12)</f>
        <v>0.2491349480968858</v>
      </c>
      <c r="CP1058" s="21" t="s">
        <v>351</v>
      </c>
      <c r="CQ1058" s="22">
        <f>SUM(CR11:CR12)</f>
        <v>0.27681660899653976</v>
      </c>
      <c r="CY1058" s="21" t="s">
        <v>351</v>
      </c>
      <c r="CZ1058" s="22">
        <f>SUM(DA11:DA12)</f>
        <v>0.26643598615916952</v>
      </c>
      <c r="DH1058" s="21" t="s">
        <v>351</v>
      </c>
      <c r="DI1058" s="22">
        <f>SUM(DJ11:DJ12)</f>
        <v>0.21107266435986161</v>
      </c>
      <c r="DQ1058" s="21" t="s">
        <v>351</v>
      </c>
      <c r="DR1058" s="22">
        <f>SUM(DS11:DS12)</f>
        <v>0.25259515570934254</v>
      </c>
      <c r="DZ1058" s="21" t="s">
        <v>351</v>
      </c>
      <c r="EA1058" s="22">
        <f>SUM(EB11:EB12)</f>
        <v>0.21453287197231835</v>
      </c>
      <c r="EI1058" s="21" t="s">
        <v>351</v>
      </c>
      <c r="EJ1058" s="22">
        <f>SUM(EK11:EK12)</f>
        <v>0.23183391003460208</v>
      </c>
      <c r="ER1058" s="21" t="s">
        <v>351</v>
      </c>
      <c r="ES1058" s="22">
        <f>SUM(ET11:ET12)</f>
        <v>0.15570934256055363</v>
      </c>
      <c r="FA1058" s="21" t="s">
        <v>351</v>
      </c>
      <c r="FB1058" s="22">
        <f>SUM(FC11:FC12)</f>
        <v>0.29065743944636674</v>
      </c>
    </row>
    <row r="1060" spans="4:158" x14ac:dyDescent="0.25">
      <c r="E1060" s="21" t="str">
        <f>IF(E1056&gt;=51%,D1056,IF(E1057&gt;=51%,D1057,IF(E1058&gt;=51%,D1058,IF(SUM(E1056:E1057)&gt;SUM(E1057:E1058),D1056,IF(SUM(E1056:E1057)&lt;SUM(E1057:E1058),D1058,"Algo esta Mal")))))</f>
        <v>Alto</v>
      </c>
      <c r="N1060" s="21" t="str">
        <f>IF(N1056&gt;=51%,M1056,IF(N1057&gt;=51%,M1057,IF(N1058&gt;=51%,M1058,IF(SUM(N1056:N1057)&gt;SUM(N1057:N1058),M1056,IF(SUM(N1056:N1057)&lt;SUM(N1057:N1058),M1058,"Algo esta Mal")))))</f>
        <v xml:space="preserve">Medio </v>
      </c>
      <c r="W1060" s="21" t="str">
        <f>IF(W1056&gt;=51%,V1056,IF(W1057&gt;=51%,V1057,IF(W1058&gt;=51%,V1058,IF(SUM(W1056:W1057)&gt;SUM(W1057:W1058),V1056,IF(SUM(W1056:W1057)&lt;SUM(W1057:W1058),V1058,"Algo esta Mal")))))</f>
        <v xml:space="preserve">Medio </v>
      </c>
      <c r="AF1060" s="21" t="str">
        <f>IF(AF1056&gt;=51%,AE1056,IF(AF1057&gt;=51%,AE1057,IF(AF1058&gt;=51%,AE1058,IF(SUM(AF1056:AF1057)&gt;SUM(AF1057:AF1058),AE1056,IF(SUM(AF1056:AF1057)&lt;SUM(AF1057:AF1058),AE1058,"Algo esta Mal")))))</f>
        <v>Bajo</v>
      </c>
      <c r="AO1060" s="21" t="str">
        <f>IF(AO1056&gt;=51%,AN1056,IF(AO1057&gt;=51%,AN1057,IF(AO1058&gt;=51%,AN1058,IF(SUM(AO1056:AO1057)&gt;SUM(AO1057:AO1058),AN1056,IF(SUM(AO1056:AO1057)&lt;SUM(AO1057:AO1058),AN1058,"Algo esta Mal")))))</f>
        <v>Bajo</v>
      </c>
      <c r="AX1060" s="21" t="str">
        <f>IF(AX1056&gt;=51%,AW1056,IF(AX1057&gt;=51%,AW1057,IF(AX1058&gt;=51%,AW1058,IF(SUM(AX1056:AX1057)&gt;SUM(AX1057:AX1058),AW1056,IF(SUM(AX1056:AX1057)&lt;SUM(AX1057:AX1058),AW1058,"Algo esta Mal")))))</f>
        <v xml:space="preserve">Medio </v>
      </c>
      <c r="BG1060" s="21" t="str">
        <f>IF(BG1056&gt;=51%,BF1056,IF(BG1057&gt;=51%,BF1057,IF(BG1058&gt;=51%,BF1058,IF(SUM(BG1056:BG1057)&gt;SUM(BG1057:BG1058),BF1056,IF(SUM(BG1056:BG1057)&lt;SUM(BG1057:BG1058),BF1058,"Algo esta Mal")))))</f>
        <v xml:space="preserve">Medio </v>
      </c>
      <c r="BP1060" s="21" t="str">
        <f>IF(BP1056&gt;=51%,BO1056,IF(BP1057&gt;=51%,BO1057,IF(BP1058&gt;=51%,BO1058,IF(SUM(BP1056:BP1057)&gt;SUM(BP1057:BP1058),BO1056,IF(SUM(BP1056:BP1057)&lt;SUM(BP1057:BP1058),BO1058,"Algo esta Mal")))))</f>
        <v xml:space="preserve">Medio </v>
      </c>
      <c r="BY1060" s="21" t="str">
        <f>IF(BY1056&gt;=51%,BX1056,IF(BY1057&gt;=51%,BX1057,IF(BY1058&gt;=51%,BX1058,IF(SUM(BY1056:BY1057)&gt;SUM(BY1057:BY1058),BX1056,IF(SUM(BY1056:BY1057)&lt;SUM(BY1057:BY1058),BX1058,"Algo esta Mal")))))</f>
        <v>Bajo</v>
      </c>
      <c r="CH1060" s="21" t="str">
        <f>IF(CH1056&gt;=51%,CG1056,IF(CH1057&gt;=51%,CG1057,IF(CH1058&gt;=51%,CG1058,IF(SUM(CH1056:CH1057)&gt;SUM(CH1057:CH1058),CG1056,IF(SUM(CH1056:CH1057)&lt;SUM(CH1057:CH1058),CG1058,"Algo esta Mal")))))</f>
        <v>Algo esta Mal</v>
      </c>
      <c r="CQ1060" s="21" t="str">
        <f>IF(CQ1056&gt;=51%,CP1056,IF(CQ1057&gt;=51%,CP1057,IF(CQ1058&gt;=51%,CP1058,IF(SUM(CQ1056:CQ1057)&gt;SUM(CQ1057:CQ1058),CP1056,IF(SUM(CQ1056:CQ1057)&lt;SUM(CQ1057:CQ1058),CP1058,"Algo esta Mal")))))</f>
        <v>Alto</v>
      </c>
      <c r="CZ1060" s="21" t="str">
        <f>IF(CZ1056&gt;=51%,CY1056,IF(CZ1057&gt;=51%,CY1057,IF(CZ1058&gt;=51%,CY1058,IF(SUM(CZ1056:CZ1057)&gt;SUM(CZ1057:CZ1058),CY1056,IF(SUM(CZ1056:CZ1057)&lt;SUM(CZ1057:CZ1058),CY1058,"Algo esta Mal")))))</f>
        <v xml:space="preserve">Medio </v>
      </c>
      <c r="DI1060" s="21" t="str">
        <f>IF(DI1056&gt;=51%,DH1056,IF(DI1057&gt;=51%,DH1057,IF(DI1058&gt;=51%,DH1058,IF(SUM(DI1056:DI1057)&gt;SUM(DI1057:DI1058),DH1056,IF(SUM(DI1056:DI1057)&lt;SUM(DI1057:DI1058),DH1058,"Algo esta Mal")))))</f>
        <v>Bajo</v>
      </c>
      <c r="DR1060" s="21" t="str">
        <f>IF(DR1056&gt;=51%,DQ1056,IF(DR1057&gt;=51%,DQ1057,IF(DR1058&gt;=51%,DQ1058,IF(SUM(DR1056:DR1057)&gt;SUM(DR1057:DR1058),DQ1056,IF(SUM(DR1056:DR1057)&lt;SUM(DR1057:DR1058),DQ1058,"Algo esta Mal")))))</f>
        <v xml:space="preserve">Medio </v>
      </c>
      <c r="EA1060" s="21" t="str">
        <f>IF(EA1056&gt;=51%,DZ1056,IF(EA1057&gt;=51%,DZ1057,IF(EA1058&gt;=51%,DZ1058,IF(SUM(EA1056:EA1057)&gt;SUM(EA1057:EA1058),DZ1056,IF(SUM(EA1056:EA1057)&lt;SUM(EA1057:EA1058),DZ1058,"Algo esta Mal")))))</f>
        <v>Bajo</v>
      </c>
      <c r="EJ1060" s="21" t="str">
        <f>IF(EJ1056&gt;=51%,EI1056,IF(EJ1057&gt;=51%,EI1057,IF(EJ1058&gt;=51%,EI1058,IF(SUM(EJ1056:EJ1057)&gt;SUM(EJ1057:EJ1058),EI1056,IF(SUM(EJ1056:EJ1057)&lt;SUM(EJ1057:EJ1058),EI1058,"Algo esta Mal")))))</f>
        <v xml:space="preserve">Medio </v>
      </c>
      <c r="ES1060" s="21" t="str">
        <f>IF(ES1056&gt;=51%,ER1056,IF(ES1057&gt;=51%,ER1057,IF(ES1058&gt;=51%,ER1058,IF(SUM(ES1056:ES1057)&gt;SUM(ES1057:ES1058),ER1056,IF(SUM(ES1056:ES1057)&lt;SUM(ES1057:ES1058),ER1058,"Algo esta Mal")))))</f>
        <v>Bajo</v>
      </c>
      <c r="FB1060" s="21" t="str">
        <f>IF(FB1056&gt;=51%,FA1056,IF(FB1057&gt;=51%,FA1057,IF(FB1058&gt;=51%,FA1058,IF(SUM(FB1056:FB1057)&gt;SUM(FB1057:FB1058),FA1056,IF(SUM(FB1056:FB1057)&lt;SUM(FB1057:FB1058),FA1058,"Algo esta Mal")))))</f>
        <v>Alto</v>
      </c>
    </row>
    <row r="1062" spans="4:158" x14ac:dyDescent="0.25">
      <c r="E1062" s="21" t="s">
        <v>364</v>
      </c>
      <c r="N1062" s="21" t="s">
        <v>364</v>
      </c>
      <c r="W1062" s="21" t="s">
        <v>364</v>
      </c>
      <c r="AF1062" s="21"/>
      <c r="AO1062" s="21" t="s">
        <v>364</v>
      </c>
      <c r="AX1062" s="21" t="s">
        <v>364</v>
      </c>
      <c r="BG1062" s="21" t="s">
        <v>364</v>
      </c>
      <c r="BP1062" s="21" t="s">
        <v>364</v>
      </c>
      <c r="BY1062" s="21"/>
      <c r="CH1062" s="21" t="s">
        <v>364</v>
      </c>
      <c r="CQ1062" s="21" t="s">
        <v>364</v>
      </c>
      <c r="CZ1062" s="21" t="s">
        <v>364</v>
      </c>
      <c r="DI1062" s="21" t="s">
        <v>364</v>
      </c>
      <c r="DR1062" s="21" t="s">
        <v>364</v>
      </c>
      <c r="EA1062" s="21" t="s">
        <v>364</v>
      </c>
      <c r="EJ1062" s="21" t="s">
        <v>364</v>
      </c>
      <c r="ES1062" s="21" t="s">
        <v>364</v>
      </c>
      <c r="FB1062" s="21" t="s">
        <v>364</v>
      </c>
    </row>
    <row r="2008" spans="4:159" x14ac:dyDescent="0.25">
      <c r="D2008" s="17">
        <f>('Gestión de abastecimiento'!A1289)</f>
        <v>1</v>
      </c>
      <c r="E2008" s="8">
        <f>('Gestión de abastecimiento'!B1289)</f>
        <v>0</v>
      </c>
      <c r="F2008" s="19">
        <f>('Gestión de abastecimiento'!B1295)</f>
        <v>0</v>
      </c>
      <c r="M2008" s="17">
        <f>('Gestión de abastecimiento'!A1289)</f>
        <v>1</v>
      </c>
      <c r="N2008" s="8">
        <f>('Gestión de abastecimiento'!C1289)</f>
        <v>0</v>
      </c>
      <c r="O2008" s="19">
        <f>('Gestión de abastecimiento'!C1295)</f>
        <v>0</v>
      </c>
      <c r="V2008" s="17">
        <f>('Gestión de abastecimiento'!A1289)</f>
        <v>1</v>
      </c>
      <c r="W2008" s="8">
        <f>('Gestión de abastecimiento'!D1289)</f>
        <v>0</v>
      </c>
      <c r="X2008" s="19">
        <f>('Gestión de abastecimiento'!D1295)</f>
        <v>0</v>
      </c>
      <c r="AE2008" s="17">
        <f>('Gestión de abastecimiento'!A1289)</f>
        <v>1</v>
      </c>
      <c r="AF2008" s="8">
        <f>('Gestión de abastecimiento'!E1289)</f>
        <v>0</v>
      </c>
      <c r="AG2008" s="19">
        <f>('Gestión de abastecimiento'!E1295)</f>
        <v>0</v>
      </c>
      <c r="AN2008" s="17">
        <f>('Gestión de abastecimiento'!A1289)</f>
        <v>1</v>
      </c>
      <c r="AO2008" s="8">
        <f>('Gestión de abastecimiento'!F1289)</f>
        <v>0</v>
      </c>
      <c r="AP2008" s="19">
        <f>('Gestión de abastecimiento'!F1295)</f>
        <v>0</v>
      </c>
      <c r="AW2008" s="17">
        <f>('Gestión de abastecimiento'!A1289)</f>
        <v>1</v>
      </c>
      <c r="AX2008" s="8">
        <f>('Gestión de abastecimiento'!G1289)</f>
        <v>0</v>
      </c>
      <c r="AY2008" s="19">
        <f>('Gestión de abastecimiento'!G1295)</f>
        <v>0</v>
      </c>
      <c r="BF2008" s="17">
        <f>('Gestión de abastecimiento'!A1289)</f>
        <v>1</v>
      </c>
      <c r="BG2008" s="8">
        <f>('Gestión de abastecimiento'!H1289)</f>
        <v>0</v>
      </c>
      <c r="BH2008" s="19">
        <f>('Gestión de abastecimiento'!H1295)</f>
        <v>0</v>
      </c>
      <c r="BO2008" s="17">
        <f>('Gestión de abastecimiento'!A1289)</f>
        <v>1</v>
      </c>
      <c r="BP2008" s="8">
        <f>('Gestión de abastecimiento'!I1289)</f>
        <v>0</v>
      </c>
      <c r="BQ2008" s="19">
        <f>('Gestión de abastecimiento'!I1295)</f>
        <v>0</v>
      </c>
      <c r="BX2008" s="17">
        <f>('Gestión de abastecimiento'!A1289)</f>
        <v>1</v>
      </c>
      <c r="BY2008" s="8">
        <f>('Gestión de abastecimiento'!J1289)</f>
        <v>0</v>
      </c>
      <c r="BZ2008" s="19">
        <f>('Gestión de abastecimiento'!J1295)</f>
        <v>0</v>
      </c>
      <c r="CG2008" s="17">
        <f>('Gestión de abastecimiento'!A1289)</f>
        <v>1</v>
      </c>
      <c r="CH2008" s="8">
        <f>('Gestión de abastecimiento'!K1289)</f>
        <v>0</v>
      </c>
      <c r="CI2008" s="19">
        <f>('Gestión de abastecimiento'!K1295)</f>
        <v>0</v>
      </c>
      <c r="CP2008" s="17">
        <f>('Gestión de abastecimiento'!A1289)</f>
        <v>1</v>
      </c>
      <c r="CQ2008" s="8">
        <f>('Gestión de abastecimiento'!L1289)</f>
        <v>0</v>
      </c>
      <c r="CR2008" s="19">
        <f>('Gestión de abastecimiento'!L1295)</f>
        <v>0</v>
      </c>
      <c r="CY2008" s="17">
        <f>('Gestión de abastecimiento'!A1289)</f>
        <v>1</v>
      </c>
      <c r="CZ2008" s="8">
        <f>('Gestión de abastecimiento'!M1289)</f>
        <v>0</v>
      </c>
      <c r="DA2008" s="19">
        <f>('Gestión de abastecimiento'!M1295)</f>
        <v>0</v>
      </c>
      <c r="DH2008" s="17">
        <f>('Gestión de abastecimiento'!A1289)</f>
        <v>1</v>
      </c>
      <c r="DI2008" s="8">
        <f>('Gestión de abastecimiento'!N1289)</f>
        <v>0</v>
      </c>
      <c r="DJ2008" s="19">
        <f>('Gestión de abastecimiento'!N1295)</f>
        <v>0</v>
      </c>
      <c r="DQ2008" s="17">
        <f>('Gestión de abastecimiento'!A1289)</f>
        <v>1</v>
      </c>
      <c r="DR2008" s="8">
        <f>('Gestión de abastecimiento'!O1289)</f>
        <v>0</v>
      </c>
      <c r="DS2008" s="19">
        <f>('Gestión de abastecimiento'!O1295)</f>
        <v>0</v>
      </c>
      <c r="DZ2008" s="17">
        <f>('Gestión de abastecimiento'!A1289)</f>
        <v>1</v>
      </c>
      <c r="EA2008" s="8">
        <f>('Gestión de abastecimiento'!P1289)</f>
        <v>0</v>
      </c>
      <c r="EB2008" s="19">
        <f>('Gestión de abastecimiento'!P1295)</f>
        <v>0</v>
      </c>
      <c r="EI2008" s="17">
        <f>('Gestión de abastecimiento'!A1289)</f>
        <v>1</v>
      </c>
      <c r="EJ2008" s="8">
        <f>('Gestión de abastecimiento'!Q1289)</f>
        <v>0</v>
      </c>
      <c r="EK2008" s="19">
        <f>('Gestión de abastecimiento'!Q1295)</f>
        <v>0</v>
      </c>
      <c r="ER2008" s="17">
        <f>('Gestión de abastecimiento'!A1289)</f>
        <v>1</v>
      </c>
      <c r="ES2008" s="8">
        <f>('Gestión de abastecimiento'!R1289)</f>
        <v>0</v>
      </c>
      <c r="ET2008" s="19">
        <f>('Gestión de abastecimiento'!R1295)</f>
        <v>0</v>
      </c>
      <c r="FA2008" s="17">
        <f>('Gestión de abastecimiento'!A1289)</f>
        <v>1</v>
      </c>
      <c r="FB2008" s="8">
        <f>('Gestión de abastecimiento'!S1289)</f>
        <v>0</v>
      </c>
      <c r="FC2008" s="19">
        <f>('Gestión de abastecimiento'!S1295)</f>
        <v>0</v>
      </c>
    </row>
    <row r="2009" spans="4:159" x14ac:dyDescent="0.25">
      <c r="D2009" s="17">
        <f>('Gestión de abastecimiento'!A1290)</f>
        <v>2</v>
      </c>
      <c r="E2009" s="8">
        <f>('Gestión de abastecimiento'!B1290)</f>
        <v>0</v>
      </c>
      <c r="F2009" s="19">
        <f>('Gestión de abastecimiento'!B1296)</f>
        <v>0</v>
      </c>
      <c r="M2009" s="17">
        <f>('Gestión de abastecimiento'!A1290)</f>
        <v>2</v>
      </c>
      <c r="N2009" s="8">
        <f>('Gestión de abastecimiento'!C1290)</f>
        <v>0</v>
      </c>
      <c r="O2009" s="19">
        <f>('Gestión de abastecimiento'!C1296)</f>
        <v>0</v>
      </c>
      <c r="V2009" s="17">
        <f>('Gestión de abastecimiento'!A1290)</f>
        <v>2</v>
      </c>
      <c r="W2009" s="8">
        <f>('Gestión de abastecimiento'!D1290)</f>
        <v>0</v>
      </c>
      <c r="X2009" s="19">
        <f>('Gestión de abastecimiento'!D1296)</f>
        <v>0</v>
      </c>
      <c r="AE2009" s="17">
        <f>('Gestión de abastecimiento'!A1290)</f>
        <v>2</v>
      </c>
      <c r="AF2009" s="8">
        <f>('Gestión de abastecimiento'!E1290)</f>
        <v>0</v>
      </c>
      <c r="AG2009" s="19">
        <f>('Gestión de abastecimiento'!E1296)</f>
        <v>0</v>
      </c>
      <c r="AN2009" s="17">
        <f>('Gestión de abastecimiento'!A1290)</f>
        <v>2</v>
      </c>
      <c r="AO2009" s="8">
        <f>('Gestión de abastecimiento'!F1290)</f>
        <v>0</v>
      </c>
      <c r="AP2009" s="19">
        <f>('Gestión de abastecimiento'!F1296)</f>
        <v>0</v>
      </c>
      <c r="AW2009" s="17">
        <f>('Gestión de abastecimiento'!A1290)</f>
        <v>2</v>
      </c>
      <c r="AX2009" s="8">
        <f>('Gestión de abastecimiento'!G1290)</f>
        <v>0</v>
      </c>
      <c r="AY2009" s="19">
        <f>('Gestión de abastecimiento'!G1296)</f>
        <v>0</v>
      </c>
      <c r="BF2009" s="17">
        <f>('Gestión de abastecimiento'!A1290)</f>
        <v>2</v>
      </c>
      <c r="BG2009" s="8">
        <f>('Gestión de abastecimiento'!H1290)</f>
        <v>0</v>
      </c>
      <c r="BH2009" s="19">
        <f>('Gestión de abastecimiento'!H1296)</f>
        <v>0</v>
      </c>
      <c r="BO2009" s="17">
        <f>('Gestión de abastecimiento'!A1290)</f>
        <v>2</v>
      </c>
      <c r="BP2009" s="8">
        <f>('Gestión de abastecimiento'!I1290)</f>
        <v>0</v>
      </c>
      <c r="BQ2009" s="19">
        <f>('Gestión de abastecimiento'!I1296)</f>
        <v>0</v>
      </c>
      <c r="BX2009" s="17">
        <f>('Gestión de abastecimiento'!A1290)</f>
        <v>2</v>
      </c>
      <c r="BY2009" s="8">
        <f>('Gestión de abastecimiento'!J1290)</f>
        <v>0</v>
      </c>
      <c r="BZ2009" s="19">
        <f>('Gestión de abastecimiento'!J1296)</f>
        <v>0</v>
      </c>
      <c r="CG2009" s="17">
        <f>('Gestión de abastecimiento'!A1290)</f>
        <v>2</v>
      </c>
      <c r="CH2009" s="8">
        <f>('Gestión de abastecimiento'!K1290)</f>
        <v>0</v>
      </c>
      <c r="CI2009" s="19">
        <f>('Gestión de abastecimiento'!K1296)</f>
        <v>0</v>
      </c>
      <c r="CP2009" s="17">
        <f>('Gestión de abastecimiento'!A1290)</f>
        <v>2</v>
      </c>
      <c r="CQ2009" s="8">
        <f>('Gestión de abastecimiento'!L1290)</f>
        <v>0</v>
      </c>
      <c r="CR2009" s="19">
        <f>('Gestión de abastecimiento'!L1296)</f>
        <v>0</v>
      </c>
      <c r="CY2009" s="17">
        <f>('Gestión de abastecimiento'!A1290)</f>
        <v>2</v>
      </c>
      <c r="CZ2009" s="8">
        <f>('Gestión de abastecimiento'!M1290)</f>
        <v>0</v>
      </c>
      <c r="DA2009" s="19">
        <f>('Gestión de abastecimiento'!M1296)</f>
        <v>0</v>
      </c>
      <c r="DH2009" s="17">
        <f>('Gestión de abastecimiento'!A1290)</f>
        <v>2</v>
      </c>
      <c r="DI2009" s="8">
        <f>('Gestión de abastecimiento'!N1290)</f>
        <v>0</v>
      </c>
      <c r="DJ2009" s="19">
        <f>('Gestión de abastecimiento'!N1296)</f>
        <v>0</v>
      </c>
      <c r="DQ2009" s="17">
        <f>('Gestión de abastecimiento'!A1290)</f>
        <v>2</v>
      </c>
      <c r="DR2009" s="8">
        <f>('Gestión de abastecimiento'!O1290)</f>
        <v>0</v>
      </c>
      <c r="DS2009" s="19">
        <f>('Gestión de abastecimiento'!O1296)</f>
        <v>0</v>
      </c>
      <c r="DZ2009" s="17">
        <f>('Gestión de abastecimiento'!A1290)</f>
        <v>2</v>
      </c>
      <c r="EA2009" s="8">
        <f>('Gestión de abastecimiento'!P1290)</f>
        <v>0</v>
      </c>
      <c r="EB2009" s="19">
        <f>('Gestión de abastecimiento'!P1296)</f>
        <v>0</v>
      </c>
      <c r="EI2009" s="17">
        <f>('Gestión de abastecimiento'!A1290)</f>
        <v>2</v>
      </c>
      <c r="EJ2009" s="8">
        <f>('Gestión de abastecimiento'!Q1290)</f>
        <v>0</v>
      </c>
      <c r="EK2009" s="19">
        <f>('Gestión de abastecimiento'!Q1296)</f>
        <v>0</v>
      </c>
      <c r="ER2009" s="17">
        <f>('Gestión de abastecimiento'!A1290)</f>
        <v>2</v>
      </c>
      <c r="ES2009" s="8">
        <f>('Gestión de abastecimiento'!R1290)</f>
        <v>0</v>
      </c>
      <c r="ET2009" s="19">
        <f>('Gestión de abastecimiento'!R1296)</f>
        <v>0</v>
      </c>
      <c r="FA2009" s="17">
        <f>('Gestión de abastecimiento'!A1290)</f>
        <v>2</v>
      </c>
      <c r="FB2009" s="8">
        <f>('Gestión de abastecimiento'!S1290)</f>
        <v>0</v>
      </c>
      <c r="FC2009" s="19">
        <f>('Gestión de abastecimiento'!S1296)</f>
        <v>0</v>
      </c>
    </row>
    <row r="2010" spans="4:159" x14ac:dyDescent="0.25">
      <c r="D2010" s="17">
        <f>('Gestión de abastecimiento'!A1291)</f>
        <v>3</v>
      </c>
      <c r="E2010" s="8">
        <f>('Gestión de abastecimiento'!B1291)</f>
        <v>0</v>
      </c>
      <c r="F2010" s="19">
        <f>('Gestión de abastecimiento'!B1297)</f>
        <v>0</v>
      </c>
      <c r="M2010" s="17">
        <f>('Gestión de abastecimiento'!A1291)</f>
        <v>3</v>
      </c>
      <c r="N2010" s="8">
        <f>('Gestión de abastecimiento'!C1291)</f>
        <v>0</v>
      </c>
      <c r="O2010" s="19">
        <f>('Gestión de abastecimiento'!C1297)</f>
        <v>0</v>
      </c>
      <c r="V2010" s="17">
        <f>('Gestión de abastecimiento'!A1291)</f>
        <v>3</v>
      </c>
      <c r="W2010" s="8">
        <f>('Gestión de abastecimiento'!D1291)</f>
        <v>0</v>
      </c>
      <c r="X2010" s="19">
        <f>('Gestión de abastecimiento'!D1297)</f>
        <v>0</v>
      </c>
      <c r="AE2010" s="17">
        <f>('Gestión de abastecimiento'!A1291)</f>
        <v>3</v>
      </c>
      <c r="AF2010" s="8">
        <f>('Gestión de abastecimiento'!E1291)</f>
        <v>0</v>
      </c>
      <c r="AG2010" s="19">
        <f>('Gestión de abastecimiento'!E1297)</f>
        <v>0</v>
      </c>
      <c r="AN2010" s="17">
        <f>('Gestión de abastecimiento'!A1291)</f>
        <v>3</v>
      </c>
      <c r="AO2010" s="8">
        <f>('Gestión de abastecimiento'!F1291)</f>
        <v>0</v>
      </c>
      <c r="AP2010" s="19">
        <f>('Gestión de abastecimiento'!F1297)</f>
        <v>0</v>
      </c>
      <c r="AW2010" s="17">
        <f>('Gestión de abastecimiento'!A1291)</f>
        <v>3</v>
      </c>
      <c r="AX2010" s="8">
        <f>('Gestión de abastecimiento'!G1291)</f>
        <v>0</v>
      </c>
      <c r="AY2010" s="19">
        <f>('Gestión de abastecimiento'!G1297)</f>
        <v>0</v>
      </c>
      <c r="BF2010" s="17">
        <f>('Gestión de abastecimiento'!A1291)</f>
        <v>3</v>
      </c>
      <c r="BG2010" s="8">
        <f>('Gestión de abastecimiento'!H1291)</f>
        <v>0</v>
      </c>
      <c r="BH2010" s="19">
        <f>('Gestión de abastecimiento'!H1297)</f>
        <v>0</v>
      </c>
      <c r="BO2010" s="17">
        <f>('Gestión de abastecimiento'!A1291)</f>
        <v>3</v>
      </c>
      <c r="BP2010" s="8">
        <f>('Gestión de abastecimiento'!I1291)</f>
        <v>0</v>
      </c>
      <c r="BQ2010" s="19">
        <f>('Gestión de abastecimiento'!I1297)</f>
        <v>0</v>
      </c>
      <c r="BX2010" s="17">
        <f>('Gestión de abastecimiento'!A1291)</f>
        <v>3</v>
      </c>
      <c r="BY2010" s="8">
        <f>('Gestión de abastecimiento'!J1291)</f>
        <v>0</v>
      </c>
      <c r="BZ2010" s="19">
        <f>('Gestión de abastecimiento'!J1297)</f>
        <v>0</v>
      </c>
      <c r="CG2010" s="17">
        <f>('Gestión de abastecimiento'!A1291)</f>
        <v>3</v>
      </c>
      <c r="CH2010" s="8">
        <f>('Gestión de abastecimiento'!K1291)</f>
        <v>0</v>
      </c>
      <c r="CI2010" s="19">
        <f>('Gestión de abastecimiento'!K1297)</f>
        <v>0</v>
      </c>
      <c r="CP2010" s="17">
        <f>('Gestión de abastecimiento'!A1291)</f>
        <v>3</v>
      </c>
      <c r="CQ2010" s="8">
        <f>('Gestión de abastecimiento'!L1291)</f>
        <v>0</v>
      </c>
      <c r="CR2010" s="19">
        <f>('Gestión de abastecimiento'!L1297)</f>
        <v>0</v>
      </c>
      <c r="CY2010" s="17">
        <f>('Gestión de abastecimiento'!A1291)</f>
        <v>3</v>
      </c>
      <c r="CZ2010" s="8">
        <f>('Gestión de abastecimiento'!M1291)</f>
        <v>0</v>
      </c>
      <c r="DA2010" s="19">
        <f>('Gestión de abastecimiento'!M1297)</f>
        <v>0</v>
      </c>
      <c r="DH2010" s="17">
        <f>('Gestión de abastecimiento'!A1291)</f>
        <v>3</v>
      </c>
      <c r="DI2010" s="8">
        <f>('Gestión de abastecimiento'!N1291)</f>
        <v>0</v>
      </c>
      <c r="DJ2010" s="19">
        <f>('Gestión de abastecimiento'!N1297)</f>
        <v>0</v>
      </c>
      <c r="DQ2010" s="17">
        <f>('Gestión de abastecimiento'!A1291)</f>
        <v>3</v>
      </c>
      <c r="DR2010" s="8">
        <f>('Gestión de abastecimiento'!O1291)</f>
        <v>0</v>
      </c>
      <c r="DS2010" s="19">
        <f>('Gestión de abastecimiento'!O1297)</f>
        <v>0</v>
      </c>
      <c r="DZ2010" s="17">
        <f>('Gestión de abastecimiento'!A1291)</f>
        <v>3</v>
      </c>
      <c r="EA2010" s="8">
        <f>('Gestión de abastecimiento'!P1291)</f>
        <v>0</v>
      </c>
      <c r="EB2010" s="19">
        <f>('Gestión de abastecimiento'!P1297)</f>
        <v>0</v>
      </c>
      <c r="EI2010" s="17">
        <f>('Gestión de abastecimiento'!A1291)</f>
        <v>3</v>
      </c>
      <c r="EJ2010" s="8">
        <f>('Gestión de abastecimiento'!Q1291)</f>
        <v>0</v>
      </c>
      <c r="EK2010" s="19">
        <f>('Gestión de abastecimiento'!Q1297)</f>
        <v>0</v>
      </c>
      <c r="ER2010" s="17">
        <f>('Gestión de abastecimiento'!A1291)</f>
        <v>3</v>
      </c>
      <c r="ES2010" s="8">
        <f>('Gestión de abastecimiento'!R1291)</f>
        <v>0</v>
      </c>
      <c r="ET2010" s="19">
        <f>('Gestión de abastecimiento'!R1297)</f>
        <v>0</v>
      </c>
      <c r="FA2010" s="17">
        <f>('Gestión de abastecimiento'!A1291)</f>
        <v>3</v>
      </c>
      <c r="FB2010" s="8">
        <f>('Gestión de abastecimiento'!S1291)</f>
        <v>0</v>
      </c>
      <c r="FC2010" s="19">
        <f>('Gestión de abastecimiento'!S1297)</f>
        <v>0</v>
      </c>
    </row>
    <row r="2011" spans="4:159" x14ac:dyDescent="0.25">
      <c r="D2011" s="17">
        <f>('Gestión de abastecimiento'!A1292)</f>
        <v>4</v>
      </c>
      <c r="E2011" s="8">
        <f>('Gestión de abastecimiento'!B1292)</f>
        <v>0</v>
      </c>
      <c r="F2011" s="19">
        <f>('Gestión de abastecimiento'!B1298)</f>
        <v>0</v>
      </c>
      <c r="M2011" s="17">
        <f>('Gestión de abastecimiento'!A1292)</f>
        <v>4</v>
      </c>
      <c r="N2011" s="8">
        <f>('Gestión de abastecimiento'!C1292)</f>
        <v>0</v>
      </c>
      <c r="O2011" s="19">
        <f>('Gestión de abastecimiento'!C1298)</f>
        <v>0</v>
      </c>
      <c r="V2011" s="17">
        <f>('Gestión de abastecimiento'!A1292)</f>
        <v>4</v>
      </c>
      <c r="W2011" s="8">
        <f>('Gestión de abastecimiento'!D1292)</f>
        <v>0</v>
      </c>
      <c r="X2011" s="19">
        <f>('Gestión de abastecimiento'!D1298)</f>
        <v>0</v>
      </c>
      <c r="AE2011" s="17">
        <f>('Gestión de abastecimiento'!A1292)</f>
        <v>4</v>
      </c>
      <c r="AF2011" s="8">
        <f>('Gestión de abastecimiento'!E1292)</f>
        <v>0</v>
      </c>
      <c r="AG2011" s="19">
        <f>('Gestión de abastecimiento'!E1298)</f>
        <v>0</v>
      </c>
      <c r="AN2011" s="17">
        <f>('Gestión de abastecimiento'!A1292)</f>
        <v>4</v>
      </c>
      <c r="AO2011" s="8">
        <f>('Gestión de abastecimiento'!F1292)</f>
        <v>0</v>
      </c>
      <c r="AP2011" s="19">
        <f>('Gestión de abastecimiento'!F1298)</f>
        <v>0</v>
      </c>
      <c r="AW2011" s="17">
        <f>('Gestión de abastecimiento'!A1292)</f>
        <v>4</v>
      </c>
      <c r="AX2011" s="8">
        <f>('Gestión de abastecimiento'!G1292)</f>
        <v>0</v>
      </c>
      <c r="AY2011" s="19">
        <f>('Gestión de abastecimiento'!G1298)</f>
        <v>0</v>
      </c>
      <c r="BF2011" s="17">
        <f>('Gestión de abastecimiento'!A1292)</f>
        <v>4</v>
      </c>
      <c r="BG2011" s="8">
        <f>('Gestión de abastecimiento'!H1292)</f>
        <v>0</v>
      </c>
      <c r="BH2011" s="19">
        <f>('Gestión de abastecimiento'!H1298)</f>
        <v>0</v>
      </c>
      <c r="BO2011" s="17">
        <f>('Gestión de abastecimiento'!A1292)</f>
        <v>4</v>
      </c>
      <c r="BP2011" s="8">
        <f>('Gestión de abastecimiento'!I1292)</f>
        <v>0</v>
      </c>
      <c r="BQ2011" s="19">
        <f>('Gestión de abastecimiento'!I1298)</f>
        <v>0</v>
      </c>
      <c r="BX2011" s="17">
        <f>('Gestión de abastecimiento'!A1292)</f>
        <v>4</v>
      </c>
      <c r="BY2011" s="8">
        <f>('Gestión de abastecimiento'!J1292)</f>
        <v>0</v>
      </c>
      <c r="BZ2011" s="19">
        <f>('Gestión de abastecimiento'!J1298)</f>
        <v>0</v>
      </c>
      <c r="CG2011" s="17">
        <f>('Gestión de abastecimiento'!A1292)</f>
        <v>4</v>
      </c>
      <c r="CH2011" s="8">
        <f>('Gestión de abastecimiento'!K1292)</f>
        <v>0</v>
      </c>
      <c r="CI2011" s="19">
        <f>('Gestión de abastecimiento'!K1298)</f>
        <v>0</v>
      </c>
      <c r="CP2011" s="17">
        <f>('Gestión de abastecimiento'!A1292)</f>
        <v>4</v>
      </c>
      <c r="CQ2011" s="8">
        <f>('Gestión de abastecimiento'!L1292)</f>
        <v>0</v>
      </c>
      <c r="CR2011" s="19">
        <f>('Gestión de abastecimiento'!L1298)</f>
        <v>0</v>
      </c>
      <c r="CY2011" s="17">
        <f>('Gestión de abastecimiento'!A1292)</f>
        <v>4</v>
      </c>
      <c r="CZ2011" s="8">
        <f>('Gestión de abastecimiento'!M1292)</f>
        <v>0</v>
      </c>
      <c r="DA2011" s="19">
        <f>('Gestión de abastecimiento'!M1298)</f>
        <v>0</v>
      </c>
      <c r="DH2011" s="17">
        <f>('Gestión de abastecimiento'!A1292)</f>
        <v>4</v>
      </c>
      <c r="DI2011" s="8">
        <f>('Gestión de abastecimiento'!N1292)</f>
        <v>0</v>
      </c>
      <c r="DJ2011" s="19">
        <f>('Gestión de abastecimiento'!N1298)</f>
        <v>0</v>
      </c>
      <c r="DQ2011" s="17">
        <f>('Gestión de abastecimiento'!A1292)</f>
        <v>4</v>
      </c>
      <c r="DR2011" s="8">
        <f>('Gestión de abastecimiento'!O1292)</f>
        <v>0</v>
      </c>
      <c r="DS2011" s="19">
        <f>('Gestión de abastecimiento'!O1298)</f>
        <v>0</v>
      </c>
      <c r="DZ2011" s="17">
        <f>('Gestión de abastecimiento'!A1292)</f>
        <v>4</v>
      </c>
      <c r="EA2011" s="8">
        <f>('Gestión de abastecimiento'!P1292)</f>
        <v>0</v>
      </c>
      <c r="EB2011" s="19">
        <f>('Gestión de abastecimiento'!P1298)</f>
        <v>0</v>
      </c>
      <c r="EI2011" s="17">
        <f>('Gestión de abastecimiento'!A1292)</f>
        <v>4</v>
      </c>
      <c r="EJ2011" s="8">
        <f>('Gestión de abastecimiento'!Q1292)</f>
        <v>0</v>
      </c>
      <c r="EK2011" s="19">
        <f>('Gestión de abastecimiento'!Q1298)</f>
        <v>0</v>
      </c>
      <c r="ER2011" s="17">
        <f>('Gestión de abastecimiento'!A1292)</f>
        <v>4</v>
      </c>
      <c r="ES2011" s="8">
        <f>('Gestión de abastecimiento'!R1292)</f>
        <v>0</v>
      </c>
      <c r="ET2011" s="19">
        <f>('Gestión de abastecimiento'!R1298)</f>
        <v>0</v>
      </c>
      <c r="FA2011" s="17">
        <f>('Gestión de abastecimiento'!A1292)</f>
        <v>4</v>
      </c>
      <c r="FB2011" s="8">
        <f>('Gestión de abastecimiento'!S1292)</f>
        <v>0</v>
      </c>
      <c r="FC2011" s="19">
        <f>('Gestión de abastecimiento'!S1298)</f>
        <v>0</v>
      </c>
    </row>
    <row r="2012" spans="4:159" x14ac:dyDescent="0.25">
      <c r="D2012" s="17">
        <f>('Gestión de abastecimiento'!A1293)</f>
        <v>5</v>
      </c>
      <c r="E2012" s="8">
        <f>('Gestión de abastecimiento'!B1293)</f>
        <v>0</v>
      </c>
      <c r="F2012" s="19">
        <f>('Gestión de abastecimiento'!B1299)</f>
        <v>0</v>
      </c>
      <c r="M2012" s="17">
        <f>('Gestión de abastecimiento'!A1293)</f>
        <v>5</v>
      </c>
      <c r="N2012" s="8">
        <f>('Gestión de abastecimiento'!C1293)</f>
        <v>0</v>
      </c>
      <c r="O2012" s="19">
        <f>('Gestión de abastecimiento'!C1299)</f>
        <v>0</v>
      </c>
      <c r="V2012" s="17">
        <f>('Gestión de abastecimiento'!A1293)</f>
        <v>5</v>
      </c>
      <c r="W2012" s="8">
        <f>('Gestión de abastecimiento'!D1293)</f>
        <v>0</v>
      </c>
      <c r="X2012" s="19">
        <f>('Gestión de abastecimiento'!D1299)</f>
        <v>0</v>
      </c>
      <c r="AE2012" s="17">
        <f>('Gestión de abastecimiento'!A1293)</f>
        <v>5</v>
      </c>
      <c r="AF2012" s="8">
        <f>('Gestión de abastecimiento'!E1293)</f>
        <v>0</v>
      </c>
      <c r="AG2012" s="19">
        <f>('Gestión de abastecimiento'!E1299)</f>
        <v>0</v>
      </c>
      <c r="AN2012" s="17">
        <f>('Gestión de abastecimiento'!A1293)</f>
        <v>5</v>
      </c>
      <c r="AO2012" s="8">
        <f>('Gestión de abastecimiento'!F1293)</f>
        <v>0</v>
      </c>
      <c r="AP2012" s="19">
        <f>('Gestión de abastecimiento'!F1299)</f>
        <v>0</v>
      </c>
      <c r="AW2012" s="17">
        <f>('Gestión de abastecimiento'!A1293)</f>
        <v>5</v>
      </c>
      <c r="AX2012" s="8">
        <f>('Gestión de abastecimiento'!G1293)</f>
        <v>0</v>
      </c>
      <c r="AY2012" s="19">
        <f>('Gestión de abastecimiento'!G1299)</f>
        <v>0</v>
      </c>
      <c r="BF2012" s="17">
        <f>('Gestión de abastecimiento'!A1293)</f>
        <v>5</v>
      </c>
      <c r="BG2012" s="8">
        <f>('Gestión de abastecimiento'!H1293)</f>
        <v>0</v>
      </c>
      <c r="BH2012" s="19">
        <f>('Gestión de abastecimiento'!H1299)</f>
        <v>0</v>
      </c>
      <c r="BO2012" s="17">
        <f>('Gestión de abastecimiento'!A1293)</f>
        <v>5</v>
      </c>
      <c r="BP2012" s="8">
        <f>('Gestión de abastecimiento'!I1293)</f>
        <v>0</v>
      </c>
      <c r="BQ2012" s="19">
        <f>('Gestión de abastecimiento'!I1299)</f>
        <v>0</v>
      </c>
      <c r="BX2012" s="17">
        <f>('Gestión de abastecimiento'!A1293)</f>
        <v>5</v>
      </c>
      <c r="BY2012" s="8">
        <f>('Gestión de abastecimiento'!J1293)</f>
        <v>0</v>
      </c>
      <c r="BZ2012" s="19">
        <f>('Gestión de abastecimiento'!J1299)</f>
        <v>0</v>
      </c>
      <c r="CG2012" s="17">
        <f>('Gestión de abastecimiento'!A1293)</f>
        <v>5</v>
      </c>
      <c r="CH2012" s="8">
        <f>('Gestión de abastecimiento'!K1293)</f>
        <v>0</v>
      </c>
      <c r="CI2012" s="19">
        <f>('Gestión de abastecimiento'!K1299)</f>
        <v>0</v>
      </c>
      <c r="CP2012" s="17">
        <f>('Gestión de abastecimiento'!A1293)</f>
        <v>5</v>
      </c>
      <c r="CQ2012" s="8">
        <f>('Gestión de abastecimiento'!L1293)</f>
        <v>0</v>
      </c>
      <c r="CR2012" s="19">
        <f>('Gestión de abastecimiento'!L1299)</f>
        <v>0</v>
      </c>
      <c r="CY2012" s="17">
        <f>('Gestión de abastecimiento'!A1293)</f>
        <v>5</v>
      </c>
      <c r="CZ2012" s="8">
        <f>('Gestión de abastecimiento'!M1293)</f>
        <v>0</v>
      </c>
      <c r="DA2012" s="19">
        <f>('Gestión de abastecimiento'!M1299)</f>
        <v>0</v>
      </c>
      <c r="DH2012" s="17">
        <f>('Gestión de abastecimiento'!A1293)</f>
        <v>5</v>
      </c>
      <c r="DI2012" s="8">
        <f>('Gestión de abastecimiento'!N1293)</f>
        <v>0</v>
      </c>
      <c r="DJ2012" s="19">
        <f>('Gestión de abastecimiento'!N1299)</f>
        <v>0</v>
      </c>
      <c r="DQ2012" s="17">
        <f>('Gestión de abastecimiento'!A1293)</f>
        <v>5</v>
      </c>
      <c r="DR2012" s="8">
        <f>('Gestión de abastecimiento'!O1293)</f>
        <v>0</v>
      </c>
      <c r="DS2012" s="19">
        <f>('Gestión de abastecimiento'!O1299)</f>
        <v>0</v>
      </c>
      <c r="DZ2012" s="17">
        <f>('Gestión de abastecimiento'!A1293)</f>
        <v>5</v>
      </c>
      <c r="EA2012" s="8">
        <f>('Gestión de abastecimiento'!P1293)</f>
        <v>0</v>
      </c>
      <c r="EB2012" s="19">
        <f>('Gestión de abastecimiento'!P1299)</f>
        <v>0</v>
      </c>
      <c r="EI2012" s="17">
        <f>('Gestión de abastecimiento'!A1293)</f>
        <v>5</v>
      </c>
      <c r="EJ2012" s="8">
        <f>('Gestión de abastecimiento'!Q1293)</f>
        <v>0</v>
      </c>
      <c r="EK2012" s="19">
        <f>('Gestión de abastecimiento'!Q1299)</f>
        <v>0</v>
      </c>
      <c r="ER2012" s="17">
        <f>('Gestión de abastecimiento'!A1293)</f>
        <v>5</v>
      </c>
      <c r="ES2012" s="8">
        <f>('Gestión de abastecimiento'!R1293)</f>
        <v>0</v>
      </c>
      <c r="ET2012" s="19">
        <f>('Gestión de abastecimiento'!R1299)</f>
        <v>0</v>
      </c>
      <c r="FA2012" s="17">
        <f>('Gestión de abastecimiento'!A1293)</f>
        <v>5</v>
      </c>
      <c r="FB2012" s="8">
        <f>('Gestión de abastecimiento'!S1293)</f>
        <v>0</v>
      </c>
      <c r="FC2012" s="19">
        <f>('Gestión de abastecimiento'!S1299)</f>
        <v>0</v>
      </c>
    </row>
    <row r="2013" spans="4:159" x14ac:dyDescent="0.25">
      <c r="D2013" s="17">
        <f>('Gestión de abastecimiento'!A1294)</f>
        <v>0</v>
      </c>
      <c r="E2013" s="8">
        <f>('Gestión de abastecimiento'!B1294)</f>
        <v>0</v>
      </c>
      <c r="F2013" s="19">
        <f>('Gestión de abastecimiento'!B1300)</f>
        <v>0</v>
      </c>
      <c r="M2013" s="17">
        <f>('Gestión de abastecimiento'!A1294)</f>
        <v>0</v>
      </c>
      <c r="N2013" s="8">
        <f>('Gestión de abastecimiento'!C1294)</f>
        <v>0</v>
      </c>
      <c r="O2013" s="19">
        <f>('Gestión de abastecimiento'!C1300)</f>
        <v>0</v>
      </c>
      <c r="V2013" s="17">
        <f>('Gestión de abastecimiento'!A1294)</f>
        <v>0</v>
      </c>
      <c r="W2013" s="8">
        <f>('Gestión de abastecimiento'!D1294)</f>
        <v>0</v>
      </c>
      <c r="X2013" s="19">
        <f>('Gestión de abastecimiento'!D1300)</f>
        <v>0</v>
      </c>
      <c r="AE2013" s="17">
        <f>('Gestión de abastecimiento'!A1294)</f>
        <v>0</v>
      </c>
      <c r="AF2013" s="8">
        <f>('Gestión de abastecimiento'!E1294)</f>
        <v>0</v>
      </c>
      <c r="AG2013" s="19">
        <f>('Gestión de abastecimiento'!E1300)</f>
        <v>0</v>
      </c>
      <c r="AN2013" s="17">
        <f>('Gestión de abastecimiento'!A1294)</f>
        <v>0</v>
      </c>
      <c r="AO2013" s="8">
        <f>('Gestión de abastecimiento'!F1294)</f>
        <v>0</v>
      </c>
      <c r="AP2013" s="19">
        <f>('Gestión de abastecimiento'!F1300)</f>
        <v>0</v>
      </c>
      <c r="AW2013" s="17">
        <f>('Gestión de abastecimiento'!A1294)</f>
        <v>0</v>
      </c>
      <c r="AX2013" s="8">
        <f>('Gestión de abastecimiento'!G1294)</f>
        <v>0</v>
      </c>
      <c r="AY2013" s="19">
        <f>('Gestión de abastecimiento'!G1300)</f>
        <v>0</v>
      </c>
      <c r="BF2013" s="17">
        <f>('Gestión de abastecimiento'!A1294)</f>
        <v>0</v>
      </c>
      <c r="BG2013" s="8">
        <f>('Gestión de abastecimiento'!H1294)</f>
        <v>0</v>
      </c>
      <c r="BH2013" s="19">
        <f>('Gestión de abastecimiento'!H1300)</f>
        <v>0</v>
      </c>
      <c r="BO2013" s="17">
        <f>('Gestión de abastecimiento'!A1294)</f>
        <v>0</v>
      </c>
      <c r="BP2013" s="8">
        <f>('Gestión de abastecimiento'!I1294)</f>
        <v>0</v>
      </c>
      <c r="BQ2013" s="19">
        <f>('Gestión de abastecimiento'!I1300)</f>
        <v>0</v>
      </c>
      <c r="BX2013" s="17">
        <f>('Gestión de abastecimiento'!A1294)</f>
        <v>0</v>
      </c>
      <c r="BY2013" s="8">
        <f>('Gestión de abastecimiento'!J1294)</f>
        <v>0</v>
      </c>
      <c r="BZ2013" s="19">
        <f>('Gestión de abastecimiento'!J1300)</f>
        <v>0</v>
      </c>
      <c r="CG2013" s="17">
        <f>('Gestión de abastecimiento'!A1294)</f>
        <v>0</v>
      </c>
      <c r="CH2013" s="8">
        <f>('Gestión de abastecimiento'!K1294)</f>
        <v>0</v>
      </c>
      <c r="CI2013" s="19">
        <f>('Gestión de abastecimiento'!K1300)</f>
        <v>0</v>
      </c>
      <c r="CP2013" s="17">
        <f>('Gestión de abastecimiento'!A1294)</f>
        <v>0</v>
      </c>
      <c r="CQ2013" s="8">
        <f>('Gestión de abastecimiento'!L1294)</f>
        <v>0</v>
      </c>
      <c r="CR2013" s="19">
        <f>('Gestión de abastecimiento'!L1300)</f>
        <v>0</v>
      </c>
      <c r="CY2013" s="17">
        <f>('Gestión de abastecimiento'!A1294)</f>
        <v>0</v>
      </c>
      <c r="CZ2013" s="8">
        <f>('Gestión de abastecimiento'!M1294)</f>
        <v>0</v>
      </c>
      <c r="DA2013" s="19">
        <f>('Gestión de abastecimiento'!M1300)</f>
        <v>0</v>
      </c>
      <c r="DH2013" s="17">
        <f>('Gestión de abastecimiento'!A1294)</f>
        <v>0</v>
      </c>
      <c r="DI2013" s="8">
        <f>('Gestión de abastecimiento'!N1294)</f>
        <v>0</v>
      </c>
      <c r="DJ2013" s="19">
        <f>('Gestión de abastecimiento'!N1300)</f>
        <v>0</v>
      </c>
      <c r="DQ2013" s="17">
        <f>('Gestión de abastecimiento'!A1294)</f>
        <v>0</v>
      </c>
      <c r="DR2013" s="8">
        <f>('Gestión de abastecimiento'!O1294)</f>
        <v>0</v>
      </c>
      <c r="DS2013" s="19">
        <f>('Gestión de abastecimiento'!O1300)</f>
        <v>0</v>
      </c>
      <c r="DZ2013" s="17">
        <f>('Gestión de abastecimiento'!A1294)</f>
        <v>0</v>
      </c>
      <c r="EA2013" s="8">
        <f>('Gestión de abastecimiento'!P1294)</f>
        <v>0</v>
      </c>
      <c r="EB2013" s="19">
        <f>('Gestión de abastecimiento'!P1300)</f>
        <v>0</v>
      </c>
      <c r="EI2013" s="17">
        <f>('Gestión de abastecimiento'!A1294)</f>
        <v>0</v>
      </c>
      <c r="EJ2013" s="8">
        <f>('Gestión de abastecimiento'!Q1294)</f>
        <v>0</v>
      </c>
      <c r="EK2013" s="19">
        <f>('Gestión de abastecimiento'!Q1300)</f>
        <v>0</v>
      </c>
      <c r="ER2013" s="17">
        <f>('Gestión de abastecimiento'!A1294)</f>
        <v>0</v>
      </c>
      <c r="ES2013" s="8">
        <f>('Gestión de abastecimiento'!R1294)</f>
        <v>0</v>
      </c>
      <c r="ET2013" s="19">
        <f>('Gestión de abastecimiento'!R1300)</f>
        <v>0</v>
      </c>
      <c r="FA2013" s="17">
        <f>('Gestión de abastecimiento'!A1294)</f>
        <v>0</v>
      </c>
      <c r="FB2013" s="8">
        <f>('Gestión de abastecimiento'!S1294)</f>
        <v>0</v>
      </c>
      <c r="FC2013" s="19">
        <f>('Gestión de abastecimiento'!S1300)</f>
        <v>0</v>
      </c>
    </row>
    <row r="2046" spans="4:160" x14ac:dyDescent="0.25">
      <c r="D2046">
        <f>IF(E2046=F2008,D2008,IF(E2046=F2009,D2009,IF(E2046=F2010,D2010,IF(E2046=F2011,D2011,IF(E2046=F2012,D2012,"ALGO ESTA MAL")))))</f>
        <v>1</v>
      </c>
      <c r="E2046" s="22">
        <f>LARGE($F$2008:$F$2012,C1046)</f>
        <v>0</v>
      </c>
      <c r="F2046" s="22" t="str">
        <f>IF(E2046&gt;0.1%,E2046,"Algo Esta Mal")</f>
        <v>Algo Esta Mal</v>
      </c>
      <c r="G2046" s="21" t="str">
        <f>IF(F2046=E2046,D2046," ")</f>
        <v xml:space="preserve"> </v>
      </c>
      <c r="M2046">
        <f>IF(N2046=O2008,M2008,IF(N2046=O2009,M2009,IF(N2046=O2010,M2010,IF(N2046=O2011,M2011,IF(N2046=O2012,M2012,"ALGO ESTA MAL")))))</f>
        <v>1</v>
      </c>
      <c r="N2046" s="22">
        <f>LARGE($O$2008:$O$2012,L1046)</f>
        <v>0</v>
      </c>
      <c r="O2046" s="22" t="str">
        <f>IF(N2046&gt;0.1%,N2046,"Algo Esta Mal")</f>
        <v>Algo Esta Mal</v>
      </c>
      <c r="P2046" s="21" t="str">
        <f>IF(O2046=N2046,M2046," ")</f>
        <v xml:space="preserve"> </v>
      </c>
      <c r="V2046">
        <f>IF(W2046=X2008,V2008,IF(W2046=X2009,V2009,IF(W2046=X2010,V2010,IF(W2046=X2011,V2011,IF(W2046=X2012,V2012,"ALGO ESTA MAL")))))</f>
        <v>1</v>
      </c>
      <c r="W2046" s="22">
        <f>LARGE($X$2008:$X$2012,U1046)</f>
        <v>0</v>
      </c>
      <c r="X2046" s="22" t="str">
        <f>IF(W2046&gt;0.1%,W2046,"Algo Esta Mal")</f>
        <v>Algo Esta Mal</v>
      </c>
      <c r="Y2046" s="21" t="str">
        <f>IF(X2046=W2046,V2046," ")</f>
        <v xml:space="preserve"> </v>
      </c>
      <c r="AE2046">
        <f>IF(AF2046=AG2008,AE2008,IF(AF2046=AG2009,AE2009,IF(AF2046=AG2010,AE2010,IF(AF2046=AG2011,AE2011,IF(AF2046=AG2012,AE2012,"ALGO ESTA MAL")))))</f>
        <v>1</v>
      </c>
      <c r="AF2046" s="22">
        <f>LARGE($AG$2008:$AG$2012,AD1046)</f>
        <v>0</v>
      </c>
      <c r="AG2046" s="22" t="str">
        <f>IF(AF2046&gt;0.1%,AF2046,"Algo Esta Mal")</f>
        <v>Algo Esta Mal</v>
      </c>
      <c r="AH2046" s="21" t="str">
        <f>IF(AG2046=AF2046,AE2046," ")</f>
        <v xml:space="preserve"> </v>
      </c>
      <c r="AN2046">
        <f>IF(AO2046=AP2008,AN2008,IF(AO2046=AP2009,AN2009,IF(AO2046=AP2010,AN2010,IF(AO2046=AP2011,AN2011,IF(AO2046=AP2012,AN2012,"ALGO ESTA MAL")))))</f>
        <v>1</v>
      </c>
      <c r="AO2046" s="22">
        <f>LARGE($AP$2008:$AP$2012,AM1046)</f>
        <v>0</v>
      </c>
      <c r="AP2046" s="22" t="str">
        <f>IF(AO2046&gt;0.1%,AO2046,"Algo Esta Mal")</f>
        <v>Algo Esta Mal</v>
      </c>
      <c r="AQ2046" s="21" t="str">
        <f>IF(AP2046=AO2046,AN2046," ")</f>
        <v xml:space="preserve"> </v>
      </c>
      <c r="AW2046">
        <f>IF(AX2046=AY2008,AW2008,IF(AX2046=AY2009,AW2009,IF(AX2046=AY2010,AW2010,IF(AX2046=AY2011,AW2011,IF(AX2046=AY2012,AW2012,"ALGO ESTA MAL")))))</f>
        <v>1</v>
      </c>
      <c r="AX2046" s="22">
        <f>LARGE($AY$2008:$AY$2012,AV1046)</f>
        <v>0</v>
      </c>
      <c r="AY2046" s="22" t="str">
        <f>IF(AX2046&gt;0.1%,AX2046,"Algo Esta Mal")</f>
        <v>Algo Esta Mal</v>
      </c>
      <c r="AZ2046" s="21" t="str">
        <f>IF(AY2046=AX2046,AW2046," ")</f>
        <v xml:space="preserve"> </v>
      </c>
      <c r="BF2046">
        <f>IF(BG2046=BH2008,BF2008,IF(BG2046=BH2009,BF2009,IF(BG2046=BH2010,BF2010,IF(BG2046=BH2011,BF2011,IF(BG2046=BH2012,BF2012,"ALGO ESTA MAL")))))</f>
        <v>1</v>
      </c>
      <c r="BG2046" s="22">
        <f>LARGE($BH$2008:$BH$2012,BE1046)</f>
        <v>0</v>
      </c>
      <c r="BH2046" s="22" t="str">
        <f>IF(BG2046&gt;0.1%,BG2046,"Algo Esta Mal")</f>
        <v>Algo Esta Mal</v>
      </c>
      <c r="BI2046" s="21" t="str">
        <f>IF(BH2046=BG2046,BF2046," ")</f>
        <v xml:space="preserve"> </v>
      </c>
      <c r="BO2046">
        <f>IF(BP2046=BQ2008,BO2008,IF(BP2046=BQ2009,BO2009,IF(BP2046=BQ2010,BO2010,IF(BP2046=BQ2011,BO2011,IF(BP2046=BQ2012,BO2012,"ALGO ESTA MAL")))))</f>
        <v>1</v>
      </c>
      <c r="BP2046" s="22">
        <f>LARGE($BQ$2008:$BQ$2012,BN1046)</f>
        <v>0</v>
      </c>
      <c r="BQ2046" s="22" t="str">
        <f>IF(BP2046&gt;0.1%,BP2046,"Algo Esta Mal")</f>
        <v>Algo Esta Mal</v>
      </c>
      <c r="BR2046" s="21" t="str">
        <f>IF(BQ2046=BP2046,BO2046," ")</f>
        <v xml:space="preserve"> </v>
      </c>
      <c r="BX2046">
        <f>IF(BY2046=BZ2008,BX2008,IF(BY2046=BZ2009,BX2009,IF(BY2046=BZ2010,BX2010,IF(BY2046=BZ2011,BX2011,IF(BY2046=BZ2012,BX2012,"ALGO ESTA MAL")))))</f>
        <v>1</v>
      </c>
      <c r="BY2046" s="22">
        <f>LARGE($BZ$2008:$BZ$2012,BW1046)</f>
        <v>0</v>
      </c>
      <c r="BZ2046" s="22" t="str">
        <f>IF(BY2046&gt;0.1%,BY2046,"Algo Esta Mal")</f>
        <v>Algo Esta Mal</v>
      </c>
      <c r="CA2046" s="21" t="str">
        <f>IF(BZ2046=BY2046,BX2046," ")</f>
        <v xml:space="preserve"> </v>
      </c>
      <c r="CG2046">
        <f>IF(CH2046=CI2008,CG2008,IF(CH2046=CI2009,CG2009,IF(CH2046=CI2010,CG2010,IF(CH2046=CI2011,CG2011,IF(CH2046=CI2012,CG2012,"ALGO ESTA MAL")))))</f>
        <v>1</v>
      </c>
      <c r="CH2046" s="22">
        <f>LARGE($CI$2008:$CI$2012,CF1046)</f>
        <v>0</v>
      </c>
      <c r="CI2046" s="22" t="str">
        <f>IF(CH2046&gt;0.1%,CH2046,"Algo Esta Mal")</f>
        <v>Algo Esta Mal</v>
      </c>
      <c r="CJ2046" s="21" t="str">
        <f>IF(CI2046=CH2046,CG2046," ")</f>
        <v xml:space="preserve"> </v>
      </c>
      <c r="CP2046">
        <f>IF(CQ2046=CR2008,CP2008,IF(CQ2046=CR2009,CP2009,IF(CQ2046=CR2010,CP2010,IF(CQ2046=CR2011,CP2011,IF(CQ2046=CR2012,CP2012,"ALGO ESTA MAL")))))</f>
        <v>1</v>
      </c>
      <c r="CQ2046" s="22">
        <f>LARGE($CR$2008:$CR$2012,CO1046)</f>
        <v>0</v>
      </c>
      <c r="CR2046" s="22" t="str">
        <f>IF(CQ2046&gt;0.1%,CQ2046,"Algo Esta Mal")</f>
        <v>Algo Esta Mal</v>
      </c>
      <c r="CS2046" s="21" t="str">
        <f>IF(CR2046=CQ2046,CP2046," ")</f>
        <v xml:space="preserve"> </v>
      </c>
      <c r="CY2046">
        <f>IF(CZ2046=DA2008,CY2008,IF(CZ2046=DA2009,CY2009,IF(CZ2046=DA2010,CY2010,IF(CZ2046=DA2011,CY2011,IF(CZ2046=DA2012,CY2012,"ALGO ESTA MAL")))))</f>
        <v>1</v>
      </c>
      <c r="CZ2046" s="22">
        <f>LARGE($DA$2008:$DA$2012,CX1046)</f>
        <v>0</v>
      </c>
      <c r="DA2046" s="22" t="str">
        <f>IF(CZ2046&gt;0.1%,CZ2046,"Algo Esta Mal")</f>
        <v>Algo Esta Mal</v>
      </c>
      <c r="DB2046" s="21" t="str">
        <f>IF(DA2046=CZ2046,CY2046," ")</f>
        <v xml:space="preserve"> </v>
      </c>
      <c r="DH2046">
        <f>IF(DI2046=DJ2008,DH2008,IF(DI2046=DJ2009,DH2009,IF(DI2046=DJ2010,DH2010,IF(DI2046=DJ2011,DH2011,IF(DI2046=DJ2012,DH2012,"ALGO ESTA MAL")))))</f>
        <v>1</v>
      </c>
      <c r="DI2046" s="22">
        <f>LARGE($DJ$2008:$DJ$2012,DG1046)</f>
        <v>0</v>
      </c>
      <c r="DJ2046" s="22" t="str">
        <f>IF(DI2046&gt;0.1%,DI2046,"Algo Esta Mal")</f>
        <v>Algo Esta Mal</v>
      </c>
      <c r="DK2046" s="21" t="str">
        <f>IF(DJ2046=DI2046,DH2046," ")</f>
        <v xml:space="preserve"> </v>
      </c>
      <c r="DQ2046">
        <f>IF(DR2046=DS2008,DQ2008,IF(DR2046=DS2009,DQ2009,IF(DR2046=DS2010,DQ2010,IF(DR2046=DS2011,DQ2011,IF(DR2046=DS2012,DQ2012,"ALGO ESTA MAL")))))</f>
        <v>1</v>
      </c>
      <c r="DR2046" s="22">
        <f>LARGE($DS$2008:$DS$2012,DP1046)</f>
        <v>0</v>
      </c>
      <c r="DS2046" s="22" t="str">
        <f>IF(DR2046&gt;0.1%,DR2046,"Algo Esta Mal")</f>
        <v>Algo Esta Mal</v>
      </c>
      <c r="DT2046" s="21" t="str">
        <f>IF(DS2046=DR2046,DQ2046," ")</f>
        <v xml:space="preserve"> </v>
      </c>
      <c r="DZ2046">
        <f>IF(EA2046=EB2008,DZ2008,IF(EA2046=EB2009,DZ2009,IF(EA2046=EB2010,DZ2010,IF(EA2046=EB2011,DZ2011,IF(EA2046=EB2012,DZ2012,"ALGO ESTA MAL")))))</f>
        <v>1</v>
      </c>
      <c r="EA2046" s="22">
        <f>LARGE($EB$2008:$EB$2012,DY1046)</f>
        <v>0</v>
      </c>
      <c r="EB2046" s="22" t="str">
        <f>IF(EA2046&gt;0.1%,EA2046,"Algo Esta Mal")</f>
        <v>Algo Esta Mal</v>
      </c>
      <c r="EC2046" s="21" t="str">
        <f>IF(EB2046=EA2046,DZ2046," ")</f>
        <v xml:space="preserve"> </v>
      </c>
      <c r="EI2046">
        <f>IF(EJ2046=EK2008,EI2008,IF(EJ2046=EK2009,EI2009,IF(EJ2046=EK2010,EI2010,IF(EJ2046=EK2011,EI2011,IF(EJ2046=EK2012,EI2012,"ALGO ESTA MAL")))))</f>
        <v>1</v>
      </c>
      <c r="EJ2046" s="22">
        <f>LARGE($EK$2008:$EK$2012,EH1046)</f>
        <v>0</v>
      </c>
      <c r="EK2046" s="22" t="str">
        <f>IF(EJ2046&gt;0.1%,EJ2046,"Algo Esta Mal")</f>
        <v>Algo Esta Mal</v>
      </c>
      <c r="EL2046" s="21" t="str">
        <f>IF(EK2046=EJ2046,EI2046," ")</f>
        <v xml:space="preserve"> </v>
      </c>
      <c r="ER2046">
        <f>IF(ES2046=ET2008,ER2008,IF(ES2046=ET2009,ER2009,IF(ES2046=ET2010,ER2010,IF(ES2046=ET2011,ER2011,IF(ES2046=ET2012,ER2012,"ALGO ESTA MAL")))))</f>
        <v>1</v>
      </c>
      <c r="ES2046" s="22">
        <f>LARGE($ET$2008:$ET$2012,EQ1046)</f>
        <v>0</v>
      </c>
      <c r="ET2046" s="22" t="str">
        <f>IF(ES2046&gt;0.1%,ES2046,"Algo Esta Mal")</f>
        <v>Algo Esta Mal</v>
      </c>
      <c r="EU2046" s="21" t="str">
        <f>IF(ET2046=ES2046,ER2046," ")</f>
        <v xml:space="preserve"> </v>
      </c>
      <c r="FA2046">
        <f>IF(FB2046=FC2008,FA2008,IF(FB2046=FC2009,FA2009,IF(FB2046=FC2010,FA2010,IF(FB2046=FC2011,FA2011,IF(FB2046=FC2012,FA2012,"ALGO ESTA MAL")))))</f>
        <v>1</v>
      </c>
      <c r="FB2046" s="22">
        <f>LARGE($FC$2008:$FC$2012,EZ1046)</f>
        <v>0</v>
      </c>
      <c r="FC2046" s="22" t="str">
        <f>IF(FB2046&gt;0.1%,FB2046,"Algo Esta Mal")</f>
        <v>Algo Esta Mal</v>
      </c>
      <c r="FD2046" s="21" t="str">
        <f>IF(FC2046=FB2046,FA2046," ")</f>
        <v xml:space="preserve"> </v>
      </c>
    </row>
    <row r="2047" spans="4:160" x14ac:dyDescent="0.25">
      <c r="D2047">
        <f>IF(E2047=F2008,D2008,IF(E2047=F2009,D2009,IF(E2047=F2010,D2010,IF(E2047=F2011,D2011,IF(E2047=F2012,D2012,"ALGO ESTA MAL")))))</f>
        <v>1</v>
      </c>
      <c r="E2047" s="22">
        <f>LARGE($F$2008:$F$2012,C1047)</f>
        <v>0</v>
      </c>
      <c r="F2047" s="22" t="str">
        <f>IF(E2047&gt;0.1%,E2047,"Algo Esta Mal")</f>
        <v>Algo Esta Mal</v>
      </c>
      <c r="G2047" s="21" t="str">
        <f>IF(F2047=E2047,D2047," ")</f>
        <v xml:space="preserve"> </v>
      </c>
      <c r="M2047">
        <f>IF(N2047=O2008,M2008,IF(N2047=O2009,M2009,IF(N2047=O2010,M2010,IF(N2047=O2011,M2011,IF(N2047=O2012,M2012,"ALGO ESTA MAL")))))</f>
        <v>1</v>
      </c>
      <c r="N2047" s="22">
        <f>LARGE($O$2008:$O$2012,L1047)</f>
        <v>0</v>
      </c>
      <c r="O2047" s="22" t="str">
        <f>IF(N2047&gt;0.1%,N2047,"Algo Esta Mal")</f>
        <v>Algo Esta Mal</v>
      </c>
      <c r="P2047" s="21" t="str">
        <f>IF(O2047=N2047,M2047," ")</f>
        <v xml:space="preserve"> </v>
      </c>
      <c r="V2047">
        <f>IF(W2047=X2008,V2008,IF(W2047=X2009,V2009,IF(W2047=X2010,V2010,IF(W2047=X2011,V2011,IF(W2047=X2012,V2012,"ALGO ESTA MAL")))))</f>
        <v>1</v>
      </c>
      <c r="W2047" s="22">
        <f>LARGE($X$2008:$X$2012,U1047)</f>
        <v>0</v>
      </c>
      <c r="X2047" s="22" t="str">
        <f>IF(W2047&gt;0.1%,W2047,"Algo Esta Mal")</f>
        <v>Algo Esta Mal</v>
      </c>
      <c r="Y2047" s="21" t="str">
        <f>IF(X2047=W2047,V2047," ")</f>
        <v xml:space="preserve"> </v>
      </c>
      <c r="AE2047">
        <f>IF(AF2047=AG2008,AE2008,IF(AF2047=AG2009,AE2009,IF(AF2047=AG2010,AE2010,IF(AF2047=AG2011,AE2011,IF(AF2047=AG2012,AE2012,"ALGO ESTA MAL")))))</f>
        <v>1</v>
      </c>
      <c r="AF2047" s="22">
        <f>LARGE($AG$2008:$AG$2012,AD1047)</f>
        <v>0</v>
      </c>
      <c r="AG2047" s="22" t="str">
        <f>IF(AF2047&gt;0.1%,AF2047,"Algo Esta Mal")</f>
        <v>Algo Esta Mal</v>
      </c>
      <c r="AH2047" s="21" t="str">
        <f>IF(AG2047=AF2047,AE2047," ")</f>
        <v xml:space="preserve"> </v>
      </c>
      <c r="AN2047">
        <f>IF(AO2047=AP2008,AN2008,IF(AO2047=AP2009,AN2009,IF(AO2047=AP2010,AN2010,IF(AO2047=AP2011,AN2011,IF(AO2047=AP2012,AN2012,"ALGO ESTA MAL")))))</f>
        <v>1</v>
      </c>
      <c r="AO2047" s="22">
        <f>LARGE($AP$2008:$AP$2012,AM1047)</f>
        <v>0</v>
      </c>
      <c r="AP2047" s="22" t="str">
        <f>IF(AO2047&gt;0.1%,AO2047,"Algo Esta Mal")</f>
        <v>Algo Esta Mal</v>
      </c>
      <c r="AQ2047" s="21" t="str">
        <f>IF(AP2047=AO2047,AN2047," ")</f>
        <v xml:space="preserve"> </v>
      </c>
      <c r="AW2047">
        <f>IF(AX2047=AY2008,AW2008,IF(AX2047=AY2009,AW2009,IF(AX2047=AY2010,AW2010,IF(AX2047=AY2011,AW2011,IF(AX2047=AY2012,AW2012,"ALGO ESTA MAL")))))</f>
        <v>1</v>
      </c>
      <c r="AX2047" s="22">
        <f>LARGE($AY$2008:$AY$2012,AV1047)</f>
        <v>0</v>
      </c>
      <c r="AY2047" s="22" t="str">
        <f>IF(AX2047&gt;0.1%,AX2047,"Algo Esta Mal")</f>
        <v>Algo Esta Mal</v>
      </c>
      <c r="AZ2047" s="21" t="str">
        <f>IF(AY2047=AX2047,AW2047," ")</f>
        <v xml:space="preserve"> </v>
      </c>
      <c r="BF2047">
        <f>IF(BG2047=BH2008,BF2008,IF(BG2047=BH2009,BF2009,IF(BG2047=BH2010,BF2010,IF(BG2047=BH2011,BF2011,IF(BG2047=BH2012,BF2012,"ALGO ESTA MAL")))))</f>
        <v>1</v>
      </c>
      <c r="BG2047" s="22">
        <f>LARGE($BH$2008:$BH$2012,BE1047)</f>
        <v>0</v>
      </c>
      <c r="BH2047" s="22" t="str">
        <f>IF(BG2047&gt;0.1%,BG2047,"Algo Esta Mal")</f>
        <v>Algo Esta Mal</v>
      </c>
      <c r="BI2047" s="21" t="str">
        <f>IF(BH2047=BG2047,BF2047," ")</f>
        <v xml:space="preserve"> </v>
      </c>
      <c r="BO2047">
        <f>IF(BP2047=BQ2008,BO2008,IF(BP2047=BQ2009,BO2009,IF(BP2047=BQ2010,BO2010,IF(BP2047=BQ2011,BO2011,IF(BP2047=BQ2012,BO2012,"ALGO ESTA MAL")))))</f>
        <v>1</v>
      </c>
      <c r="BP2047" s="22">
        <f>LARGE($BQ$2008:$BQ$2012,BN1047)</f>
        <v>0</v>
      </c>
      <c r="BQ2047" s="22" t="str">
        <f>IF(BP2047&gt;0.1%,BP2047,"Algo Esta Mal")</f>
        <v>Algo Esta Mal</v>
      </c>
      <c r="BR2047" s="21" t="str">
        <f>IF(BQ2047=BP2047,BO2047," ")</f>
        <v xml:space="preserve"> </v>
      </c>
      <c r="BX2047">
        <f>IF(BY2047=BZ2008,BX2008,IF(BY2047=BZ2009,BX2009,IF(BY2047=BZ2010,BX2010,IF(BY2047=BZ2011,BX2011,IF(BY2047=BZ2012,BX2012,"ALGO ESTA MAL")))))</f>
        <v>1</v>
      </c>
      <c r="BY2047" s="22">
        <f>LARGE($BZ$2008:$BZ$2012,BW1047)</f>
        <v>0</v>
      </c>
      <c r="BZ2047" s="22" t="str">
        <f>IF(BY2047&gt;0.1%,BY2047,"Algo Esta Mal")</f>
        <v>Algo Esta Mal</v>
      </c>
      <c r="CA2047" s="21" t="str">
        <f>IF(BZ2047=BY2047,BX2047," ")</f>
        <v xml:space="preserve"> </v>
      </c>
      <c r="CG2047">
        <f>IF(CH2047=CI2008,CG2008,IF(CH2047=CI2009,CG2009,IF(CH2047=CI2010,CG2010,IF(CH2047=CI2011,CG2011,IF(CH2047=CI2012,CG2012,"ALGO ESTA MAL")))))</f>
        <v>1</v>
      </c>
      <c r="CH2047" s="22">
        <f>LARGE($CI$2008:$CI$2012,CF1047)</f>
        <v>0</v>
      </c>
      <c r="CI2047" s="22" t="str">
        <f>IF(CH2047&gt;0.1%,CH2047,"Algo Esta Mal")</f>
        <v>Algo Esta Mal</v>
      </c>
      <c r="CJ2047" s="21" t="str">
        <f>IF(CI2047=CH2047,CG2047," ")</f>
        <v xml:space="preserve"> </v>
      </c>
      <c r="CP2047">
        <f>IF(CQ2047=CR2008,CP2008,IF(CQ2047=CR2009,CP2009,IF(CQ2047=CR2010,CP2010,IF(CQ2047=CR2011,CP2011,IF(CQ2047=CR2012,CP2012,"ALGO ESTA MAL")))))</f>
        <v>1</v>
      </c>
      <c r="CQ2047" s="22">
        <f>LARGE($CR$2008:$CR$2012,CO1047)</f>
        <v>0</v>
      </c>
      <c r="CR2047" s="22" t="str">
        <f>IF(CQ2047&gt;0.1%,CQ2047,"Algo Esta Mal")</f>
        <v>Algo Esta Mal</v>
      </c>
      <c r="CS2047" s="21" t="str">
        <f>IF(CR2047=CQ2047,CP2047," ")</f>
        <v xml:space="preserve"> </v>
      </c>
      <c r="CY2047">
        <f>IF(CZ2047=DA2008,CY2008,IF(CZ2047=DA2009,CY2009,IF(CZ2047=DA2010,CY2010,IF(CZ2047=DA2011,CY2011,IF(CZ2047=DA2012,CY2012,"ALGO ESTA MAL")))))</f>
        <v>1</v>
      </c>
      <c r="CZ2047" s="22">
        <f>LARGE($DA$2008:$DA$2012,CX1047)</f>
        <v>0</v>
      </c>
      <c r="DA2047" s="22" t="str">
        <f>IF(CZ2047&gt;0.1%,CZ2047,"Algo Esta Mal")</f>
        <v>Algo Esta Mal</v>
      </c>
      <c r="DB2047" s="21" t="str">
        <f>IF(DA2047=CZ2047,CY2047," ")</f>
        <v xml:space="preserve"> </v>
      </c>
      <c r="DH2047">
        <f>IF(DI2047=DJ2008,DH2008,IF(DI2047=DJ2009,DH2009,IF(DI2047=DJ2010,DH2010,IF(DI2047=DJ2011,DH2011,IF(DI2047=DJ2012,DH2012,"ALGO ESTA MAL")))))</f>
        <v>1</v>
      </c>
      <c r="DI2047" s="22">
        <f>LARGE($DJ$2008:$DJ$2012,DG1047)</f>
        <v>0</v>
      </c>
      <c r="DJ2047" s="22" t="str">
        <f>IF(DI2047&gt;0.1%,DI2047,"Algo Esta Mal")</f>
        <v>Algo Esta Mal</v>
      </c>
      <c r="DK2047" s="21" t="str">
        <f>IF(DJ2047=DI2047,DH2047," ")</f>
        <v xml:space="preserve"> </v>
      </c>
      <c r="DQ2047">
        <f>IF(DR2047=DS2008,DQ2008,IF(DR2047=DS2009,DQ2009,IF(DR2047=DS2010,DQ2010,IF(DR2047=DS2011,DQ2011,IF(DR2047=DS2012,DQ2012,"ALGO ESTA MAL")))))</f>
        <v>1</v>
      </c>
      <c r="DR2047" s="22">
        <f>LARGE($DS$2008:$DS$2012,DP1047)</f>
        <v>0</v>
      </c>
      <c r="DS2047" s="22" t="str">
        <f>IF(DR2047&gt;0.1%,DR2047,"Algo Esta Mal")</f>
        <v>Algo Esta Mal</v>
      </c>
      <c r="DT2047" s="21" t="str">
        <f>IF(DS2047=DR2047,DQ2047," ")</f>
        <v xml:space="preserve"> </v>
      </c>
      <c r="DZ2047">
        <f>IF(EA2047=EB2008,DZ2008,IF(EA2047=EB2009,DZ2009,IF(EA2047=EB2010,DZ2010,IF(EA2047=EB2011,DZ2011,IF(EA2047=EB2012,DZ2012,"ALGO ESTA MAL")))))</f>
        <v>1</v>
      </c>
      <c r="EA2047" s="22">
        <f>LARGE($EB$2008:$EB$2012,DY1047)</f>
        <v>0</v>
      </c>
      <c r="EB2047" s="22" t="str">
        <f>IF(EA2047&gt;0.1%,EA2047,"Algo Esta Mal")</f>
        <v>Algo Esta Mal</v>
      </c>
      <c r="EC2047" s="21" t="str">
        <f>IF(EB2047=EA2047,DZ2047," ")</f>
        <v xml:space="preserve"> </v>
      </c>
      <c r="EI2047">
        <f>IF(EJ2047=EK2008,EI2008,IF(EJ2047=EK2009,EI2009,IF(EJ2047=EK2010,EI2010,IF(EJ2047=EK2011,EI2011,IF(EJ2047=EK2012,EI2012,"ALGO ESTA MAL")))))</f>
        <v>1</v>
      </c>
      <c r="EJ2047" s="22">
        <f>LARGE($EK$2008:$EK$2012,EH1047)</f>
        <v>0</v>
      </c>
      <c r="EK2047" s="22" t="str">
        <f>IF(EJ2047&gt;0.1%,EJ2047,"Algo Esta Mal")</f>
        <v>Algo Esta Mal</v>
      </c>
      <c r="EL2047" s="21" t="str">
        <f>IF(EK2047=EJ2047,EI2047," ")</f>
        <v xml:space="preserve"> </v>
      </c>
      <c r="ER2047">
        <f>IF(ES2047=ET2008,ER2008,IF(ES2047=ET2009,ER2009,IF(ES2047=ET2010,ER2010,IF(ES2047=ET2011,ER2011,IF(ES2047=ET2012,ER2012,"ALGO ESTA MAL")))))</f>
        <v>1</v>
      </c>
      <c r="ES2047" s="22">
        <f>LARGE($ET$2008:$ET$2012,EQ1047)</f>
        <v>0</v>
      </c>
      <c r="ET2047" s="22" t="str">
        <f>IF(ES2047&gt;0.1%,ES2047,"Algo Esta Mal")</f>
        <v>Algo Esta Mal</v>
      </c>
      <c r="EU2047" s="21" t="str">
        <f>IF(ET2047=ES2047,ER2047," ")</f>
        <v xml:space="preserve"> </v>
      </c>
      <c r="FA2047">
        <f>IF(FB2047=FC2008,FA2008,IF(FB2047=FC2009,FA2009,IF(FB2047=FC2010,FA2010,IF(FB2047=FC2011,FA2011,IF(FB2047=FC2012,FA2012,"ALGO ESTA MAL")))))</f>
        <v>1</v>
      </c>
      <c r="FB2047" s="22">
        <f>LARGE($FC$2008:$FC$2012,EZ1047)</f>
        <v>0</v>
      </c>
      <c r="FC2047" s="22" t="str">
        <f>IF(FB2047&gt;0.1%,FB2047,"Algo Esta Mal")</f>
        <v>Algo Esta Mal</v>
      </c>
      <c r="FD2047" s="21" t="str">
        <f>IF(FC2047=FB2047,FA2047," ")</f>
        <v xml:space="preserve"> </v>
      </c>
    </row>
    <row r="2048" spans="4:160" x14ac:dyDescent="0.25">
      <c r="D2048">
        <f>IF(E2048=F2008,D2008,IF(E2048=F2009,D2009,IF(E2048=F2010,D2010,IF(E2048=F2011,D2011,IF(E2048=F2012,D2012,"ALGO ESTA MAL")))))</f>
        <v>1</v>
      </c>
      <c r="E2048" s="22">
        <f>LARGE($F$2008:$F$2012,C1048)</f>
        <v>0</v>
      </c>
      <c r="F2048" s="22" t="str">
        <f>IF(E2048&gt;0.1%,E2048,"Algo Esta Mal")</f>
        <v>Algo Esta Mal</v>
      </c>
      <c r="G2048" s="21" t="str">
        <f>IF(F2048=E2048,D2048," ")</f>
        <v xml:space="preserve"> </v>
      </c>
      <c r="M2048">
        <f>IF(N2048=O2008,M2008,IF(N2048=O2009,M2009,IF(N2048=O2010,M2010,IF(N2048=O2011,M2011,IF(N2048=O2012,M2012,"ALGO ESTA MAL")))))</f>
        <v>1</v>
      </c>
      <c r="N2048" s="22">
        <f>LARGE($O$2008:$O$2012,L1048)</f>
        <v>0</v>
      </c>
      <c r="O2048" s="22" t="str">
        <f>IF(N2048&gt;0.1%,N2048,"Algo Esta Mal")</f>
        <v>Algo Esta Mal</v>
      </c>
      <c r="P2048" s="21" t="str">
        <f>IF(O2048=N2048,M2048," ")</f>
        <v xml:space="preserve"> </v>
      </c>
      <c r="V2048">
        <f>IF(W2048=X2008,V2008,IF(W2048=X2009,V2009,IF(W2048=X2010,V2010,IF(W2048=X2011,V2011,IF(W2048=X2012,V2012,"ALGO ESTA MAL")))))</f>
        <v>1</v>
      </c>
      <c r="W2048" s="22">
        <f>LARGE($X$2008:$X$2012,U1048)</f>
        <v>0</v>
      </c>
      <c r="X2048" s="22" t="str">
        <f>IF(W2048&gt;0.1%,W2048,"Algo Esta Mal")</f>
        <v>Algo Esta Mal</v>
      </c>
      <c r="Y2048" s="21" t="str">
        <f>IF(X2048=W2048,V2048," ")</f>
        <v xml:space="preserve"> </v>
      </c>
      <c r="AE2048">
        <f>IF(AF2048=AG2008,AE2008,IF(AF2048=AG2009,AE2009,IF(AF2048=AG2010,AE2010,IF(AF2048=AG2011,AE2011,IF(AF2048=AG2012,AE2012,"ALGO ESTA MAL")))))</f>
        <v>1</v>
      </c>
      <c r="AF2048" s="22">
        <f>LARGE($AG$2008:$AG$2012,AD1048)</f>
        <v>0</v>
      </c>
      <c r="AG2048" s="22" t="str">
        <f>IF(AF2048&gt;0.1%,AF2048,"Algo Esta Mal")</f>
        <v>Algo Esta Mal</v>
      </c>
      <c r="AH2048" s="21" t="str">
        <f>IF(AG2048=AF2048,AE2048," ")</f>
        <v xml:space="preserve"> </v>
      </c>
      <c r="AN2048">
        <f>IF(AO2048=AP2008,AN2008,IF(AO2048=AP2009,AN2009,IF(AO2048=AP2010,AN2010,IF(AO2048=AP2011,AN2011,IF(AO2048=AP2012,AN2012,"ALGO ESTA MAL")))))</f>
        <v>1</v>
      </c>
      <c r="AO2048" s="22">
        <f>LARGE($AP$2008:$AP$2012,AM1048)</f>
        <v>0</v>
      </c>
      <c r="AP2048" s="22" t="str">
        <f>IF(AO2048&gt;0.1%,AO2048,"Algo Esta Mal")</f>
        <v>Algo Esta Mal</v>
      </c>
      <c r="AQ2048" s="21" t="str">
        <f>IF(AP2048=AO2048,AN2048," ")</f>
        <v xml:space="preserve"> </v>
      </c>
      <c r="AW2048">
        <f>IF(AX2048=AY2008,AW2008,IF(AX2048=AY2009,AW2009,IF(AX2048=AY2010,AW2010,IF(AX2048=AY2011,AW2011,IF(AX2048=AY2012,AW2012,"ALGO ESTA MAL")))))</f>
        <v>1</v>
      </c>
      <c r="AX2048" s="22">
        <f>LARGE($AY$2008:$AY$2012,AV1048)</f>
        <v>0</v>
      </c>
      <c r="AY2048" s="22" t="str">
        <f>IF(AX2048&gt;0.1%,AX2048,"Algo Esta Mal")</f>
        <v>Algo Esta Mal</v>
      </c>
      <c r="AZ2048" s="21" t="str">
        <f>IF(AY2048=AX2048,AW2048," ")</f>
        <v xml:space="preserve"> </v>
      </c>
      <c r="BF2048">
        <f>IF(BG2048=BH2008,BF2008,IF(BG2048=BH2009,BF2009,IF(BG2048=BH2010,BF2010,IF(BG2048=BH2011,BF2011,IF(BG2048=BH2012,BF2012,"ALGO ESTA MAL")))))</f>
        <v>1</v>
      </c>
      <c r="BG2048" s="22">
        <f>LARGE($BH$2008:$BH$2012,BE1048)</f>
        <v>0</v>
      </c>
      <c r="BH2048" s="22" t="str">
        <f>IF(BG2048&gt;0.1%,BG2048,"Algo Esta Mal")</f>
        <v>Algo Esta Mal</v>
      </c>
      <c r="BI2048" s="21" t="str">
        <f>IF(BH2048=BG2048,BF2048," ")</f>
        <v xml:space="preserve"> </v>
      </c>
      <c r="BO2048">
        <f>IF(BP2048=BQ2008,BO2008,IF(BP2048=BQ2009,BO2009,IF(BP2048=BQ2010,BO2010,IF(BP2048=BQ2011,BO2011,IF(BP2048=BQ2012,BO2012,"ALGO ESTA MAL")))))</f>
        <v>1</v>
      </c>
      <c r="BP2048" s="22">
        <f>LARGE($BQ$2008:$BQ$2012,BN1048)</f>
        <v>0</v>
      </c>
      <c r="BQ2048" s="22" t="str">
        <f>IF(BP2048&gt;0.1%,BP2048,"Algo Esta Mal")</f>
        <v>Algo Esta Mal</v>
      </c>
      <c r="BR2048" s="21" t="str">
        <f>IF(BQ2048=BP2048,BO2048," ")</f>
        <v xml:space="preserve"> </v>
      </c>
      <c r="BX2048">
        <f>IF(BY2048=BZ2008,BX2008,IF(BY2048=BZ2009,BX2009,IF(BY2048=BZ2010,BX2010,IF(BY2048=BZ2011,BX2011,IF(BY2048=BZ2012,BX2012,"ALGO ESTA MAL")))))</f>
        <v>1</v>
      </c>
      <c r="BY2048" s="22">
        <f>LARGE($BZ$2008:$BZ$2012,BW1048)</f>
        <v>0</v>
      </c>
      <c r="BZ2048" s="22" t="str">
        <f>IF(BY2048&gt;0.1%,BY2048,"Algo Esta Mal")</f>
        <v>Algo Esta Mal</v>
      </c>
      <c r="CA2048" s="21" t="str">
        <f>IF(BZ2048=BY2048,BX2048," ")</f>
        <v xml:space="preserve"> </v>
      </c>
      <c r="CG2048">
        <f>IF(CH2048=CI2008,CG2008,IF(CH2048=CI2009,CG2009,IF(CH2048=CI2010,CG2010,IF(CH2048=CI2011,CG2011,IF(CH2048=CI2012,CG2012,"ALGO ESTA MAL")))))</f>
        <v>1</v>
      </c>
      <c r="CH2048" s="22">
        <f>LARGE($CI$2008:$CI$2012,CF1048)</f>
        <v>0</v>
      </c>
      <c r="CI2048" s="22" t="str">
        <f>IF(CH2048&gt;0.1%,CH2048,"Algo Esta Mal")</f>
        <v>Algo Esta Mal</v>
      </c>
      <c r="CJ2048" s="21" t="str">
        <f>IF(CI2048=CH2048,CG2048," ")</f>
        <v xml:space="preserve"> </v>
      </c>
      <c r="CP2048">
        <f>IF(CQ2048=CR2008,CP2008,IF(CQ2048=CR2009,CP2009,IF(CQ2048=CR2010,CP2010,IF(CQ2048=CR2011,CP2011,IF(CQ2048=CR2012,CP2012,"ALGO ESTA MAL")))))</f>
        <v>1</v>
      </c>
      <c r="CQ2048" s="22">
        <f>LARGE($CR$2008:$CR$2012,CO1048)</f>
        <v>0</v>
      </c>
      <c r="CR2048" s="22" t="str">
        <f>IF(CQ2048&gt;0.1%,CQ2048,"Algo Esta Mal")</f>
        <v>Algo Esta Mal</v>
      </c>
      <c r="CS2048" s="21" t="str">
        <f>IF(CR2048=CQ2048,CP2048," ")</f>
        <v xml:space="preserve"> </v>
      </c>
      <c r="CY2048">
        <f>IF(CZ2048=DA2008,CY2008,IF(CZ2048=DA2009,CY2009,IF(CZ2048=DA2010,CY2010,IF(CZ2048=DA2011,CY2011,IF(CZ2048=DA2012,CY2012,"ALGO ESTA MAL")))))</f>
        <v>1</v>
      </c>
      <c r="CZ2048" s="22">
        <f>LARGE($DA$2008:$DA$2012,CX1048)</f>
        <v>0</v>
      </c>
      <c r="DA2048" s="22" t="str">
        <f>IF(CZ2048&gt;0.1%,CZ2048,"Algo Esta Mal")</f>
        <v>Algo Esta Mal</v>
      </c>
      <c r="DB2048" s="21" t="str">
        <f>IF(DA2048=CZ2048,CY2048," ")</f>
        <v xml:space="preserve"> </v>
      </c>
      <c r="DH2048">
        <f>IF(DI2048=DJ2008,DH2008,IF(DI2048=DJ2009,DH2009,IF(DI2048=DJ2010,DH2010,IF(DI2048=DJ2011,DH2011,IF(DI2048=DJ2012,DH2012,"ALGO ESTA MAL")))))</f>
        <v>1</v>
      </c>
      <c r="DI2048" s="22">
        <f>LARGE($DJ$2008:$DJ$2012,DG1048)</f>
        <v>0</v>
      </c>
      <c r="DJ2048" s="22" t="str">
        <f>IF(DI2048&gt;0.1%,DI2048,"Algo Esta Mal")</f>
        <v>Algo Esta Mal</v>
      </c>
      <c r="DK2048" s="21" t="str">
        <f>IF(DJ2048=DI2048,DH2048," ")</f>
        <v xml:space="preserve"> </v>
      </c>
      <c r="DQ2048">
        <f>IF(DR2048=DS2008,DQ2008,IF(DR2048=DS2009,DQ2009,IF(DR2048=DS2010,DQ2010,IF(DR2048=DS2011,DQ2011,IF(DR2048=DS2012,DQ2012,"ALGO ESTA MAL")))))</f>
        <v>1</v>
      </c>
      <c r="DR2048" s="22">
        <f>LARGE($DS$2008:$DS$2012,DP1048)</f>
        <v>0</v>
      </c>
      <c r="DS2048" s="22" t="str">
        <f>IF(DR2048&gt;0.1%,DR2048,"Algo Esta Mal")</f>
        <v>Algo Esta Mal</v>
      </c>
      <c r="DT2048" s="21" t="str">
        <f>IF(DS2048=DR2048,DQ2048," ")</f>
        <v xml:space="preserve"> </v>
      </c>
      <c r="DZ2048">
        <f>IF(EA2048=EB2008,DZ2008,IF(EA2048=EB2009,DZ2009,IF(EA2048=EB2010,DZ2010,IF(EA2048=EB2011,DZ2011,IF(EA2048=EB2012,DZ2012,"ALGO ESTA MAL")))))</f>
        <v>1</v>
      </c>
      <c r="EA2048" s="22">
        <f>LARGE($EB$2008:$EB$2012,DY1048)</f>
        <v>0</v>
      </c>
      <c r="EB2048" s="22" t="str">
        <f>IF(EA2048&gt;0.1%,EA2048,"Algo Esta Mal")</f>
        <v>Algo Esta Mal</v>
      </c>
      <c r="EC2048" s="21" t="str">
        <f>IF(EB2048=EA2048,DZ2048," ")</f>
        <v xml:space="preserve"> </v>
      </c>
      <c r="EI2048">
        <f>IF(EJ2048=EK2008,EI2008,IF(EJ2048=EK2009,EI2009,IF(EJ2048=EK2010,EI2010,IF(EJ2048=EK2011,EI2011,IF(EJ2048=EK2012,EI2012,"ALGO ESTA MAL")))))</f>
        <v>1</v>
      </c>
      <c r="EJ2048" s="22">
        <f>LARGE($EK$2008:$EK$2012,EH1048)</f>
        <v>0</v>
      </c>
      <c r="EK2048" s="22" t="str">
        <f>IF(EJ2048&gt;0.1%,EJ2048,"Algo Esta Mal")</f>
        <v>Algo Esta Mal</v>
      </c>
      <c r="EL2048" s="21" t="str">
        <f>IF(EK2048=EJ2048,EI2048," ")</f>
        <v xml:space="preserve"> </v>
      </c>
      <c r="ER2048">
        <f>IF(ES2048=ET2008,ER2008,IF(ES2048=ET2009,ER2009,IF(ES2048=ET2010,ER2010,IF(ES2048=ET2011,ER2011,IF(ES2048=ET2012,ER2012,"ALGO ESTA MAL")))))</f>
        <v>1</v>
      </c>
      <c r="ES2048" s="22">
        <f>LARGE($ET$2008:$ET$2012,EQ1048)</f>
        <v>0</v>
      </c>
      <c r="ET2048" s="22" t="str">
        <f>IF(ES2048&gt;0.1%,ES2048,"Algo Esta Mal")</f>
        <v>Algo Esta Mal</v>
      </c>
      <c r="EU2048" s="21" t="str">
        <f>IF(ET2048=ES2048,ER2048," ")</f>
        <v xml:space="preserve"> </v>
      </c>
      <c r="FA2048">
        <f>IF(FB2048=FC2008,FA2008,IF(FB2048=FC2009,FA2009,IF(FB2048=FC2010,FA2010,IF(FB2048=FC2011,FA2011,IF(FB2048=FC2012,FA2012,"ALGO ESTA MAL")))))</f>
        <v>1</v>
      </c>
      <c r="FB2048" s="22">
        <f>LARGE($FC$2008:$FC$2012,EZ1048)</f>
        <v>0</v>
      </c>
      <c r="FC2048" s="22" t="str">
        <f>IF(FB2048&gt;0.1%,FB2048,"Algo Esta Mal")</f>
        <v>Algo Esta Mal</v>
      </c>
      <c r="FD2048" s="21" t="str">
        <f>IF(FC2048=FB2048,FA2048," ")</f>
        <v xml:space="preserve"> </v>
      </c>
    </row>
    <row r="2049" spans="4:160" x14ac:dyDescent="0.25">
      <c r="D2049">
        <f>IF(E2049=F2008,D2008,IF(E2049=F2009,D2009,IF(E2049=F2010,D2010,IF(E2049=F2011,D2011,IF(E2049=F2012,D2012,"ALGO ESTA MAL")))))</f>
        <v>1</v>
      </c>
      <c r="E2049" s="22">
        <f>LARGE($F$2008:$F$2012,C1049)</f>
        <v>0</v>
      </c>
      <c r="F2049" s="22" t="str">
        <f>IF(E2049&gt;0.1%,E2049,"Algo Esta Mal")</f>
        <v>Algo Esta Mal</v>
      </c>
      <c r="G2049" s="21" t="str">
        <f>IF(F2049=E2049,D2049," ")</f>
        <v xml:space="preserve"> </v>
      </c>
      <c r="M2049">
        <f>IF(N2049=O2008,M2008,IF(N2049=O2009,M2009,IF(N2049=O2010,M2010,IF(N2049=O2011,M2011,IF(N2049=O2012,M2012,"ALGO ESTA MAL")))))</f>
        <v>1</v>
      </c>
      <c r="N2049" s="22">
        <f>LARGE($O$2008:$O$2012,L1049)</f>
        <v>0</v>
      </c>
      <c r="O2049" s="22" t="str">
        <f>IF(N2049&gt;0.1%,N2049,"Algo Esta Mal")</f>
        <v>Algo Esta Mal</v>
      </c>
      <c r="P2049" s="21" t="str">
        <f>IF(O2049=N2049,M2049," ")</f>
        <v xml:space="preserve"> </v>
      </c>
      <c r="V2049">
        <f>IF(W2049=X2008,V2008,IF(W2049=X2009,V2009,IF(W2049=X2010,V2010,IF(W2049=X2011,V2011,IF(W2049=X2012,V2012,"ALGO ESTA MAL")))))</f>
        <v>1</v>
      </c>
      <c r="W2049" s="22">
        <f>LARGE($X$2008:$X$2012,U1049)</f>
        <v>0</v>
      </c>
      <c r="X2049" s="22" t="str">
        <f>IF(W2049&gt;0.1%,W2049,"Algo Esta Mal")</f>
        <v>Algo Esta Mal</v>
      </c>
      <c r="Y2049" s="21" t="str">
        <f>IF(X2049=W2049,V2049," ")</f>
        <v xml:space="preserve"> </v>
      </c>
      <c r="AE2049">
        <f>IF(AF2049=AG2008,AE2008,IF(AF2049=AG2009,AE2009,IF(AF2049=AG2010,AE2010,IF(AF2049=AG2011,AE2011,IF(AF2049=AG2012,AE2012,"ALGO ESTA MAL")))))</f>
        <v>1</v>
      </c>
      <c r="AF2049" s="22">
        <f>LARGE($AG$2008:$AG$2012,AD1049)</f>
        <v>0</v>
      </c>
      <c r="AG2049" s="22" t="str">
        <f>IF(AF2049&gt;0.1%,AF2049,"Algo Esta Mal")</f>
        <v>Algo Esta Mal</v>
      </c>
      <c r="AH2049" s="21" t="str">
        <f>IF(AG2049=AF2049,AE2049," ")</f>
        <v xml:space="preserve"> </v>
      </c>
      <c r="AN2049">
        <f>IF(AO2049=AP2008,AN2008,IF(AO2049=AP2009,AN2009,IF(AO2049=AP2010,AN2010,IF(AO2049=AP2011,AN2011,IF(AO2049=AP2012,AN2012,"ALGO ESTA MAL")))))</f>
        <v>1</v>
      </c>
      <c r="AO2049" s="22">
        <f>LARGE($AP$2008:$AP$2012,AM1049)</f>
        <v>0</v>
      </c>
      <c r="AP2049" s="22" t="str">
        <f>IF(AO2049&gt;0.1%,AO2049,"Algo Esta Mal")</f>
        <v>Algo Esta Mal</v>
      </c>
      <c r="AQ2049" s="21" t="str">
        <f>IF(AP2049=AO2049,AN2049," ")</f>
        <v xml:space="preserve"> </v>
      </c>
      <c r="AW2049">
        <f>IF(AX2049=AY2008,AW2008,IF(AX2049=AY2009,AW2009,IF(AX2049=AY2010,AW2010,IF(AX2049=AY2011,AW2011,IF(AX2049=AY2012,AW2012,"ALGO ESTA MAL")))))</f>
        <v>1</v>
      </c>
      <c r="AX2049" s="22">
        <f>LARGE($AY$2008:$AY$2012,AV1049)</f>
        <v>0</v>
      </c>
      <c r="AY2049" s="22" t="str">
        <f>IF(AX2049&gt;0.1%,AX2049,"Algo Esta Mal")</f>
        <v>Algo Esta Mal</v>
      </c>
      <c r="AZ2049" s="21" t="str">
        <f>IF(AY2049=AX2049,AW2049," ")</f>
        <v xml:space="preserve"> </v>
      </c>
      <c r="BF2049">
        <f>IF(BG2049=BH2008,BF2008,IF(BG2049=BH2009,BF2009,IF(BG2049=BH2010,BF2010,IF(BG2049=BH2011,BF2011,IF(BG2049=BH2012,BF2012,"ALGO ESTA MAL")))))</f>
        <v>1</v>
      </c>
      <c r="BG2049" s="22">
        <f>LARGE($BH$2008:$BH$2012,BE1049)</f>
        <v>0</v>
      </c>
      <c r="BH2049" s="22" t="str">
        <f>IF(BG2049&gt;0.1%,BG2049,"Algo Esta Mal")</f>
        <v>Algo Esta Mal</v>
      </c>
      <c r="BI2049" s="21" t="str">
        <f>IF(BH2049=BG2049,BF2049," ")</f>
        <v xml:space="preserve"> </v>
      </c>
      <c r="BO2049">
        <f>IF(BP2049=BQ2008,BO2008,IF(BP2049=BQ2009,BO2009,IF(BP2049=BQ2010,BO2010,IF(BP2049=BQ2011,BO2011,IF(BP2049=BQ2012,BO2012,"ALGO ESTA MAL")))))</f>
        <v>1</v>
      </c>
      <c r="BP2049" s="22">
        <f>LARGE($BQ$2008:$BQ$2012,BN1049)</f>
        <v>0</v>
      </c>
      <c r="BQ2049" s="22" t="str">
        <f>IF(BP2049&gt;0.1%,BP2049,"Algo Esta Mal")</f>
        <v>Algo Esta Mal</v>
      </c>
      <c r="BR2049" s="21" t="str">
        <f>IF(BQ2049=BP2049,BO2049," ")</f>
        <v xml:space="preserve"> </v>
      </c>
      <c r="BX2049">
        <f>IF(BY2049=BZ2008,BX2008,IF(BY2049=BZ2009,BX2009,IF(BY2049=BZ2010,BX2010,IF(BY2049=BZ2011,BX2011,IF(BY2049=BZ2012,BX2012,"ALGO ESTA MAL")))))</f>
        <v>1</v>
      </c>
      <c r="BY2049" s="22">
        <f>LARGE($BZ$2008:$BZ$2012,BW1049)</f>
        <v>0</v>
      </c>
      <c r="BZ2049" s="22" t="str">
        <f>IF(BY2049&gt;0.1%,BY2049,"Algo Esta Mal")</f>
        <v>Algo Esta Mal</v>
      </c>
      <c r="CA2049" s="21" t="str">
        <f>IF(BZ2049=BY2049,BX2049," ")</f>
        <v xml:space="preserve"> </v>
      </c>
      <c r="CG2049">
        <f>IF(CH2049=CI2008,CG2008,IF(CH2049=CI2009,CG2009,IF(CH2049=CI2010,CG2010,IF(CH2049=CI2011,CG2011,IF(CH2049=CI2012,CG2012,"ALGO ESTA MAL")))))</f>
        <v>1</v>
      </c>
      <c r="CH2049" s="22">
        <f>LARGE($CI$2008:$CI$2012,CF1049)</f>
        <v>0</v>
      </c>
      <c r="CI2049" s="22" t="str">
        <f>IF(CH2049&gt;0.1%,CH2049,"Algo Esta Mal")</f>
        <v>Algo Esta Mal</v>
      </c>
      <c r="CJ2049" s="21" t="str">
        <f>IF(CI2049=CH2049,CG2049," ")</f>
        <v xml:space="preserve"> </v>
      </c>
      <c r="CP2049">
        <f>IF(CQ2049=CR2008,CP2008,IF(CQ2049=CR2009,CP2009,IF(CQ2049=CR2010,CP2010,IF(CQ2049=CR2011,CP2011,IF(CQ2049=CR2012,CP2012,"ALGO ESTA MAL")))))</f>
        <v>1</v>
      </c>
      <c r="CQ2049" s="22">
        <f>LARGE($CR$2008:$CR$2012,CO1049)</f>
        <v>0</v>
      </c>
      <c r="CR2049" s="22" t="str">
        <f>IF(CQ2049&gt;0.1%,CQ2049,"Algo Esta Mal")</f>
        <v>Algo Esta Mal</v>
      </c>
      <c r="CS2049" s="21" t="str">
        <f>IF(CR2049=CQ2049,CP2049," ")</f>
        <v xml:space="preserve"> </v>
      </c>
      <c r="CY2049">
        <f>IF(CZ2049=DA2008,CY2008,IF(CZ2049=DA2009,CY2009,IF(CZ2049=DA2010,CY2010,IF(CZ2049=DA2011,CY2011,IF(CZ2049=DA2012,CY2012,"ALGO ESTA MAL")))))</f>
        <v>1</v>
      </c>
      <c r="CZ2049" s="22">
        <f>LARGE($DA$2008:$DA$2012,CX1049)</f>
        <v>0</v>
      </c>
      <c r="DA2049" s="22" t="str">
        <f>IF(CZ2049&gt;0.1%,CZ2049,"Algo Esta Mal")</f>
        <v>Algo Esta Mal</v>
      </c>
      <c r="DB2049" s="21" t="str">
        <f>IF(DA2049=CZ2049,CY2049," ")</f>
        <v xml:space="preserve"> </v>
      </c>
      <c r="DH2049">
        <f>IF(DI2049=DJ2008,DH2008,IF(DI2049=DJ2009,DH2009,IF(DI2049=DJ2010,DH2010,IF(DI2049=DJ2011,DH2011,IF(DI2049=DJ2012,DH2012,"ALGO ESTA MAL")))))</f>
        <v>1</v>
      </c>
      <c r="DI2049" s="22">
        <f>LARGE($DJ$2008:$DJ$2012,DG1049)</f>
        <v>0</v>
      </c>
      <c r="DJ2049" s="22" t="str">
        <f>IF(DI2049&gt;0.1%,DI2049,"Algo Esta Mal")</f>
        <v>Algo Esta Mal</v>
      </c>
      <c r="DK2049" s="21" t="str">
        <f>IF(DJ2049=DI2049,DH2049," ")</f>
        <v xml:space="preserve"> </v>
      </c>
      <c r="DQ2049">
        <f>IF(DR2049=DS2008,DQ2008,IF(DR2049=DS2009,DQ2009,IF(DR2049=DS2010,DQ2010,IF(DR2049=DS2011,DQ2011,IF(DR2049=DS2012,DQ2012,"ALGO ESTA MAL")))))</f>
        <v>1</v>
      </c>
      <c r="DR2049" s="22">
        <f>LARGE($DS$2008:$DS$2012,DP1049)</f>
        <v>0</v>
      </c>
      <c r="DS2049" s="22" t="str">
        <f>IF(DR2049&gt;0.1%,DR2049,"Algo Esta Mal")</f>
        <v>Algo Esta Mal</v>
      </c>
      <c r="DT2049" s="21" t="str">
        <f>IF(DS2049=DR2049,DQ2049," ")</f>
        <v xml:space="preserve"> </v>
      </c>
      <c r="DZ2049">
        <f>IF(EA2049=EB2008,DZ2008,IF(EA2049=EB2009,DZ2009,IF(EA2049=EB2010,DZ2010,IF(EA2049=EB2011,DZ2011,IF(EA2049=EB2012,DZ2012,"ALGO ESTA MAL")))))</f>
        <v>1</v>
      </c>
      <c r="EA2049" s="22">
        <f>LARGE($EB$2008:$EB$2012,DY1049)</f>
        <v>0</v>
      </c>
      <c r="EB2049" s="22" t="str">
        <f>IF(EA2049&gt;0.1%,EA2049,"Algo Esta Mal")</f>
        <v>Algo Esta Mal</v>
      </c>
      <c r="EC2049" s="21" t="str">
        <f>IF(EB2049=EA2049,DZ2049," ")</f>
        <v xml:space="preserve"> </v>
      </c>
      <c r="EI2049">
        <f>IF(EJ2049=EK2008,EI2008,IF(EJ2049=EK2009,EI2009,IF(EJ2049=EK2010,EI2010,IF(EJ2049=EK2011,EI2011,IF(EJ2049=EK2012,EI2012,"ALGO ESTA MAL")))))</f>
        <v>1</v>
      </c>
      <c r="EJ2049" s="22">
        <f>LARGE($EK$2008:$EK$2012,EH1049)</f>
        <v>0</v>
      </c>
      <c r="EK2049" s="22" t="str">
        <f>IF(EJ2049&gt;0.1%,EJ2049,"Algo Esta Mal")</f>
        <v>Algo Esta Mal</v>
      </c>
      <c r="EL2049" s="21" t="str">
        <f>IF(EK2049=EJ2049,EI2049," ")</f>
        <v xml:space="preserve"> </v>
      </c>
      <c r="ER2049">
        <f>IF(ES2049=ET2008,ER2008,IF(ES2049=ET2009,ER2009,IF(ES2049=ET2010,ER2010,IF(ES2049=ET2011,ER2011,IF(ES2049=ET2012,ER2012,"ALGO ESTA MAL")))))</f>
        <v>1</v>
      </c>
      <c r="ES2049" s="22">
        <f>LARGE($ET$2008:$ET$2012,EQ1049)</f>
        <v>0</v>
      </c>
      <c r="ET2049" s="22" t="str">
        <f>IF(ES2049&gt;0.1%,ES2049,"Algo Esta Mal")</f>
        <v>Algo Esta Mal</v>
      </c>
      <c r="EU2049" s="21" t="str">
        <f>IF(ET2049=ES2049,ER2049," ")</f>
        <v xml:space="preserve"> </v>
      </c>
      <c r="FA2049">
        <f>IF(FB2049=FC2008,FA2008,IF(FB2049=FC2009,FA2009,IF(FB2049=FC2010,FA2010,IF(FB2049=FC2011,FA2011,IF(FB2049=FC2012,FA2012,"ALGO ESTA MAL")))))</f>
        <v>1</v>
      </c>
      <c r="FB2049" s="22">
        <f>LARGE($FC$2008:$FC$2012,EZ1049)</f>
        <v>0</v>
      </c>
      <c r="FC2049" s="22" t="str">
        <f>IF(FB2049&gt;0.1%,FB2049,"Algo Esta Mal")</f>
        <v>Algo Esta Mal</v>
      </c>
      <c r="FD2049" s="21" t="str">
        <f>IF(FC2049=FB2049,FA2049," ")</f>
        <v xml:space="preserve"> </v>
      </c>
    </row>
    <row r="2050" spans="4:160" x14ac:dyDescent="0.25">
      <c r="D2050">
        <f>IF(E2050=F2008,D2008,IF(E2050=F2009,D2009,IF(E2050=F2010,D2010,IF(E2050=F2011,D2011,IF(E2050=F2012,D2012,"ALGO ESTA MAL")))))</f>
        <v>1</v>
      </c>
      <c r="E2050" s="22">
        <f>LARGE($F$2008:$F$2012,C1050)</f>
        <v>0</v>
      </c>
      <c r="F2050" s="22" t="str">
        <f>IF(E2050&gt;0.1%,E2050,"Algo Esta Mal")</f>
        <v>Algo Esta Mal</v>
      </c>
      <c r="G2050" s="21" t="str">
        <f>IF(F2050=E2050,D2050," ")</f>
        <v xml:space="preserve"> </v>
      </c>
      <c r="M2050">
        <f>IF(N2050=O2008,M2008,IF(N2050=O2009,M2009,IF(N2050=O2010,M2010,IF(N2050=O2011,M2011,IF(N2050=O2012,M2012,"ALGO ESTA MAL")))))</f>
        <v>1</v>
      </c>
      <c r="N2050" s="22">
        <f>LARGE($O$2008:$O$2012,L1050)</f>
        <v>0</v>
      </c>
      <c r="O2050" s="22" t="str">
        <f>IF(N2050&gt;0.1%,N2050,"Algo Esta Mal")</f>
        <v>Algo Esta Mal</v>
      </c>
      <c r="P2050" s="21" t="str">
        <f>IF(O2050=N2050,M2050," ")</f>
        <v xml:space="preserve"> </v>
      </c>
      <c r="V2050">
        <f>IF(W2050=X2008,V2008,IF(W2050=X2009,V2009,IF(W2050=X2010,V2010,IF(W2050=X2011,V2011,IF(W2050=X2012,V2012,"ALGO ESTA MAL")))))</f>
        <v>1</v>
      </c>
      <c r="W2050" s="22">
        <f>LARGE($X$2008:$X$2012,U1050)</f>
        <v>0</v>
      </c>
      <c r="X2050" s="22" t="str">
        <f>IF(W2050&gt;0.1%,W2050,"Algo Esta Mal")</f>
        <v>Algo Esta Mal</v>
      </c>
      <c r="Y2050" s="21" t="str">
        <f>IF(X2050=W2050,V2050," ")</f>
        <v xml:space="preserve"> </v>
      </c>
      <c r="AE2050">
        <f>IF(AF2050=AG2008,AE2008,IF(AF2050=AG2009,AE2009,IF(AF2050=AG2010,AE2010,IF(AF2050=AG2011,AE2011,IF(AF2050=AG2012,AE2012,"ALGO ESTA MAL")))))</f>
        <v>1</v>
      </c>
      <c r="AF2050" s="22">
        <f>LARGE($AG$2008:$AG$2012,AD1050)</f>
        <v>0</v>
      </c>
      <c r="AG2050" s="22" t="str">
        <f>IF(AF2050&gt;0.1%,AF2050,"Algo Esta Mal")</f>
        <v>Algo Esta Mal</v>
      </c>
      <c r="AH2050" s="21" t="str">
        <f>IF(AG2050=AF2050,AE2050," ")</f>
        <v xml:space="preserve"> </v>
      </c>
      <c r="AN2050">
        <f>IF(AO2050=AP2008,AN2008,IF(AO2050=AP2009,AN2009,IF(AO2050=AP2010,AN2010,IF(AO2050=AP2011,AN2011,IF(AO2050=AP2012,AN2012,"ALGO ESTA MAL")))))</f>
        <v>1</v>
      </c>
      <c r="AO2050" s="22">
        <f>LARGE($AP$2008:$AP$2012,AM1050)</f>
        <v>0</v>
      </c>
      <c r="AP2050" s="22" t="str">
        <f>IF(AO2050&gt;0.1%,AO2050,"Algo Esta Mal")</f>
        <v>Algo Esta Mal</v>
      </c>
      <c r="AQ2050" s="21" t="str">
        <f>IF(AP2050=AO2050,AN2050," ")</f>
        <v xml:space="preserve"> </v>
      </c>
      <c r="AW2050">
        <f>IF(AX2050=AY2008,AW2008,IF(AX2050=AY2009,AW2009,IF(AX2050=AY2010,AW2010,IF(AX2050=AY2011,AW2011,IF(AX2050=AY2012,AW2012,"ALGO ESTA MAL")))))</f>
        <v>1</v>
      </c>
      <c r="AX2050" s="22">
        <f>LARGE($AY$2008:$AY$2012,AV1050)</f>
        <v>0</v>
      </c>
      <c r="AY2050" s="22" t="str">
        <f>IF(AX2050&gt;0.1%,AX2050,"Algo Esta Mal")</f>
        <v>Algo Esta Mal</v>
      </c>
      <c r="AZ2050" s="21" t="str">
        <f>IF(AY2050=AX2050,AW2050," ")</f>
        <v xml:space="preserve"> </v>
      </c>
      <c r="BF2050">
        <f>IF(BG2050=BH2008,BF2008,IF(BG2050=BH2009,BF2009,IF(BG2050=BH2010,BF2010,IF(BG2050=BH2011,BF2011,IF(BG2050=BH2012,BF2012,"ALGO ESTA MAL")))))</f>
        <v>1</v>
      </c>
      <c r="BG2050" s="22">
        <f>LARGE($BH$2008:$BH$2012,BE1050)</f>
        <v>0</v>
      </c>
      <c r="BH2050" s="22" t="str">
        <f>IF(BG2050&gt;0.1%,BG2050,"Algo Esta Mal")</f>
        <v>Algo Esta Mal</v>
      </c>
      <c r="BI2050" s="21" t="str">
        <f>IF(BH2050=BG2050,BF2050," ")</f>
        <v xml:space="preserve"> </v>
      </c>
      <c r="BO2050">
        <f>IF(BP2050=BQ2008,BO2008,IF(BP2050=BQ2009,BO2009,IF(BP2050=BQ2010,BO2010,IF(BP2050=BQ2011,BO2011,IF(BP2050=BQ2012,BO2012,"ALGO ESTA MAL")))))</f>
        <v>1</v>
      </c>
      <c r="BP2050" s="22">
        <f>LARGE($BQ$2008:$BQ$2012,BN1050)</f>
        <v>0</v>
      </c>
      <c r="BQ2050" s="22" t="str">
        <f>IF(BP2050&gt;0.1%,BP2050,"Algo Esta Mal")</f>
        <v>Algo Esta Mal</v>
      </c>
      <c r="BR2050" s="21" t="str">
        <f>IF(BQ2050=BP2050,BO2050," ")</f>
        <v xml:space="preserve"> </v>
      </c>
      <c r="BX2050">
        <f>IF(BY2050=BZ2008,BX2008,IF(BY2050=BZ2009,BX2009,IF(BY2050=BZ2010,BX2010,IF(BY2050=BZ2011,BX2011,IF(BY2050=BZ2012,BX2012,"ALGO ESTA MAL")))))</f>
        <v>1</v>
      </c>
      <c r="BY2050" s="22">
        <f>LARGE($BZ$2008:$BZ$2012,BW1050)</f>
        <v>0</v>
      </c>
      <c r="BZ2050" s="22" t="str">
        <f>IF(BY2050&gt;0.1%,BY2050,"Algo Esta Mal")</f>
        <v>Algo Esta Mal</v>
      </c>
      <c r="CA2050" s="21" t="str">
        <f>IF(BZ2050=BY2050,BX2050," ")</f>
        <v xml:space="preserve"> </v>
      </c>
      <c r="CG2050">
        <f>IF(CH2050=CI2008,CG2008,IF(CH2050=CI2009,CG2009,IF(CH2050=CI2010,CG2010,IF(CH2050=CI2011,CG2011,IF(CH2050=CI2012,CG2012,"ALGO ESTA MAL")))))</f>
        <v>1</v>
      </c>
      <c r="CH2050" s="22">
        <f>LARGE($CI$2008:$CI$2012,CF1050)</f>
        <v>0</v>
      </c>
      <c r="CI2050" s="22" t="str">
        <f>IF(CH2050&gt;0.1%,CH2050,"Algo Esta Mal")</f>
        <v>Algo Esta Mal</v>
      </c>
      <c r="CJ2050" s="21" t="str">
        <f>IF(CI2050=CH2050,CG2050," ")</f>
        <v xml:space="preserve"> </v>
      </c>
      <c r="CP2050">
        <f>IF(CQ2050=CR2008,CP2008,IF(CQ2050=CR2009,CP2009,IF(CQ2050=CR2010,CP2010,IF(CQ2050=CR2011,CP2011,IF(CQ2050=CR2012,CP2012,"ALGO ESTA MAL")))))</f>
        <v>1</v>
      </c>
      <c r="CQ2050" s="22">
        <f>LARGE($CR$2008:$CR$2012,CO1050)</f>
        <v>0</v>
      </c>
      <c r="CR2050" s="22" t="str">
        <f>IF(CQ2050&gt;0.1%,CQ2050,"Algo Esta Mal")</f>
        <v>Algo Esta Mal</v>
      </c>
      <c r="CS2050" s="21" t="str">
        <f>IF(CR2050=CQ2050,CP2050," ")</f>
        <v xml:space="preserve"> </v>
      </c>
      <c r="CY2050">
        <f>IF(CZ2050=DA2008,CY2008,IF(CZ2050=DA2009,CY2009,IF(CZ2050=DA2010,CY2010,IF(CZ2050=DA2011,CY2011,IF(CZ2050=DA2012,CY2012,"ALGO ESTA MAL")))))</f>
        <v>1</v>
      </c>
      <c r="CZ2050" s="22">
        <f>LARGE($DA$2008:$DA$2012,CX1050)</f>
        <v>0</v>
      </c>
      <c r="DA2050" s="22" t="str">
        <f>IF(CZ2050&gt;0.1%,CZ2050,"Algo Esta Mal")</f>
        <v>Algo Esta Mal</v>
      </c>
      <c r="DB2050" s="21" t="str">
        <f>IF(DA2050=CZ2050,CY2050," ")</f>
        <v xml:space="preserve"> </v>
      </c>
      <c r="DH2050">
        <f>IF(DI2050=DJ2008,DH2008,IF(DI2050=DJ2009,DH2009,IF(DI2050=DJ2010,DH2010,IF(DI2050=DJ2011,DH2011,IF(DI2050=DJ2012,DH2012,"ALGO ESTA MAL")))))</f>
        <v>1</v>
      </c>
      <c r="DI2050" s="22">
        <f>LARGE($DJ$2008:$DJ$2012,DG1050)</f>
        <v>0</v>
      </c>
      <c r="DJ2050" s="22" t="str">
        <f>IF(DI2050&gt;0.1%,DI2050,"Algo Esta Mal")</f>
        <v>Algo Esta Mal</v>
      </c>
      <c r="DK2050" s="21" t="str">
        <f>IF(DJ2050=DI2050,DH2050," ")</f>
        <v xml:space="preserve"> </v>
      </c>
      <c r="DQ2050">
        <f>IF(DR2050=DS2008,DQ2008,IF(DR2050=DS2009,DQ2009,IF(DR2050=DS2010,DQ2010,IF(DR2050=DS2011,DQ2011,IF(DR2050=DS2012,DQ2012,"ALGO ESTA MAL")))))</f>
        <v>1</v>
      </c>
      <c r="DR2050" s="22">
        <f>LARGE($DS$2008:$DS$2012,DP1050)</f>
        <v>0</v>
      </c>
      <c r="DS2050" s="22" t="str">
        <f>IF(DR2050&gt;0.1%,DR2050,"Algo Esta Mal")</f>
        <v>Algo Esta Mal</v>
      </c>
      <c r="DT2050" s="21" t="str">
        <f>IF(DS2050=DR2050,DQ2050," ")</f>
        <v xml:space="preserve"> </v>
      </c>
      <c r="DZ2050">
        <f>IF(EA2050=EB2008,DZ2008,IF(EA2050=EB2009,DZ2009,IF(EA2050=EB2010,DZ2010,IF(EA2050=EB2011,DZ2011,IF(EA2050=EB2012,DZ2012,"ALGO ESTA MAL")))))</f>
        <v>1</v>
      </c>
      <c r="EA2050" s="22">
        <f>LARGE($EB$2008:$EB$2012,DY1050)</f>
        <v>0</v>
      </c>
      <c r="EB2050" s="22" t="str">
        <f>IF(EA2050&gt;0.1%,EA2050,"Algo Esta Mal")</f>
        <v>Algo Esta Mal</v>
      </c>
      <c r="EC2050" s="21" t="str">
        <f>IF(EB2050=EA2050,DZ2050," ")</f>
        <v xml:space="preserve"> </v>
      </c>
      <c r="EI2050">
        <f>IF(EJ2050=EK2008,EI2008,IF(EJ2050=EK2009,EI2009,IF(EJ2050=EK2010,EI2010,IF(EJ2050=EK2011,EI2011,IF(EJ2050=EK2012,EI2012,"ALGO ESTA MAL")))))</f>
        <v>1</v>
      </c>
      <c r="EJ2050" s="22">
        <f>LARGE($EK$2008:$EK$2012,EH1050)</f>
        <v>0</v>
      </c>
      <c r="EK2050" s="22" t="str">
        <f>IF(EJ2050&gt;0.1%,EJ2050,"Algo Esta Mal")</f>
        <v>Algo Esta Mal</v>
      </c>
      <c r="EL2050" s="21" t="str">
        <f>IF(EK2050=EJ2050,EI2050," ")</f>
        <v xml:space="preserve"> </v>
      </c>
      <c r="ER2050">
        <f>IF(ES2050=ET2008,ER2008,IF(ES2050=ET2009,ER2009,IF(ES2050=ET2010,ER2010,IF(ES2050=ET2011,ER2011,IF(ES2050=ET2012,ER2012,"ALGO ESTA MAL")))))</f>
        <v>1</v>
      </c>
      <c r="ES2050" s="22">
        <f>LARGE($ET$2008:$ET$2012,EQ1050)</f>
        <v>0</v>
      </c>
      <c r="ET2050" s="22" t="str">
        <f>IF(ES2050&gt;0.1%,ES2050,"Algo Esta Mal")</f>
        <v>Algo Esta Mal</v>
      </c>
      <c r="EU2050" s="21" t="str">
        <f>IF(ET2050=ES2050,ER2050," ")</f>
        <v xml:space="preserve"> </v>
      </c>
      <c r="FA2050">
        <f>IF(FB2050=FC2008,FA2008,IF(FB2050=FC2009,FA2009,IF(FB2050=FC2010,FA2010,IF(FB2050=FC2011,FA2011,IF(FB2050=FC2012,FA2012,"ALGO ESTA MAL")))))</f>
        <v>1</v>
      </c>
      <c r="FB2050" s="22">
        <f>LARGE($FC$2008:$FC$2012,EZ1050)</f>
        <v>0</v>
      </c>
      <c r="FC2050" s="22" t="str">
        <f>IF(FB2050&gt;0.1%,FB2050,"Algo Esta Mal")</f>
        <v>Algo Esta Mal</v>
      </c>
      <c r="FD2050" s="21" t="str">
        <f>IF(FC2050=FB2050,FA2050," ")</f>
        <v xml:space="preserve"> </v>
      </c>
    </row>
    <row r="2052" spans="4:160" x14ac:dyDescent="0.25">
      <c r="D2052" s="21" t="s">
        <v>446</v>
      </c>
      <c r="M2052" s="21" t="s">
        <v>446</v>
      </c>
      <c r="V2052" s="21" t="s">
        <v>446</v>
      </c>
      <c r="AE2052" s="21" t="s">
        <v>446</v>
      </c>
      <c r="AN2052" s="21" t="s">
        <v>446</v>
      </c>
      <c r="AW2052" s="21" t="s">
        <v>446</v>
      </c>
      <c r="BF2052" s="21" t="s">
        <v>446</v>
      </c>
      <c r="BO2052" s="21" t="s">
        <v>446</v>
      </c>
      <c r="BX2052" s="21" t="s">
        <v>446</v>
      </c>
      <c r="CG2052" s="21" t="s">
        <v>446</v>
      </c>
      <c r="CP2052" s="21" t="s">
        <v>446</v>
      </c>
      <c r="CY2052" s="21" t="s">
        <v>446</v>
      </c>
      <c r="DH2052" s="21" t="s">
        <v>446</v>
      </c>
      <c r="DQ2052" s="21" t="s">
        <v>446</v>
      </c>
      <c r="DZ2052" s="21" t="s">
        <v>446</v>
      </c>
      <c r="EI2052" s="21" t="s">
        <v>446</v>
      </c>
      <c r="ER2052" s="21" t="s">
        <v>446</v>
      </c>
      <c r="FA2052" s="21" t="s">
        <v>446</v>
      </c>
    </row>
    <row r="2053" spans="4:160" x14ac:dyDescent="0.25">
      <c r="D2053" s="22">
        <f>SUM(F2008:F2010)</f>
        <v>0</v>
      </c>
      <c r="E2053" s="22">
        <f>MAX(D2053:D2054)</f>
        <v>0</v>
      </c>
      <c r="M2053" s="22">
        <f>SUM(O2008:O2010)</f>
        <v>0</v>
      </c>
      <c r="N2053" s="22">
        <f>MAX(M2053:M2054)</f>
        <v>0</v>
      </c>
      <c r="V2053" s="22">
        <f>SUM(X2008:X2010)</f>
        <v>0</v>
      </c>
      <c r="W2053" s="22">
        <f>MAX(V2053:V2054)</f>
        <v>0</v>
      </c>
      <c r="AE2053" s="22">
        <f>SUM(AG2008:AG2010)</f>
        <v>0</v>
      </c>
      <c r="AF2053" s="22">
        <f>MAX(AE2053:AE2054)</f>
        <v>0</v>
      </c>
      <c r="AN2053" s="22">
        <f>SUM(AP2008:AP2010)</f>
        <v>0</v>
      </c>
      <c r="AO2053" s="22">
        <f>MAX(AN2053:AN2054)</f>
        <v>0</v>
      </c>
      <c r="AW2053" s="22">
        <f>SUM(AY2008:AY2010)</f>
        <v>0</v>
      </c>
      <c r="AX2053" s="22">
        <f>MAX(AW2053:AW2054)</f>
        <v>0</v>
      </c>
      <c r="BF2053" s="22">
        <f>SUM(BH2008:BH2010)</f>
        <v>0</v>
      </c>
      <c r="BG2053" s="22">
        <f>MAX(BF2053:BF2054)</f>
        <v>0</v>
      </c>
      <c r="BO2053" s="22">
        <f>SUM(BQ2008:BQ2010)</f>
        <v>0</v>
      </c>
      <c r="BP2053" s="22">
        <f>MAX(BO2053:BO2054)</f>
        <v>0</v>
      </c>
      <c r="BX2053" s="22">
        <f>SUM(BZ2008:BZ2010)</f>
        <v>0</v>
      </c>
      <c r="BY2053" s="22">
        <f>MAX(BX2053:BX2054)</f>
        <v>0</v>
      </c>
      <c r="CG2053" s="22">
        <f>SUM(CI2008:CI2010)</f>
        <v>0</v>
      </c>
      <c r="CH2053" s="22">
        <f>MAX(CG2053:CG2054)</f>
        <v>0</v>
      </c>
      <c r="CP2053" s="22">
        <f>SUM(CR2008:CR2010)</f>
        <v>0</v>
      </c>
      <c r="CQ2053" s="22">
        <f>MAX(CP2053:CP2054)</f>
        <v>0</v>
      </c>
      <c r="CY2053" s="22">
        <f>SUM(DA2008:DA2010)</f>
        <v>0</v>
      </c>
      <c r="CZ2053" s="22">
        <f>MAX(CY2053:CY2054)</f>
        <v>0</v>
      </c>
      <c r="DH2053" s="22">
        <f>SUM(DJ2008:DJ2010)</f>
        <v>0</v>
      </c>
      <c r="DI2053" s="22">
        <f>MAX(DH2053:DH2054)</f>
        <v>0</v>
      </c>
      <c r="DQ2053" s="22">
        <f>SUM(DS2008:DS2010)</f>
        <v>0</v>
      </c>
      <c r="DR2053" s="22">
        <f>MAX(DQ2053:DQ2054)</f>
        <v>0</v>
      </c>
      <c r="DZ2053" s="22">
        <f>SUM(EB2008:EB2010)</f>
        <v>0</v>
      </c>
      <c r="EA2053" s="22">
        <f>MAX(DZ2053:DZ2054)</f>
        <v>0</v>
      </c>
      <c r="EI2053" s="22">
        <f>SUM(EK2008:EK2010)</f>
        <v>0</v>
      </c>
      <c r="EJ2053" s="22">
        <f>MAX(EI2053:EI2054)</f>
        <v>0</v>
      </c>
      <c r="ER2053" s="22">
        <f>SUM(ET2008:ET2010)</f>
        <v>0</v>
      </c>
      <c r="ES2053" s="22">
        <f>MAX(ER2053:ER2054)</f>
        <v>0</v>
      </c>
      <c r="FA2053" s="22">
        <f>SUM(FC2008:FC2010)</f>
        <v>0</v>
      </c>
      <c r="FB2053" s="22">
        <f>MAX(FA2053:FA2054)</f>
        <v>0</v>
      </c>
    </row>
    <row r="2054" spans="4:160" x14ac:dyDescent="0.25">
      <c r="D2054" s="22">
        <f>SUM(F2010:F2012)</f>
        <v>0</v>
      </c>
      <c r="M2054" s="22">
        <f>SUM(O2010:O2012)</f>
        <v>0</v>
      </c>
      <c r="V2054" s="22">
        <f>SUM(X2010:X2012)</f>
        <v>0</v>
      </c>
      <c r="AE2054" s="22">
        <f>SUM(AG2010:AG2012)</f>
        <v>0</v>
      </c>
      <c r="AN2054" s="22">
        <f>SUM(AP2010:AP2012)</f>
        <v>0</v>
      </c>
      <c r="AW2054" s="22">
        <f>SUM(AY2010:AY2012)</f>
        <v>0</v>
      </c>
      <c r="BF2054" s="22">
        <f>SUM(BH2010:BH2012)</f>
        <v>0</v>
      </c>
      <c r="BO2054" s="22">
        <f>SUM(BQ2010:BQ2012)</f>
        <v>0</v>
      </c>
      <c r="BX2054" s="22">
        <f>SUM(BZ2010:BZ2012)</f>
        <v>0</v>
      </c>
      <c r="CG2054" s="22">
        <f>SUM(CI2010:CI2012)</f>
        <v>0</v>
      </c>
      <c r="CP2054" s="22">
        <f>SUM(CR2010:CR2012)</f>
        <v>0</v>
      </c>
      <c r="CY2054" s="22">
        <f>SUM(DA2010:DA2012)</f>
        <v>0</v>
      </c>
      <c r="DH2054" s="22">
        <f>SUM(DJ2010:DJ2012)</f>
        <v>0</v>
      </c>
      <c r="DQ2054" s="22">
        <f>SUM(DS2010:DS2012)</f>
        <v>0</v>
      </c>
      <c r="DZ2054" s="22">
        <f>SUM(EB2010:EB2012)</f>
        <v>0</v>
      </c>
      <c r="EI2054" s="22">
        <f>SUM(EK2010:EK2012)</f>
        <v>0</v>
      </c>
      <c r="ER2054" s="22">
        <f>SUM(ET2010:ET2012)</f>
        <v>0</v>
      </c>
      <c r="FA2054" s="22">
        <f>SUM(FC2010:FC2012)</f>
        <v>0</v>
      </c>
    </row>
    <row r="2056" spans="4:160" x14ac:dyDescent="0.25">
      <c r="E2056" s="22">
        <f>SUM(F2008:F2009)</f>
        <v>0</v>
      </c>
      <c r="N2056" s="22">
        <f>SUM(O2008:O2009)</f>
        <v>0</v>
      </c>
      <c r="W2056" s="22">
        <f>SUM(X2008:X2009)</f>
        <v>0</v>
      </c>
      <c r="AF2056" s="22">
        <f>SUM(AG2008:AG2009)</f>
        <v>0</v>
      </c>
      <c r="AO2056" s="22">
        <f>SUM(AP2008:AP2009)</f>
        <v>0</v>
      </c>
      <c r="AX2056" s="22">
        <f>SUM(AY2008:AY2009)</f>
        <v>0</v>
      </c>
      <c r="BG2056" s="22">
        <f>SUM(BH2008:BH2009)</f>
        <v>0</v>
      </c>
      <c r="BP2056" s="22">
        <f>SUM(BQ2008:BQ2009)</f>
        <v>0</v>
      </c>
      <c r="BY2056" s="22">
        <f>SUM(BZ2008:BZ2009)</f>
        <v>0</v>
      </c>
      <c r="CH2056" s="22">
        <f>SUM(CI2008:CI2009)</f>
        <v>0</v>
      </c>
      <c r="CQ2056" s="22">
        <f>SUM(CR2008:CR2009)</f>
        <v>0</v>
      </c>
      <c r="CZ2056" s="22">
        <f>SUM(DA2008:DA2009)</f>
        <v>0</v>
      </c>
      <c r="DI2056" s="22">
        <f>SUM(DJ2008:DJ2009)</f>
        <v>0</v>
      </c>
      <c r="DR2056" s="22">
        <f>SUM(DS2008:DS2009)</f>
        <v>0</v>
      </c>
      <c r="EA2056" s="22">
        <f>SUM(EB2008:EB2009)</f>
        <v>0</v>
      </c>
      <c r="EJ2056" s="22">
        <f>SUM(EK2008:EK2009)</f>
        <v>0</v>
      </c>
      <c r="ES2056" s="22">
        <f>SUM(ET2008:ET2009)</f>
        <v>0</v>
      </c>
      <c r="FB2056" s="22">
        <f>SUM(FC2008:FC2009)</f>
        <v>0</v>
      </c>
    </row>
    <row r="2057" spans="4:160" x14ac:dyDescent="0.25">
      <c r="E2057" s="22">
        <f>SUM(F2010)</f>
        <v>0</v>
      </c>
      <c r="N2057" s="22">
        <f>SUM(O2010)</f>
        <v>0</v>
      </c>
      <c r="W2057" s="22">
        <f>SUM(X2010)</f>
        <v>0</v>
      </c>
      <c r="AF2057" s="22">
        <f>SUM(AG2010)</f>
        <v>0</v>
      </c>
      <c r="AO2057" s="22">
        <f>SUM(AP2010)</f>
        <v>0</v>
      </c>
      <c r="AX2057" s="22">
        <f>SUM(AY2010)</f>
        <v>0</v>
      </c>
      <c r="BG2057" s="22">
        <f>SUM(BH2010)</f>
        <v>0</v>
      </c>
      <c r="BP2057" s="22">
        <f>SUM(BQ2010)</f>
        <v>0</v>
      </c>
      <c r="BY2057" s="22">
        <f>SUM(BZ2010)</f>
        <v>0</v>
      </c>
      <c r="CH2057" s="22">
        <f>SUM(CI2010)</f>
        <v>0</v>
      </c>
      <c r="CQ2057" s="22">
        <f>SUM(CR2010)</f>
        <v>0</v>
      </c>
      <c r="CZ2057" s="22">
        <f>SUM(DA2010)</f>
        <v>0</v>
      </c>
      <c r="DI2057" s="22">
        <f>SUM(DJ2010)</f>
        <v>0</v>
      </c>
      <c r="DR2057" s="22">
        <f>SUM(DS2010)</f>
        <v>0</v>
      </c>
      <c r="EA2057" s="22">
        <f>SUM(EB2010)</f>
        <v>0</v>
      </c>
      <c r="EJ2057" s="22">
        <f>SUM(EK2010)</f>
        <v>0</v>
      </c>
      <c r="ES2057" s="22">
        <f>SUM(ET2010)</f>
        <v>0</v>
      </c>
      <c r="FB2057" s="22">
        <f>SUM(FC2010)</f>
        <v>0</v>
      </c>
    </row>
    <row r="2058" spans="4:160" x14ac:dyDescent="0.25">
      <c r="E2058" s="22">
        <f>SUM(F2011:F2012)</f>
        <v>0</v>
      </c>
      <c r="N2058" s="22">
        <f>SUM(O2011:O2012)</f>
        <v>0</v>
      </c>
      <c r="W2058" s="22">
        <f>SUM(X2011:X2012)</f>
        <v>0</v>
      </c>
      <c r="AF2058" s="22">
        <f>SUM(AG2011:AG2012)</f>
        <v>0</v>
      </c>
      <c r="AO2058" s="22">
        <f>SUM(AP2011:AP2012)</f>
        <v>0</v>
      </c>
      <c r="AX2058" s="22">
        <f>SUM(AY2011:AY2012)</f>
        <v>0</v>
      </c>
      <c r="BG2058" s="22">
        <f>SUM(BH2011:BH2012)</f>
        <v>0</v>
      </c>
      <c r="BP2058" s="22">
        <f>SUM(BQ2011:BQ2012)</f>
        <v>0</v>
      </c>
      <c r="BY2058" s="22">
        <f>SUM(BZ2011:BZ2012)</f>
        <v>0</v>
      </c>
      <c r="CH2058" s="22">
        <f>SUM(CI2011:CI2012)</f>
        <v>0</v>
      </c>
      <c r="CQ2058" s="22">
        <f>SUM(CR2011:CR2012)</f>
        <v>0</v>
      </c>
      <c r="CZ2058" s="22">
        <f>SUM(DA2011:DA2012)</f>
        <v>0</v>
      </c>
      <c r="DI2058" s="22">
        <f>SUM(DJ2011:DJ2012)</f>
        <v>0</v>
      </c>
      <c r="DR2058" s="22">
        <f>SUM(DS2011:DS2012)</f>
        <v>0</v>
      </c>
      <c r="EA2058" s="22">
        <f>SUM(EB2011:EB2012)</f>
        <v>0</v>
      </c>
      <c r="EJ2058" s="22">
        <f>SUM(EK2011:EK2012)</f>
        <v>0</v>
      </c>
      <c r="ES2058" s="22">
        <f>SUM(ET2011:ET2012)</f>
        <v>0</v>
      </c>
      <c r="FB2058" s="22">
        <f>SUM(FC2011:FC2012)</f>
        <v>0</v>
      </c>
    </row>
    <row r="2060" spans="4:160" x14ac:dyDescent="0.25">
      <c r="E2060" s="21" t="str">
        <f>IF(E2056&gt;=51%,D2056,IF(E2057&gt;=51%,D2057,IF(E2058&gt;=51%,D2058,IF(SUM(E2056:E2057)&gt;SUM(E2057:E2058),D2056,IF(SUM(E2056:E2057)&lt;SUM(E2057:E2058),D2058,"Algo esta Mal")))))</f>
        <v>Algo esta Mal</v>
      </c>
      <c r="N2060" s="21" t="str">
        <f>IF(N2056&gt;=51%,M2056,IF(N2057&gt;=51%,M2057,IF(N2058&gt;=51%,M2058,IF(SUM(N2056:N2057)&gt;SUM(N2057:N2058),M2056,IF(SUM(N2056:N2057)&lt;SUM(N2057:N2058),M2058,"Algo esta Mal")))))</f>
        <v>Algo esta Mal</v>
      </c>
      <c r="W2060" s="21" t="str">
        <f>IF(W2056&gt;=51%,V2056,IF(W2057&gt;=51%,V2057,IF(W2058&gt;=51%,V2058,IF(SUM(W2056:W2057)&gt;SUM(W2057:W2058),V2056,IF(SUM(W2056:W2057)&lt;SUM(W2057:W2058),V2058,"Algo esta Mal")))))</f>
        <v>Algo esta Mal</v>
      </c>
      <c r="AF2060" s="21" t="str">
        <f>IF(AF2056&gt;=51%,AE2056,IF(AF2057&gt;=51%,AE2057,IF(AF2058&gt;=51%,AE2058,IF(SUM(AF2056:AF2057)&gt;SUM(AF2057:AF2058),AE2056,IF(SUM(AF2056:AF2057)&lt;SUM(AF2057:AF2058),AE2058,"Algo esta Mal")))))</f>
        <v>Algo esta Mal</v>
      </c>
      <c r="AO2060" s="21" t="str">
        <f>IF(AO2056&gt;=51%,AN2056,IF(AO2057&gt;=51%,AN2057,IF(AO2058&gt;=51%,AN2058,IF(SUM(AO2056:AO2057)&gt;SUM(AO2057:AO2058),AN2056,IF(SUM(AO2056:AO2057)&lt;SUM(AO2057:AO2058),AN2058,"Algo esta Mal")))))</f>
        <v>Algo esta Mal</v>
      </c>
      <c r="AX2060" s="21" t="str">
        <f>IF(AX2056&gt;=51%,AW2056,IF(AX2057&gt;=51%,AW2057,IF(AX2058&gt;=51%,AW2058,IF(SUM(AX2056:AX2057)&gt;SUM(AX2057:AX2058),AW2056,IF(SUM(AX2056:AX2057)&lt;SUM(AX2057:AX2058),AW2058,"Algo esta Mal")))))</f>
        <v>Algo esta Mal</v>
      </c>
      <c r="BG2060" s="21" t="str">
        <f>IF(BG2056&gt;=51%,BF2056,IF(BG2057&gt;=51%,BF2057,IF(BG2058&gt;=51%,BF2058,IF(SUM(BG2056:BG2057)&gt;SUM(BG2057:BG2058),BF2056,IF(SUM(BG2056:BG2057)&lt;SUM(BG2057:BG2058),BF2058,"Algo esta Mal")))))</f>
        <v>Algo esta Mal</v>
      </c>
      <c r="BP2060" s="21" t="str">
        <f>IF(BP2056&gt;=51%,BO2056,IF(BP2057&gt;=51%,BO2057,IF(BP2058&gt;=51%,BO2058,IF(SUM(BP2056:BP2057)&gt;SUM(BP2057:BP2058),BO2056,IF(SUM(BP2056:BP2057)&lt;SUM(BP2057:BP2058),BO2058,"Algo esta Mal")))))</f>
        <v>Algo esta Mal</v>
      </c>
      <c r="BY2060" s="21" t="str">
        <f>IF(BY2056&gt;=51%,BX2056,IF(BY2057&gt;=51%,BX2057,IF(BY2058&gt;=51%,BX2058,IF(SUM(BY2056:BY2057)&gt;SUM(BY2057:BY2058),BX2056,IF(SUM(BY2056:BY2057)&lt;SUM(BY2057:BY2058),BX2058,"Algo esta Mal")))))</f>
        <v>Algo esta Mal</v>
      </c>
      <c r="CH2060" s="21" t="str">
        <f>IF(CH2056&gt;=51%,CG2056,IF(CH2057&gt;=51%,CG2057,IF(CH2058&gt;=51%,CG2058,IF(SUM(CH2056:CH2057)&gt;SUM(CH2057:CH2058),CG2056,IF(SUM(CH2056:CH2057)&lt;SUM(CH2057:CH2058),CG2058,"Algo esta Mal")))))</f>
        <v>Algo esta Mal</v>
      </c>
      <c r="CQ2060" s="21" t="str">
        <f>IF(CQ2056&gt;=51%,CP2056,IF(CQ2057&gt;=51%,CP2057,IF(CQ2058&gt;=51%,CP2058,IF(SUM(CQ2056:CQ2057)&gt;SUM(CQ2057:CQ2058),CP2056,IF(SUM(CQ2056:CQ2057)&lt;SUM(CQ2057:CQ2058),CP2058,"Algo esta Mal")))))</f>
        <v>Algo esta Mal</v>
      </c>
      <c r="CZ2060" s="21" t="str">
        <f>IF(CZ2056&gt;=51%,CY2056,IF(CZ2057&gt;=51%,CY2057,IF(CZ2058&gt;=51%,CY2058,IF(SUM(CZ2056:CZ2057)&gt;SUM(CZ2057:CZ2058),CY2056,IF(SUM(CZ2056:CZ2057)&lt;SUM(CZ2057:CZ2058),CY2058,"Algo esta Mal")))))</f>
        <v>Algo esta Mal</v>
      </c>
      <c r="DI2060" s="21" t="str">
        <f>IF(DI2056&gt;=51%,DH2056,IF(DI2057&gt;=51%,DH2057,IF(DI2058&gt;=51%,DH2058,IF(SUM(DI2056:DI2057)&gt;SUM(DI2057:DI2058),DH2056,IF(SUM(DI2056:DI2057)&lt;SUM(DI2057:DI2058),DH2058,"Algo esta Mal")))))</f>
        <v>Algo esta Mal</v>
      </c>
      <c r="DR2060" s="21" t="str">
        <f>IF(DR2056&gt;=51%,DQ2056,IF(DR2057&gt;=51%,DQ2057,IF(DR2058&gt;=51%,DQ2058,IF(SUM(DR2056:DR2057)&gt;SUM(DR2057:DR2058),DQ2056,IF(SUM(DR2056:DR2057)&lt;SUM(DR2057:DR2058),DQ2058,"Algo esta Mal")))))</f>
        <v>Algo esta Mal</v>
      </c>
      <c r="EA2060" s="21" t="str">
        <f>IF(EA2056&gt;=51%,DZ2056,IF(EA2057&gt;=51%,DZ2057,IF(EA2058&gt;=51%,DZ2058,IF(SUM(EA2056:EA2057)&gt;SUM(EA2057:EA2058),DZ2056,IF(SUM(EA2056:EA2057)&lt;SUM(EA2057:EA2058),DZ2058,"Algo esta Mal")))))</f>
        <v>Algo esta Mal</v>
      </c>
      <c r="EJ2060" s="21" t="str">
        <f>IF(EJ2056&gt;=51%,EI2056,IF(EJ2057&gt;=51%,EI2057,IF(EJ2058&gt;=51%,EI2058,IF(SUM(EJ2056:EJ2057)&gt;SUM(EJ2057:EJ2058),EI2056,IF(SUM(EJ2056:EJ2057)&lt;SUM(EJ2057:EJ2058),EI2058,"Algo esta Mal")))))</f>
        <v>Algo esta Mal</v>
      </c>
      <c r="ES2060" s="21" t="str">
        <f>IF(ES2056&gt;=51%,ER2056,IF(ES2057&gt;=51%,ER2057,IF(ES2058&gt;=51%,ER2058,IF(SUM(ES2056:ES2057)&gt;SUM(ES2057:ES2058),ER2056,IF(SUM(ES2056:ES2057)&lt;SUM(ES2057:ES2058),ER2058,"Algo esta Mal")))))</f>
        <v>Algo esta Mal</v>
      </c>
      <c r="FB2060" s="21" t="str">
        <f>IF(FB2056&gt;=51%,FA2056,IF(FB2057&gt;=51%,FA2057,IF(FB2058&gt;=51%,FA2058,IF(SUM(FB2056:FB2057)&gt;SUM(FB2057:FB2058),FA2056,IF(SUM(FB2056:FB2057)&lt;SUM(FB2057:FB2058),FA2058,"Algo esta Mal")))))</f>
        <v>Algo esta Mal</v>
      </c>
    </row>
    <row r="2062" spans="4:160" x14ac:dyDescent="0.25">
      <c r="E2062" s="21" t="s">
        <v>364</v>
      </c>
      <c r="N2062" s="21" t="s">
        <v>364</v>
      </c>
      <c r="W2062" s="21" t="s">
        <v>364</v>
      </c>
      <c r="AF2062" s="21"/>
      <c r="AO2062" s="21" t="s">
        <v>364</v>
      </c>
      <c r="AX2062" s="21" t="s">
        <v>364</v>
      </c>
      <c r="BG2062" s="21" t="s">
        <v>364</v>
      </c>
      <c r="BP2062" s="21" t="s">
        <v>364</v>
      </c>
      <c r="BY2062" s="21"/>
      <c r="CH2062" s="21" t="s">
        <v>364</v>
      </c>
      <c r="CQ2062" s="21" t="s">
        <v>364</v>
      </c>
      <c r="CZ2062" s="21" t="s">
        <v>364</v>
      </c>
      <c r="DI2062" s="21" t="s">
        <v>364</v>
      </c>
      <c r="DR2062" s="21" t="s">
        <v>364</v>
      </c>
      <c r="EA2062" s="21" t="s">
        <v>364</v>
      </c>
      <c r="EJ2062" s="21" t="s">
        <v>364</v>
      </c>
      <c r="ES2062" s="21" t="s">
        <v>364</v>
      </c>
      <c r="FB2062" s="21" t="s">
        <v>364</v>
      </c>
    </row>
    <row r="2135" spans="4:159" x14ac:dyDescent="0.25">
      <c r="D2135" s="52" t="str">
        <f>CONCATENATE("En ","la ",D5," y ",D33," se observa los resultados  del  ",D4," el cual aborda ",E2062,",en donde se demuestra que el ",ROUND(F2008*100,0),"%"," de los ",D1045," tienen una percepción de ",G2046,", el ",ROUND(F2009*100,0),"%"," ",G2047,", un ",ROUND(F2010*100,0),"%"," ",G2048,",",IF(E2049&gt;0,CONCATENATE(" ademas el ",ROUND(F2011*100,0),"%"," ",G2049,)," "),IF(E2049&gt;0,CONCATENATE(" y ",ROUND(F2012*100,0),"%",", ",G2050,)," "),"en tal sentido la mayoría de los ",D1045," es decir el ",ROUND(E2053*100,0),"%"," tienen una percepción con una inclinación a un valor ",D2056,","," para ",E2062,".")</f>
        <v>En la Tabla 1 y Figura. 1 se observa los resultados  del  Item 1 el cual aborda x,en donde se demuestra que el 0% de los Beneficiaross tienen una percepción de  , el 0%  , un 0%  ,  en tal sentido la mayoría de los Beneficiaross es decir el 0% tienen una percepción con una inclinación a un valor , para x.</v>
      </c>
      <c r="E2135" s="53"/>
      <c r="F2135" s="53"/>
      <c r="M2135" s="52" t="str">
        <f>CONCATENATE("En ","la ",M5," y ",M33," se observa los resultados  del  ",M4," el cual aborda ",N2062,",en donde se demuestra que el ",ROUND(O2008*100,0),"%"," de los ",M1045," tienen una percepción de ",P2046,", el ",ROUND(O2009*100,0),"%"," ",P2047,", un ",ROUND(O2010*100,0),"%"," ",P2048,",",IF(N2049&gt;0,CONCATENATE(" ademas el ",ROUND(O2011*100,0),"%"," ",P2049,)," "),IF(N2049&gt;0,CONCATENATE(" y ",ROUND(O2012*100,0),"%",", ",P2050,)," "),"en tal sentido la mayoría de los ",M1045," es decir el ",ROUND(N2053*100,0),"%"," tienen una percepción con una inclinación a un valor ",M2056,","," para ",N2062,".")</f>
        <v>En la Tabla 2 y Figura. 2 se observa los resultados  del  Item 2 el cual aborda x,en donde se demuestra que el 0% de los Beneficiaross tienen una percepción de  , el 0%  , un 0%  ,  en tal sentido la mayoría de los Beneficiaross es decir el 0% tienen una percepción con una inclinación a un valor , para x.</v>
      </c>
      <c r="N2135" s="53"/>
      <c r="O2135" s="53"/>
      <c r="V2135" s="52" t="str">
        <f>CONCATENATE("En ","la ",V5," y ",V33," se observa los resultados  del  ",V4," el cual aborda ",W2062,",en donde se demuestra que el ",ROUND(X2008*100,0),"%"," de los ",V1045," tienen una percepción de ",Y2046,", el ",ROUND(X2009*100,0),"%"," ",Y2047,", un ",ROUND(X2010*100,0),"%"," ",Y2048,",",IF(W2049&gt;0,CONCATENATE(" ademas el ",ROUND(X2011*100,0),"%"," ",Y2049,)," "),IF(W2049&gt;0,CONCATENATE(" y ",ROUND(X2012*100,0),"%",", ",Y2050,)," "),"en tal sentido la mayoría de los ",V1045," es decir el ",ROUND(W2053*100,0),"%"," tienen una percepción con una inclinación a un valor ",V2056,","," para ",W2062,".")</f>
        <v>En la Tabla 3 y Figura. 3 se observa los resultados  del  Item 3 el cual aborda x,en donde se demuestra que el 0% de los Beneficiaross tienen una percepción de  , el 0%  , un 0%  ,  en tal sentido la mayoría de los Beneficiaross es decir el 0% tienen una percepción con una inclinación a un valor , para x.</v>
      </c>
      <c r="W2135" s="53"/>
      <c r="X2135" s="53"/>
      <c r="AE2135" s="52" t="str">
        <f>CONCATENATE("En ","la ",AE5," y ",AE33," se observa los resultados  del  ",AE4," el cual aborda ",AF2062,",en donde se demuestra que el ",ROUND(AG2008*100,0),"%"," de los ",AE1045," tienen una percepción de ",AH2046,", el ",ROUND(AG2009*100,0),"%"," ",AH2047,", un ",ROUND(AG2010*100,0),"%"," ",AH2048,",",IF(AF2049&gt;0,CONCATENATE(" ademas el ",ROUND(AG2011*100,0),"%"," ",AH2049,)," "),IF(AF2049&gt;0,CONCATENATE(" y ",ROUND(AG2012*100,0),"%",", ",AH2050,)," "),"en tal sentido la mayoría de los ",AE1045," es decir el ",ROUND(AF2053*100,0),"%"," tienen una percepción con una inclinación a un valor ",AE2056,","," para ",AF2062,".")</f>
        <v>En la Tabla 4 y Figura. 4 se observa los resultados  del  Item 4 el cual aborda ,en donde se demuestra que el 0% de los Beneficiaross tienen una percepción de  , el 0%  , un 0%  ,  en tal sentido la mayoría de los Beneficiaross es decir el 0% tienen una percepción con una inclinación a un valor , para .</v>
      </c>
      <c r="AF2135" s="53"/>
      <c r="AG2135" s="53"/>
      <c r="AN2135" s="52" t="str">
        <f>CONCATENATE("En ","la ",AN5," y ",AN33," se observa los resultados  del  ",AN4," el cual aborda ",AO2062,",en donde se demuestra que el ",ROUND(AP2008*100,0),"%"," de los ",AN1045," tienen una percepción de ",AQ2046,", el ",ROUND(AP2009*100,0),"%"," ",AQ2047,", un ",ROUND(AP2010*100,0),"%"," ",AQ2048,",",IF(AO2049&gt;0,CONCATENATE(" ademas el ",ROUND(AP2011*100,0),"%"," ",AQ2049,)," "),IF(AO2049&gt;0,CONCATENATE(" y ",ROUND(AP2012*100,0),"%",", ",AQ2050,)," "),"en tal sentido la mayoría de los ",AN1045," es decir el ",ROUND(AO2053*100,0),"%"," tienen una percepción con una inclinación a un valor ",AN2056,","," para ",AO2062,".")</f>
        <v>En la Tabla 5 y Figura. 5 se observa los resultados  del  Item 5 el cual aborda x,en donde se demuestra que el 0% de los Beneficiaross tienen una percepción de  , el 0%  , un 0%  ,  en tal sentido la mayoría de los Beneficiaross es decir el 0% tienen una percepción con una inclinación a un valor , para x.</v>
      </c>
      <c r="AO2135" s="53"/>
      <c r="AP2135" s="53"/>
      <c r="AW2135" s="52" t="str">
        <f>CONCATENATE("En ","la ",AW5," y ",AW33," se observa los resultados  del  ",AW4," el cual aborda ",AX2062,",en donde se demuestra que el ",ROUND(AY2008*100,0),"%"," de los ",AW1045," tienen una percepción de ",AZ2046,", el ",ROUND(AY2009*100,0),"%"," ",AZ2047,", un ",ROUND(AY2010*100,0),"%"," ",AZ2048,",",IF(AX2049&gt;0,CONCATENATE(" ademas el ",ROUND(AY2011*100,0),"%"," ",AZ2049,)," "),IF(AX2049&gt;0,CONCATENATE(" y ",ROUND(AY2012*100,0),"%",", ",AZ2050,)," "),"en tal sentido la mayoría de los ",AW1045," es decir el ",ROUND(AX2053*100,0),"%"," tienen una percepción con una inclinación a un valor ",AW2056,","," para ",AX2062,".")</f>
        <v>En la Tabla 6 y Figura. 6 se observa los resultados  del  Item 6 el cual aborda x,en donde se demuestra que el 0% de los Beneficiaross tienen una percepción de  , el 0%  , un 0%  ,  en tal sentido la mayoría de los Beneficiaross es decir el 0% tienen una percepción con una inclinación a un valor , para x.</v>
      </c>
      <c r="AX2135" s="53"/>
      <c r="AY2135" s="53"/>
      <c r="BF2135" s="52" t="str">
        <f>CONCATENATE("En ","la ",BF5," y ",BF33," se observa los resultados  del  ",BF4," el cual aborda ",BG2062,",en donde se demuestra que el ",ROUND(BH2008*100,0),"%"," de los ",BF1045," tienen una percepción de ",BI2046,", el ",ROUND(BH2009*100,0),"%"," ",BI2047,", un ",ROUND(BH2010*100,0),"%"," ",BI2048,",",IF(BG2049&gt;0,CONCATENATE(" ademas el ",ROUND(BH2011*100,0),"%"," ",BI2049,)," "),IF(BG2049&gt;0,CONCATENATE(" y ",ROUND(BH2012*100,0),"%",", ",BI2050,)," "),"en tal sentido la mayoría de los ",BF1045," es decir el ",ROUND(BG2053*100,0),"%"," tienen una percepción con una inclinación a un valor ",BF2056,","," para ",BG2062,".")</f>
        <v>En la Tabla 7 y Figura. 7 se observa los resultados  del  Item 7 el cual aborda x,en donde se demuestra que el 0% de los Beneficiaross tienen una percepción de  , el 0%  , un 0%  ,  en tal sentido la mayoría de los Beneficiaross es decir el 0% tienen una percepción con una inclinación a un valor , para x.</v>
      </c>
      <c r="BG2135" s="53"/>
      <c r="BH2135" s="53"/>
      <c r="BO2135" s="52" t="str">
        <f>CONCATENATE("En ","la ",BO5," y ",BO33," se observa los resultados  del  ",BO4," el cual aborda ",BP2062,",en donde se demuestra que el ",ROUND(BQ2008*100,0),"%"," de los ",BO1045," tienen una percepción de ",BR2046,", el ",ROUND(BQ2009*100,0),"%"," ",BR2047,", un ",ROUND(BQ2010*100,0),"%"," ",BR2048,",",IF(BP2049&gt;0,CONCATENATE(" ademas el ",ROUND(BQ2011*100,0),"%"," ",BR2049,)," "),IF(BP2049&gt;0,CONCATENATE(" y ",ROUND(BQ2012*100,0),"%",", ",BR2050,)," "),"en tal sentido la mayoría de los ",BO1045," es decir el ",ROUND(BP2053*100,0),"%"," tienen una percepción con una inclinación a un valor ",BO2056,","," para ",BP2062,".")</f>
        <v>En la Tabla 8 y Figura. 8 se observa los resultados  del  Item 8 el cual aborda x,en donde se demuestra que el 0% de los Beneficiaross tienen una percepción de  , el 0%  , un 0%  ,  en tal sentido la mayoría de los Beneficiaross es decir el 0% tienen una percepción con una inclinación a un valor , para x.</v>
      </c>
      <c r="BP2135" s="53"/>
      <c r="BQ2135" s="53"/>
      <c r="BX2135" s="52" t="str">
        <f>CONCATENATE("En ","la ",BX5," y ",BX33," se observa los resultados  del  ",BX4," el cual aborda ",BY2062,",en donde se demuestra que el ",ROUND(BZ2008*100,0),"%"," de los ",BX1045," tienen una percepción de ",CA2046,", el ",ROUND(BZ2009*100,0),"%"," ",CA2047,", un ",ROUND(BZ2010*100,0),"%"," ",CA2048,",",IF(BY2049&gt;0,CONCATENATE(" ademas el ",ROUND(BZ2011*100,0),"%"," ",CA2049,)," "),IF(BY2049&gt;0,CONCATENATE(" y ",ROUND(BZ2012*100,0),"%",", ",CA2050,)," "),"en tal sentido la mayoría de los ",BX1045," es decir el ",ROUND(BY2053*100,0),"%"," tienen una percepción con una inclinación a un valor ",BX2056,","," para ",BY2062,".")</f>
        <v>En la Tabla 9 y Figura. 9 se observa los resultados  del  Item 9 el cual aborda ,en donde se demuestra que el 0% de los Beneficiaross tienen una percepción de  , el 0%  , un 0%  ,  en tal sentido la mayoría de los Beneficiaross es decir el 0% tienen una percepción con una inclinación a un valor , para .</v>
      </c>
      <c r="BY2135" s="53"/>
      <c r="BZ2135" s="53"/>
      <c r="CG2135" s="52" t="str">
        <f>CONCATENATE("En ","la ",CG5," y ",CG33," se observa los resultados  del  ",CG4," el cual aborda ",CH2062,",en donde se demuestra que el ",ROUND(CI2008*100,0),"%"," de los ",CG1045," tienen una percepción de ",CJ2046,", el ",ROUND(CI2009*100,0),"%"," ",CJ2047,", un ",ROUND(CI2010*100,0),"%"," ",CJ2048,",",IF(CH2049&gt;0,CONCATENATE(" ademas el ",ROUND(CI2011*100,0),"%"," ",CJ2049,)," "),IF(CH2049&gt;0,CONCATENATE(" y ",ROUND(CI2012*100,0),"%",", ",CJ2050,)," "),"en tal sentido la mayoría de los ",CG1045," es decir el ",ROUND(CH2053*100,0),"%"," tienen una percepción con una inclinación a un valor ",CG2056,","," para ",CH2062,".")</f>
        <v>En la Tabla 10 y Figura. 10 se observa los resultados  del  Item 10 el cual aborda x,en donde se demuestra que el 0% de los Beneficiaross tienen una percepción de  , el 0%  , un 0%  ,  en tal sentido la mayoría de los Beneficiaross es decir el 0% tienen una percepción con una inclinación a un valor , para x.</v>
      </c>
      <c r="CH2135" s="53"/>
      <c r="CI2135" s="53"/>
      <c r="CP2135" s="52" t="str">
        <f>CONCATENATE("En ","la ",CP5," y ",CP33," se observa los resultados  del  ",CP4," el cual aborda ",CQ2062,",en donde se demuestra que el ",ROUND(CR2008*100,0),"%"," de los ",CP1045," tienen una percepción de ",CS2046,", el ",ROUND(CR2009*100,0),"%"," ",CS2047,", un ",ROUND(CR2010*100,0),"%"," ",CS2048,",",IF(CQ2049&gt;0,CONCATENATE(" ademas el ",ROUND(CR2011*100,0),"%"," ",CS2049,)," "),IF(CQ2049&gt;0,CONCATENATE(" y ",ROUND(CR2012*100,0),"%",", ",CS2050,)," "),"en tal sentido la mayoría de los ",CP1045," es decir el ",ROUND(CQ2053*100,0),"%"," tienen una percepción con una inclinación a un valor ",CP2056,","," para ",CQ2062,".")</f>
        <v>En la Tabla 11 y Figura. 11 se observa los resultados  del  Item 11 el cual aborda x,en donde se demuestra que el 0% de los Beneficiaross tienen una percepción de  , el 0%  , un 0%  ,  en tal sentido la mayoría de los Beneficiaross es decir el 0% tienen una percepción con una inclinación a un valor , para x.</v>
      </c>
      <c r="CQ2135" s="53"/>
      <c r="CR2135" s="53"/>
      <c r="CY2135" s="52" t="str">
        <f>CONCATENATE("En ","la ",CY5," y ",CY33," se observa los resultados  del  ",CY4," el cual aborda ",CZ2062,",en donde se demuestra que el ",ROUND(DA2008*100,0),"%"," de los ",CY1045," tienen una percepción de ",DB2046,", el ",ROUND(DA2009*100,0),"%"," ",DB2047,", un ",ROUND(DA2010*100,0),"%"," ",DB2048,",",IF(CZ2049&gt;0,CONCATENATE(" ademas el ",ROUND(DA2011*100,0),"%"," ",DB2049,)," "),IF(CZ2049&gt;0,CONCATENATE(" y ",ROUND(DA2012*100,0),"%",", ",DB2050,)," "),"en tal sentido la mayoría de los ",CY1045," es decir el ",ROUND(CZ2053*100,0),"%"," tienen una percepción con una inclinación a un valor ",CY2056,","," para ",CZ2062,".")</f>
        <v>En la Tabla 12 y Figura. 12 se observa los resultados  del  Item 12 el cual aborda x,en donde se demuestra que el 0% de los Beneficiaross tienen una percepción de  , el 0%  , un 0%  ,  en tal sentido la mayoría de los Beneficiaross es decir el 0% tienen una percepción con una inclinación a un valor , para x.</v>
      </c>
      <c r="CZ2135" s="53"/>
      <c r="DA2135" s="53"/>
      <c r="DH2135" s="52" t="str">
        <f>CONCATENATE("En ","la ",DH5," y ",DH33," se observa los resultados  del  ",DH4," el cual aborda ",DI2062,",en donde se demuestra que el ",ROUND(DJ2008*100,0),"%"," de los ",DH1045," tienen una percepción de ",DK2046,", el ",ROUND(DJ2009*100,0),"%"," ",DK2047,", un ",ROUND(DJ2010*100,0),"%"," ",DK2048,",",IF(DI2049&gt;0,CONCATENATE(" ademas el ",ROUND(DJ2011*100,0),"%"," ",DK2049,)," "),IF(DI2049&gt;0,CONCATENATE(" y ",ROUND(DJ2012*100,0),"%",", ",DK2050,)," "),"en tal sentido la mayoría de los ",DH1045," es decir el ",ROUND(DI2053*100,0),"%"," tienen una percepción con una inclinación a un valor ",DH2056,","," para ",DI2062,".")</f>
        <v>En la Tabla 13 y Figura. 13 se observa los resultados  del  Item 13 el cual aborda x,en donde se demuestra que el 0% de los Beneficiaross tienen una percepción de  , el 0%  , un 0%  ,  en tal sentido la mayoría de los Beneficiaross es decir el 0% tienen una percepción con una inclinación a un valor , para x.</v>
      </c>
      <c r="DI2135" s="53"/>
      <c r="DJ2135" s="53"/>
      <c r="DQ2135" s="52" t="str">
        <f>CONCATENATE("En ","la ",DQ5," y ",DQ33," se observa los resultados  del  ",DQ4," el cual aborda ",DR2062,",en donde se demuestra que el ",ROUND(DS2008*100,0),"%"," de los ",DQ1045," tienen una percepción de ",DT2046,", el ",ROUND(DS2009*100,0),"%"," ",DT2047,", un ",ROUND(DS2010*100,0),"%"," ",DT2048,",",IF(DR2049&gt;0,CONCATENATE(" ademas el ",ROUND(DS2011*100,0),"%"," ",DT2049,)," "),IF(DR2049&gt;0,CONCATENATE(" y ",ROUND(DS2012*100,0),"%",", ",DT2050,)," "),"en tal sentido la mayoría de los ",DQ1045," es decir el ",ROUND(DR2053*100,0),"%"," tienen una percepción con una inclinación a un valor ",DQ2056,","," para ",DR2062,".")</f>
        <v>En la Tabla 14 y Figura. 14 se observa los resultados  del  Item 14 el cual aborda x,en donde se demuestra que el 0% de los Beneficiaross tienen una percepción de  , el 0%  , un 0%  ,  en tal sentido la mayoría de los Beneficiaross es decir el 0% tienen una percepción con una inclinación a un valor , para x.</v>
      </c>
      <c r="DR2135" s="53"/>
      <c r="DS2135" s="53"/>
      <c r="DZ2135" s="52" t="str">
        <f>CONCATENATE("En ","la ",DZ5," y ",DZ33," se observa los resultados  del  ",DZ4," el cual aborda ",EA2062,",en donde se demuestra que el ",ROUND(EB2008*100,0),"%"," de los ",DZ1045," tienen una percepción de ",EC2046,", el ",ROUND(EB2009*100,0),"%"," ",EC2047,", un ",ROUND(EB2010*100,0),"%"," ",EC2048,",",IF(EA2049&gt;0,CONCATENATE(" ademas el ",ROUND(EB2011*100,0),"%"," ",EC2049,)," "),IF(EA2049&gt;0,CONCATENATE(" y ",ROUND(EB2012*100,0),"%",", ",EC2050,)," "),"en tal sentido la mayoría de los ",DZ1045," es decir el ",ROUND(EA2053*100,0),"%"," tienen una percepción con una inclinación a un valor ",DZ2056,","," para ",EA2062,".")</f>
        <v>En la Tabla 15 y Figura. 15 se observa los resultados  del  Item 15 el cual aborda x,en donde se demuestra que el 0% de los Beneficiaross tienen una percepción de  , el 0%  , un 0%  ,  en tal sentido la mayoría de los Beneficiaross es decir el 0% tienen una percepción con una inclinación a un valor , para x.</v>
      </c>
      <c r="EA2135" s="53"/>
      <c r="EB2135" s="53"/>
      <c r="EI2135" s="52" t="str">
        <f>CONCATENATE("En ","la ",EI5," y ",EI33," se observa los resultados  del  ",EI4," el cual aborda ",EJ2062,",en donde se demuestra que el ",ROUND(EK2008*100,0),"%"," de los ",EI1045," tienen una percepción de ",EL2046,", el ",ROUND(EK2009*100,0),"%"," ",EL2047,", un ",ROUND(EK2010*100,0),"%"," ",EL2048,",",IF(EJ2049&gt;0,CONCATENATE(" ademas el ",ROUND(EK2011*100,0),"%"," ",EL2049,)," "),IF(EJ2049&gt;0,CONCATENATE(" y ",ROUND(EK2012*100,0),"%",", ",EL2050,)," "),"en tal sentido la mayoría de los ",EI1045," es decir el ",ROUND(EJ2053*100,0),"%"," tienen una percepción con una inclinación a un valor ",EI2056,","," para ",EJ2062,".")</f>
        <v>En la Tabla 16 y Figura. 16 se observa los resultados  del  Item 16 el cual aborda x,en donde se demuestra que el 0% de los Beneficiaross tienen una percepción de  , el 0%  , un 0%  ,  en tal sentido la mayoría de los Beneficiaross es decir el 0% tienen una percepción con una inclinación a un valor , para x.</v>
      </c>
      <c r="EJ2135" s="53"/>
      <c r="EK2135" s="53"/>
      <c r="ER2135" s="52" t="str">
        <f>CONCATENATE("En ","la ",ER5," y ",ER33," se observa los resultados  del  ",ER4," el cual aborda ",ES2062,",en donde se demuestra que el ",ROUND(ET2008*100,0),"%"," de los ",ER1045," tienen una percepción de ",EU2046,", el ",ROUND(ET2009*100,0),"%"," ",EU2047,", un ",ROUND(ET2010*100,0),"%"," ",EU2048,",",IF(ES2049&gt;0,CONCATENATE(" ademas el ",ROUND(ET2011*100,0),"%"," ",EU2049,)," "),IF(ES2049&gt;0,CONCATENATE(" y ",ROUND(ET2012*100,0),"%",", ",EU2050,)," "),"en tal sentido la mayoría de los ",ER1045," es decir el ",ROUND(ES2053*100,0),"%"," tienen una percepción con una inclinación a un valor ",ER2056,","," para ",ES2062,".")</f>
        <v>En la Tabla 17 y Figura. 17 se observa los resultados  del  Item 17 el cual aborda x,en donde se demuestra que el 0% de los Beneficiaross tienen una percepción de  , el 0%  , un 0%  ,  en tal sentido la mayoría de los Beneficiaross es decir el 0% tienen una percepción con una inclinación a un valor , para x.</v>
      </c>
      <c r="ES2135" s="53"/>
      <c r="ET2135" s="53"/>
      <c r="FA2135" s="52" t="str">
        <f>CONCATENATE("En ","la ",FA5," y ",FA33," se observa los resultados  del  ",FA4," el cual aborda ",FB2062,",en donde se demuestra que el ",ROUND(FC2008*100,0),"%"," de los ",FA1045," tienen una percepción de ",FD2046,", el ",ROUND(FC2009*100,0),"%"," ",FD2047,", un ",ROUND(FC2010*100,0),"%"," ",FD2048,",",IF(FB2049&gt;0,CONCATENATE(" ademas el ",ROUND(FC2011*100,0),"%"," ",FD2049,)," "),IF(FB2049&gt;0,CONCATENATE(" y ",ROUND(FC2012*100,0),"%",", ",FD2050,)," "),"en tal sentido la mayoría de los ",FA1045," es decir el ",ROUND(FB2053*100,0),"%"," tienen una percepción con una inclinación a un valor ",FA2056,","," para ",FB2062,".")</f>
        <v>En la Tabla 18 y Figura. 18 se observa los resultados  del  Item 18 el cual aborda x,en donde se demuestra que el 0% de los Beneficiaross tienen una percepción de  , el 0%  , un 0%  ,  en tal sentido la mayoría de los Beneficiaross es decir el 0% tienen una percepción con una inclinación a un valor , para x.</v>
      </c>
      <c r="FB2135" s="53"/>
      <c r="FC2135" s="53"/>
    </row>
    <row r="2136" spans="4:159" x14ac:dyDescent="0.25">
      <c r="D2136" s="53"/>
      <c r="E2136" s="53"/>
      <c r="F2136" s="53"/>
      <c r="M2136" s="53"/>
      <c r="N2136" s="53"/>
      <c r="O2136" s="53"/>
      <c r="V2136" s="53"/>
      <c r="W2136" s="53"/>
      <c r="X2136" s="53"/>
      <c r="AE2136" s="53"/>
      <c r="AF2136" s="53"/>
      <c r="AG2136" s="53"/>
      <c r="AN2136" s="53"/>
      <c r="AO2136" s="53"/>
      <c r="AP2136" s="53"/>
      <c r="AW2136" s="53"/>
      <c r="AX2136" s="53"/>
      <c r="AY2136" s="53"/>
      <c r="BF2136" s="53"/>
      <c r="BG2136" s="53"/>
      <c r="BH2136" s="53"/>
      <c r="BO2136" s="53"/>
      <c r="BP2136" s="53"/>
      <c r="BQ2136" s="53"/>
      <c r="BX2136" s="53"/>
      <c r="BY2136" s="53"/>
      <c r="BZ2136" s="53"/>
      <c r="CG2136" s="53"/>
      <c r="CH2136" s="53"/>
      <c r="CI2136" s="53"/>
      <c r="CP2136" s="53"/>
      <c r="CQ2136" s="53"/>
      <c r="CR2136" s="53"/>
      <c r="CY2136" s="53"/>
      <c r="CZ2136" s="53"/>
      <c r="DA2136" s="53"/>
      <c r="DH2136" s="53"/>
      <c r="DI2136" s="53"/>
      <c r="DJ2136" s="53"/>
      <c r="DQ2136" s="53"/>
      <c r="DR2136" s="53"/>
      <c r="DS2136" s="53"/>
      <c r="DZ2136" s="53"/>
      <c r="EA2136" s="53"/>
      <c r="EB2136" s="53"/>
      <c r="EI2136" s="53"/>
      <c r="EJ2136" s="53"/>
      <c r="EK2136" s="53"/>
      <c r="ER2136" s="53"/>
      <c r="ES2136" s="53"/>
      <c r="ET2136" s="53"/>
      <c r="FA2136" s="53"/>
      <c r="FB2136" s="53"/>
      <c r="FC2136" s="53"/>
    </row>
    <row r="2137" spans="4:159" x14ac:dyDescent="0.25">
      <c r="D2137" s="53"/>
      <c r="E2137" s="53"/>
      <c r="F2137" s="53"/>
      <c r="M2137" s="53"/>
      <c r="N2137" s="53"/>
      <c r="O2137" s="53"/>
      <c r="V2137" s="53"/>
      <c r="W2137" s="53"/>
      <c r="X2137" s="53"/>
      <c r="AE2137" s="53"/>
      <c r="AF2137" s="53"/>
      <c r="AG2137" s="53"/>
      <c r="AN2137" s="53"/>
      <c r="AO2137" s="53"/>
      <c r="AP2137" s="53"/>
      <c r="AW2137" s="53"/>
      <c r="AX2137" s="53"/>
      <c r="AY2137" s="53"/>
      <c r="BF2137" s="53"/>
      <c r="BG2137" s="53"/>
      <c r="BH2137" s="53"/>
      <c r="BO2137" s="53"/>
      <c r="BP2137" s="53"/>
      <c r="BQ2137" s="53"/>
      <c r="BX2137" s="53"/>
      <c r="BY2137" s="53"/>
      <c r="BZ2137" s="53"/>
      <c r="CG2137" s="53"/>
      <c r="CH2137" s="53"/>
      <c r="CI2137" s="53"/>
      <c r="CP2137" s="53"/>
      <c r="CQ2137" s="53"/>
      <c r="CR2137" s="53"/>
      <c r="CY2137" s="53"/>
      <c r="CZ2137" s="53"/>
      <c r="DA2137" s="53"/>
      <c r="DH2137" s="53"/>
      <c r="DI2137" s="53"/>
      <c r="DJ2137" s="53"/>
      <c r="DQ2137" s="53"/>
      <c r="DR2137" s="53"/>
      <c r="DS2137" s="53"/>
      <c r="DZ2137" s="53"/>
      <c r="EA2137" s="53"/>
      <c r="EB2137" s="53"/>
      <c r="EI2137" s="53"/>
      <c r="EJ2137" s="53"/>
      <c r="EK2137" s="53"/>
      <c r="ER2137" s="53"/>
      <c r="ES2137" s="53"/>
      <c r="ET2137" s="53"/>
      <c r="FA2137" s="53"/>
      <c r="FB2137" s="53"/>
      <c r="FC2137" s="53"/>
    </row>
    <row r="2138" spans="4:159" x14ac:dyDescent="0.25">
      <c r="D2138" s="53"/>
      <c r="E2138" s="53"/>
      <c r="F2138" s="53"/>
      <c r="M2138" s="53"/>
      <c r="N2138" s="53"/>
      <c r="O2138" s="53"/>
      <c r="V2138" s="53"/>
      <c r="W2138" s="53"/>
      <c r="X2138" s="53"/>
      <c r="AE2138" s="53"/>
      <c r="AF2138" s="53"/>
      <c r="AG2138" s="53"/>
      <c r="AN2138" s="53"/>
      <c r="AO2138" s="53"/>
      <c r="AP2138" s="53"/>
      <c r="AW2138" s="53"/>
      <c r="AX2138" s="53"/>
      <c r="AY2138" s="53"/>
      <c r="BF2138" s="53"/>
      <c r="BG2138" s="53"/>
      <c r="BH2138" s="53"/>
      <c r="BO2138" s="53"/>
      <c r="BP2138" s="53"/>
      <c r="BQ2138" s="53"/>
      <c r="BX2138" s="53"/>
      <c r="BY2138" s="53"/>
      <c r="BZ2138" s="53"/>
      <c r="CG2138" s="53"/>
      <c r="CH2138" s="53"/>
      <c r="CI2138" s="53"/>
      <c r="CP2138" s="53"/>
      <c r="CQ2138" s="53"/>
      <c r="CR2138" s="53"/>
      <c r="CY2138" s="53"/>
      <c r="CZ2138" s="53"/>
      <c r="DA2138" s="53"/>
      <c r="DH2138" s="53"/>
      <c r="DI2138" s="53"/>
      <c r="DJ2138" s="53"/>
      <c r="DQ2138" s="53"/>
      <c r="DR2138" s="53"/>
      <c r="DS2138" s="53"/>
      <c r="DZ2138" s="53"/>
      <c r="EA2138" s="53"/>
      <c r="EB2138" s="53"/>
      <c r="EI2138" s="53"/>
      <c r="EJ2138" s="53"/>
      <c r="EK2138" s="53"/>
      <c r="ER2138" s="53"/>
      <c r="ES2138" s="53"/>
      <c r="ET2138" s="53"/>
      <c r="FA2138" s="53"/>
      <c r="FB2138" s="53"/>
      <c r="FC2138" s="53"/>
    </row>
    <row r="2139" spans="4:159" x14ac:dyDescent="0.25">
      <c r="D2139" s="53"/>
      <c r="E2139" s="53"/>
      <c r="F2139" s="53"/>
      <c r="M2139" s="53"/>
      <c r="N2139" s="53"/>
      <c r="O2139" s="53"/>
      <c r="V2139" s="53"/>
      <c r="W2139" s="53"/>
      <c r="X2139" s="53"/>
      <c r="AE2139" s="53"/>
      <c r="AF2139" s="53"/>
      <c r="AG2139" s="53"/>
      <c r="AN2139" s="53"/>
      <c r="AO2139" s="53"/>
      <c r="AP2139" s="53"/>
      <c r="AW2139" s="53"/>
      <c r="AX2139" s="53"/>
      <c r="AY2139" s="53"/>
      <c r="BF2139" s="53"/>
      <c r="BG2139" s="53"/>
      <c r="BH2139" s="53"/>
      <c r="BO2139" s="53"/>
      <c r="BP2139" s="53"/>
      <c r="BQ2139" s="53"/>
      <c r="BX2139" s="53"/>
      <c r="BY2139" s="53"/>
      <c r="BZ2139" s="53"/>
      <c r="CG2139" s="53"/>
      <c r="CH2139" s="53"/>
      <c r="CI2139" s="53"/>
      <c r="CP2139" s="53"/>
      <c r="CQ2139" s="53"/>
      <c r="CR2139" s="53"/>
      <c r="CY2139" s="53"/>
      <c r="CZ2139" s="53"/>
      <c r="DA2139" s="53"/>
      <c r="DH2139" s="53"/>
      <c r="DI2139" s="53"/>
      <c r="DJ2139" s="53"/>
      <c r="DQ2139" s="53"/>
      <c r="DR2139" s="53"/>
      <c r="DS2139" s="53"/>
      <c r="DZ2139" s="53"/>
      <c r="EA2139" s="53"/>
      <c r="EB2139" s="53"/>
      <c r="EI2139" s="53"/>
      <c r="EJ2139" s="53"/>
      <c r="EK2139" s="53"/>
      <c r="ER2139" s="53"/>
      <c r="ES2139" s="53"/>
      <c r="ET2139" s="53"/>
      <c r="FA2139" s="53"/>
      <c r="FB2139" s="53"/>
      <c r="FC2139" s="53"/>
    </row>
    <row r="2140" spans="4:159" x14ac:dyDescent="0.25">
      <c r="D2140" s="53"/>
      <c r="E2140" s="53"/>
      <c r="F2140" s="53"/>
      <c r="M2140" s="53"/>
      <c r="N2140" s="53"/>
      <c r="O2140" s="53"/>
      <c r="V2140" s="53"/>
      <c r="W2140" s="53"/>
      <c r="X2140" s="53"/>
      <c r="AE2140" s="53"/>
      <c r="AF2140" s="53"/>
      <c r="AG2140" s="53"/>
      <c r="AN2140" s="53"/>
      <c r="AO2140" s="53"/>
      <c r="AP2140" s="53"/>
      <c r="AW2140" s="53"/>
      <c r="AX2140" s="53"/>
      <c r="AY2140" s="53"/>
      <c r="BF2140" s="53"/>
      <c r="BG2140" s="53"/>
      <c r="BH2140" s="53"/>
      <c r="BO2140" s="53"/>
      <c r="BP2140" s="53"/>
      <c r="BQ2140" s="53"/>
      <c r="BX2140" s="53"/>
      <c r="BY2140" s="53"/>
      <c r="BZ2140" s="53"/>
      <c r="CG2140" s="53"/>
      <c r="CH2140" s="53"/>
      <c r="CI2140" s="53"/>
      <c r="CP2140" s="53"/>
      <c r="CQ2140" s="53"/>
      <c r="CR2140" s="53"/>
      <c r="CY2140" s="53"/>
      <c r="CZ2140" s="53"/>
      <c r="DA2140" s="53"/>
      <c r="DH2140" s="53"/>
      <c r="DI2140" s="53"/>
      <c r="DJ2140" s="53"/>
      <c r="DQ2140" s="53"/>
      <c r="DR2140" s="53"/>
      <c r="DS2140" s="53"/>
      <c r="DZ2140" s="53"/>
      <c r="EA2140" s="53"/>
      <c r="EB2140" s="53"/>
      <c r="EI2140" s="53"/>
      <c r="EJ2140" s="53"/>
      <c r="EK2140" s="53"/>
      <c r="ER2140" s="53"/>
      <c r="ES2140" s="53"/>
      <c r="ET2140" s="53"/>
      <c r="FA2140" s="53"/>
      <c r="FB2140" s="53"/>
      <c r="FC2140" s="53"/>
    </row>
    <row r="2141" spans="4:159" x14ac:dyDescent="0.25">
      <c r="D2141" s="53"/>
      <c r="E2141" s="53"/>
      <c r="F2141" s="53"/>
      <c r="M2141" s="53"/>
      <c r="N2141" s="53"/>
      <c r="O2141" s="53"/>
      <c r="V2141" s="53"/>
      <c r="W2141" s="53"/>
      <c r="X2141" s="53"/>
      <c r="AE2141" s="53"/>
      <c r="AF2141" s="53"/>
      <c r="AG2141" s="53"/>
      <c r="AN2141" s="53"/>
      <c r="AO2141" s="53"/>
      <c r="AP2141" s="53"/>
      <c r="AW2141" s="53"/>
      <c r="AX2141" s="53"/>
      <c r="AY2141" s="53"/>
      <c r="BF2141" s="53"/>
      <c r="BG2141" s="53"/>
      <c r="BH2141" s="53"/>
      <c r="BO2141" s="53"/>
      <c r="BP2141" s="53"/>
      <c r="BQ2141" s="53"/>
      <c r="BX2141" s="53"/>
      <c r="BY2141" s="53"/>
      <c r="BZ2141" s="53"/>
      <c r="CG2141" s="53"/>
      <c r="CH2141" s="53"/>
      <c r="CI2141" s="53"/>
      <c r="CP2141" s="53"/>
      <c r="CQ2141" s="53"/>
      <c r="CR2141" s="53"/>
      <c r="CY2141" s="53"/>
      <c r="CZ2141" s="53"/>
      <c r="DA2141" s="53"/>
      <c r="DH2141" s="53"/>
      <c r="DI2141" s="53"/>
      <c r="DJ2141" s="53"/>
      <c r="DQ2141" s="53"/>
      <c r="DR2141" s="53"/>
      <c r="DS2141" s="53"/>
      <c r="DZ2141" s="53"/>
      <c r="EA2141" s="53"/>
      <c r="EB2141" s="53"/>
      <c r="EI2141" s="53"/>
      <c r="EJ2141" s="53"/>
      <c r="EK2141" s="53"/>
      <c r="ER2141" s="53"/>
      <c r="ES2141" s="53"/>
      <c r="ET2141" s="53"/>
      <c r="FA2141" s="53"/>
      <c r="FB2141" s="53"/>
      <c r="FC2141" s="53"/>
    </row>
    <row r="2142" spans="4:159" x14ac:dyDescent="0.25">
      <c r="D2142" s="53"/>
      <c r="E2142" s="53"/>
      <c r="F2142" s="53"/>
      <c r="M2142" s="53"/>
      <c r="N2142" s="53"/>
      <c r="O2142" s="53"/>
      <c r="V2142" s="53"/>
      <c r="W2142" s="53"/>
      <c r="X2142" s="53"/>
      <c r="AE2142" s="53"/>
      <c r="AF2142" s="53"/>
      <c r="AG2142" s="53"/>
      <c r="AN2142" s="53"/>
      <c r="AO2142" s="53"/>
      <c r="AP2142" s="53"/>
      <c r="AW2142" s="53"/>
      <c r="AX2142" s="53"/>
      <c r="AY2142" s="53"/>
      <c r="BF2142" s="53"/>
      <c r="BG2142" s="53"/>
      <c r="BH2142" s="53"/>
      <c r="BO2142" s="53"/>
      <c r="BP2142" s="53"/>
      <c r="BQ2142" s="53"/>
      <c r="BX2142" s="53"/>
      <c r="BY2142" s="53"/>
      <c r="BZ2142" s="53"/>
      <c r="CG2142" s="53"/>
      <c r="CH2142" s="53"/>
      <c r="CI2142" s="53"/>
      <c r="CP2142" s="53"/>
      <c r="CQ2142" s="53"/>
      <c r="CR2142" s="53"/>
      <c r="CY2142" s="53"/>
      <c r="CZ2142" s="53"/>
      <c r="DA2142" s="53"/>
      <c r="DH2142" s="53"/>
      <c r="DI2142" s="53"/>
      <c r="DJ2142" s="53"/>
      <c r="DQ2142" s="53"/>
      <c r="DR2142" s="53"/>
      <c r="DS2142" s="53"/>
      <c r="DZ2142" s="53"/>
      <c r="EA2142" s="53"/>
      <c r="EB2142" s="53"/>
      <c r="EI2142" s="53"/>
      <c r="EJ2142" s="53"/>
      <c r="EK2142" s="53"/>
      <c r="ER2142" s="53"/>
      <c r="ES2142" s="53"/>
      <c r="ET2142" s="53"/>
      <c r="FA2142" s="53"/>
      <c r="FB2142" s="53"/>
      <c r="FC2142" s="53"/>
    </row>
    <row r="2143" spans="4:159" x14ac:dyDescent="0.25">
      <c r="D2143" s="53"/>
      <c r="E2143" s="53"/>
      <c r="F2143" s="53"/>
      <c r="M2143" s="53"/>
      <c r="N2143" s="53"/>
      <c r="O2143" s="53"/>
      <c r="V2143" s="53"/>
      <c r="W2143" s="53"/>
      <c r="X2143" s="53"/>
      <c r="AE2143" s="53"/>
      <c r="AF2143" s="53"/>
      <c r="AG2143" s="53"/>
      <c r="AN2143" s="53"/>
      <c r="AO2143" s="53"/>
      <c r="AP2143" s="53"/>
      <c r="AW2143" s="53"/>
      <c r="AX2143" s="53"/>
      <c r="AY2143" s="53"/>
      <c r="BF2143" s="53"/>
      <c r="BG2143" s="53"/>
      <c r="BH2143" s="53"/>
      <c r="BO2143" s="53"/>
      <c r="BP2143" s="53"/>
      <c r="BQ2143" s="53"/>
      <c r="BX2143" s="53"/>
      <c r="BY2143" s="53"/>
      <c r="BZ2143" s="53"/>
      <c r="CG2143" s="53"/>
      <c r="CH2143" s="53"/>
      <c r="CI2143" s="53"/>
      <c r="CP2143" s="53"/>
      <c r="CQ2143" s="53"/>
      <c r="CR2143" s="53"/>
      <c r="CY2143" s="53"/>
      <c r="CZ2143" s="53"/>
      <c r="DA2143" s="53"/>
      <c r="DH2143" s="53"/>
      <c r="DI2143" s="53"/>
      <c r="DJ2143" s="53"/>
      <c r="DQ2143" s="53"/>
      <c r="DR2143" s="53"/>
      <c r="DS2143" s="53"/>
      <c r="DZ2143" s="53"/>
      <c r="EA2143" s="53"/>
      <c r="EB2143" s="53"/>
      <c r="EI2143" s="53"/>
      <c r="EJ2143" s="53"/>
      <c r="EK2143" s="53"/>
      <c r="ER2143" s="53"/>
      <c r="ES2143" s="53"/>
      <c r="ET2143" s="53"/>
      <c r="FA2143" s="53"/>
      <c r="FB2143" s="53"/>
      <c r="FC2143" s="53"/>
    </row>
  </sheetData>
  <sheetProtection formatCells="0" formatColumns="0" formatRows="0" insertColumns="0" insertRows="0" insertHyperlinks="0" deleteColumns="0" deleteRows="0" sort="0" autoFilter="0" pivotTables="0"/>
  <mergeCells count="54">
    <mergeCell ref="ER4:ET4"/>
    <mergeCell ref="ER35:ET43"/>
    <mergeCell ref="ER2135:ET2143"/>
    <mergeCell ref="FA4:FC4"/>
    <mergeCell ref="FA35:FC43"/>
    <mergeCell ref="FA2135:FC2143"/>
    <mergeCell ref="DZ4:EB4"/>
    <mergeCell ref="DZ35:EB43"/>
    <mergeCell ref="DZ2135:EB2143"/>
    <mergeCell ref="EI4:EK4"/>
    <mergeCell ref="EI35:EK43"/>
    <mergeCell ref="EI2135:EK2143"/>
    <mergeCell ref="DH4:DJ4"/>
    <mergeCell ref="DH35:DJ43"/>
    <mergeCell ref="DH2135:DJ2143"/>
    <mergeCell ref="DQ4:DS4"/>
    <mergeCell ref="DQ35:DS43"/>
    <mergeCell ref="DQ2135:DS2143"/>
    <mergeCell ref="CP4:CR4"/>
    <mergeCell ref="CP35:CR43"/>
    <mergeCell ref="CP2135:CR2143"/>
    <mergeCell ref="CY4:DA4"/>
    <mergeCell ref="CY35:DA43"/>
    <mergeCell ref="CY2135:DA2143"/>
    <mergeCell ref="BX4:BZ4"/>
    <mergeCell ref="BX35:BZ43"/>
    <mergeCell ref="BX2135:BZ2143"/>
    <mergeCell ref="CG4:CI4"/>
    <mergeCell ref="CG35:CI43"/>
    <mergeCell ref="CG2135:CI2143"/>
    <mergeCell ref="BF4:BH4"/>
    <mergeCell ref="BF35:BH43"/>
    <mergeCell ref="BF2135:BH2143"/>
    <mergeCell ref="BO4:BQ4"/>
    <mergeCell ref="BO35:BQ43"/>
    <mergeCell ref="BO2135:BQ2143"/>
    <mergeCell ref="AN4:AP4"/>
    <mergeCell ref="AN35:AP43"/>
    <mergeCell ref="AN2135:AP2143"/>
    <mergeCell ref="AW4:AY4"/>
    <mergeCell ref="AW35:AY43"/>
    <mergeCell ref="AW2135:AY2143"/>
    <mergeCell ref="V4:X4"/>
    <mergeCell ref="V35:X43"/>
    <mergeCell ref="V2135:X2143"/>
    <mergeCell ref="AE4:AG4"/>
    <mergeCell ref="AE35:AG43"/>
    <mergeCell ref="AE2135:AG2143"/>
    <mergeCell ref="D4:F4"/>
    <mergeCell ref="D35:F43"/>
    <mergeCell ref="D2135:F2143"/>
    <mergeCell ref="M4:O4"/>
    <mergeCell ref="M35:O43"/>
    <mergeCell ref="M2135:O214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3:BB2107"/>
  <sheetViews>
    <sheetView workbookViewId="0">
      <selection activeCell="AE36" sqref="AE36"/>
    </sheetView>
  </sheetViews>
  <sheetFormatPr baseColWidth="10" defaultColWidth="9.140625" defaultRowHeight="15" x14ac:dyDescent="0.25"/>
  <cols>
    <col min="4" max="6" width="26" customWidth="1"/>
    <col min="13" max="15" width="26" customWidth="1"/>
    <col min="22" max="24" width="26" customWidth="1"/>
    <col min="31" max="33" width="26" customWidth="1"/>
  </cols>
  <sheetData>
    <row r="3" spans="2:35" x14ac:dyDescent="0.25">
      <c r="B3" s="4"/>
      <c r="C3" s="4"/>
      <c r="D3" s="4"/>
      <c r="E3" s="4"/>
      <c r="F3" s="4"/>
      <c r="G3" s="4"/>
      <c r="H3" s="4"/>
      <c r="K3" s="4"/>
      <c r="L3" s="4"/>
      <c r="M3" s="4"/>
      <c r="N3" s="4"/>
      <c r="O3" s="4"/>
      <c r="P3" s="4"/>
      <c r="Q3" s="4"/>
      <c r="T3" s="4"/>
      <c r="U3" s="4"/>
      <c r="V3" s="4"/>
      <c r="W3" s="4"/>
      <c r="X3" s="4"/>
      <c r="Y3" s="4"/>
      <c r="Z3" s="4"/>
      <c r="AC3" s="18"/>
      <c r="AD3" s="18"/>
      <c r="AE3" s="18"/>
      <c r="AF3" s="18"/>
      <c r="AG3" s="18"/>
      <c r="AH3" s="18"/>
      <c r="AI3" s="18"/>
    </row>
    <row r="4" spans="2:35" ht="15.75" x14ac:dyDescent="0.25">
      <c r="B4" s="4"/>
      <c r="D4" s="54" t="s">
        <v>447</v>
      </c>
      <c r="E4" s="55"/>
      <c r="F4" s="55"/>
      <c r="H4" s="4"/>
      <c r="K4" s="4"/>
      <c r="M4" s="54" t="s">
        <v>448</v>
      </c>
      <c r="N4" s="55"/>
      <c r="O4" s="55"/>
      <c r="Q4" s="4"/>
      <c r="T4" s="4"/>
      <c r="V4" s="54" t="s">
        <v>449</v>
      </c>
      <c r="W4" s="55"/>
      <c r="X4" s="55"/>
      <c r="Z4" s="4"/>
      <c r="AC4" s="18"/>
      <c r="AE4" s="54" t="s">
        <v>450</v>
      </c>
      <c r="AF4" s="55"/>
      <c r="AG4" s="55"/>
      <c r="AI4" s="18"/>
    </row>
    <row r="5" spans="2:35" x14ac:dyDescent="0.25">
      <c r="B5" s="4"/>
      <c r="D5" s="3" t="s">
        <v>340</v>
      </c>
      <c r="H5" s="4"/>
      <c r="K5" s="4"/>
      <c r="M5" s="3" t="s">
        <v>341</v>
      </c>
      <c r="Q5" s="4"/>
      <c r="T5" s="4"/>
      <c r="V5" s="3" t="s">
        <v>342</v>
      </c>
      <c r="Z5" s="4"/>
      <c r="AC5" s="18"/>
      <c r="AE5" s="3" t="s">
        <v>343</v>
      </c>
      <c r="AI5" s="18"/>
    </row>
    <row r="6" spans="2:35" x14ac:dyDescent="0.25">
      <c r="B6" s="4"/>
      <c r="D6" s="3" t="s">
        <v>1</v>
      </c>
      <c r="H6" s="4"/>
      <c r="K6" s="4"/>
      <c r="M6" s="3" t="s">
        <v>2</v>
      </c>
      <c r="Q6" s="4"/>
      <c r="T6" s="4"/>
      <c r="V6" s="3" t="s">
        <v>3</v>
      </c>
      <c r="Z6" s="4"/>
      <c r="AC6" s="18"/>
      <c r="AE6" s="3" t="s">
        <v>331</v>
      </c>
      <c r="AI6" s="18"/>
    </row>
    <row r="7" spans="2:35" x14ac:dyDescent="0.25">
      <c r="B7" s="4"/>
      <c r="D7" s="6"/>
      <c r="E7" s="10" t="s">
        <v>345</v>
      </c>
      <c r="F7" s="10" t="s">
        <v>346</v>
      </c>
      <c r="H7" s="4"/>
      <c r="K7" s="4"/>
      <c r="M7" s="6"/>
      <c r="N7" s="10" t="s">
        <v>345</v>
      </c>
      <c r="O7" s="10" t="s">
        <v>346</v>
      </c>
      <c r="Q7" s="4"/>
      <c r="T7" s="4"/>
      <c r="V7" s="6"/>
      <c r="W7" s="10" t="s">
        <v>345</v>
      </c>
      <c r="X7" s="10" t="s">
        <v>346</v>
      </c>
      <c r="Z7" s="4"/>
      <c r="AC7" s="18"/>
      <c r="AE7" s="6"/>
      <c r="AF7" s="10" t="s">
        <v>345</v>
      </c>
      <c r="AG7" s="10" t="s">
        <v>346</v>
      </c>
      <c r="AI7" s="18"/>
    </row>
    <row r="8" spans="2:35" x14ac:dyDescent="0.25">
      <c r="B8" s="4"/>
      <c r="D8" s="17" t="str">
        <f>('Gestión de abastecimiento'!A300)</f>
        <v>Totalmente en desacuerdo</v>
      </c>
      <c r="E8" s="9">
        <f>COUNTIF('Gestión de abastecimiento'!B5:G293,1)</f>
        <v>21</v>
      </c>
      <c r="F8" s="13">
        <f>(E8/E13)</f>
        <v>1.2110726643598616E-2</v>
      </c>
      <c r="H8" s="4"/>
      <c r="K8" s="4"/>
      <c r="M8" s="17" t="str">
        <f>('Gestión de abastecimiento'!A300)</f>
        <v>Totalmente en desacuerdo</v>
      </c>
      <c r="N8" s="9">
        <f>COUNTIF('Gestión de abastecimiento'!H5:M293,1)</f>
        <v>19</v>
      </c>
      <c r="O8" s="13">
        <f>(N8/N13)</f>
        <v>1.0957324106113034E-2</v>
      </c>
      <c r="Q8" s="4"/>
      <c r="T8" s="4"/>
      <c r="V8" s="17" t="str">
        <f>('Gestión de abastecimiento'!A300)</f>
        <v>Totalmente en desacuerdo</v>
      </c>
      <c r="W8" s="9">
        <f>COUNTIF('Gestión de abastecimiento'!N5:S293,1)</f>
        <v>34</v>
      </c>
      <c r="X8" s="13">
        <f>(W8/W13)</f>
        <v>1.9607843137254902E-2</v>
      </c>
      <c r="Z8" s="4"/>
      <c r="AC8" s="18"/>
      <c r="AE8" s="17" t="str">
        <f>('Gestión de abastecimiento'!A300)</f>
        <v>Totalmente en desacuerdo</v>
      </c>
      <c r="AF8" s="9">
        <f>COUNTIF('Gestión de abastecimiento'!B5:S293,1)</f>
        <v>74</v>
      </c>
      <c r="AG8" s="13">
        <f>(AF8/AF13)</f>
        <v>1.4225297962322183E-2</v>
      </c>
      <c r="AI8" s="18"/>
    </row>
    <row r="9" spans="2:35" x14ac:dyDescent="0.25">
      <c r="B9" s="4"/>
      <c r="D9" s="17" t="str">
        <f>('Gestión de abastecimiento'!A301)</f>
        <v>En desacuerdo</v>
      </c>
      <c r="E9" s="9">
        <f>COUNTIF('Gestión de abastecimiento'!B5:G293,2)</f>
        <v>353</v>
      </c>
      <c r="F9" s="13">
        <f>(E9/E13)</f>
        <v>0.2035755478662053</v>
      </c>
      <c r="H9" s="4"/>
      <c r="K9" s="4"/>
      <c r="M9" s="17" t="str">
        <f>('Gestión de abastecimiento'!A301)</f>
        <v>En desacuerdo</v>
      </c>
      <c r="N9" s="9">
        <f>COUNTIF('Gestión de abastecimiento'!H5:M293,2)</f>
        <v>376</v>
      </c>
      <c r="O9" s="13">
        <f>(N9/N13)</f>
        <v>0.21683967704728951</v>
      </c>
      <c r="Q9" s="4"/>
      <c r="T9" s="4"/>
      <c r="V9" s="17" t="str">
        <f>('Gestión de abastecimiento'!A301)</f>
        <v>En desacuerdo</v>
      </c>
      <c r="W9" s="9">
        <f>COUNTIF('Gestión de abastecimiento'!N5:S293,2)</f>
        <v>440</v>
      </c>
      <c r="X9" s="13">
        <f>(W9/W13)</f>
        <v>0.25374855824682813</v>
      </c>
      <c r="Z9" s="4"/>
      <c r="AC9" s="18"/>
      <c r="AE9" s="17" t="str">
        <f>('Gestión de abastecimiento'!A301)</f>
        <v>En desacuerdo</v>
      </c>
      <c r="AF9" s="9">
        <f>COUNTIF('Gestión de abastecimiento'!B5:S293,2)</f>
        <v>1169</v>
      </c>
      <c r="AG9" s="13">
        <f>(AF9/AF13)</f>
        <v>0.22472126105344098</v>
      </c>
      <c r="AI9" s="18"/>
    </row>
    <row r="10" spans="2:35" x14ac:dyDescent="0.25">
      <c r="B10" s="4"/>
      <c r="D10" s="17" t="str">
        <f>('Gestión de abastecimiento'!A302)</f>
        <v>Ni de acuerdo ni en desacuerdo</v>
      </c>
      <c r="E10" s="9">
        <f>COUNTIF('Gestión de abastecimiento'!B5:G293,3)</f>
        <v>887</v>
      </c>
      <c r="F10" s="13">
        <f>(E10/E13)</f>
        <v>0.51153402537485582</v>
      </c>
      <c r="H10" s="4"/>
      <c r="K10" s="4"/>
      <c r="M10" s="17" t="str">
        <f>('Gestión de abastecimiento'!A302)</f>
        <v>Ni de acuerdo ni en desacuerdo</v>
      </c>
      <c r="N10" s="9">
        <f>COUNTIF('Gestión de abastecimiento'!H5:M293,3)</f>
        <v>882</v>
      </c>
      <c r="O10" s="13">
        <f>(N10/N13)</f>
        <v>0.50865051903114189</v>
      </c>
      <c r="Q10" s="4"/>
      <c r="T10" s="4"/>
      <c r="V10" s="17" t="str">
        <f>('Gestión de abastecimiento'!A302)</f>
        <v>Ni de acuerdo ni en desacuerdo</v>
      </c>
      <c r="W10" s="9">
        <f>COUNTIF('Gestión de abastecimiento'!N5:S293,3)</f>
        <v>868</v>
      </c>
      <c r="X10" s="13">
        <f>(W10/W13)</f>
        <v>0.50057670126874276</v>
      </c>
      <c r="Z10" s="4"/>
      <c r="AC10" s="18"/>
      <c r="AE10" s="17" t="str">
        <f>('Gestión de abastecimiento'!A302)</f>
        <v>Ni de acuerdo ni en desacuerdo</v>
      </c>
      <c r="AF10" s="9">
        <f>COUNTIF('Gestión de abastecimiento'!B5:S293,3)</f>
        <v>2637</v>
      </c>
      <c r="AG10" s="13">
        <f>(AF10/AF13)</f>
        <v>0.50692041522491349</v>
      </c>
      <c r="AI10" s="18"/>
    </row>
    <row r="11" spans="2:35" x14ac:dyDescent="0.25">
      <c r="B11" s="4"/>
      <c r="D11" s="17" t="str">
        <f>('Gestión de abastecimiento'!A303)</f>
        <v>De acuerdo</v>
      </c>
      <c r="E11" s="9">
        <f>COUNTIF('Gestión de abastecimiento'!B5:G293,4)</f>
        <v>432</v>
      </c>
      <c r="F11" s="13">
        <f>(E11/E13)</f>
        <v>0.2491349480968858</v>
      </c>
      <c r="H11" s="4"/>
      <c r="K11" s="4"/>
      <c r="M11" s="17" t="str">
        <f>('Gestión de abastecimiento'!A303)</f>
        <v>De acuerdo</v>
      </c>
      <c r="N11" s="9">
        <f>COUNTIF('Gestión de abastecimiento'!H5:M293,4)</f>
        <v>417</v>
      </c>
      <c r="O11" s="13">
        <f>(N11/N13)</f>
        <v>0.24048442906574394</v>
      </c>
      <c r="Q11" s="4"/>
      <c r="T11" s="4"/>
      <c r="V11" s="17" t="str">
        <f>('Gestión de abastecimiento'!A303)</f>
        <v>De acuerdo</v>
      </c>
      <c r="W11" s="9">
        <f>COUNTIF('Gestión de abastecimiento'!N5:S293,4)</f>
        <v>351</v>
      </c>
      <c r="X11" s="13">
        <f>(W11/W13)</f>
        <v>0.20242214532871972</v>
      </c>
      <c r="Z11" s="4"/>
      <c r="AC11" s="18"/>
      <c r="AE11" s="17" t="str">
        <f>('Gestión de abastecimiento'!A303)</f>
        <v>De acuerdo</v>
      </c>
      <c r="AF11" s="9">
        <f>COUNTIF('Gestión de abastecimiento'!B5:S293,4)</f>
        <v>1200</v>
      </c>
      <c r="AG11" s="13">
        <f>(AF11/AF13)</f>
        <v>0.23068050749711649</v>
      </c>
      <c r="AI11" s="18"/>
    </row>
    <row r="12" spans="2:35" x14ac:dyDescent="0.25">
      <c r="B12" s="4"/>
      <c r="D12" s="17" t="str">
        <f>('Gestión de abastecimiento'!A304)</f>
        <v>Totalmente de acuerdo</v>
      </c>
      <c r="E12" s="9">
        <f>COUNTIF('Gestión de abastecimiento'!B5:G293,5)</f>
        <v>41</v>
      </c>
      <c r="F12" s="13">
        <f>(E12/E13)</f>
        <v>2.3644752018454441E-2</v>
      </c>
      <c r="H12" s="4"/>
      <c r="K12" s="4"/>
      <c r="M12" s="17" t="str">
        <f>('Gestión de abastecimiento'!A304)</f>
        <v>Totalmente de acuerdo</v>
      </c>
      <c r="N12" s="9">
        <f>COUNTIF('Gestión de abastecimiento'!H5:M293,5)</f>
        <v>40</v>
      </c>
      <c r="O12" s="13">
        <f>(N12/N13)</f>
        <v>2.306805074971165E-2</v>
      </c>
      <c r="Q12" s="4"/>
      <c r="T12" s="4"/>
      <c r="V12" s="17" t="str">
        <f>('Gestión de abastecimiento'!A304)</f>
        <v>Totalmente de acuerdo</v>
      </c>
      <c r="W12" s="9">
        <f>COUNTIF('Gestión de abastecimiento'!N5:S293,5)</f>
        <v>41</v>
      </c>
      <c r="X12" s="13">
        <f>(W12/W13)</f>
        <v>2.3644752018454441E-2</v>
      </c>
      <c r="Z12" s="4"/>
      <c r="AC12" s="18"/>
      <c r="AE12" s="17" t="str">
        <f>('Gestión de abastecimiento'!A304)</f>
        <v>Totalmente de acuerdo</v>
      </c>
      <c r="AF12" s="9">
        <f>COUNTIF('Gestión de abastecimiento'!B5:S293,5)</f>
        <v>122</v>
      </c>
      <c r="AG12" s="13">
        <f>(AF12/AF13)</f>
        <v>2.3452518262206845E-2</v>
      </c>
      <c r="AI12" s="18"/>
    </row>
    <row r="13" spans="2:35" x14ac:dyDescent="0.25">
      <c r="B13" s="4"/>
      <c r="D13" s="20" t="str">
        <f>('Gestión de abastecimiento'!A305)</f>
        <v>Total</v>
      </c>
      <c r="E13" s="10">
        <f>SUM(E8:E12)</f>
        <v>1734</v>
      </c>
      <c r="F13" s="14">
        <f>SUM(F8:F12)</f>
        <v>1</v>
      </c>
      <c r="H13" s="4"/>
      <c r="K13" s="4"/>
      <c r="M13" s="20" t="str">
        <f>('Gestión de abastecimiento'!A305)</f>
        <v>Total</v>
      </c>
      <c r="N13" s="10">
        <f>SUM(N8:N12)</f>
        <v>1734</v>
      </c>
      <c r="O13" s="14">
        <f>SUM(O8:O12)</f>
        <v>1</v>
      </c>
      <c r="Q13" s="4"/>
      <c r="T13" s="4"/>
      <c r="V13" s="20" t="str">
        <f>('Gestión de abastecimiento'!A305)</f>
        <v>Total</v>
      </c>
      <c r="W13" s="10">
        <f>SUM(W8:W12)</f>
        <v>1734</v>
      </c>
      <c r="X13" s="14">
        <f>SUM(X8:X12)</f>
        <v>0.99999999999999989</v>
      </c>
      <c r="Z13" s="4"/>
      <c r="AC13" s="18"/>
      <c r="AE13" s="20" t="str">
        <f>('Gestión de abastecimiento'!A305)</f>
        <v>Total</v>
      </c>
      <c r="AF13" s="10">
        <f>SUM(AF8:AF12)</f>
        <v>5202</v>
      </c>
      <c r="AG13" s="14">
        <f>SUM(AG8:AG12)</f>
        <v>1</v>
      </c>
      <c r="AI13" s="18"/>
    </row>
    <row r="14" spans="2:35" x14ac:dyDescent="0.25">
      <c r="B14" s="4"/>
      <c r="D14" s="3" t="s">
        <v>353</v>
      </c>
      <c r="H14" s="4"/>
      <c r="K14" s="4"/>
      <c r="M14" s="3" t="s">
        <v>353</v>
      </c>
      <c r="Q14" s="4"/>
      <c r="T14" s="4"/>
      <c r="V14" s="3" t="s">
        <v>353</v>
      </c>
      <c r="Z14" s="4"/>
      <c r="AC14" s="18"/>
      <c r="AE14" s="3" t="s">
        <v>353</v>
      </c>
      <c r="AI14" s="18"/>
    </row>
    <row r="15" spans="2:35" x14ac:dyDescent="0.25">
      <c r="B15" s="4"/>
      <c r="D15" s="3" t="s">
        <v>352</v>
      </c>
      <c r="H15" s="4"/>
      <c r="K15" s="4"/>
      <c r="M15" s="3" t="s">
        <v>352</v>
      </c>
      <c r="Q15" s="4"/>
      <c r="T15" s="4"/>
      <c r="V15" s="3" t="s">
        <v>352</v>
      </c>
      <c r="Z15" s="4"/>
      <c r="AC15" s="18"/>
      <c r="AE15" s="3" t="s">
        <v>352</v>
      </c>
      <c r="AI15" s="18"/>
    </row>
    <row r="16" spans="2:35" x14ac:dyDescent="0.25">
      <c r="B16" s="4"/>
      <c r="H16" s="4"/>
      <c r="K16" s="4"/>
      <c r="Q16" s="4"/>
      <c r="T16" s="4"/>
      <c r="Z16" s="4"/>
      <c r="AC16" s="18"/>
      <c r="AI16" s="18"/>
    </row>
    <row r="17" spans="2:35" x14ac:dyDescent="0.25">
      <c r="B17" s="4"/>
      <c r="H17" s="4"/>
      <c r="K17" s="4"/>
      <c r="Q17" s="4"/>
      <c r="T17" s="4"/>
      <c r="Z17" s="4"/>
      <c r="AC17" s="18"/>
      <c r="AI17" s="18"/>
    </row>
    <row r="18" spans="2:35" x14ac:dyDescent="0.25">
      <c r="B18" s="4"/>
      <c r="H18" s="4"/>
      <c r="K18" s="4"/>
      <c r="Q18" s="4"/>
      <c r="T18" s="4"/>
      <c r="Z18" s="4"/>
      <c r="AC18" s="18"/>
      <c r="AI18" s="18"/>
    </row>
    <row r="19" spans="2:35" x14ac:dyDescent="0.25">
      <c r="B19" s="4"/>
      <c r="H19" s="4"/>
      <c r="K19" s="4"/>
      <c r="Q19" s="4"/>
      <c r="T19" s="4"/>
      <c r="Z19" s="4"/>
      <c r="AC19" s="18"/>
      <c r="AI19" s="18"/>
    </row>
    <row r="20" spans="2:35" x14ac:dyDescent="0.25">
      <c r="B20" s="4"/>
      <c r="H20" s="4"/>
      <c r="K20" s="4"/>
      <c r="Q20" s="4"/>
      <c r="T20" s="4"/>
      <c r="Z20" s="4"/>
      <c r="AC20" s="18"/>
      <c r="AI20" s="18"/>
    </row>
    <row r="21" spans="2:35" x14ac:dyDescent="0.25">
      <c r="B21" s="4"/>
      <c r="H21" s="4"/>
      <c r="K21" s="4"/>
      <c r="Q21" s="4"/>
      <c r="T21" s="4"/>
      <c r="Z21" s="4"/>
      <c r="AC21" s="18"/>
      <c r="AI21" s="18"/>
    </row>
    <row r="22" spans="2:35" x14ac:dyDescent="0.25">
      <c r="B22" s="4"/>
      <c r="H22" s="4"/>
      <c r="K22" s="4"/>
      <c r="Q22" s="4"/>
      <c r="T22" s="4"/>
      <c r="Z22" s="4"/>
      <c r="AC22" s="18"/>
      <c r="AI22" s="18"/>
    </row>
    <row r="23" spans="2:35" x14ac:dyDescent="0.25">
      <c r="B23" s="4"/>
      <c r="H23" s="4"/>
      <c r="K23" s="4"/>
      <c r="Q23" s="4"/>
      <c r="T23" s="4"/>
      <c r="Z23" s="4"/>
      <c r="AC23" s="18"/>
      <c r="AI23" s="18"/>
    </row>
    <row r="24" spans="2:35" x14ac:dyDescent="0.25">
      <c r="B24" s="4"/>
      <c r="H24" s="4"/>
      <c r="K24" s="4"/>
      <c r="Q24" s="4"/>
      <c r="T24" s="4"/>
      <c r="Z24" s="4"/>
      <c r="AC24" s="18"/>
      <c r="AI24" s="18"/>
    </row>
    <row r="25" spans="2:35" x14ac:dyDescent="0.25">
      <c r="B25" s="4"/>
      <c r="H25" s="4"/>
      <c r="K25" s="4"/>
      <c r="Q25" s="4"/>
      <c r="T25" s="4"/>
      <c r="Z25" s="4"/>
      <c r="AC25" s="18"/>
      <c r="AI25" s="18"/>
    </row>
    <row r="26" spans="2:35" x14ac:dyDescent="0.25">
      <c r="B26" s="4"/>
      <c r="H26" s="4"/>
      <c r="K26" s="4"/>
      <c r="Q26" s="4"/>
      <c r="T26" s="4"/>
      <c r="Z26" s="4"/>
      <c r="AC26" s="18"/>
      <c r="AI26" s="18"/>
    </row>
    <row r="27" spans="2:35" x14ac:dyDescent="0.25">
      <c r="B27" s="4"/>
      <c r="H27" s="4"/>
      <c r="K27" s="4"/>
      <c r="Q27" s="4"/>
      <c r="T27" s="4"/>
      <c r="Z27" s="4"/>
      <c r="AC27" s="18"/>
      <c r="AI27" s="18"/>
    </row>
    <row r="28" spans="2:35" x14ac:dyDescent="0.25">
      <c r="B28" s="4"/>
      <c r="H28" s="4"/>
      <c r="K28" s="4"/>
      <c r="Q28" s="4"/>
      <c r="T28" s="4"/>
      <c r="Z28" s="4"/>
      <c r="AC28" s="18"/>
      <c r="AI28" s="18"/>
    </row>
    <row r="29" spans="2:35" x14ac:dyDescent="0.25">
      <c r="B29" s="4"/>
      <c r="H29" s="4"/>
      <c r="K29" s="4"/>
      <c r="Q29" s="4"/>
      <c r="T29" s="4"/>
      <c r="Z29" s="4"/>
      <c r="AC29" s="18"/>
      <c r="AI29" s="18"/>
    </row>
    <row r="30" spans="2:35" x14ac:dyDescent="0.25">
      <c r="B30" s="4"/>
      <c r="H30" s="4"/>
      <c r="K30" s="4"/>
      <c r="Q30" s="4"/>
      <c r="T30" s="4"/>
      <c r="Z30" s="4"/>
      <c r="AC30" s="18"/>
      <c r="AI30" s="18"/>
    </row>
    <row r="31" spans="2:35" x14ac:dyDescent="0.25">
      <c r="B31" s="4"/>
      <c r="H31" s="4"/>
      <c r="K31" s="4"/>
      <c r="Q31" s="4"/>
      <c r="T31" s="4"/>
      <c r="Z31" s="4"/>
      <c r="AC31" s="18"/>
      <c r="AI31" s="18"/>
    </row>
    <row r="32" spans="2:35" x14ac:dyDescent="0.25">
      <c r="B32" s="4"/>
      <c r="H32" s="4"/>
      <c r="K32" s="4"/>
      <c r="Q32" s="4"/>
      <c r="T32" s="4"/>
      <c r="Z32" s="4"/>
      <c r="AC32" s="18"/>
      <c r="AI32" s="18"/>
    </row>
    <row r="33" spans="2:49" x14ac:dyDescent="0.25">
      <c r="B33" s="4"/>
      <c r="D33" s="3" t="s">
        <v>354</v>
      </c>
      <c r="H33" s="4"/>
      <c r="K33" s="4"/>
      <c r="M33" s="3" t="s">
        <v>355</v>
      </c>
      <c r="Q33" s="4"/>
      <c r="T33" s="4"/>
      <c r="V33" s="3" t="s">
        <v>356</v>
      </c>
      <c r="Z33" s="4"/>
      <c r="AC33" s="18"/>
      <c r="AE33" s="3" t="s">
        <v>357</v>
      </c>
      <c r="AI33" s="18"/>
    </row>
    <row r="34" spans="2:49" x14ac:dyDescent="0.25">
      <c r="B34" s="4"/>
      <c r="D34" s="3" t="s">
        <v>1</v>
      </c>
      <c r="H34" s="4"/>
      <c r="K34" s="4"/>
      <c r="M34" s="3" t="s">
        <v>2</v>
      </c>
      <c r="Q34" s="4"/>
      <c r="T34" s="4"/>
      <c r="V34" s="3" t="s">
        <v>3</v>
      </c>
      <c r="Z34" s="4"/>
      <c r="AC34" s="18"/>
      <c r="AE34" s="3" t="s">
        <v>331</v>
      </c>
      <c r="AI34" s="18"/>
    </row>
    <row r="35" spans="2:49" x14ac:dyDescent="0.25">
      <c r="B35" s="4"/>
      <c r="H35" s="4"/>
      <c r="K35" s="4"/>
      <c r="Q35" s="4"/>
      <c r="T35" s="4"/>
      <c r="Z35" s="4"/>
      <c r="AC35" s="18"/>
      <c r="AI35" s="18"/>
    </row>
    <row r="36" spans="2:49" x14ac:dyDescent="0.25">
      <c r="B36" s="4"/>
      <c r="D36" s="52" t="str">
        <f ca="1">CONCATENATE("En la ",D5," y ",D33," se puede observar que la variable ",E1001," en base a su dimensión ",E1002," es calificado como ",E1008," ya que el ",ROUND(D1006*100,0),"% de los resultados lo califican como ",D1005,", el ",ROUND(E1006*100,0),"% ",E1005," y el ",ROUND(F1006*100,0),"% lo califico como ",F1005," estos resultados son originados debido a que, ",D1011," ",E1011,",","asi mismo ",D1012," ",E1012,", por su parte ",D1013," ",E1013,", con motivo ",D1014," ",E1014,", incluso ",D1015," ",E1015, ", ","asi mismo ",D1016," ",E1016,","," por todas estas razones, es que la variable ",E1001," basado en su dimensión ",E1002," y calificado por los ",E1003," es considerado como ",E1008,".")</f>
        <v>En la Tabla 1 y Figura.1 se puede observar que la variable Gestión de abastecimiento en base a su dimensión Planificación es calificado como Alto ya que el 22% de los resultados lo califican como Totalmente en desacuerdo y En desacuerdo, el 51% Ni de acuerdo ni en desacuerdo y el 27% lo califico como De acuerdo y Totalmente de acuerdo estos resultados son originados debido a que, el 51% mencionó como Ni de acuerdo ni en desacuerdo x,asi mismo el 52% de los apreció como Ni de acuerdo ni en desacuerdo x, por su parte el 54% apreció como Ni de acuerdo ni en desacuerdo x, con motivo el 48% de los evaluó como Ni de acuerdo ni en desacuerdo 0, incluso el 50% Tuvo una percepción de como Ni de acuerdo ni en desacuerdo x, asi mismo el 52% percibió como Ni de acuerdo ni en desacuerdo x, por todas estas razones, es que la variable Gestión de abastecimiento basado en su dimensión Planificación y calificado por los Beneficiaross es considerado como Alto.</v>
      </c>
      <c r="E36" s="56"/>
      <c r="F36" s="56"/>
      <c r="G36" s="23"/>
      <c r="H36" s="24"/>
      <c r="I36" s="23"/>
      <c r="J36" s="23"/>
      <c r="K36" s="4"/>
      <c r="L36" s="23"/>
      <c r="M36" s="52" t="str">
        <f ca="1">CONCATENATE("En la ",M5," y ",M33," se puede observar que la variable ",N1001," en base a su dimensión ",N1002," es calificado como ",N1008," ya que el ",ROUND(M1006*100,0),"% de los resultados lo califican como ",M1005,", el ",ROUND(N1006*100,0),"% ",N1005," y el ",ROUND(O1006*100,0),"% lo califico como ",O1005," estos resultados son originados debido a que, ",M1011," ",N1011,",","asi mismo ",M1012," ",N1012,", en cambio ",M1013," ",N1013,", mismo ",M1014," ",N1014,", con motivo ",M1015," ",N1015, ", ","asi mismo ",M1016," ",N1016,","," por todas estas razones, es que la variable ",N1001," basado en su dimensión ",N1002," y calificado por los ",N1003," es considerado como ",N1008,".")</f>
        <v>En la Tabla 2 y Figura.2 se puede observar que la variable Gestión de abastecimiento en base a su dimensión Transparencia es calificado como Medio  ya que el 23% de los resultados lo califican como Totalmente en desacuerdo y En desacuerdo, el 51% Ni de acuerdo ni en desacuerdo y el 26% lo califico como De acuerdo y Totalmente de acuerdo estos resultados son originados debido a que, el 52% mencionó como Ni de acuerdo ni en desacuerdo x,asi mismo el 51% de los evaluó como Ni de acuerdo ni en desacuerdo x, en cambio el 48% respondió como Ni de acuerdo ni en desacuerdo 0, mismo el 50% de los respondió como Ni de acuerdo ni en desacuerdo x, con motivo el 51% Tuvo una percepción de como Ni de acuerdo ni en desacuerdo x, asi mismo el 53% mencionó como Ni de acuerdo ni en desacuerdo x, por todas estas razones, es que la variable Gestión de abastecimiento basado en su dimensión Transparencia y calificado por los Beneficiaross es considerado como Medio .</v>
      </c>
      <c r="N36" s="56"/>
      <c r="O36" s="56"/>
      <c r="P36" s="23"/>
      <c r="Q36" s="24"/>
      <c r="R36" s="23"/>
      <c r="S36" s="23"/>
      <c r="T36" s="4"/>
      <c r="U36" s="23"/>
      <c r="V36" s="52" t="str">
        <f ca="1">CONCATENATE("En la ",V5," y ",V33," se puede observar que la variable ",W1001," en base a su dimensión ",W1002," es calificado como ",W1008," ya que el ",ROUND(V1006*100,0),"% de los resultados lo califican como ",V1005,", el ",ROUND(W1006*100,0),"% ",W1005," y el ",ROUND(X1006*100,0),"% lo califico como ",X1005," estos resultados son originados debido a que, ",V1011," ",W1011,",","asi mismo ",V1012," ",W1012,", no obstante ",V1013," ",W1013,", de modo que ",V1014," ",W1014,", sin embargo ",V1015," ",W1015, ", ","asi mismo ",V1016," ",W1016,","," por todas estas razones, es que la variable ",W1001," basado en su dimensión ",W1002," y calificado por los ",W1003," es considerado como ",W1008,".")</f>
        <v>En la Tabla 3 y Figura.3 se puede observar que la variable Gestión de abastecimiento en base a su dimensión Cumplimiento normativo es calificado como Medio  ya que el 27% de los resultados lo califican como Totalmente en desacuerdo y En desacuerdo, el 50% Ni de acuerdo ni en desacuerdo y el 23% lo califico como De acuerdo y Totalmente de acuerdo estos resultados son originados debido a que, el 47% valoró como Ni de acuerdo ni en desacuerdo x,asi mismo el 52% de los determinó como Ni de acuerdo ni en desacuerdo x, no obstante el 49% apreció como Ni de acuerdo ni en desacuerdo x, de modo que el 55% de los mencionó como Ni de acuerdo ni en desacuerdo x, sin embargo el 48% apreció como Ni de acuerdo ni en desacuerdo x, asi mismo el 49% respondió como Ni de acuerdo ni en desacuerdo x, por todas estas razones, es que la variable Gestión de abastecimiento basado en su dimensión Cumplimiento normativo y calificado por los Beneficiaross es considerado como Medio .</v>
      </c>
      <c r="W36" s="56"/>
      <c r="X36" s="56"/>
      <c r="Y36" s="23"/>
      <c r="Z36" s="24"/>
      <c r="AA36" s="23"/>
      <c r="AB36" s="23"/>
      <c r="AC36" s="18"/>
      <c r="AD36" s="23"/>
      <c r="AE36" s="52" t="str">
        <f ca="1">CONCATENATE("En la ",AE5," y ",AE33," se puede observar que la variable ",AF1001," tiene una calificación de ",AF1008,","," ello debido a que el ",ROUND(AF1006*100,0),"% de los resultados estan en las categorias de ",AE1005," mientras que el ",ROUND(AF1006*100,0),"% ",AF1005," y el ",ROUND(AG1006*100,0),"% ",AG1005," en tal sentido se puede observar que la mayoria de los resultados es decir el ",ROUND(AH1007*100,0),"% tiene una calificación inclinada para un valor ",AF1008," estos resultados se originaron debido a que ",AP1016," ",AP1017," ",AP1018,", finalmente dentro de las dimensiones evaluadas la que cuenta con mayor deficiencia es la dimensión ",AD1076,)</f>
        <v>En la Tabla 4 y Figura.4 se puede observar que la variable Gestión de abastecimiento tiene una calificación de Medio , ello debido a que el 51% de los resultados estan en las categorias de Totalmente en desacuerdo y En desacuerdo mientras que el 51% Ni de acuerdo ni en desacuerdo y el 25% De acuerdo y Totalmente de acuerdo en tal sentido se puede observar que la mayoria de los resultados es decir el 76% tiene una calificación inclinada para un valor Medio  estos resultados se originaron debido a que el 51% de los Resultados Tuvo una percepción de a la dimensión Planificación como Ni de acuerdo ni en desacuerdo, por otra parte  el 51% de los Resultados valoró a la dimensión Transparencia como Ni de acuerdo ni en desacuerdo, por otro lado  el 50% de los Beneficiaross evaluó a la dimensión Cumplimiento normativo como Ni de acuerdo ni en desacuerdo, finalmente dentro de las dimensiones evaluadas la que cuenta con mayor deficiencia es la dimensión Cumplimiento normativo</v>
      </c>
      <c r="AF36" s="56"/>
      <c r="AG36" s="56"/>
      <c r="AH36" s="23"/>
      <c r="AI36" s="25"/>
      <c r="AJ36" s="23"/>
      <c r="AK36" s="23"/>
      <c r="AL36" s="23"/>
      <c r="AM36" s="23"/>
      <c r="AN36" s="23"/>
      <c r="AO36" s="23"/>
      <c r="AP36" s="23"/>
      <c r="AQ36" s="23"/>
      <c r="AR36" s="23"/>
      <c r="AS36" s="23"/>
      <c r="AT36" s="23"/>
      <c r="AU36" s="23"/>
      <c r="AV36" s="23"/>
      <c r="AW36" s="23"/>
    </row>
    <row r="37" spans="2:49" x14ac:dyDescent="0.25">
      <c r="B37" s="4"/>
      <c r="D37" s="53"/>
      <c r="E37" s="53"/>
      <c r="F37" s="53"/>
      <c r="H37" s="4"/>
      <c r="K37" s="4"/>
      <c r="M37" s="53"/>
      <c r="N37" s="53"/>
      <c r="O37" s="53"/>
      <c r="Q37" s="4"/>
      <c r="T37" s="4"/>
      <c r="V37" s="53"/>
      <c r="W37" s="53"/>
      <c r="X37" s="53"/>
      <c r="Z37" s="4"/>
      <c r="AC37" s="18"/>
      <c r="AE37" s="53"/>
      <c r="AF37" s="53"/>
      <c r="AG37" s="53"/>
      <c r="AI37" s="18"/>
    </row>
    <row r="38" spans="2:49" x14ac:dyDescent="0.25">
      <c r="B38" s="4"/>
      <c r="D38" s="53"/>
      <c r="E38" s="53"/>
      <c r="F38" s="53"/>
      <c r="H38" s="4"/>
      <c r="K38" s="4"/>
      <c r="M38" s="53"/>
      <c r="N38" s="53"/>
      <c r="O38" s="53"/>
      <c r="Q38" s="4"/>
      <c r="T38" s="4"/>
      <c r="V38" s="53"/>
      <c r="W38" s="53"/>
      <c r="X38" s="53"/>
      <c r="Z38" s="4"/>
      <c r="AC38" s="18"/>
      <c r="AE38" s="53"/>
      <c r="AF38" s="53"/>
      <c r="AG38" s="53"/>
      <c r="AI38" s="18"/>
    </row>
    <row r="39" spans="2:49" x14ac:dyDescent="0.25">
      <c r="B39" s="4"/>
      <c r="D39" s="53"/>
      <c r="E39" s="53"/>
      <c r="F39" s="53"/>
      <c r="H39" s="4"/>
      <c r="K39" s="4"/>
      <c r="M39" s="53"/>
      <c r="N39" s="53"/>
      <c r="O39" s="53"/>
      <c r="Q39" s="4"/>
      <c r="T39" s="4"/>
      <c r="V39" s="53"/>
      <c r="W39" s="53"/>
      <c r="X39" s="53"/>
      <c r="Z39" s="4"/>
      <c r="AC39" s="18"/>
      <c r="AE39" s="53"/>
      <c r="AF39" s="53"/>
      <c r="AG39" s="53"/>
      <c r="AI39" s="18"/>
    </row>
    <row r="40" spans="2:49" x14ac:dyDescent="0.25">
      <c r="D40" s="53"/>
      <c r="E40" s="53"/>
      <c r="F40" s="53"/>
      <c r="M40" s="53"/>
      <c r="N40" s="53"/>
      <c r="O40" s="53"/>
      <c r="V40" s="53"/>
      <c r="W40" s="53"/>
      <c r="X40" s="53"/>
      <c r="AE40" s="53"/>
      <c r="AF40" s="53"/>
      <c r="AG40" s="53"/>
    </row>
    <row r="41" spans="2:49" x14ac:dyDescent="0.25">
      <c r="D41" s="53"/>
      <c r="E41" s="53"/>
      <c r="F41" s="53"/>
      <c r="M41" s="53"/>
      <c r="N41" s="53"/>
      <c r="O41" s="53"/>
      <c r="V41" s="53"/>
      <c r="W41" s="53"/>
      <c r="X41" s="53"/>
      <c r="AE41" s="53"/>
      <c r="AF41" s="53"/>
      <c r="AG41" s="53"/>
    </row>
    <row r="42" spans="2:49" x14ac:dyDescent="0.25">
      <c r="D42" s="53"/>
      <c r="E42" s="53"/>
      <c r="F42" s="53"/>
      <c r="M42" s="53"/>
      <c r="N42" s="53"/>
      <c r="O42" s="53"/>
      <c r="V42" s="53"/>
      <c r="W42" s="53"/>
      <c r="X42" s="53"/>
      <c r="AE42" s="53"/>
      <c r="AF42" s="53"/>
      <c r="AG42" s="53"/>
    </row>
    <row r="43" spans="2:49" x14ac:dyDescent="0.25">
      <c r="D43" s="53"/>
      <c r="E43" s="53"/>
      <c r="F43" s="53"/>
      <c r="M43" s="53"/>
      <c r="N43" s="53"/>
      <c r="O43" s="53"/>
      <c r="V43" s="53"/>
      <c r="W43" s="53"/>
      <c r="X43" s="53"/>
      <c r="AE43" s="53"/>
      <c r="AF43" s="53"/>
      <c r="AG43" s="53"/>
    </row>
    <row r="44" spans="2:49" x14ac:dyDescent="0.25">
      <c r="D44" s="53"/>
      <c r="E44" s="53"/>
      <c r="F44" s="53"/>
      <c r="M44" s="53"/>
      <c r="N44" s="53"/>
      <c r="O44" s="53"/>
      <c r="V44" s="53"/>
      <c r="W44" s="53"/>
      <c r="X44" s="53"/>
      <c r="AE44" s="53"/>
      <c r="AF44" s="53"/>
      <c r="AG44" s="53"/>
    </row>
    <row r="45" spans="2:49" x14ac:dyDescent="0.25">
      <c r="D45" s="53"/>
      <c r="E45" s="53"/>
      <c r="F45" s="53"/>
      <c r="M45" s="53"/>
      <c r="N45" s="53"/>
      <c r="O45" s="53"/>
      <c r="V45" s="53"/>
      <c r="W45" s="53"/>
      <c r="X45" s="53"/>
      <c r="AE45" s="53"/>
      <c r="AF45" s="53"/>
      <c r="AG45" s="53"/>
    </row>
    <row r="46" spans="2:49" x14ac:dyDescent="0.25">
      <c r="D46" s="53"/>
      <c r="E46" s="53"/>
      <c r="F46" s="53"/>
      <c r="M46" s="53"/>
      <c r="N46" s="53"/>
      <c r="O46" s="53"/>
      <c r="V46" s="53"/>
      <c r="W46" s="53"/>
      <c r="X46" s="53"/>
      <c r="AE46" s="53"/>
      <c r="AF46" s="53"/>
      <c r="AG46" s="53"/>
    </row>
    <row r="47" spans="2:49" x14ac:dyDescent="0.25">
      <c r="D47" s="53"/>
      <c r="E47" s="53"/>
      <c r="F47" s="53"/>
      <c r="M47" s="53"/>
      <c r="N47" s="53"/>
      <c r="O47" s="53"/>
      <c r="V47" s="53"/>
      <c r="W47" s="53"/>
      <c r="X47" s="53"/>
      <c r="AE47" s="53"/>
      <c r="AF47" s="53"/>
      <c r="AG47" s="53"/>
    </row>
    <row r="1001" spans="3:34" x14ac:dyDescent="0.25">
      <c r="D1001" s="3" t="s">
        <v>333</v>
      </c>
      <c r="E1001" s="3" t="str">
        <f>(AE6)</f>
        <v>Gestión de abastecimiento</v>
      </c>
      <c r="M1001" s="3" t="s">
        <v>333</v>
      </c>
      <c r="N1001" s="3" t="str">
        <f>(AE6)</f>
        <v>Gestión de abastecimiento</v>
      </c>
      <c r="V1001" s="3" t="s">
        <v>333</v>
      </c>
      <c r="W1001" s="3" t="str">
        <f>(AE6)</f>
        <v>Gestión de abastecimiento</v>
      </c>
      <c r="AE1001" s="3" t="s">
        <v>333</v>
      </c>
      <c r="AF1001" s="3" t="str">
        <f>(AE6)</f>
        <v>Gestión de abastecimiento</v>
      </c>
    </row>
    <row r="1002" spans="3:34" x14ac:dyDescent="0.25">
      <c r="D1002" s="3" t="s">
        <v>359</v>
      </c>
      <c r="E1002" s="3" t="str">
        <f>(D6)</f>
        <v>Planificación</v>
      </c>
      <c r="M1002" s="3" t="s">
        <v>359</v>
      </c>
      <c r="N1002" s="3" t="str">
        <f>(M6)</f>
        <v>Transparencia</v>
      </c>
      <c r="V1002" s="3" t="s">
        <v>359</v>
      </c>
      <c r="W1002" s="3" t="str">
        <f>(V6)</f>
        <v>Cumplimiento normativo</v>
      </c>
      <c r="AE1002" s="3" t="s">
        <v>359</v>
      </c>
      <c r="AF1002" s="3" t="str">
        <f>(AE6)</f>
        <v>Gestión de abastecimiento</v>
      </c>
    </row>
    <row r="1003" spans="3:34" x14ac:dyDescent="0.25">
      <c r="D1003" s="3" t="s">
        <v>451</v>
      </c>
      <c r="E1003" s="3" t="s">
        <v>360</v>
      </c>
      <c r="M1003" s="3" t="s">
        <v>451</v>
      </c>
      <c r="N1003" s="3" t="s">
        <v>360</v>
      </c>
      <c r="V1003" s="3" t="s">
        <v>451</v>
      </c>
      <c r="W1003" s="3" t="s">
        <v>360</v>
      </c>
      <c r="AE1003" s="3" t="s">
        <v>451</v>
      </c>
      <c r="AF1003" s="3" t="s">
        <v>360</v>
      </c>
    </row>
    <row r="1004" spans="3:34" x14ac:dyDescent="0.25">
      <c r="C1004" s="3" t="s">
        <v>366</v>
      </c>
      <c r="D1004" s="3" t="s">
        <v>349</v>
      </c>
      <c r="E1004" s="3" t="s">
        <v>350</v>
      </c>
      <c r="F1004" s="3" t="s">
        <v>351</v>
      </c>
      <c r="L1004" s="3" t="s">
        <v>366</v>
      </c>
      <c r="M1004" s="3" t="s">
        <v>349</v>
      </c>
      <c r="N1004" s="3" t="s">
        <v>350</v>
      </c>
      <c r="O1004" s="3" t="s">
        <v>351</v>
      </c>
      <c r="U1004" s="3" t="s">
        <v>366</v>
      </c>
      <c r="V1004" s="3" t="s">
        <v>349</v>
      </c>
      <c r="W1004" s="3" t="s">
        <v>350</v>
      </c>
      <c r="X1004" s="3" t="s">
        <v>351</v>
      </c>
      <c r="AD1004" s="3" t="s">
        <v>366</v>
      </c>
      <c r="AE1004" s="3" t="s">
        <v>349</v>
      </c>
      <c r="AF1004" s="3" t="s">
        <v>350</v>
      </c>
      <c r="AG1004" s="3" t="s">
        <v>351</v>
      </c>
    </row>
    <row r="1005" spans="3:34" x14ac:dyDescent="0.25">
      <c r="C1005" s="3" t="s">
        <v>344</v>
      </c>
      <c r="D1005" s="3" t="str">
        <f>CONCATENATE(D8," y ",D9)</f>
        <v>Totalmente en desacuerdo y En desacuerdo</v>
      </c>
      <c r="E1005" s="3" t="str">
        <f>D10</f>
        <v>Ni de acuerdo ni en desacuerdo</v>
      </c>
      <c r="F1005" s="3" t="str">
        <f>CONCATENATE(D11," y ",D12)</f>
        <v>De acuerdo y Totalmente de acuerdo</v>
      </c>
      <c r="L1005" s="3" t="s">
        <v>344</v>
      </c>
      <c r="M1005" s="3" t="str">
        <f>CONCATENATE(M8," y ",M9)</f>
        <v>Totalmente en desacuerdo y En desacuerdo</v>
      </c>
      <c r="N1005" s="3" t="str">
        <f>M10</f>
        <v>Ni de acuerdo ni en desacuerdo</v>
      </c>
      <c r="O1005" s="3" t="str">
        <f>CONCATENATE(M11," y ",M12)</f>
        <v>De acuerdo y Totalmente de acuerdo</v>
      </c>
      <c r="U1005" s="3" t="s">
        <v>344</v>
      </c>
      <c r="V1005" s="3" t="str">
        <f>CONCATENATE(V8," y ",V9)</f>
        <v>Totalmente en desacuerdo y En desacuerdo</v>
      </c>
      <c r="W1005" s="3" t="str">
        <f>V10</f>
        <v>Ni de acuerdo ni en desacuerdo</v>
      </c>
      <c r="X1005" s="3" t="str">
        <f>CONCATENATE(V11," y ",V12)</f>
        <v>De acuerdo y Totalmente de acuerdo</v>
      </c>
      <c r="AD1005" s="3" t="s">
        <v>344</v>
      </c>
      <c r="AE1005" s="3" t="str">
        <f>CONCATENATE(AE8," y ",AE9)</f>
        <v>Totalmente en desacuerdo y En desacuerdo</v>
      </c>
      <c r="AF1005" s="3" t="str">
        <f>AE10</f>
        <v>Ni de acuerdo ni en desacuerdo</v>
      </c>
      <c r="AG1005" s="3" t="str">
        <f>CONCATENATE(AE11," y ",AE12)</f>
        <v>De acuerdo y Totalmente de acuerdo</v>
      </c>
    </row>
    <row r="1006" spans="3:34" x14ac:dyDescent="0.25">
      <c r="D1006" s="7">
        <f>SUM(F8:F9)</f>
        <v>0.2156862745098039</v>
      </c>
      <c r="E1006" s="7">
        <f>F10</f>
        <v>0.51153402537485582</v>
      </c>
      <c r="F1006" s="7">
        <f>SUM(F11:F12)</f>
        <v>0.27277970011534025</v>
      </c>
      <c r="M1006" s="7">
        <f>SUM(O8:O9)</f>
        <v>0.22779700115340254</v>
      </c>
      <c r="N1006" s="7">
        <f>O10</f>
        <v>0.50865051903114189</v>
      </c>
      <c r="O1006" s="7">
        <f>SUM(O11:O12)</f>
        <v>0.2635524798154556</v>
      </c>
      <c r="V1006" s="7">
        <f>SUM(X8:X9)</f>
        <v>0.27335640138408301</v>
      </c>
      <c r="W1006" s="7">
        <f>X10</f>
        <v>0.50057670126874276</v>
      </c>
      <c r="X1006" s="7">
        <f>SUM(X11:X12)</f>
        <v>0.22606689734717417</v>
      </c>
      <c r="AE1006" s="7">
        <f>SUM(AG8:AG9)</f>
        <v>0.23894655901576317</v>
      </c>
      <c r="AF1006" s="7">
        <f>AG10</f>
        <v>0.50692041522491349</v>
      </c>
      <c r="AG1006" s="7">
        <f>SUM(AG11:AG12)</f>
        <v>0.25413302575932334</v>
      </c>
    </row>
    <row r="1007" spans="3:34" x14ac:dyDescent="0.25">
      <c r="C1007" s="3" t="s">
        <v>452</v>
      </c>
      <c r="D1007" s="7">
        <f>SUM(D1006:E1006)</f>
        <v>0.72722029988465975</v>
      </c>
      <c r="E1007" s="7">
        <f>SUM(E1006:F1006)</f>
        <v>0.78431372549019607</v>
      </c>
      <c r="F1007" s="7">
        <f>(D1007-E1007)</f>
        <v>-5.7093425605536319E-2</v>
      </c>
      <c r="L1007" s="3" t="s">
        <v>452</v>
      </c>
      <c r="M1007" s="7">
        <f>SUM(M1006:N1006)</f>
        <v>0.7364475201845444</v>
      </c>
      <c r="N1007" s="7">
        <f>SUM(N1006:O1006)</f>
        <v>0.77220299884659749</v>
      </c>
      <c r="O1007" s="7">
        <f>(M1007-N1007)</f>
        <v>-3.5755478662053086E-2</v>
      </c>
      <c r="U1007" s="3" t="s">
        <v>452</v>
      </c>
      <c r="V1007" s="7">
        <f>SUM(V1006:W1006)</f>
        <v>0.77393310265282578</v>
      </c>
      <c r="W1007" s="7">
        <f>SUM(W1006:X1006)</f>
        <v>0.72664359861591699</v>
      </c>
      <c r="X1007" s="7">
        <f>(V1007-W1007)</f>
        <v>4.7289504036908792E-2</v>
      </c>
      <c r="AD1007" s="3" t="s">
        <v>452</v>
      </c>
      <c r="AE1007" s="7">
        <f>SUM(AE1006:AF1006)</f>
        <v>0.74586697424067672</v>
      </c>
      <c r="AF1007" s="7">
        <f>SUM(AF1006:AG1006)</f>
        <v>0.76105344098423688</v>
      </c>
      <c r="AG1007" s="7">
        <f>(AE1007-AF1007)</f>
        <v>-1.5186466743560167E-2</v>
      </c>
      <c r="AH1007" s="7">
        <f>MAX(AE1007:AF1007)</f>
        <v>0.76105344098423688</v>
      </c>
    </row>
    <row r="1008" spans="3:34" x14ac:dyDescent="0.25">
      <c r="D1008" s="3" t="s">
        <v>453</v>
      </c>
      <c r="E1008" t="str">
        <f>IF(AND(F1007&gt;=-5%,F1007&lt;=5%),E1004,IF(F1007&gt;=6%,D1004,IF(F1007&lt;=-5%,F1004,E1004)))</f>
        <v>Alto</v>
      </c>
      <c r="M1008" s="3" t="s">
        <v>453</v>
      </c>
      <c r="N1008" t="str">
        <f>IF(AND(O1007&gt;=-5%,O1007&lt;=5%),N1004,IF(O1007&gt;=6%,M1004,IF(O1007&lt;=-5%,O1004,N1004)))</f>
        <v xml:space="preserve">Medio </v>
      </c>
      <c r="V1008" s="3" t="s">
        <v>453</v>
      </c>
      <c r="W1008" t="str">
        <f>IF(AND(X1007&gt;=-5%,X1007&lt;=5%),W1004,IF(X1007&gt;=6%,V1004,IF(X1007&lt;=-5%,X1004,W1004)))</f>
        <v xml:space="preserve">Medio </v>
      </c>
      <c r="AE1008" s="3" t="s">
        <v>453</v>
      </c>
      <c r="AF1008" t="str">
        <f>IF(AND(AG1007&gt;=-5%,AG1007&lt;=5%),AF1004,IF(AG1007&gt;=6%,AE1004,IF(AG1007&lt;=-5%,AG1004,AF1004)))</f>
        <v xml:space="preserve">Medio </v>
      </c>
    </row>
    <row r="1011" spans="4:54" x14ac:dyDescent="0.25">
      <c r="D1011" s="3" t="str">
        <f ca="1">'Por Valoracion (3) Dimension'!U1016</f>
        <v>el 51% mencionó como Ni de acuerdo ni en desacuerdo</v>
      </c>
      <c r="E1011" s="3" t="str">
        <f>'Por Valoracion (3) Dimension'!M1016</f>
        <v>x</v>
      </c>
      <c r="M1011" s="3" t="str">
        <f ca="1">'Por Valoracion (3) Dimension'!AG1016</f>
        <v>el 52% mencionó como Ni de acuerdo ni en desacuerdo</v>
      </c>
      <c r="N1011" s="3" t="str">
        <f>'Por Valoracion (3) Dimension'!Y1016</f>
        <v>x</v>
      </c>
      <c r="V1011" s="3" t="str">
        <f ca="1">'Por Valoracion (3) Dimension'!AS1016</f>
        <v>el 47% valoró como Ni de acuerdo ni en desacuerdo</v>
      </c>
      <c r="W1011" s="3" t="str">
        <f>'Por Valoracion (3) Dimension'!AK1016</f>
        <v>x</v>
      </c>
    </row>
    <row r="1012" spans="4:54" x14ac:dyDescent="0.25">
      <c r="D1012" s="3" t="str">
        <f ca="1">'Por Valoracion (3) Dimension'!U1017</f>
        <v>el 52% de los apreció como Ni de acuerdo ni en desacuerdo</v>
      </c>
      <c r="E1012" s="3" t="str">
        <f>'Por Valoracion (3) Dimension'!M1017</f>
        <v>x</v>
      </c>
      <c r="M1012" s="3" t="str">
        <f ca="1">'Por Valoracion (3) Dimension'!AG1017</f>
        <v>el 51% de los evaluó como Ni de acuerdo ni en desacuerdo</v>
      </c>
      <c r="N1012" s="3" t="str">
        <f>'Por Valoracion (3) Dimension'!Y1017</f>
        <v>x</v>
      </c>
      <c r="V1012" s="3" t="str">
        <f ca="1">'Por Valoracion (3) Dimension'!AS1017</f>
        <v>el 52% de los determinó como Ni de acuerdo ni en desacuerdo</v>
      </c>
      <c r="W1012" s="3" t="str">
        <f>'Por Valoracion (3) Dimension'!AK1017</f>
        <v>x</v>
      </c>
    </row>
    <row r="1013" spans="4:54" x14ac:dyDescent="0.25">
      <c r="D1013" s="3" t="str">
        <f ca="1">'Por Valoracion (3) Dimension'!U1018</f>
        <v>el 54% apreció como Ni de acuerdo ni en desacuerdo</v>
      </c>
      <c r="E1013" s="3" t="str">
        <f>'Por Valoracion (3) Dimension'!M1018</f>
        <v>x</v>
      </c>
      <c r="M1013" s="3" t="str">
        <f ca="1">'Por Valoracion (3) Dimension'!AG1018</f>
        <v>el 48% respondió como Ni de acuerdo ni en desacuerdo</v>
      </c>
      <c r="N1013" s="3">
        <f>'Por Valoracion (3) Dimension'!Y1018</f>
        <v>0</v>
      </c>
      <c r="V1013" s="3" t="str">
        <f ca="1">'Por Valoracion (3) Dimension'!AS1018</f>
        <v>el 49% apreció como Ni de acuerdo ni en desacuerdo</v>
      </c>
      <c r="W1013" s="3" t="str">
        <f>'Por Valoracion (3) Dimension'!AK1018</f>
        <v>x</v>
      </c>
    </row>
    <row r="1014" spans="4:54" x14ac:dyDescent="0.25">
      <c r="D1014" s="3" t="str">
        <f ca="1">'Por Valoracion (3) Dimension'!U1019</f>
        <v>el 48% de los evaluó como Ni de acuerdo ni en desacuerdo</v>
      </c>
      <c r="E1014" s="3">
        <f>'Por Valoracion (3) Dimension'!M1019</f>
        <v>0</v>
      </c>
      <c r="M1014" s="3" t="str">
        <f ca="1">'Por Valoracion (3) Dimension'!AG1019</f>
        <v>el 50% de los respondió como Ni de acuerdo ni en desacuerdo</v>
      </c>
      <c r="N1014" s="3" t="str">
        <f>'Por Valoracion (3) Dimension'!Y1019</f>
        <v>x</v>
      </c>
      <c r="V1014" s="3" t="str">
        <f ca="1">'Por Valoracion (3) Dimension'!AS1019</f>
        <v>el 55% de los mencionó como Ni de acuerdo ni en desacuerdo</v>
      </c>
      <c r="W1014" s="3" t="str">
        <f>'Por Valoracion (3) Dimension'!AK1019</f>
        <v>x</v>
      </c>
    </row>
    <row r="1015" spans="4:54" x14ac:dyDescent="0.25">
      <c r="D1015" s="3" t="str">
        <f ca="1">'Por Valoracion (3) Dimension'!U1020</f>
        <v>el 50% Tuvo una percepción de como Ni de acuerdo ni en desacuerdo</v>
      </c>
      <c r="E1015" s="3" t="str">
        <f>'Por Valoracion (3) Dimension'!M1020</f>
        <v>x</v>
      </c>
      <c r="M1015" s="3" t="str">
        <f ca="1">'Por Valoracion (3) Dimension'!AG1020</f>
        <v>el 51% Tuvo una percepción de como Ni de acuerdo ni en desacuerdo</v>
      </c>
      <c r="N1015" s="3" t="str">
        <f>'Por Valoracion (3) Dimension'!Y1020</f>
        <v>x</v>
      </c>
      <c r="V1015" s="3" t="str">
        <f ca="1">'Por Valoracion (3) Dimension'!AS1020</f>
        <v>el 48% apreció como Ni de acuerdo ni en desacuerdo</v>
      </c>
      <c r="W1015" s="3" t="str">
        <f>'Por Valoracion (3) Dimension'!AK1020</f>
        <v>x</v>
      </c>
      <c r="AD1015" s="3" t="s">
        <v>370</v>
      </c>
      <c r="AE1015" s="3" t="str">
        <f>AE1005</f>
        <v>Totalmente en desacuerdo y En desacuerdo</v>
      </c>
      <c r="AF1015" s="3" t="str">
        <f>AF1005</f>
        <v>Ni de acuerdo ni en desacuerdo</v>
      </c>
      <c r="AG1015" s="3" t="str">
        <f>AG1005</f>
        <v>De acuerdo y Totalmente de acuerdo</v>
      </c>
      <c r="AH1015" s="3" t="s">
        <v>454</v>
      </c>
      <c r="AI1015" s="3" t="s">
        <v>371</v>
      </c>
      <c r="AJ1015" s="3" t="s">
        <v>372</v>
      </c>
      <c r="AK1015" s="3" t="s">
        <v>373</v>
      </c>
      <c r="AL1015" s="3" t="s">
        <v>374</v>
      </c>
      <c r="AM1015" s="3" t="s">
        <v>375</v>
      </c>
      <c r="AN1015" s="3" t="s">
        <v>376</v>
      </c>
      <c r="AO1015" s="3" t="s">
        <v>377</v>
      </c>
      <c r="AP1015" s="3" t="s">
        <v>369</v>
      </c>
      <c r="AQ1015" s="3"/>
      <c r="AR1015" s="3"/>
      <c r="AS1015" s="3"/>
      <c r="AT1015" s="3"/>
      <c r="AU1015" s="3"/>
      <c r="AV1015" s="3"/>
      <c r="AW1015" s="3"/>
      <c r="AX1015" s="3"/>
      <c r="AY1015" s="3"/>
      <c r="AZ1015" s="3"/>
      <c r="BA1015" s="3"/>
      <c r="BB1015" s="3"/>
    </row>
    <row r="1016" spans="4:54" x14ac:dyDescent="0.25">
      <c r="D1016" s="3" t="str">
        <f ca="1">'Por Valoracion (3) Dimension'!U1021</f>
        <v>el 52% percibió como Ni de acuerdo ni en desacuerdo</v>
      </c>
      <c r="E1016" s="3" t="str">
        <f>'Por Valoracion (3) Dimension'!M1021</f>
        <v>x</v>
      </c>
      <c r="M1016" s="3" t="str">
        <f ca="1">'Por Valoracion (3) Dimension'!AG1021</f>
        <v>el 53% mencionó como Ni de acuerdo ni en desacuerdo</v>
      </c>
      <c r="N1016" s="3" t="str">
        <f>'Por Valoracion (3) Dimension'!Y1021</f>
        <v>x</v>
      </c>
      <c r="V1016" s="3" t="str">
        <f ca="1">'Por Valoracion (3) Dimension'!AS1021</f>
        <v>el 49% respondió como Ni de acuerdo ni en desacuerdo</v>
      </c>
      <c r="W1016" s="3" t="str">
        <f>'Por Valoracion (3) Dimension'!AK1021</f>
        <v>x</v>
      </c>
      <c r="AD1016" s="3" t="str">
        <f>(D6)</f>
        <v>Planificación</v>
      </c>
      <c r="AE1016" s="7">
        <f>(D1006)</f>
        <v>0.2156862745098039</v>
      </c>
      <c r="AF1016" s="7">
        <f>(E1006)</f>
        <v>0.51153402537485582</v>
      </c>
      <c r="AG1016" s="7">
        <f>(F1006)</f>
        <v>0.27277970011534025</v>
      </c>
      <c r="AH1016" s="7">
        <f>MAX(AE1016:AG1016)</f>
        <v>0.51153402537485582</v>
      </c>
      <c r="AI1016" s="3" t="str">
        <f>IF(AH1016=AE1016,$AE$1015,IF(AH1016=AF1016,$AF$1015,IF(AH1016=AG1016,$AG$1015,"algo esta mal")))</f>
        <v>Ni de acuerdo ni en desacuerdo</v>
      </c>
      <c r="AJ1016" s="3">
        <f ca="1" xml:space="preserve"> RANDBETWEEN(1,10)</f>
        <v>10</v>
      </c>
      <c r="AK1016" s="3" t="str">
        <f ca="1">IF(AJ1016='Por Valoracion (3) Dimension'!$BD$1100,'Por Valoracion (3) Dimension'!$BE$1100,IF(AJ1016='Por Valoracion (3) Dimension'!$BD$1101,'Por Valoracion (3) Dimension'!$BE$1101,IF(AJ1016='Por Valoracion (3) Dimension'!$BD$1102,'Por Valoracion (3) Dimension'!$BE$1102,IF(AJ1016='Por Valoracion (3) Dimension'!$BD$1103,'Por Valoracion (3) Dimension'!$BE$1103,IF(AJ1016='Por Valoracion (3) Dimension'!$BD$1104,'Por Valoracion (3) Dimension'!$BE$1104,IF(AJ1016='Por Valoracion (3) Dimension'!$BD$1105,'Por Valoracion (3) Dimension'!$BE$1105,IF(AJ1016='Por Valoracion (3) Dimension'!$BD$1106,'Por Valoracion (3) Dimension'!$BE$1106,IF(AJ1016='Por Valoracion (3) Dimension'!$BD$1107,'Por Valoracion (3) Dimension'!$BE$1107,IF(AJ1016='Por Valoracion (3) Dimension'!$BD$1108,'Por Valoracion (3) Dimension'!$BE$1108,IF(AJ1016='Por Valoracion (3) Dimension'!$BD$1109,'Por Valoracion (3) Dimension'!$BE$1109, A4000))))))))))</f>
        <v>Tuvo una percepción de</v>
      </c>
      <c r="AL1016" s="3">
        <f ca="1" xml:space="preserve"> RANDBETWEEN(1,7)</f>
        <v>3</v>
      </c>
      <c r="AM1016" s="3" t="str">
        <f ca="1">IF(AL1016='Por Valoracion (3) Dimension'!$BD$1110,'Por Valoracion (3) Dimension'!$BE$1110,IF(AL1016='Por Valoracion (3) Dimension'!$BD$1111,'Por Valoracion (3) Dimension'!$BE$1111,IF(AL1016='Por Valoracion (3) Dimension'!$BD$1112,'Por Valoracion (3) Dimension'!$BE$1112,IF(AL1016='Por Valoracion (3) Dimension'!$BD$1113,'Por Valoracion (3) Dimension'!$BE$1113,IF(AL1016='Por Valoracion (3) Dimension'!$BD$1114,'Por Valoracion (3) Dimension'!$BE$1114,IF(AL1016='Por Valoracion (3) Dimension'!$BD$1115,'Por Valoracion (3) Dimension'!$BE$1115,IF(AL1016='Por Valoracion (3) Dimension'!$BD$1116,'Por Valoracion (3) Dimension'!$BE$1116,IF(AL1016='Por Valoracion (3) Dimension'!$BD$1117,'Por Valoracion (3) Dimension'!$BE$1117,IF(AL1016='Por Valoracion (3) Dimension'!$BD$1118,'Por Valoracion (3) Dimension'!$BE$1118,IF(AL1016='Por Valoracion (3) Dimension'!$BD$1119,'Por Valoracion (3) Dimension'!$BE$1119, A4000))))))))))</f>
        <v xml:space="preserve">por otra parte </v>
      </c>
      <c r="AN1016" s="3">
        <f ca="1" xml:space="preserve"> RANDBETWEEN(1,2)</f>
        <v>2</v>
      </c>
      <c r="AO1016" s="3" t="str">
        <f ca="1">IF(AN1016='Por Valoracion (3) Dimension'!$BD$1120,'Por Valoracion (3) Dimension'!$BE$1120,IF(AN1016='Por Valoracion (3) Dimension'!$BD$1121,'Por Valoracion (3) Dimension'!$BE$1121,A4000))</f>
        <v>Resultados</v>
      </c>
      <c r="AP1016" s="3" t="str">
        <f ca="1">CONCATENATE("el ",ROUND(AH1016*100,0),"% de los ",AO1016," ",AK1016," a la dimensión ",AD1016," como ",AI1016,", ",AM1016)</f>
        <v xml:space="preserve">el 51% de los Resultados Tuvo una percepción de a la dimensión Planificación como Ni de acuerdo ni en desacuerdo, por otra parte </v>
      </c>
    </row>
    <row r="1017" spans="4:54" x14ac:dyDescent="0.25">
      <c r="AD1017" s="3" t="str">
        <f>(M6)</f>
        <v>Transparencia</v>
      </c>
      <c r="AE1017" s="7">
        <f>(M1006)</f>
        <v>0.22779700115340254</v>
      </c>
      <c r="AF1017" s="7">
        <f>(N1006)</f>
        <v>0.50865051903114189</v>
      </c>
      <c r="AG1017" s="7">
        <f>(O1006)</f>
        <v>0.2635524798154556</v>
      </c>
      <c r="AH1017" s="7">
        <f>MAX(AE1017:AG1017)</f>
        <v>0.50865051903114189</v>
      </c>
      <c r="AI1017" s="3" t="str">
        <f>IF(AH1017=AE1017,$AE$1015,IF(AH1017=AF1017,$AF$1015,IF(AH1017=AG1017,$AG$1015,"algo esta mal")))</f>
        <v>Ni de acuerdo ni en desacuerdo</v>
      </c>
      <c r="AJ1017" s="3">
        <f ca="1" xml:space="preserve"> RANDBETWEEN(1,10)</f>
        <v>1</v>
      </c>
      <c r="AK1017" s="3" t="str">
        <f ca="1">IF(AJ1017='Por Valoracion (3) Dimension'!$BD$1100,'Por Valoracion (3) Dimension'!$BE$1100,IF(AJ1017='Por Valoracion (3) Dimension'!$BD$1101,'Por Valoracion (3) Dimension'!$BE$1101,IF(AJ1017='Por Valoracion (3) Dimension'!$BD$1102,'Por Valoracion (3) Dimension'!$BE$1102,IF(AJ1017='Por Valoracion (3) Dimension'!$BD$1103,'Por Valoracion (3) Dimension'!$BE$1103,IF(AJ1017='Por Valoracion (3) Dimension'!$BD$1104,'Por Valoracion (3) Dimension'!$BE$1104,IF(AJ1017='Por Valoracion (3) Dimension'!$BD$1105,'Por Valoracion (3) Dimension'!$BE$1105,IF(AJ1017='Por Valoracion (3) Dimension'!$BD$1106,'Por Valoracion (3) Dimension'!$BE$1106,IF(AJ1017='Por Valoracion (3) Dimension'!$BD$1107,'Por Valoracion (3) Dimension'!$BE$1107,IF(AJ1017='Por Valoracion (3) Dimension'!$BD$1108,'Por Valoracion (3) Dimension'!$BE$1108,IF(AJ1017='Por Valoracion (3) Dimension'!$BD$1109,'Por Valoracion (3) Dimension'!$BE$1109, A4000))))))))))</f>
        <v>valoró</v>
      </c>
      <c r="AL1017" s="3">
        <f ca="1" xml:space="preserve"> RANDBETWEEN(1,7)</f>
        <v>2</v>
      </c>
      <c r="AM1017" s="3" t="str">
        <f ca="1">IF(AL1017='Por Valoracion (3) Dimension'!$BD$1110,'Por Valoracion (3) Dimension'!$BE$1110,IF(AL1017='Por Valoracion (3) Dimension'!$BD$1111,'Por Valoracion (3) Dimension'!$BE$1111,IF(AL1017='Por Valoracion (3) Dimension'!$BD$1112,'Por Valoracion (3) Dimension'!$BE$1112,IF(AL1017='Por Valoracion (3) Dimension'!$BD$1113,'Por Valoracion (3) Dimension'!$BE$1113,IF(AL1017='Por Valoracion (3) Dimension'!$BD$1114,'Por Valoracion (3) Dimension'!$BE$1114,IF(AL1017='Por Valoracion (3) Dimension'!$BD$1115,'Por Valoracion (3) Dimension'!$BE$1115,IF(AL1017='Por Valoracion (3) Dimension'!$BD$1116,'Por Valoracion (3) Dimension'!$BE$1116,IF(AL1017='Por Valoracion (3) Dimension'!$BD$1117,'Por Valoracion (3) Dimension'!$BE$1117,IF(AL1017='Por Valoracion (3) Dimension'!$BD$1118,'Por Valoracion (3) Dimension'!$BE$1118,IF(AL1017='Por Valoracion (3) Dimension'!$BD$1119,'Por Valoracion (3) Dimension'!$BE$1119, A4000))))))))))</f>
        <v xml:space="preserve">por otro lado </v>
      </c>
      <c r="AN1017" s="3">
        <f ca="1" xml:space="preserve"> RANDBETWEEN(1,2)</f>
        <v>2</v>
      </c>
      <c r="AO1017" s="3" t="str">
        <f ca="1">IF(AN1017='Por Valoracion (3) Dimension'!$BD$1120,'Por Valoracion (3) Dimension'!$BE$1120,IF(AN1017='Por Valoracion (3) Dimension'!$BD$1121,'Por Valoracion (3) Dimension'!$BE$1121,A4000))</f>
        <v>Resultados</v>
      </c>
      <c r="AP1017" s="3" t="str">
        <f ca="1">CONCATENATE("el ",ROUND(AH1017*100,0),"% de los ",AO1017," ",AK1017," a la dimensión ",AD1017," como ",AI1017,", ",AM1017)</f>
        <v xml:space="preserve">el 51% de los Resultados valoró a la dimensión Transparencia como Ni de acuerdo ni en desacuerdo, por otro lado </v>
      </c>
    </row>
    <row r="1018" spans="4:54" x14ac:dyDescent="0.25">
      <c r="AD1018" s="3" t="str">
        <f>(V6)</f>
        <v>Cumplimiento normativo</v>
      </c>
      <c r="AE1018" s="7">
        <f>(V1006)</f>
        <v>0.27335640138408301</v>
      </c>
      <c r="AF1018" s="7">
        <f>(W1006)</f>
        <v>0.50057670126874276</v>
      </c>
      <c r="AG1018" s="7">
        <f>(X1006)</f>
        <v>0.22606689734717417</v>
      </c>
      <c r="AH1018" s="7">
        <f>MAX(AE1018:AG1018)</f>
        <v>0.50057670126874276</v>
      </c>
      <c r="AI1018" s="3" t="str">
        <f>IF(AH1018=AE1018,$AE$1015,IF(AH1018=AF1018,$AF$1015,IF(AH1018=AG1018,$AG$1015,"algo esta mal")))</f>
        <v>Ni de acuerdo ni en desacuerdo</v>
      </c>
      <c r="AJ1018" s="3">
        <f ca="1" xml:space="preserve"> RANDBETWEEN(1,10)</f>
        <v>5</v>
      </c>
      <c r="AK1018" s="3" t="str">
        <f ca="1">IF(AJ1018='Por Valoracion (3) Dimension'!$BD$1100,'Por Valoracion (3) Dimension'!$BE$1100,IF(AJ1018='Por Valoracion (3) Dimension'!$BD$1101,'Por Valoracion (3) Dimension'!$BE$1101,IF(AJ1018='Por Valoracion (3) Dimension'!$BD$1102,'Por Valoracion (3) Dimension'!$BE$1102,IF(AJ1018='Por Valoracion (3) Dimension'!$BD$1103,'Por Valoracion (3) Dimension'!$BE$1103,IF(AJ1018='Por Valoracion (3) Dimension'!$BD$1104,'Por Valoracion (3) Dimension'!$BE$1104,IF(AJ1018='Por Valoracion (3) Dimension'!$BD$1105,'Por Valoracion (3) Dimension'!$BE$1105,IF(AJ1018='Por Valoracion (3) Dimension'!$BD$1106,'Por Valoracion (3) Dimension'!$BE$1106,IF(AJ1018='Por Valoracion (3) Dimension'!$BD$1107,'Por Valoracion (3) Dimension'!$BE$1107,IF(AJ1018='Por Valoracion (3) Dimension'!$BD$1108,'Por Valoracion (3) Dimension'!$BE$1108,IF(AJ1018='Por Valoracion (3) Dimension'!$BD$1109,'Por Valoracion (3) Dimension'!$BE$1109, A4000))))))))))</f>
        <v>evaluó</v>
      </c>
      <c r="AL1018" s="3">
        <f ca="1" xml:space="preserve"> RANDBETWEEN(1,7)</f>
        <v>4</v>
      </c>
      <c r="AM1018" s="3" t="str">
        <f ca="1">IF(AL1018='Por Valoracion (3) Dimension'!$BD$1110,'Por Valoracion (3) Dimension'!$BE$1110,IF(AL1018='Por Valoracion (3) Dimension'!$BD$1111,'Por Valoracion (3) Dimension'!$BE$1111,IF(AL1018='Por Valoracion (3) Dimension'!$BD$1112,'Por Valoracion (3) Dimension'!$BE$1112,IF(AL1018='Por Valoracion (3) Dimension'!$BD$1113,'Por Valoracion (3) Dimension'!$BE$1113,IF(AL1018='Por Valoracion (3) Dimension'!$BD$1114,'Por Valoracion (3) Dimension'!$BE$1114,IF(AL1018='Por Valoracion (3) Dimension'!$BD$1115,'Por Valoracion (3) Dimension'!$BE$1115,IF(AL1018='Por Valoracion (3) Dimension'!$BD$1116,'Por Valoracion (3) Dimension'!$BE$1116,IF(AL1018='Por Valoracion (3) Dimension'!$BD$1117,'Por Valoracion (3) Dimension'!$BE$1117,IF(AL1018='Por Valoracion (3) Dimension'!$BD$1118,'Por Valoracion (3) Dimension'!$BE$1118,IF(AL1018='Por Valoracion (3) Dimension'!$BD$1119,'Por Valoracion (3) Dimension'!$BE$1119, A4000))))))))))</f>
        <v xml:space="preserve">ademas </v>
      </c>
      <c r="AN1018" s="3">
        <f ca="1" xml:space="preserve"> RANDBETWEEN(1,2)</f>
        <v>1</v>
      </c>
      <c r="AO1018" s="3" t="str">
        <f ca="1">IF(AN1018='Por Valoracion (3) Dimension'!$BD$1120,'Por Valoracion (3) Dimension'!$BE$1120,IF(AN1018='Por Valoracion (3) Dimension'!$BD$1121,'Por Valoracion (3) Dimension'!$BE$1121,A4000))</f>
        <v>Beneficiaross</v>
      </c>
      <c r="AP1018" s="3" t="str">
        <f ca="1">CONCATENATE("el ",ROUND(AH1018*100,0),"% de los ",AO1018," ",AK1018," a la dimensión ",AD1018," como ",AI1018)</f>
        <v>el 50% de los Beneficiaross evaluó a la dimensión Cumplimiento normativo como Ni de acuerdo ni en desacuerdo</v>
      </c>
    </row>
    <row r="1076" spans="30:31" x14ac:dyDescent="0.25">
      <c r="AD1076" s="3" t="str">
        <f>IF(AE1076=AE1016,AD1016,IF(AE1076=AE1017,AD1017,IF(AE1076=AE1018,AD1018)))</f>
        <v>Cumplimiento normativo</v>
      </c>
      <c r="AE1076" s="7">
        <f>MAX(AE1016:AE1018)</f>
        <v>0.27335640138408301</v>
      </c>
    </row>
    <row r="2008" spans="5:33" x14ac:dyDescent="0.25">
      <c r="E2008" s="3"/>
      <c r="N2008" s="3"/>
      <c r="W2008" s="3"/>
      <c r="AF2008" s="3"/>
    </row>
    <row r="2009" spans="5:33" x14ac:dyDescent="0.25">
      <c r="E2009" s="3"/>
      <c r="N2009" s="3"/>
      <c r="W2009" s="3"/>
      <c r="AF2009" s="3"/>
    </row>
    <row r="2010" spans="5:33" x14ac:dyDescent="0.25">
      <c r="E2010" s="3"/>
      <c r="N2010" s="3"/>
      <c r="W2010" s="3"/>
      <c r="AF2010" s="3"/>
    </row>
    <row r="2011" spans="5:33" x14ac:dyDescent="0.25">
      <c r="E2011" s="3"/>
      <c r="N2011" s="3"/>
      <c r="W2011" s="3"/>
      <c r="AF2011" s="3"/>
    </row>
    <row r="2012" spans="5:33" x14ac:dyDescent="0.25">
      <c r="E2012" s="3"/>
      <c r="N2012" s="3"/>
      <c r="W2012" s="3"/>
      <c r="AF2012" s="3"/>
    </row>
    <row r="2013" spans="5:33" x14ac:dyDescent="0.25">
      <c r="E2013" s="9">
        <f>SUM(E2008:E2012)</f>
        <v>0</v>
      </c>
      <c r="F2013" s="13">
        <f>SUM(F2008:F2012)</f>
        <v>0</v>
      </c>
      <c r="N2013" s="9">
        <f>SUM(N2008:N2012)</f>
        <v>0</v>
      </c>
      <c r="O2013" s="13">
        <f>SUM(O2008:O2012)</f>
        <v>0</v>
      </c>
      <c r="W2013" s="9">
        <f>SUM(W2008:W2012)</f>
        <v>0</v>
      </c>
      <c r="X2013" s="13">
        <f>SUM(X2008:X2012)</f>
        <v>0</v>
      </c>
      <c r="AF2013" s="9">
        <f>SUM(AF2008:AF2012)</f>
        <v>0</v>
      </c>
      <c r="AG2013" s="13">
        <f>SUM(AG2008:AG2012)</f>
        <v>0</v>
      </c>
    </row>
    <row r="2101" spans="3:33" x14ac:dyDescent="0.25">
      <c r="D2101" s="3" t="s">
        <v>333</v>
      </c>
      <c r="E2101" s="3" t="str">
        <f>(AE6)</f>
        <v>Gestión de abastecimiento</v>
      </c>
      <c r="M2101" s="3" t="s">
        <v>333</v>
      </c>
      <c r="N2101" s="3" t="str">
        <f>(AE6)</f>
        <v>Gestión de abastecimiento</v>
      </c>
      <c r="V2101" s="3" t="s">
        <v>333</v>
      </c>
      <c r="W2101" s="3" t="str">
        <f>(AE6)</f>
        <v>Gestión de abastecimiento</v>
      </c>
      <c r="AE2101" s="3" t="s">
        <v>333</v>
      </c>
      <c r="AF2101" s="3" t="str">
        <f>(AE6)</f>
        <v>Gestión de abastecimiento</v>
      </c>
    </row>
    <row r="2102" spans="3:33" x14ac:dyDescent="0.25">
      <c r="D2102" s="3" t="s">
        <v>359</v>
      </c>
      <c r="E2102" s="3" t="str">
        <f>(D6)</f>
        <v>Planificación</v>
      </c>
      <c r="M2102" s="3" t="s">
        <v>359</v>
      </c>
      <c r="N2102" s="3" t="str">
        <f>(M6)</f>
        <v>Transparencia</v>
      </c>
      <c r="V2102" s="3" t="s">
        <v>359</v>
      </c>
      <c r="W2102" s="3" t="str">
        <f>(V6)</f>
        <v>Cumplimiento normativo</v>
      </c>
      <c r="AE2102" s="3" t="s">
        <v>359</v>
      </c>
      <c r="AF2102" s="3" t="str">
        <f>(AE6)</f>
        <v>Gestión de abastecimiento</v>
      </c>
    </row>
    <row r="2103" spans="3:33" x14ac:dyDescent="0.25">
      <c r="D2103" s="3" t="s">
        <v>451</v>
      </c>
      <c r="E2103" s="3" t="s">
        <v>360</v>
      </c>
      <c r="M2103" s="3" t="s">
        <v>451</v>
      </c>
      <c r="N2103" s="3" t="s">
        <v>360</v>
      </c>
      <c r="V2103" s="3" t="s">
        <v>451</v>
      </c>
      <c r="W2103" s="3" t="s">
        <v>360</v>
      </c>
      <c r="AE2103" s="3" t="s">
        <v>451</v>
      </c>
      <c r="AF2103" s="3" t="s">
        <v>360</v>
      </c>
    </row>
    <row r="2104" spans="3:33" x14ac:dyDescent="0.25">
      <c r="C2104" s="3" t="s">
        <v>366</v>
      </c>
      <c r="D2104" s="3" t="s">
        <v>349</v>
      </c>
      <c r="E2104" s="3" t="s">
        <v>350</v>
      </c>
      <c r="F2104" s="3" t="s">
        <v>351</v>
      </c>
      <c r="L2104" s="3" t="s">
        <v>366</v>
      </c>
      <c r="M2104" s="3" t="s">
        <v>349</v>
      </c>
      <c r="N2104" s="3" t="s">
        <v>350</v>
      </c>
      <c r="O2104" s="3" t="s">
        <v>351</v>
      </c>
      <c r="U2104" s="3" t="s">
        <v>366</v>
      </c>
      <c r="V2104" s="3" t="s">
        <v>349</v>
      </c>
      <c r="W2104" s="3" t="s">
        <v>350</v>
      </c>
      <c r="X2104" s="3" t="s">
        <v>351</v>
      </c>
      <c r="AD2104" s="3" t="s">
        <v>366</v>
      </c>
      <c r="AE2104" s="3" t="s">
        <v>349</v>
      </c>
      <c r="AF2104" s="3" t="s">
        <v>350</v>
      </c>
      <c r="AG2104" s="3" t="s">
        <v>351</v>
      </c>
    </row>
    <row r="2105" spans="3:33" x14ac:dyDescent="0.25">
      <c r="C2105" s="3" t="s">
        <v>344</v>
      </c>
      <c r="L2105" s="3" t="s">
        <v>344</v>
      </c>
      <c r="U2105" s="3" t="s">
        <v>344</v>
      </c>
      <c r="AD2105" s="3" t="s">
        <v>344</v>
      </c>
    </row>
    <row r="2107" spans="3:33" x14ac:dyDescent="0.25">
      <c r="C2107" s="3" t="s">
        <v>452</v>
      </c>
      <c r="L2107" s="3" t="s">
        <v>452</v>
      </c>
      <c r="U2107" s="3" t="s">
        <v>452</v>
      </c>
      <c r="AD2107" s="3" t="s">
        <v>452</v>
      </c>
    </row>
  </sheetData>
  <sheetProtection formatCells="0" formatColumns="0" formatRows="0" insertColumns="0" insertRows="0" insertHyperlinks="0" deleteColumns="0" deleteRows="0" sort="0" autoFilter="0" pivotTables="0"/>
  <mergeCells count="8">
    <mergeCell ref="AE4:AG4"/>
    <mergeCell ref="AE36:AG47"/>
    <mergeCell ref="D4:F4"/>
    <mergeCell ref="D36:F47"/>
    <mergeCell ref="M4:O4"/>
    <mergeCell ref="M36:O47"/>
    <mergeCell ref="V4:X4"/>
    <mergeCell ref="V36:X47"/>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311"/>
  <sheetViews>
    <sheetView workbookViewId="0">
      <selection activeCell="J311" sqref="J311"/>
    </sheetView>
  </sheetViews>
  <sheetFormatPr baseColWidth="10" defaultColWidth="9.140625" defaultRowHeight="15" x14ac:dyDescent="0.25"/>
  <sheetData>
    <row r="1" spans="1:12" x14ac:dyDescent="0.25">
      <c r="A1" s="40" t="s">
        <v>0</v>
      </c>
      <c r="B1" s="40"/>
      <c r="C1" s="40"/>
      <c r="D1" s="40"/>
      <c r="E1" s="40"/>
      <c r="F1" s="40"/>
      <c r="G1" s="40"/>
      <c r="H1" s="40"/>
      <c r="I1" s="40"/>
      <c r="J1" s="40"/>
      <c r="K1" s="40"/>
      <c r="L1" s="40"/>
    </row>
    <row r="2" spans="1:12" x14ac:dyDescent="0.25">
      <c r="A2" s="40"/>
      <c r="B2" s="40"/>
      <c r="C2" s="40"/>
      <c r="D2" s="40"/>
      <c r="E2" s="40"/>
      <c r="F2" s="40"/>
      <c r="G2" s="40"/>
      <c r="H2" s="40"/>
      <c r="I2" s="40"/>
      <c r="J2" s="40"/>
      <c r="K2" s="40"/>
      <c r="L2" s="40"/>
    </row>
    <row r="3" spans="1:12" x14ac:dyDescent="0.25">
      <c r="B3" s="41" t="s">
        <v>455</v>
      </c>
      <c r="C3" s="41"/>
      <c r="D3" s="41"/>
      <c r="E3" s="41"/>
      <c r="F3" s="41"/>
      <c r="G3" s="41"/>
      <c r="H3" s="41"/>
      <c r="I3" s="41"/>
      <c r="J3" s="41"/>
      <c r="K3" s="41" t="s">
        <v>4</v>
      </c>
      <c r="L3" s="41" t="s">
        <v>5</v>
      </c>
    </row>
    <row r="4" spans="1:12" x14ac:dyDescent="0.25">
      <c r="B4" s="42" t="s">
        <v>6</v>
      </c>
      <c r="C4" s="42" t="s">
        <v>7</v>
      </c>
      <c r="D4" s="42" t="s">
        <v>8</v>
      </c>
      <c r="E4" s="42" t="s">
        <v>9</v>
      </c>
      <c r="F4" s="42" t="s">
        <v>10</v>
      </c>
      <c r="G4" s="42" t="s">
        <v>11</v>
      </c>
      <c r="H4" s="42" t="s">
        <v>12</v>
      </c>
      <c r="I4" s="42" t="s">
        <v>13</v>
      </c>
      <c r="J4" s="42" t="s">
        <v>14</v>
      </c>
    </row>
    <row r="5" spans="1:12" x14ac:dyDescent="0.25">
      <c r="A5" s="53" t="s">
        <v>24</v>
      </c>
      <c r="B5" s="53">
        <v>3</v>
      </c>
      <c r="C5" s="53">
        <v>3</v>
      </c>
      <c r="D5" s="53">
        <v>4</v>
      </c>
      <c r="E5" s="53">
        <v>4</v>
      </c>
      <c r="F5" s="53">
        <v>4</v>
      </c>
      <c r="G5" s="53">
        <v>3</v>
      </c>
      <c r="H5" s="53">
        <v>4</v>
      </c>
      <c r="I5" s="53">
        <v>3</v>
      </c>
      <c r="J5" s="53">
        <v>3</v>
      </c>
      <c r="K5" s="53">
        <f t="shared" ref="K5:K68" si="0">SUM(B5:J5)</f>
        <v>31</v>
      </c>
    </row>
    <row r="6" spans="1:12" x14ac:dyDescent="0.25">
      <c r="A6" s="53" t="s">
        <v>25</v>
      </c>
      <c r="B6" s="53">
        <v>2</v>
      </c>
      <c r="C6" s="53">
        <v>2</v>
      </c>
      <c r="D6" s="53">
        <v>3</v>
      </c>
      <c r="E6" s="53">
        <v>3</v>
      </c>
      <c r="F6" s="53">
        <v>2</v>
      </c>
      <c r="G6" s="53">
        <v>2</v>
      </c>
      <c r="H6" s="53">
        <v>2</v>
      </c>
      <c r="I6" s="53">
        <v>2</v>
      </c>
      <c r="J6" s="53">
        <v>2</v>
      </c>
      <c r="K6" s="53">
        <f t="shared" si="0"/>
        <v>20</v>
      </c>
    </row>
    <row r="7" spans="1:12" x14ac:dyDescent="0.25">
      <c r="A7" s="53" t="s">
        <v>26</v>
      </c>
      <c r="B7" s="53">
        <v>3</v>
      </c>
      <c r="C7" s="53">
        <v>3</v>
      </c>
      <c r="D7" s="53">
        <v>3</v>
      </c>
      <c r="E7" s="53">
        <v>3</v>
      </c>
      <c r="F7" s="53">
        <v>3</v>
      </c>
      <c r="G7" s="53">
        <v>3</v>
      </c>
      <c r="H7" s="53">
        <v>3</v>
      </c>
      <c r="I7" s="53">
        <v>3</v>
      </c>
      <c r="J7" s="53">
        <v>2</v>
      </c>
      <c r="K7" s="53">
        <f t="shared" si="0"/>
        <v>26</v>
      </c>
    </row>
    <row r="8" spans="1:12" x14ac:dyDescent="0.25">
      <c r="A8" s="53" t="s">
        <v>27</v>
      </c>
      <c r="B8" s="53">
        <v>4</v>
      </c>
      <c r="C8" s="53">
        <v>4</v>
      </c>
      <c r="D8" s="53">
        <v>4</v>
      </c>
      <c r="E8" s="53">
        <v>4</v>
      </c>
      <c r="F8" s="53">
        <v>4</v>
      </c>
      <c r="G8" s="53">
        <v>3</v>
      </c>
      <c r="H8" s="53">
        <v>4</v>
      </c>
      <c r="I8" s="53">
        <v>4</v>
      </c>
      <c r="J8" s="53">
        <v>4</v>
      </c>
      <c r="K8" s="53">
        <f t="shared" si="0"/>
        <v>35</v>
      </c>
    </row>
    <row r="9" spans="1:12" x14ac:dyDescent="0.25">
      <c r="A9" s="53" t="s">
        <v>28</v>
      </c>
      <c r="B9" s="53">
        <v>4</v>
      </c>
      <c r="C9" s="53">
        <v>4</v>
      </c>
      <c r="D9" s="53">
        <v>4</v>
      </c>
      <c r="E9" s="53">
        <v>4</v>
      </c>
      <c r="F9" s="53">
        <v>4</v>
      </c>
      <c r="G9" s="53">
        <v>3</v>
      </c>
      <c r="H9" s="53">
        <v>4</v>
      </c>
      <c r="I9" s="53">
        <v>4</v>
      </c>
      <c r="J9" s="53">
        <v>4</v>
      </c>
      <c r="K9" s="53">
        <f t="shared" si="0"/>
        <v>35</v>
      </c>
    </row>
    <row r="10" spans="1:12" x14ac:dyDescent="0.25">
      <c r="A10" s="53" t="s">
        <v>29</v>
      </c>
      <c r="B10" s="53">
        <v>3</v>
      </c>
      <c r="C10" s="53">
        <v>3</v>
      </c>
      <c r="D10" s="53">
        <v>3</v>
      </c>
      <c r="E10" s="53">
        <v>3</v>
      </c>
      <c r="F10" s="53">
        <v>3</v>
      </c>
      <c r="G10" s="53">
        <v>3</v>
      </c>
      <c r="H10" s="53">
        <v>3</v>
      </c>
      <c r="I10" s="53">
        <v>3</v>
      </c>
      <c r="J10" s="53">
        <v>3</v>
      </c>
      <c r="K10" s="53">
        <f t="shared" si="0"/>
        <v>27</v>
      </c>
    </row>
    <row r="11" spans="1:12" x14ac:dyDescent="0.25">
      <c r="A11" s="53" t="s">
        <v>30</v>
      </c>
      <c r="B11" s="53">
        <v>4</v>
      </c>
      <c r="C11" s="53">
        <v>3</v>
      </c>
      <c r="D11" s="53">
        <v>4</v>
      </c>
      <c r="E11" s="53">
        <v>4</v>
      </c>
      <c r="F11" s="53">
        <v>4</v>
      </c>
      <c r="G11" s="53">
        <v>3</v>
      </c>
      <c r="H11" s="53">
        <v>3</v>
      </c>
      <c r="I11" s="53">
        <v>3</v>
      </c>
      <c r="J11" s="53">
        <v>4</v>
      </c>
      <c r="K11" s="53">
        <f t="shared" si="0"/>
        <v>32</v>
      </c>
    </row>
    <row r="12" spans="1:12" x14ac:dyDescent="0.25">
      <c r="A12" s="53" t="s">
        <v>31</v>
      </c>
      <c r="B12" s="53">
        <v>2</v>
      </c>
      <c r="C12" s="53">
        <v>2</v>
      </c>
      <c r="D12" s="53">
        <v>2</v>
      </c>
      <c r="E12" s="53">
        <v>2</v>
      </c>
      <c r="F12" s="53">
        <v>2</v>
      </c>
      <c r="G12" s="53">
        <v>2</v>
      </c>
      <c r="H12" s="53">
        <v>2</v>
      </c>
      <c r="I12" s="53">
        <v>2</v>
      </c>
      <c r="J12" s="53">
        <v>2</v>
      </c>
      <c r="K12" s="53">
        <f t="shared" si="0"/>
        <v>18</v>
      </c>
    </row>
    <row r="13" spans="1:12" x14ac:dyDescent="0.25">
      <c r="A13" s="53" t="s">
        <v>32</v>
      </c>
      <c r="B13" s="53">
        <v>2</v>
      </c>
      <c r="C13" s="53">
        <v>2</v>
      </c>
      <c r="D13" s="53">
        <v>3</v>
      </c>
      <c r="E13" s="53">
        <v>2</v>
      </c>
      <c r="F13" s="53">
        <v>3</v>
      </c>
      <c r="G13" s="53">
        <v>3</v>
      </c>
      <c r="H13" s="53">
        <v>2</v>
      </c>
      <c r="I13" s="53">
        <v>2</v>
      </c>
      <c r="J13" s="53">
        <v>2</v>
      </c>
      <c r="K13" s="53">
        <f t="shared" si="0"/>
        <v>21</v>
      </c>
    </row>
    <row r="14" spans="1:12" x14ac:dyDescent="0.25">
      <c r="A14" s="53" t="s">
        <v>33</v>
      </c>
      <c r="B14" s="53">
        <v>3</v>
      </c>
      <c r="C14" s="53">
        <v>4</v>
      </c>
      <c r="D14" s="53">
        <v>4</v>
      </c>
      <c r="E14" s="53">
        <v>3</v>
      </c>
      <c r="F14" s="53">
        <v>4</v>
      </c>
      <c r="G14" s="53">
        <v>3</v>
      </c>
      <c r="H14" s="53">
        <v>4</v>
      </c>
      <c r="I14" s="53">
        <v>4</v>
      </c>
      <c r="J14" s="53">
        <v>4</v>
      </c>
      <c r="K14" s="53">
        <f t="shared" si="0"/>
        <v>33</v>
      </c>
    </row>
    <row r="15" spans="1:12" x14ac:dyDescent="0.25">
      <c r="A15" s="53" t="s">
        <v>34</v>
      </c>
      <c r="B15" s="53">
        <v>3</v>
      </c>
      <c r="C15" s="53">
        <v>3</v>
      </c>
      <c r="D15" s="53">
        <v>3</v>
      </c>
      <c r="E15" s="53">
        <v>3</v>
      </c>
      <c r="F15" s="53">
        <v>3</v>
      </c>
      <c r="G15" s="53">
        <v>2</v>
      </c>
      <c r="H15" s="53">
        <v>3</v>
      </c>
      <c r="I15" s="53">
        <v>2</v>
      </c>
      <c r="J15" s="53">
        <v>2</v>
      </c>
      <c r="K15" s="53">
        <f t="shared" si="0"/>
        <v>24</v>
      </c>
    </row>
    <row r="16" spans="1:12" x14ac:dyDescent="0.25">
      <c r="A16" s="53" t="s">
        <v>35</v>
      </c>
      <c r="B16" s="53">
        <v>4</v>
      </c>
      <c r="C16" s="53">
        <v>4</v>
      </c>
      <c r="D16" s="53">
        <v>4</v>
      </c>
      <c r="E16" s="53">
        <v>4</v>
      </c>
      <c r="F16" s="53">
        <v>4</v>
      </c>
      <c r="G16" s="53">
        <v>3</v>
      </c>
      <c r="H16" s="53">
        <v>4</v>
      </c>
      <c r="I16" s="53">
        <v>3</v>
      </c>
      <c r="J16" s="53">
        <v>4</v>
      </c>
      <c r="K16" s="53">
        <f t="shared" si="0"/>
        <v>34</v>
      </c>
    </row>
    <row r="17" spans="1:11" x14ac:dyDescent="0.25">
      <c r="A17" s="53" t="s">
        <v>36</v>
      </c>
      <c r="B17" s="53">
        <v>2</v>
      </c>
      <c r="C17" s="53">
        <v>2</v>
      </c>
      <c r="D17" s="53">
        <v>3</v>
      </c>
      <c r="E17" s="53">
        <v>2</v>
      </c>
      <c r="F17" s="53">
        <v>3</v>
      </c>
      <c r="G17" s="53">
        <v>2</v>
      </c>
      <c r="H17" s="53">
        <v>3</v>
      </c>
      <c r="I17" s="53">
        <v>2</v>
      </c>
      <c r="J17" s="53">
        <v>3</v>
      </c>
      <c r="K17" s="53">
        <f t="shared" si="0"/>
        <v>22</v>
      </c>
    </row>
    <row r="18" spans="1:11" x14ac:dyDescent="0.25">
      <c r="A18" s="53" t="s">
        <v>37</v>
      </c>
      <c r="B18" s="53">
        <v>3</v>
      </c>
      <c r="C18" s="53">
        <v>3</v>
      </c>
      <c r="D18" s="53">
        <v>3</v>
      </c>
      <c r="E18" s="53">
        <v>3</v>
      </c>
      <c r="F18" s="53">
        <v>3</v>
      </c>
      <c r="G18" s="53">
        <v>3</v>
      </c>
      <c r="H18" s="53">
        <v>3</v>
      </c>
      <c r="I18" s="53">
        <v>3</v>
      </c>
      <c r="J18" s="53">
        <v>3</v>
      </c>
      <c r="K18" s="53">
        <f t="shared" si="0"/>
        <v>27</v>
      </c>
    </row>
    <row r="19" spans="1:11" x14ac:dyDescent="0.25">
      <c r="A19" s="53" t="s">
        <v>38</v>
      </c>
      <c r="B19" s="53">
        <v>3</v>
      </c>
      <c r="C19" s="53">
        <v>3</v>
      </c>
      <c r="D19" s="53">
        <v>3</v>
      </c>
      <c r="E19" s="53">
        <v>3</v>
      </c>
      <c r="F19" s="53">
        <v>3</v>
      </c>
      <c r="G19" s="53">
        <v>3</v>
      </c>
      <c r="H19" s="53">
        <v>2</v>
      </c>
      <c r="I19" s="53">
        <v>3</v>
      </c>
      <c r="J19" s="53">
        <v>3</v>
      </c>
      <c r="K19" s="53">
        <f t="shared" si="0"/>
        <v>26</v>
      </c>
    </row>
    <row r="20" spans="1:11" x14ac:dyDescent="0.25">
      <c r="A20" s="53" t="s">
        <v>39</v>
      </c>
      <c r="B20" s="53">
        <v>3</v>
      </c>
      <c r="C20" s="53">
        <v>3</v>
      </c>
      <c r="D20" s="53">
        <v>3</v>
      </c>
      <c r="E20" s="53">
        <v>3</v>
      </c>
      <c r="F20" s="53">
        <v>3</v>
      </c>
      <c r="G20" s="53">
        <v>3</v>
      </c>
      <c r="H20" s="53">
        <v>3</v>
      </c>
      <c r="I20" s="53">
        <v>3</v>
      </c>
      <c r="J20" s="53">
        <v>3</v>
      </c>
      <c r="K20" s="53">
        <f t="shared" si="0"/>
        <v>27</v>
      </c>
    </row>
    <row r="21" spans="1:11" x14ac:dyDescent="0.25">
      <c r="A21" s="53" t="s">
        <v>40</v>
      </c>
      <c r="B21" s="53">
        <v>3</v>
      </c>
      <c r="C21" s="53">
        <v>3</v>
      </c>
      <c r="D21" s="53">
        <v>3</v>
      </c>
      <c r="E21" s="53">
        <v>3</v>
      </c>
      <c r="F21" s="53">
        <v>3</v>
      </c>
      <c r="G21" s="53">
        <v>3</v>
      </c>
      <c r="H21" s="53">
        <v>3</v>
      </c>
      <c r="I21" s="53">
        <v>3</v>
      </c>
      <c r="J21" s="53">
        <v>2</v>
      </c>
      <c r="K21" s="53">
        <f t="shared" si="0"/>
        <v>26</v>
      </c>
    </row>
    <row r="22" spans="1:11" x14ac:dyDescent="0.25">
      <c r="A22" s="53" t="s">
        <v>41</v>
      </c>
      <c r="B22" s="53">
        <v>3</v>
      </c>
      <c r="C22" s="53">
        <v>2</v>
      </c>
      <c r="D22" s="53">
        <v>3</v>
      </c>
      <c r="E22" s="53">
        <v>3</v>
      </c>
      <c r="F22" s="53">
        <v>2</v>
      </c>
      <c r="G22" s="53">
        <v>2</v>
      </c>
      <c r="H22" s="53">
        <v>3</v>
      </c>
      <c r="I22" s="53">
        <v>2</v>
      </c>
      <c r="J22" s="53">
        <v>2</v>
      </c>
      <c r="K22" s="53">
        <f t="shared" si="0"/>
        <v>22</v>
      </c>
    </row>
    <row r="23" spans="1:11" x14ac:dyDescent="0.25">
      <c r="A23" s="53" t="s">
        <v>42</v>
      </c>
      <c r="B23" s="53">
        <v>2</v>
      </c>
      <c r="C23" s="53">
        <v>2</v>
      </c>
      <c r="D23" s="53">
        <v>3</v>
      </c>
      <c r="E23" s="53">
        <v>2</v>
      </c>
      <c r="F23" s="53">
        <v>2</v>
      </c>
      <c r="G23" s="53">
        <v>2</v>
      </c>
      <c r="H23" s="53">
        <v>3</v>
      </c>
      <c r="I23" s="53">
        <v>2</v>
      </c>
      <c r="J23" s="53">
        <v>2</v>
      </c>
      <c r="K23" s="53">
        <f t="shared" si="0"/>
        <v>20</v>
      </c>
    </row>
    <row r="24" spans="1:11" x14ac:dyDescent="0.25">
      <c r="A24" s="53" t="s">
        <v>43</v>
      </c>
      <c r="B24" s="53">
        <v>4</v>
      </c>
      <c r="C24" s="53">
        <v>4</v>
      </c>
      <c r="D24" s="53">
        <v>4</v>
      </c>
      <c r="E24" s="53">
        <v>4</v>
      </c>
      <c r="F24" s="53">
        <v>4</v>
      </c>
      <c r="G24" s="53">
        <v>4</v>
      </c>
      <c r="H24" s="53">
        <v>4</v>
      </c>
      <c r="I24" s="53">
        <v>4</v>
      </c>
      <c r="J24" s="53">
        <v>4</v>
      </c>
      <c r="K24" s="53">
        <f t="shared" si="0"/>
        <v>36</v>
      </c>
    </row>
    <row r="25" spans="1:11" x14ac:dyDescent="0.25">
      <c r="A25" s="53" t="s">
        <v>44</v>
      </c>
      <c r="B25" s="53">
        <v>2</v>
      </c>
      <c r="C25" s="53">
        <v>2</v>
      </c>
      <c r="D25" s="53">
        <v>3</v>
      </c>
      <c r="E25" s="53">
        <v>2</v>
      </c>
      <c r="F25" s="53">
        <v>2</v>
      </c>
      <c r="G25" s="53">
        <v>2</v>
      </c>
      <c r="H25" s="53">
        <v>2</v>
      </c>
      <c r="I25" s="53">
        <v>2</v>
      </c>
      <c r="J25" s="53">
        <v>2</v>
      </c>
      <c r="K25" s="53">
        <f t="shared" si="0"/>
        <v>19</v>
      </c>
    </row>
    <row r="26" spans="1:11" x14ac:dyDescent="0.25">
      <c r="A26" s="53" t="s">
        <v>45</v>
      </c>
      <c r="B26" s="53">
        <v>2</v>
      </c>
      <c r="C26" s="53">
        <v>3</v>
      </c>
      <c r="D26" s="53">
        <v>3</v>
      </c>
      <c r="E26" s="53">
        <v>3</v>
      </c>
      <c r="F26" s="53">
        <v>3</v>
      </c>
      <c r="G26" s="53">
        <v>2</v>
      </c>
      <c r="H26" s="53">
        <v>2</v>
      </c>
      <c r="I26" s="53">
        <v>3</v>
      </c>
      <c r="J26" s="53">
        <v>2</v>
      </c>
      <c r="K26" s="53">
        <f t="shared" si="0"/>
        <v>23</v>
      </c>
    </row>
    <row r="27" spans="1:11" x14ac:dyDescent="0.25">
      <c r="A27" s="53" t="s">
        <v>46</v>
      </c>
      <c r="B27" s="53">
        <v>3</v>
      </c>
      <c r="C27" s="53">
        <v>2</v>
      </c>
      <c r="D27" s="53">
        <v>3</v>
      </c>
      <c r="E27" s="53">
        <v>3</v>
      </c>
      <c r="F27" s="53">
        <v>3</v>
      </c>
      <c r="G27" s="53">
        <v>2</v>
      </c>
      <c r="H27" s="53">
        <v>3</v>
      </c>
      <c r="I27" s="53">
        <v>3</v>
      </c>
      <c r="J27" s="53">
        <v>3</v>
      </c>
      <c r="K27" s="53">
        <f t="shared" si="0"/>
        <v>25</v>
      </c>
    </row>
    <row r="28" spans="1:11" x14ac:dyDescent="0.25">
      <c r="A28" s="53" t="s">
        <v>47</v>
      </c>
      <c r="B28" s="53">
        <v>4</v>
      </c>
      <c r="C28" s="53">
        <v>5</v>
      </c>
      <c r="D28" s="53">
        <v>4</v>
      </c>
      <c r="E28" s="53">
        <v>4</v>
      </c>
      <c r="F28" s="53">
        <v>5</v>
      </c>
      <c r="G28" s="53">
        <v>4</v>
      </c>
      <c r="H28" s="53">
        <v>5</v>
      </c>
      <c r="I28" s="53">
        <v>4</v>
      </c>
      <c r="J28" s="53">
        <v>4</v>
      </c>
      <c r="K28" s="53">
        <f t="shared" si="0"/>
        <v>39</v>
      </c>
    </row>
    <row r="29" spans="1:11" x14ac:dyDescent="0.25">
      <c r="A29" s="53" t="s">
        <v>48</v>
      </c>
      <c r="B29" s="53">
        <v>2</v>
      </c>
      <c r="C29" s="53">
        <v>2</v>
      </c>
      <c r="D29" s="53">
        <v>2</v>
      </c>
      <c r="E29" s="53">
        <v>2</v>
      </c>
      <c r="F29" s="53">
        <v>2</v>
      </c>
      <c r="G29" s="53">
        <v>2</v>
      </c>
      <c r="H29" s="53">
        <v>2</v>
      </c>
      <c r="I29" s="53">
        <v>2</v>
      </c>
      <c r="J29" s="53">
        <v>2</v>
      </c>
      <c r="K29" s="53">
        <f t="shared" si="0"/>
        <v>18</v>
      </c>
    </row>
    <row r="30" spans="1:11" x14ac:dyDescent="0.25">
      <c r="A30" s="53" t="s">
        <v>49</v>
      </c>
      <c r="B30" s="53">
        <v>2</v>
      </c>
      <c r="C30" s="53">
        <v>2</v>
      </c>
      <c r="D30" s="53">
        <v>3</v>
      </c>
      <c r="E30" s="53">
        <v>2</v>
      </c>
      <c r="F30" s="53">
        <v>3</v>
      </c>
      <c r="G30" s="53">
        <v>2</v>
      </c>
      <c r="H30" s="53">
        <v>2</v>
      </c>
      <c r="I30" s="53">
        <v>2</v>
      </c>
      <c r="J30" s="53">
        <v>2</v>
      </c>
      <c r="K30" s="53">
        <f t="shared" si="0"/>
        <v>20</v>
      </c>
    </row>
    <row r="31" spans="1:11" x14ac:dyDescent="0.25">
      <c r="A31" s="53" t="s">
        <v>50</v>
      </c>
      <c r="B31" s="53">
        <v>3</v>
      </c>
      <c r="C31" s="53">
        <v>3</v>
      </c>
      <c r="D31" s="53">
        <v>3</v>
      </c>
      <c r="E31" s="53">
        <v>3</v>
      </c>
      <c r="F31" s="53">
        <v>3</v>
      </c>
      <c r="G31" s="53">
        <v>3</v>
      </c>
      <c r="H31" s="53">
        <v>3</v>
      </c>
      <c r="I31" s="53">
        <v>2</v>
      </c>
      <c r="J31" s="53">
        <v>3</v>
      </c>
      <c r="K31" s="53">
        <f t="shared" si="0"/>
        <v>26</v>
      </c>
    </row>
    <row r="32" spans="1:11" x14ac:dyDescent="0.25">
      <c r="A32" s="53" t="s">
        <v>51</v>
      </c>
      <c r="B32" s="53">
        <v>4</v>
      </c>
      <c r="C32" s="53">
        <v>4</v>
      </c>
      <c r="D32" s="53">
        <v>4</v>
      </c>
      <c r="E32" s="53">
        <v>3</v>
      </c>
      <c r="F32" s="53">
        <v>3</v>
      </c>
      <c r="G32" s="53">
        <v>3</v>
      </c>
      <c r="H32" s="53">
        <v>3</v>
      </c>
      <c r="I32" s="53">
        <v>4</v>
      </c>
      <c r="J32" s="53">
        <v>3</v>
      </c>
      <c r="K32" s="53">
        <f t="shared" si="0"/>
        <v>31</v>
      </c>
    </row>
    <row r="33" spans="1:11" x14ac:dyDescent="0.25">
      <c r="A33" s="53" t="s">
        <v>52</v>
      </c>
      <c r="B33" s="53">
        <v>4</v>
      </c>
      <c r="C33" s="53">
        <v>4</v>
      </c>
      <c r="D33" s="53">
        <v>4</v>
      </c>
      <c r="E33" s="53">
        <v>4</v>
      </c>
      <c r="F33" s="53">
        <v>4</v>
      </c>
      <c r="G33" s="53">
        <v>4</v>
      </c>
      <c r="H33" s="53">
        <v>4</v>
      </c>
      <c r="I33" s="53">
        <v>3</v>
      </c>
      <c r="J33" s="53">
        <v>4</v>
      </c>
      <c r="K33" s="53">
        <f t="shared" si="0"/>
        <v>35</v>
      </c>
    </row>
    <row r="34" spans="1:11" x14ac:dyDescent="0.25">
      <c r="A34" s="53" t="s">
        <v>53</v>
      </c>
      <c r="B34" s="53">
        <v>3</v>
      </c>
      <c r="C34" s="53">
        <v>3</v>
      </c>
      <c r="D34" s="53">
        <v>3</v>
      </c>
      <c r="E34" s="53">
        <v>3</v>
      </c>
      <c r="F34" s="53">
        <v>3</v>
      </c>
      <c r="G34" s="53">
        <v>3</v>
      </c>
      <c r="H34" s="53">
        <v>3</v>
      </c>
      <c r="I34" s="53">
        <v>3</v>
      </c>
      <c r="J34" s="53">
        <v>3</v>
      </c>
      <c r="K34" s="53">
        <f t="shared" si="0"/>
        <v>27</v>
      </c>
    </row>
    <row r="35" spans="1:11" x14ac:dyDescent="0.25">
      <c r="A35" s="53" t="s">
        <v>54</v>
      </c>
      <c r="B35" s="53">
        <v>4</v>
      </c>
      <c r="C35" s="53">
        <v>4</v>
      </c>
      <c r="D35" s="53">
        <v>5</v>
      </c>
      <c r="E35" s="53">
        <v>4</v>
      </c>
      <c r="F35" s="53">
        <v>5</v>
      </c>
      <c r="G35" s="53">
        <v>4</v>
      </c>
      <c r="H35" s="53">
        <v>4</v>
      </c>
      <c r="I35" s="53">
        <v>4</v>
      </c>
      <c r="J35" s="53">
        <v>5</v>
      </c>
      <c r="K35" s="53">
        <f t="shared" si="0"/>
        <v>39</v>
      </c>
    </row>
    <row r="36" spans="1:11" x14ac:dyDescent="0.25">
      <c r="A36" s="53" t="s">
        <v>55</v>
      </c>
      <c r="B36" s="53">
        <v>4</v>
      </c>
      <c r="C36" s="53">
        <v>5</v>
      </c>
      <c r="D36" s="53">
        <v>4</v>
      </c>
      <c r="E36" s="53">
        <v>4</v>
      </c>
      <c r="F36" s="53">
        <v>4</v>
      </c>
      <c r="G36" s="53">
        <v>4</v>
      </c>
      <c r="H36" s="53">
        <v>5</v>
      </c>
      <c r="I36" s="53">
        <v>4</v>
      </c>
      <c r="J36" s="53">
        <v>4</v>
      </c>
      <c r="K36" s="53">
        <f t="shared" si="0"/>
        <v>38</v>
      </c>
    </row>
    <row r="37" spans="1:11" x14ac:dyDescent="0.25">
      <c r="A37" s="53" t="s">
        <v>56</v>
      </c>
      <c r="B37" s="53">
        <v>2</v>
      </c>
      <c r="C37" s="53">
        <v>2</v>
      </c>
      <c r="D37" s="53">
        <v>3</v>
      </c>
      <c r="E37" s="53">
        <v>3</v>
      </c>
      <c r="F37" s="53">
        <v>2</v>
      </c>
      <c r="G37" s="53">
        <v>2</v>
      </c>
      <c r="H37" s="53">
        <v>2</v>
      </c>
      <c r="I37" s="53">
        <v>3</v>
      </c>
      <c r="J37" s="53">
        <v>2</v>
      </c>
      <c r="K37" s="53">
        <f t="shared" si="0"/>
        <v>21</v>
      </c>
    </row>
    <row r="38" spans="1:11" x14ac:dyDescent="0.25">
      <c r="A38" s="53" t="s">
        <v>57</v>
      </c>
      <c r="B38" s="53">
        <v>3</v>
      </c>
      <c r="C38" s="53">
        <v>3</v>
      </c>
      <c r="D38" s="53">
        <v>3</v>
      </c>
      <c r="E38" s="53">
        <v>3</v>
      </c>
      <c r="F38" s="53">
        <v>3</v>
      </c>
      <c r="G38" s="53">
        <v>2</v>
      </c>
      <c r="H38" s="53">
        <v>2</v>
      </c>
      <c r="I38" s="53">
        <v>3</v>
      </c>
      <c r="J38" s="53">
        <v>3</v>
      </c>
      <c r="K38" s="53">
        <f t="shared" si="0"/>
        <v>25</v>
      </c>
    </row>
    <row r="39" spans="1:11" x14ac:dyDescent="0.25">
      <c r="A39" s="53" t="s">
        <v>58</v>
      </c>
      <c r="B39" s="53">
        <v>3</v>
      </c>
      <c r="C39" s="53">
        <v>3</v>
      </c>
      <c r="D39" s="53">
        <v>3</v>
      </c>
      <c r="E39" s="53">
        <v>3</v>
      </c>
      <c r="F39" s="53">
        <v>4</v>
      </c>
      <c r="G39" s="53">
        <v>2</v>
      </c>
      <c r="H39" s="53">
        <v>3</v>
      </c>
      <c r="I39" s="53">
        <v>3</v>
      </c>
      <c r="J39" s="53">
        <v>3</v>
      </c>
      <c r="K39" s="53">
        <f t="shared" si="0"/>
        <v>27</v>
      </c>
    </row>
    <row r="40" spans="1:11" x14ac:dyDescent="0.25">
      <c r="A40" s="53" t="s">
        <v>59</v>
      </c>
      <c r="B40" s="53">
        <v>3</v>
      </c>
      <c r="C40" s="53">
        <v>3</v>
      </c>
      <c r="D40" s="53">
        <v>3</v>
      </c>
      <c r="E40" s="53">
        <v>3</v>
      </c>
      <c r="F40" s="53">
        <v>3</v>
      </c>
      <c r="G40" s="53">
        <v>3</v>
      </c>
      <c r="H40" s="53">
        <v>3</v>
      </c>
      <c r="I40" s="53">
        <v>3</v>
      </c>
      <c r="J40" s="53">
        <v>3</v>
      </c>
      <c r="K40" s="53">
        <f t="shared" si="0"/>
        <v>27</v>
      </c>
    </row>
    <row r="41" spans="1:11" x14ac:dyDescent="0.25">
      <c r="A41" s="53" t="s">
        <v>60</v>
      </c>
      <c r="B41" s="53">
        <v>2</v>
      </c>
      <c r="C41" s="53">
        <v>2</v>
      </c>
      <c r="D41" s="53">
        <v>2</v>
      </c>
      <c r="E41" s="53">
        <v>2</v>
      </c>
      <c r="F41" s="53">
        <v>2</v>
      </c>
      <c r="G41" s="53">
        <v>1</v>
      </c>
      <c r="H41" s="53">
        <v>2</v>
      </c>
      <c r="I41" s="53">
        <v>2</v>
      </c>
      <c r="J41" s="53">
        <v>2</v>
      </c>
      <c r="K41" s="53">
        <f t="shared" si="0"/>
        <v>17</v>
      </c>
    </row>
    <row r="42" spans="1:11" x14ac:dyDescent="0.25">
      <c r="A42" s="53" t="s">
        <v>61</v>
      </c>
      <c r="B42" s="53">
        <v>3</v>
      </c>
      <c r="C42" s="53">
        <v>3</v>
      </c>
      <c r="D42" s="53">
        <v>3</v>
      </c>
      <c r="E42" s="53">
        <v>3</v>
      </c>
      <c r="F42" s="53">
        <v>4</v>
      </c>
      <c r="G42" s="53">
        <v>3</v>
      </c>
      <c r="H42" s="53">
        <v>3</v>
      </c>
      <c r="I42" s="53">
        <v>3</v>
      </c>
      <c r="J42" s="53">
        <v>3</v>
      </c>
      <c r="K42" s="53">
        <f t="shared" si="0"/>
        <v>28</v>
      </c>
    </row>
    <row r="43" spans="1:11" x14ac:dyDescent="0.25">
      <c r="A43" s="53" t="s">
        <v>62</v>
      </c>
      <c r="B43" s="53">
        <v>3</v>
      </c>
      <c r="C43" s="53">
        <v>3</v>
      </c>
      <c r="D43" s="53">
        <v>4</v>
      </c>
      <c r="E43" s="53">
        <v>4</v>
      </c>
      <c r="F43" s="53">
        <v>3</v>
      </c>
      <c r="G43" s="53">
        <v>3</v>
      </c>
      <c r="H43" s="53">
        <v>3</v>
      </c>
      <c r="I43" s="53">
        <v>3</v>
      </c>
      <c r="J43" s="53">
        <v>4</v>
      </c>
      <c r="K43" s="53">
        <f t="shared" si="0"/>
        <v>30</v>
      </c>
    </row>
    <row r="44" spans="1:11" x14ac:dyDescent="0.25">
      <c r="A44" s="53" t="s">
        <v>63</v>
      </c>
      <c r="B44" s="53">
        <v>4</v>
      </c>
      <c r="C44" s="53">
        <v>4</v>
      </c>
      <c r="D44" s="53">
        <v>4</v>
      </c>
      <c r="E44" s="53">
        <v>5</v>
      </c>
      <c r="F44" s="53">
        <v>4</v>
      </c>
      <c r="G44" s="53">
        <v>3</v>
      </c>
      <c r="H44" s="53">
        <v>4</v>
      </c>
      <c r="I44" s="53">
        <v>4</v>
      </c>
      <c r="J44" s="53">
        <v>4</v>
      </c>
      <c r="K44" s="53">
        <f t="shared" si="0"/>
        <v>36</v>
      </c>
    </row>
    <row r="45" spans="1:11" x14ac:dyDescent="0.25">
      <c r="A45" s="53" t="s">
        <v>64</v>
      </c>
      <c r="B45" s="53">
        <v>3</v>
      </c>
      <c r="C45" s="53">
        <v>3</v>
      </c>
      <c r="D45" s="53">
        <v>3</v>
      </c>
      <c r="E45" s="53">
        <v>3</v>
      </c>
      <c r="F45" s="53">
        <v>4</v>
      </c>
      <c r="G45" s="53">
        <v>3</v>
      </c>
      <c r="H45" s="53">
        <v>3</v>
      </c>
      <c r="I45" s="53">
        <v>3</v>
      </c>
      <c r="J45" s="53">
        <v>3</v>
      </c>
      <c r="K45" s="53">
        <f t="shared" si="0"/>
        <v>28</v>
      </c>
    </row>
    <row r="46" spans="1:11" x14ac:dyDescent="0.25">
      <c r="A46" s="53" t="s">
        <v>65</v>
      </c>
      <c r="B46" s="53">
        <v>5</v>
      </c>
      <c r="C46" s="53">
        <v>5</v>
      </c>
      <c r="D46" s="53">
        <v>5</v>
      </c>
      <c r="E46" s="53">
        <v>5</v>
      </c>
      <c r="F46" s="53">
        <v>5</v>
      </c>
      <c r="G46" s="53">
        <v>4</v>
      </c>
      <c r="H46" s="53">
        <v>5</v>
      </c>
      <c r="I46" s="53">
        <v>5</v>
      </c>
      <c r="J46" s="53">
        <v>5</v>
      </c>
      <c r="K46" s="53">
        <f t="shared" si="0"/>
        <v>44</v>
      </c>
    </row>
    <row r="47" spans="1:11" x14ac:dyDescent="0.25">
      <c r="A47" s="53" t="s">
        <v>66</v>
      </c>
      <c r="B47" s="53">
        <v>2</v>
      </c>
      <c r="C47" s="53">
        <v>2</v>
      </c>
      <c r="D47" s="53">
        <v>2</v>
      </c>
      <c r="E47" s="53">
        <v>2</v>
      </c>
      <c r="F47" s="53">
        <v>2</v>
      </c>
      <c r="G47" s="53">
        <v>2</v>
      </c>
      <c r="H47" s="53">
        <v>2</v>
      </c>
      <c r="I47" s="53">
        <v>2</v>
      </c>
      <c r="J47" s="53">
        <v>2</v>
      </c>
      <c r="K47" s="53">
        <f t="shared" si="0"/>
        <v>18</v>
      </c>
    </row>
    <row r="48" spans="1:11" x14ac:dyDescent="0.25">
      <c r="A48" s="53" t="s">
        <v>67</v>
      </c>
      <c r="B48" s="53">
        <v>4</v>
      </c>
      <c r="C48" s="53">
        <v>4</v>
      </c>
      <c r="D48" s="53">
        <v>4</v>
      </c>
      <c r="E48" s="53">
        <v>3</v>
      </c>
      <c r="F48" s="53">
        <v>4</v>
      </c>
      <c r="G48" s="53">
        <v>4</v>
      </c>
      <c r="H48" s="53">
        <v>4</v>
      </c>
      <c r="I48" s="53">
        <v>4</v>
      </c>
      <c r="J48" s="53">
        <v>4</v>
      </c>
      <c r="K48" s="53">
        <f t="shared" si="0"/>
        <v>35</v>
      </c>
    </row>
    <row r="49" spans="1:11" x14ac:dyDescent="0.25">
      <c r="A49" s="53" t="s">
        <v>68</v>
      </c>
      <c r="B49" s="53">
        <v>4</v>
      </c>
      <c r="C49" s="53">
        <v>4</v>
      </c>
      <c r="D49" s="53">
        <v>4</v>
      </c>
      <c r="E49" s="53">
        <v>4</v>
      </c>
      <c r="F49" s="53">
        <v>5</v>
      </c>
      <c r="G49" s="53">
        <v>4</v>
      </c>
      <c r="H49" s="53">
        <v>4</v>
      </c>
      <c r="I49" s="53">
        <v>4</v>
      </c>
      <c r="J49" s="53">
        <v>4</v>
      </c>
      <c r="K49" s="53">
        <f t="shared" si="0"/>
        <v>37</v>
      </c>
    </row>
    <row r="50" spans="1:11" x14ac:dyDescent="0.25">
      <c r="A50" s="53" t="s">
        <v>69</v>
      </c>
      <c r="B50" s="53">
        <v>2</v>
      </c>
      <c r="C50" s="53">
        <v>3</v>
      </c>
      <c r="D50" s="53">
        <v>3</v>
      </c>
      <c r="E50" s="53">
        <v>2</v>
      </c>
      <c r="F50" s="53">
        <v>3</v>
      </c>
      <c r="G50" s="53">
        <v>2</v>
      </c>
      <c r="H50" s="53">
        <v>3</v>
      </c>
      <c r="I50" s="53">
        <v>2</v>
      </c>
      <c r="J50" s="53">
        <v>2</v>
      </c>
      <c r="K50" s="53">
        <f t="shared" si="0"/>
        <v>22</v>
      </c>
    </row>
    <row r="51" spans="1:11" x14ac:dyDescent="0.25">
      <c r="A51" s="53" t="s">
        <v>70</v>
      </c>
      <c r="B51" s="53">
        <v>3</v>
      </c>
      <c r="C51" s="53">
        <v>3</v>
      </c>
      <c r="D51" s="53">
        <v>3</v>
      </c>
      <c r="E51" s="53">
        <v>3</v>
      </c>
      <c r="F51" s="53">
        <v>3</v>
      </c>
      <c r="G51" s="53">
        <v>2</v>
      </c>
      <c r="H51" s="53">
        <v>3</v>
      </c>
      <c r="I51" s="53">
        <v>3</v>
      </c>
      <c r="J51" s="53">
        <v>2</v>
      </c>
      <c r="K51" s="53">
        <f t="shared" si="0"/>
        <v>25</v>
      </c>
    </row>
    <row r="52" spans="1:11" x14ac:dyDescent="0.25">
      <c r="A52" s="53" t="s">
        <v>71</v>
      </c>
      <c r="B52" s="53">
        <v>3</v>
      </c>
      <c r="C52" s="53">
        <v>3</v>
      </c>
      <c r="D52" s="53">
        <v>3</v>
      </c>
      <c r="E52" s="53">
        <v>4</v>
      </c>
      <c r="F52" s="53">
        <v>3</v>
      </c>
      <c r="G52" s="53">
        <v>3</v>
      </c>
      <c r="H52" s="53">
        <v>3</v>
      </c>
      <c r="I52" s="53">
        <v>3</v>
      </c>
      <c r="J52" s="53">
        <v>3</v>
      </c>
      <c r="K52" s="53">
        <f t="shared" si="0"/>
        <v>28</v>
      </c>
    </row>
    <row r="53" spans="1:11" x14ac:dyDescent="0.25">
      <c r="A53" s="53" t="s">
        <v>72</v>
      </c>
      <c r="B53" s="53">
        <v>3</v>
      </c>
      <c r="C53" s="53">
        <v>3</v>
      </c>
      <c r="D53" s="53">
        <v>3</v>
      </c>
      <c r="E53" s="53">
        <v>3</v>
      </c>
      <c r="F53" s="53">
        <v>3</v>
      </c>
      <c r="G53" s="53">
        <v>3</v>
      </c>
      <c r="H53" s="53">
        <v>2</v>
      </c>
      <c r="I53" s="53">
        <v>2</v>
      </c>
      <c r="J53" s="53">
        <v>3</v>
      </c>
      <c r="K53" s="53">
        <f t="shared" si="0"/>
        <v>25</v>
      </c>
    </row>
    <row r="54" spans="1:11" x14ac:dyDescent="0.25">
      <c r="A54" s="53" t="s">
        <v>73</v>
      </c>
      <c r="B54" s="53">
        <v>2</v>
      </c>
      <c r="C54" s="53">
        <v>2</v>
      </c>
      <c r="D54" s="53">
        <v>2</v>
      </c>
      <c r="E54" s="53">
        <v>2</v>
      </c>
      <c r="F54" s="53">
        <v>2</v>
      </c>
      <c r="G54" s="53">
        <v>2</v>
      </c>
      <c r="H54" s="53">
        <v>2</v>
      </c>
      <c r="I54" s="53">
        <v>2</v>
      </c>
      <c r="J54" s="53">
        <v>2</v>
      </c>
      <c r="K54" s="53">
        <f t="shared" si="0"/>
        <v>18</v>
      </c>
    </row>
    <row r="55" spans="1:11" x14ac:dyDescent="0.25">
      <c r="A55" s="53" t="s">
        <v>74</v>
      </c>
      <c r="B55" s="53">
        <v>2</v>
      </c>
      <c r="C55" s="53">
        <v>3</v>
      </c>
      <c r="D55" s="53">
        <v>3</v>
      </c>
      <c r="E55" s="53">
        <v>2</v>
      </c>
      <c r="F55" s="53">
        <v>3</v>
      </c>
      <c r="G55" s="53">
        <v>2</v>
      </c>
      <c r="H55" s="53">
        <v>3</v>
      </c>
      <c r="I55" s="53">
        <v>3</v>
      </c>
      <c r="J55" s="53">
        <v>2</v>
      </c>
      <c r="K55" s="53">
        <f t="shared" si="0"/>
        <v>23</v>
      </c>
    </row>
    <row r="56" spans="1:11" x14ac:dyDescent="0.25">
      <c r="A56" s="53" t="s">
        <v>75</v>
      </c>
      <c r="B56" s="53">
        <v>4</v>
      </c>
      <c r="C56" s="53">
        <v>4</v>
      </c>
      <c r="D56" s="53">
        <v>4</v>
      </c>
      <c r="E56" s="53">
        <v>4</v>
      </c>
      <c r="F56" s="53">
        <v>4</v>
      </c>
      <c r="G56" s="53">
        <v>4</v>
      </c>
      <c r="H56" s="53">
        <v>4</v>
      </c>
      <c r="I56" s="53">
        <v>4</v>
      </c>
      <c r="J56" s="53">
        <v>4</v>
      </c>
      <c r="K56" s="53">
        <f t="shared" si="0"/>
        <v>36</v>
      </c>
    </row>
    <row r="57" spans="1:11" x14ac:dyDescent="0.25">
      <c r="A57" s="53" t="s">
        <v>76</v>
      </c>
      <c r="B57" s="53">
        <v>3</v>
      </c>
      <c r="C57" s="53">
        <v>3</v>
      </c>
      <c r="D57" s="53">
        <v>3</v>
      </c>
      <c r="E57" s="53">
        <v>3</v>
      </c>
      <c r="F57" s="53">
        <v>3</v>
      </c>
      <c r="G57" s="53">
        <v>3</v>
      </c>
      <c r="H57" s="53">
        <v>3</v>
      </c>
      <c r="I57" s="53">
        <v>3</v>
      </c>
      <c r="J57" s="53">
        <v>3</v>
      </c>
      <c r="K57" s="53">
        <f t="shared" si="0"/>
        <v>27</v>
      </c>
    </row>
    <row r="58" spans="1:11" x14ac:dyDescent="0.25">
      <c r="A58" s="53" t="s">
        <v>77</v>
      </c>
      <c r="B58" s="53">
        <v>4</v>
      </c>
      <c r="C58" s="53">
        <v>4</v>
      </c>
      <c r="D58" s="53">
        <v>4</v>
      </c>
      <c r="E58" s="53">
        <v>4</v>
      </c>
      <c r="F58" s="53">
        <v>4</v>
      </c>
      <c r="G58" s="53">
        <v>4</v>
      </c>
      <c r="H58" s="53">
        <v>4</v>
      </c>
      <c r="I58" s="53">
        <v>4</v>
      </c>
      <c r="J58" s="53">
        <v>4</v>
      </c>
      <c r="K58" s="53">
        <f t="shared" si="0"/>
        <v>36</v>
      </c>
    </row>
    <row r="59" spans="1:11" x14ac:dyDescent="0.25">
      <c r="A59" s="53" t="s">
        <v>78</v>
      </c>
      <c r="B59" s="53">
        <v>3</v>
      </c>
      <c r="C59" s="53">
        <v>3</v>
      </c>
      <c r="D59" s="53">
        <v>3</v>
      </c>
      <c r="E59" s="53">
        <v>3</v>
      </c>
      <c r="F59" s="53">
        <v>3</v>
      </c>
      <c r="G59" s="53">
        <v>3</v>
      </c>
      <c r="H59" s="53">
        <v>3</v>
      </c>
      <c r="I59" s="53">
        <v>3</v>
      </c>
      <c r="J59" s="53">
        <v>2</v>
      </c>
      <c r="K59" s="53">
        <f t="shared" si="0"/>
        <v>26</v>
      </c>
    </row>
    <row r="60" spans="1:11" x14ac:dyDescent="0.25">
      <c r="A60" s="53" t="s">
        <v>79</v>
      </c>
      <c r="B60" s="53">
        <v>2</v>
      </c>
      <c r="C60" s="53">
        <v>2</v>
      </c>
      <c r="D60" s="53">
        <v>2</v>
      </c>
      <c r="E60" s="53">
        <v>2</v>
      </c>
      <c r="F60" s="53">
        <v>2</v>
      </c>
      <c r="G60" s="53">
        <v>2</v>
      </c>
      <c r="H60" s="53">
        <v>2</v>
      </c>
      <c r="I60" s="53">
        <v>2</v>
      </c>
      <c r="J60" s="53">
        <v>2</v>
      </c>
      <c r="K60" s="53">
        <f t="shared" si="0"/>
        <v>18</v>
      </c>
    </row>
    <row r="61" spans="1:11" x14ac:dyDescent="0.25">
      <c r="A61" s="53" t="s">
        <v>80</v>
      </c>
      <c r="B61" s="53">
        <v>3</v>
      </c>
      <c r="C61" s="53">
        <v>3</v>
      </c>
      <c r="D61" s="53">
        <v>3</v>
      </c>
      <c r="E61" s="53">
        <v>3</v>
      </c>
      <c r="F61" s="53">
        <v>3</v>
      </c>
      <c r="G61" s="53">
        <v>2</v>
      </c>
      <c r="H61" s="53">
        <v>3</v>
      </c>
      <c r="I61" s="53">
        <v>2</v>
      </c>
      <c r="J61" s="53">
        <v>3</v>
      </c>
      <c r="K61" s="53">
        <f t="shared" si="0"/>
        <v>25</v>
      </c>
    </row>
    <row r="62" spans="1:11" x14ac:dyDescent="0.25">
      <c r="A62" s="53" t="s">
        <v>81</v>
      </c>
      <c r="B62" s="53">
        <v>4</v>
      </c>
      <c r="C62" s="53">
        <v>3</v>
      </c>
      <c r="D62" s="53">
        <v>4</v>
      </c>
      <c r="E62" s="53">
        <v>4</v>
      </c>
      <c r="F62" s="53">
        <v>4</v>
      </c>
      <c r="G62" s="53">
        <v>3</v>
      </c>
      <c r="H62" s="53">
        <v>4</v>
      </c>
      <c r="I62" s="53">
        <v>4</v>
      </c>
      <c r="J62" s="53">
        <v>4</v>
      </c>
      <c r="K62" s="53">
        <f t="shared" si="0"/>
        <v>34</v>
      </c>
    </row>
    <row r="63" spans="1:11" x14ac:dyDescent="0.25">
      <c r="A63" s="53" t="s">
        <v>82</v>
      </c>
      <c r="B63" s="53">
        <v>3</v>
      </c>
      <c r="C63" s="53">
        <v>3</v>
      </c>
      <c r="D63" s="53">
        <v>3</v>
      </c>
      <c r="E63" s="53">
        <v>3</v>
      </c>
      <c r="F63" s="53">
        <v>4</v>
      </c>
      <c r="G63" s="53">
        <v>3</v>
      </c>
      <c r="H63" s="53">
        <v>3</v>
      </c>
      <c r="I63" s="53">
        <v>3</v>
      </c>
      <c r="J63" s="53">
        <v>3</v>
      </c>
      <c r="K63" s="53">
        <f t="shared" si="0"/>
        <v>28</v>
      </c>
    </row>
    <row r="64" spans="1:11" x14ac:dyDescent="0.25">
      <c r="A64" s="53" t="s">
        <v>83</v>
      </c>
      <c r="B64" s="53">
        <v>2</v>
      </c>
      <c r="C64" s="53">
        <v>3</v>
      </c>
      <c r="D64" s="53">
        <v>3</v>
      </c>
      <c r="E64" s="53">
        <v>3</v>
      </c>
      <c r="F64" s="53">
        <v>3</v>
      </c>
      <c r="G64" s="53">
        <v>2</v>
      </c>
      <c r="H64" s="53">
        <v>3</v>
      </c>
      <c r="I64" s="53">
        <v>2</v>
      </c>
      <c r="J64" s="53">
        <v>3</v>
      </c>
      <c r="K64" s="53">
        <f t="shared" si="0"/>
        <v>24</v>
      </c>
    </row>
    <row r="65" spans="1:11" x14ac:dyDescent="0.25">
      <c r="A65" s="53" t="s">
        <v>84</v>
      </c>
      <c r="B65" s="53">
        <v>3</v>
      </c>
      <c r="C65" s="53">
        <v>4</v>
      </c>
      <c r="D65" s="53">
        <v>4</v>
      </c>
      <c r="E65" s="53">
        <v>3</v>
      </c>
      <c r="F65" s="53">
        <v>3</v>
      </c>
      <c r="G65" s="53">
        <v>3</v>
      </c>
      <c r="H65" s="53">
        <v>3</v>
      </c>
      <c r="I65" s="53">
        <v>3</v>
      </c>
      <c r="J65" s="53">
        <v>3</v>
      </c>
      <c r="K65" s="53">
        <f t="shared" si="0"/>
        <v>29</v>
      </c>
    </row>
    <row r="66" spans="1:11" x14ac:dyDescent="0.25">
      <c r="A66" s="53" t="s">
        <v>85</v>
      </c>
      <c r="B66" s="53">
        <v>3</v>
      </c>
      <c r="C66" s="53">
        <v>3</v>
      </c>
      <c r="D66" s="53">
        <v>3</v>
      </c>
      <c r="E66" s="53">
        <v>3</v>
      </c>
      <c r="F66" s="53">
        <v>3</v>
      </c>
      <c r="G66" s="53">
        <v>2</v>
      </c>
      <c r="H66" s="53">
        <v>3</v>
      </c>
      <c r="I66" s="53">
        <v>3</v>
      </c>
      <c r="J66" s="53">
        <v>3</v>
      </c>
      <c r="K66" s="53">
        <f t="shared" si="0"/>
        <v>26</v>
      </c>
    </row>
    <row r="67" spans="1:11" x14ac:dyDescent="0.25">
      <c r="A67" s="53" t="s">
        <v>86</v>
      </c>
      <c r="B67" s="53">
        <v>3</v>
      </c>
      <c r="C67" s="53">
        <v>3</v>
      </c>
      <c r="D67" s="53">
        <v>3</v>
      </c>
      <c r="E67" s="53">
        <v>3</v>
      </c>
      <c r="F67" s="53">
        <v>3</v>
      </c>
      <c r="G67" s="53">
        <v>3</v>
      </c>
      <c r="H67" s="53">
        <v>3</v>
      </c>
      <c r="I67" s="53">
        <v>3</v>
      </c>
      <c r="J67" s="53">
        <v>3</v>
      </c>
      <c r="K67" s="53">
        <f t="shared" si="0"/>
        <v>27</v>
      </c>
    </row>
    <row r="68" spans="1:11" x14ac:dyDescent="0.25">
      <c r="A68" s="53" t="s">
        <v>87</v>
      </c>
      <c r="B68" s="53">
        <v>2</v>
      </c>
      <c r="C68" s="53">
        <v>2</v>
      </c>
      <c r="D68" s="53">
        <v>3</v>
      </c>
      <c r="E68" s="53">
        <v>2</v>
      </c>
      <c r="F68" s="53">
        <v>3</v>
      </c>
      <c r="G68" s="53">
        <v>2</v>
      </c>
      <c r="H68" s="53">
        <v>2</v>
      </c>
      <c r="I68" s="53">
        <v>2</v>
      </c>
      <c r="J68" s="53">
        <v>3</v>
      </c>
      <c r="K68" s="53">
        <f t="shared" si="0"/>
        <v>21</v>
      </c>
    </row>
    <row r="69" spans="1:11" x14ac:dyDescent="0.25">
      <c r="A69" s="53" t="s">
        <v>88</v>
      </c>
      <c r="B69" s="53">
        <v>5</v>
      </c>
      <c r="C69" s="53">
        <v>5</v>
      </c>
      <c r="D69" s="53">
        <v>5</v>
      </c>
      <c r="E69" s="53">
        <v>5</v>
      </c>
      <c r="F69" s="53">
        <v>5</v>
      </c>
      <c r="G69" s="53">
        <v>5</v>
      </c>
      <c r="H69" s="53">
        <v>5</v>
      </c>
      <c r="I69" s="53">
        <v>5</v>
      </c>
      <c r="J69" s="53">
        <v>5</v>
      </c>
      <c r="K69" s="53">
        <f t="shared" ref="K69:K132" si="1">SUM(B69:J69)</f>
        <v>45</v>
      </c>
    </row>
    <row r="70" spans="1:11" x14ac:dyDescent="0.25">
      <c r="A70" s="53" t="s">
        <v>89</v>
      </c>
      <c r="B70" s="53">
        <v>3</v>
      </c>
      <c r="C70" s="53">
        <v>3</v>
      </c>
      <c r="D70" s="53">
        <v>3</v>
      </c>
      <c r="E70" s="53">
        <v>2</v>
      </c>
      <c r="F70" s="53">
        <v>2</v>
      </c>
      <c r="G70" s="53">
        <v>2</v>
      </c>
      <c r="H70" s="53">
        <v>2</v>
      </c>
      <c r="I70" s="53">
        <v>2</v>
      </c>
      <c r="J70" s="53">
        <v>2</v>
      </c>
      <c r="K70" s="53">
        <f t="shared" si="1"/>
        <v>21</v>
      </c>
    </row>
    <row r="71" spans="1:11" x14ac:dyDescent="0.25">
      <c r="A71" s="53" t="s">
        <v>90</v>
      </c>
      <c r="B71" s="53">
        <v>3</v>
      </c>
      <c r="C71" s="53">
        <v>3</v>
      </c>
      <c r="D71" s="53">
        <v>3</v>
      </c>
      <c r="E71" s="53">
        <v>3</v>
      </c>
      <c r="F71" s="53">
        <v>3</v>
      </c>
      <c r="G71" s="53">
        <v>2</v>
      </c>
      <c r="H71" s="53">
        <v>3</v>
      </c>
      <c r="I71" s="53">
        <v>3</v>
      </c>
      <c r="J71" s="53">
        <v>3</v>
      </c>
      <c r="K71" s="53">
        <f t="shared" si="1"/>
        <v>26</v>
      </c>
    </row>
    <row r="72" spans="1:11" x14ac:dyDescent="0.25">
      <c r="A72" s="53" t="s">
        <v>91</v>
      </c>
      <c r="B72" s="53">
        <v>4</v>
      </c>
      <c r="C72" s="53">
        <v>4</v>
      </c>
      <c r="D72" s="53">
        <v>4</v>
      </c>
      <c r="E72" s="53">
        <v>4</v>
      </c>
      <c r="F72" s="53">
        <v>4</v>
      </c>
      <c r="G72" s="53">
        <v>4</v>
      </c>
      <c r="H72" s="53">
        <v>4</v>
      </c>
      <c r="I72" s="53">
        <v>4</v>
      </c>
      <c r="J72" s="53">
        <v>4</v>
      </c>
      <c r="K72" s="53">
        <f t="shared" si="1"/>
        <v>36</v>
      </c>
    </row>
    <row r="73" spans="1:11" x14ac:dyDescent="0.25">
      <c r="A73" s="53" t="s">
        <v>92</v>
      </c>
      <c r="B73" s="53">
        <v>3</v>
      </c>
      <c r="C73" s="53">
        <v>3</v>
      </c>
      <c r="D73" s="53">
        <v>4</v>
      </c>
      <c r="E73" s="53">
        <v>3</v>
      </c>
      <c r="F73" s="53">
        <v>3</v>
      </c>
      <c r="G73" s="53">
        <v>3</v>
      </c>
      <c r="H73" s="53">
        <v>3</v>
      </c>
      <c r="I73" s="53">
        <v>3</v>
      </c>
      <c r="J73" s="53">
        <v>3</v>
      </c>
      <c r="K73" s="53">
        <f t="shared" si="1"/>
        <v>28</v>
      </c>
    </row>
    <row r="74" spans="1:11" x14ac:dyDescent="0.25">
      <c r="A74" s="53" t="s">
        <v>93</v>
      </c>
      <c r="B74" s="53">
        <v>3</v>
      </c>
      <c r="C74" s="53">
        <v>3</v>
      </c>
      <c r="D74" s="53">
        <v>4</v>
      </c>
      <c r="E74" s="53">
        <v>3</v>
      </c>
      <c r="F74" s="53">
        <v>3</v>
      </c>
      <c r="G74" s="53">
        <v>3</v>
      </c>
      <c r="H74" s="53">
        <v>3</v>
      </c>
      <c r="I74" s="53">
        <v>3</v>
      </c>
      <c r="J74" s="53">
        <v>4</v>
      </c>
      <c r="K74" s="53">
        <f t="shared" si="1"/>
        <v>29</v>
      </c>
    </row>
    <row r="75" spans="1:11" x14ac:dyDescent="0.25">
      <c r="A75" s="53" t="s">
        <v>94</v>
      </c>
      <c r="B75" s="53">
        <v>3</v>
      </c>
      <c r="C75" s="53">
        <v>3</v>
      </c>
      <c r="D75" s="53">
        <v>3</v>
      </c>
      <c r="E75" s="53">
        <v>2</v>
      </c>
      <c r="F75" s="53">
        <v>3</v>
      </c>
      <c r="G75" s="53">
        <v>2</v>
      </c>
      <c r="H75" s="53">
        <v>2</v>
      </c>
      <c r="I75" s="53">
        <v>2</v>
      </c>
      <c r="J75" s="53">
        <v>3</v>
      </c>
      <c r="K75" s="53">
        <f t="shared" si="1"/>
        <v>23</v>
      </c>
    </row>
    <row r="76" spans="1:11" x14ac:dyDescent="0.25">
      <c r="A76" s="53" t="s">
        <v>95</v>
      </c>
      <c r="B76" s="53">
        <v>2</v>
      </c>
      <c r="C76" s="53">
        <v>1</v>
      </c>
      <c r="D76" s="53">
        <v>2</v>
      </c>
      <c r="E76" s="53">
        <v>1</v>
      </c>
      <c r="F76" s="53">
        <v>2</v>
      </c>
      <c r="G76" s="53">
        <v>1</v>
      </c>
      <c r="H76" s="53">
        <v>1</v>
      </c>
      <c r="I76" s="53">
        <v>2</v>
      </c>
      <c r="J76" s="53">
        <v>1</v>
      </c>
      <c r="K76" s="53">
        <f t="shared" si="1"/>
        <v>13</v>
      </c>
    </row>
    <row r="77" spans="1:11" x14ac:dyDescent="0.25">
      <c r="A77" s="53" t="s">
        <v>96</v>
      </c>
      <c r="B77" s="53">
        <v>3</v>
      </c>
      <c r="C77" s="53">
        <v>2</v>
      </c>
      <c r="D77" s="53">
        <v>3</v>
      </c>
      <c r="E77" s="53">
        <v>3</v>
      </c>
      <c r="F77" s="53">
        <v>3</v>
      </c>
      <c r="G77" s="53">
        <v>3</v>
      </c>
      <c r="H77" s="53">
        <v>2</v>
      </c>
      <c r="I77" s="53">
        <v>2</v>
      </c>
      <c r="J77" s="53">
        <v>3</v>
      </c>
      <c r="K77" s="53">
        <f t="shared" si="1"/>
        <v>24</v>
      </c>
    </row>
    <row r="78" spans="1:11" x14ac:dyDescent="0.25">
      <c r="A78" s="53" t="s">
        <v>97</v>
      </c>
      <c r="B78" s="53">
        <v>3</v>
      </c>
      <c r="C78" s="53">
        <v>3</v>
      </c>
      <c r="D78" s="53">
        <v>3</v>
      </c>
      <c r="E78" s="53">
        <v>3</v>
      </c>
      <c r="F78" s="53">
        <v>3</v>
      </c>
      <c r="G78" s="53">
        <v>2</v>
      </c>
      <c r="H78" s="53">
        <v>3</v>
      </c>
      <c r="I78" s="53">
        <v>3</v>
      </c>
      <c r="J78" s="53">
        <v>2</v>
      </c>
      <c r="K78" s="53">
        <f t="shared" si="1"/>
        <v>25</v>
      </c>
    </row>
    <row r="79" spans="1:11" x14ac:dyDescent="0.25">
      <c r="A79" s="53" t="s">
        <v>98</v>
      </c>
      <c r="B79" s="53">
        <v>3</v>
      </c>
      <c r="C79" s="53">
        <v>2</v>
      </c>
      <c r="D79" s="53">
        <v>3</v>
      </c>
      <c r="E79" s="53">
        <v>3</v>
      </c>
      <c r="F79" s="53">
        <v>3</v>
      </c>
      <c r="G79" s="53">
        <v>2</v>
      </c>
      <c r="H79" s="53">
        <v>3</v>
      </c>
      <c r="I79" s="53">
        <v>2</v>
      </c>
      <c r="J79" s="53">
        <v>2</v>
      </c>
      <c r="K79" s="53">
        <f t="shared" si="1"/>
        <v>23</v>
      </c>
    </row>
    <row r="80" spans="1:11" x14ac:dyDescent="0.25">
      <c r="A80" s="53" t="s">
        <v>99</v>
      </c>
      <c r="B80" s="53">
        <v>3</v>
      </c>
      <c r="C80" s="53">
        <v>3</v>
      </c>
      <c r="D80" s="53">
        <v>3</v>
      </c>
      <c r="E80" s="53">
        <v>3</v>
      </c>
      <c r="F80" s="53">
        <v>3</v>
      </c>
      <c r="G80" s="53">
        <v>3</v>
      </c>
      <c r="H80" s="53">
        <v>3</v>
      </c>
      <c r="I80" s="53">
        <v>3</v>
      </c>
      <c r="J80" s="53">
        <v>3</v>
      </c>
      <c r="K80" s="53">
        <f t="shared" si="1"/>
        <v>27</v>
      </c>
    </row>
    <row r="81" spans="1:11" x14ac:dyDescent="0.25">
      <c r="A81" s="53" t="s">
        <v>100</v>
      </c>
      <c r="B81" s="53">
        <v>3</v>
      </c>
      <c r="C81" s="53">
        <v>3</v>
      </c>
      <c r="D81" s="53">
        <v>3</v>
      </c>
      <c r="E81" s="53">
        <v>3</v>
      </c>
      <c r="F81" s="53">
        <v>3</v>
      </c>
      <c r="G81" s="53">
        <v>3</v>
      </c>
      <c r="H81" s="53">
        <v>4</v>
      </c>
      <c r="I81" s="53">
        <v>3</v>
      </c>
      <c r="J81" s="53">
        <v>3</v>
      </c>
      <c r="K81" s="53">
        <f t="shared" si="1"/>
        <v>28</v>
      </c>
    </row>
    <row r="82" spans="1:11" x14ac:dyDescent="0.25">
      <c r="A82" s="53" t="s">
        <v>101</v>
      </c>
      <c r="B82" s="53">
        <v>3</v>
      </c>
      <c r="C82" s="53">
        <v>3</v>
      </c>
      <c r="D82" s="53">
        <v>4</v>
      </c>
      <c r="E82" s="53">
        <v>3</v>
      </c>
      <c r="F82" s="53">
        <v>4</v>
      </c>
      <c r="G82" s="53">
        <v>3</v>
      </c>
      <c r="H82" s="53">
        <v>3</v>
      </c>
      <c r="I82" s="53">
        <v>3</v>
      </c>
      <c r="J82" s="53">
        <v>3</v>
      </c>
      <c r="K82" s="53">
        <f t="shared" si="1"/>
        <v>29</v>
      </c>
    </row>
    <row r="83" spans="1:11" x14ac:dyDescent="0.25">
      <c r="A83" s="53" t="s">
        <v>102</v>
      </c>
      <c r="B83" s="53">
        <v>3</v>
      </c>
      <c r="C83" s="53">
        <v>3</v>
      </c>
      <c r="D83" s="53">
        <v>2</v>
      </c>
      <c r="E83" s="53">
        <v>3</v>
      </c>
      <c r="F83" s="53">
        <v>3</v>
      </c>
      <c r="G83" s="53">
        <v>2</v>
      </c>
      <c r="H83" s="53">
        <v>2</v>
      </c>
      <c r="I83" s="53">
        <v>3</v>
      </c>
      <c r="J83" s="53">
        <v>3</v>
      </c>
      <c r="K83" s="53">
        <f t="shared" si="1"/>
        <v>24</v>
      </c>
    </row>
    <row r="84" spans="1:11" x14ac:dyDescent="0.25">
      <c r="A84" s="53" t="s">
        <v>103</v>
      </c>
      <c r="B84" s="53">
        <v>4</v>
      </c>
      <c r="C84" s="53">
        <v>4</v>
      </c>
      <c r="D84" s="53">
        <v>4</v>
      </c>
      <c r="E84" s="53">
        <v>4</v>
      </c>
      <c r="F84" s="53">
        <v>3</v>
      </c>
      <c r="G84" s="53">
        <v>3</v>
      </c>
      <c r="H84" s="53">
        <v>3</v>
      </c>
      <c r="I84" s="53">
        <v>4</v>
      </c>
      <c r="J84" s="53">
        <v>4</v>
      </c>
      <c r="K84" s="53">
        <f t="shared" si="1"/>
        <v>33</v>
      </c>
    </row>
    <row r="85" spans="1:11" x14ac:dyDescent="0.25">
      <c r="A85" s="53" t="s">
        <v>104</v>
      </c>
      <c r="B85" s="53">
        <v>3</v>
      </c>
      <c r="C85" s="53">
        <v>3</v>
      </c>
      <c r="D85" s="53">
        <v>3</v>
      </c>
      <c r="E85" s="53">
        <v>3</v>
      </c>
      <c r="F85" s="53">
        <v>3</v>
      </c>
      <c r="G85" s="53">
        <v>3</v>
      </c>
      <c r="H85" s="53">
        <v>2</v>
      </c>
      <c r="I85" s="53">
        <v>2</v>
      </c>
      <c r="J85" s="53">
        <v>3</v>
      </c>
      <c r="K85" s="53">
        <f t="shared" si="1"/>
        <v>25</v>
      </c>
    </row>
    <row r="86" spans="1:11" x14ac:dyDescent="0.25">
      <c r="A86" s="53" t="s">
        <v>105</v>
      </c>
      <c r="B86" s="53">
        <v>3</v>
      </c>
      <c r="C86" s="53">
        <v>3</v>
      </c>
      <c r="D86" s="53">
        <v>3</v>
      </c>
      <c r="E86" s="53">
        <v>3</v>
      </c>
      <c r="F86" s="53">
        <v>3</v>
      </c>
      <c r="G86" s="53">
        <v>3</v>
      </c>
      <c r="H86" s="53">
        <v>3</v>
      </c>
      <c r="I86" s="53">
        <v>3</v>
      </c>
      <c r="J86" s="53">
        <v>2</v>
      </c>
      <c r="K86" s="53">
        <f t="shared" si="1"/>
        <v>26</v>
      </c>
    </row>
    <row r="87" spans="1:11" x14ac:dyDescent="0.25">
      <c r="A87" s="53" t="s">
        <v>106</v>
      </c>
      <c r="B87" s="53">
        <v>2</v>
      </c>
      <c r="C87" s="53">
        <v>3</v>
      </c>
      <c r="D87" s="53">
        <v>3</v>
      </c>
      <c r="E87" s="53">
        <v>3</v>
      </c>
      <c r="F87" s="53">
        <v>3</v>
      </c>
      <c r="G87" s="53">
        <v>3</v>
      </c>
      <c r="H87" s="53">
        <v>3</v>
      </c>
      <c r="I87" s="53">
        <v>2</v>
      </c>
      <c r="J87" s="53">
        <v>3</v>
      </c>
      <c r="K87" s="53">
        <f t="shared" si="1"/>
        <v>25</v>
      </c>
    </row>
    <row r="88" spans="1:11" x14ac:dyDescent="0.25">
      <c r="A88" s="53" t="s">
        <v>107</v>
      </c>
      <c r="B88" s="53">
        <v>2</v>
      </c>
      <c r="C88" s="53">
        <v>2</v>
      </c>
      <c r="D88" s="53">
        <v>2</v>
      </c>
      <c r="E88" s="53">
        <v>2</v>
      </c>
      <c r="F88" s="53">
        <v>3</v>
      </c>
      <c r="G88" s="53">
        <v>2</v>
      </c>
      <c r="H88" s="53">
        <v>2</v>
      </c>
      <c r="I88" s="53">
        <v>2</v>
      </c>
      <c r="J88" s="53">
        <v>2</v>
      </c>
      <c r="K88" s="53">
        <f t="shared" si="1"/>
        <v>19</v>
      </c>
    </row>
    <row r="89" spans="1:11" x14ac:dyDescent="0.25">
      <c r="A89" s="53" t="s">
        <v>108</v>
      </c>
      <c r="B89" s="53">
        <v>4</v>
      </c>
      <c r="C89" s="53">
        <v>4</v>
      </c>
      <c r="D89" s="53">
        <v>5</v>
      </c>
      <c r="E89" s="53">
        <v>5</v>
      </c>
      <c r="F89" s="53">
        <v>5</v>
      </c>
      <c r="G89" s="53">
        <v>4</v>
      </c>
      <c r="H89" s="53">
        <v>4</v>
      </c>
      <c r="I89" s="53">
        <v>5</v>
      </c>
      <c r="J89" s="53">
        <v>4</v>
      </c>
      <c r="K89" s="53">
        <f t="shared" si="1"/>
        <v>40</v>
      </c>
    </row>
    <row r="90" spans="1:11" x14ac:dyDescent="0.25">
      <c r="A90" s="53" t="s">
        <v>109</v>
      </c>
      <c r="B90" s="53">
        <v>3</v>
      </c>
      <c r="C90" s="53">
        <v>3</v>
      </c>
      <c r="D90" s="53">
        <v>3</v>
      </c>
      <c r="E90" s="53">
        <v>3</v>
      </c>
      <c r="F90" s="53">
        <v>3</v>
      </c>
      <c r="G90" s="53">
        <v>3</v>
      </c>
      <c r="H90" s="53">
        <v>3</v>
      </c>
      <c r="I90" s="53">
        <v>3</v>
      </c>
      <c r="J90" s="53">
        <v>3</v>
      </c>
      <c r="K90" s="53">
        <f t="shared" si="1"/>
        <v>27</v>
      </c>
    </row>
    <row r="91" spans="1:11" x14ac:dyDescent="0.25">
      <c r="A91" s="53" t="s">
        <v>110</v>
      </c>
      <c r="B91" s="53">
        <v>2</v>
      </c>
      <c r="C91" s="53">
        <v>2</v>
      </c>
      <c r="D91" s="53">
        <v>3</v>
      </c>
      <c r="E91" s="53">
        <v>3</v>
      </c>
      <c r="F91" s="53">
        <v>3</v>
      </c>
      <c r="G91" s="53">
        <v>3</v>
      </c>
      <c r="H91" s="53">
        <v>3</v>
      </c>
      <c r="I91" s="53">
        <v>3</v>
      </c>
      <c r="J91" s="53">
        <v>2</v>
      </c>
      <c r="K91" s="53">
        <f t="shared" si="1"/>
        <v>24</v>
      </c>
    </row>
    <row r="92" spans="1:11" x14ac:dyDescent="0.25">
      <c r="A92" s="53" t="s">
        <v>111</v>
      </c>
      <c r="B92" s="53">
        <v>4</v>
      </c>
      <c r="C92" s="53">
        <v>4</v>
      </c>
      <c r="D92" s="53">
        <v>4</v>
      </c>
      <c r="E92" s="53">
        <v>4</v>
      </c>
      <c r="F92" s="53">
        <v>4</v>
      </c>
      <c r="G92" s="53">
        <v>3</v>
      </c>
      <c r="H92" s="53">
        <v>4</v>
      </c>
      <c r="I92" s="53">
        <v>4</v>
      </c>
      <c r="J92" s="53">
        <v>4</v>
      </c>
      <c r="K92" s="53">
        <f t="shared" si="1"/>
        <v>35</v>
      </c>
    </row>
    <row r="93" spans="1:11" x14ac:dyDescent="0.25">
      <c r="A93" s="53" t="s">
        <v>112</v>
      </c>
      <c r="B93" s="53">
        <v>2</v>
      </c>
      <c r="C93" s="53">
        <v>2</v>
      </c>
      <c r="D93" s="53">
        <v>2</v>
      </c>
      <c r="E93" s="53">
        <v>2</v>
      </c>
      <c r="F93" s="53">
        <v>3</v>
      </c>
      <c r="G93" s="53">
        <v>2</v>
      </c>
      <c r="H93" s="53">
        <v>2</v>
      </c>
      <c r="I93" s="53">
        <v>2</v>
      </c>
      <c r="J93" s="53">
        <v>2</v>
      </c>
      <c r="K93" s="53">
        <f t="shared" si="1"/>
        <v>19</v>
      </c>
    </row>
    <row r="94" spans="1:11" x14ac:dyDescent="0.25">
      <c r="A94" s="53" t="s">
        <v>113</v>
      </c>
      <c r="B94" s="53">
        <v>4</v>
      </c>
      <c r="C94" s="53">
        <v>4</v>
      </c>
      <c r="D94" s="53">
        <v>4</v>
      </c>
      <c r="E94" s="53">
        <v>4</v>
      </c>
      <c r="F94" s="53">
        <v>4</v>
      </c>
      <c r="G94" s="53">
        <v>4</v>
      </c>
      <c r="H94" s="53">
        <v>5</v>
      </c>
      <c r="I94" s="53">
        <v>4</v>
      </c>
      <c r="J94" s="53">
        <v>4</v>
      </c>
      <c r="K94" s="53">
        <f t="shared" si="1"/>
        <v>37</v>
      </c>
    </row>
    <row r="95" spans="1:11" x14ac:dyDescent="0.25">
      <c r="A95" s="53" t="s">
        <v>114</v>
      </c>
      <c r="B95" s="53">
        <v>3</v>
      </c>
      <c r="C95" s="53">
        <v>3</v>
      </c>
      <c r="D95" s="53">
        <v>3</v>
      </c>
      <c r="E95" s="53">
        <v>3</v>
      </c>
      <c r="F95" s="53">
        <v>4</v>
      </c>
      <c r="G95" s="53">
        <v>3</v>
      </c>
      <c r="H95" s="53">
        <v>3</v>
      </c>
      <c r="I95" s="53">
        <v>3</v>
      </c>
      <c r="J95" s="53">
        <v>3</v>
      </c>
      <c r="K95" s="53">
        <f t="shared" si="1"/>
        <v>28</v>
      </c>
    </row>
    <row r="96" spans="1:11" x14ac:dyDescent="0.25">
      <c r="A96" s="53" t="s">
        <v>115</v>
      </c>
      <c r="B96" s="53">
        <v>3</v>
      </c>
      <c r="C96" s="53">
        <v>2</v>
      </c>
      <c r="D96" s="53">
        <v>3</v>
      </c>
      <c r="E96" s="53">
        <v>2</v>
      </c>
      <c r="F96" s="53">
        <v>3</v>
      </c>
      <c r="G96" s="53">
        <v>2</v>
      </c>
      <c r="H96" s="53">
        <v>3</v>
      </c>
      <c r="I96" s="53">
        <v>2</v>
      </c>
      <c r="J96" s="53">
        <v>2</v>
      </c>
      <c r="K96" s="53">
        <f t="shared" si="1"/>
        <v>22</v>
      </c>
    </row>
    <row r="97" spans="1:11" x14ac:dyDescent="0.25">
      <c r="A97" s="53" t="s">
        <v>116</v>
      </c>
      <c r="B97" s="53">
        <v>3</v>
      </c>
      <c r="C97" s="53">
        <v>2</v>
      </c>
      <c r="D97" s="53">
        <v>3</v>
      </c>
      <c r="E97" s="53">
        <v>3</v>
      </c>
      <c r="F97" s="53">
        <v>3</v>
      </c>
      <c r="G97" s="53">
        <v>2</v>
      </c>
      <c r="H97" s="53">
        <v>3</v>
      </c>
      <c r="I97" s="53">
        <v>2</v>
      </c>
      <c r="J97" s="53">
        <v>2</v>
      </c>
      <c r="K97" s="53">
        <f t="shared" si="1"/>
        <v>23</v>
      </c>
    </row>
    <row r="98" spans="1:11" x14ac:dyDescent="0.25">
      <c r="A98" s="53" t="s">
        <v>117</v>
      </c>
      <c r="B98" s="53">
        <v>4</v>
      </c>
      <c r="C98" s="53">
        <v>4</v>
      </c>
      <c r="D98" s="53">
        <v>4</v>
      </c>
      <c r="E98" s="53">
        <v>4</v>
      </c>
      <c r="F98" s="53">
        <v>4</v>
      </c>
      <c r="G98" s="53">
        <v>3</v>
      </c>
      <c r="H98" s="53">
        <v>4</v>
      </c>
      <c r="I98" s="53">
        <v>4</v>
      </c>
      <c r="J98" s="53">
        <v>4</v>
      </c>
      <c r="K98" s="53">
        <f t="shared" si="1"/>
        <v>35</v>
      </c>
    </row>
    <row r="99" spans="1:11" x14ac:dyDescent="0.25">
      <c r="A99" s="53" t="s">
        <v>118</v>
      </c>
      <c r="B99" s="53">
        <v>3</v>
      </c>
      <c r="C99" s="53">
        <v>3</v>
      </c>
      <c r="D99" s="53">
        <v>3</v>
      </c>
      <c r="E99" s="53">
        <v>3</v>
      </c>
      <c r="F99" s="53">
        <v>3</v>
      </c>
      <c r="G99" s="53">
        <v>3</v>
      </c>
      <c r="H99" s="53">
        <v>2</v>
      </c>
      <c r="I99" s="53">
        <v>3</v>
      </c>
      <c r="J99" s="53">
        <v>3</v>
      </c>
      <c r="K99" s="53">
        <f t="shared" si="1"/>
        <v>26</v>
      </c>
    </row>
    <row r="100" spans="1:11" x14ac:dyDescent="0.25">
      <c r="A100" s="53" t="s">
        <v>119</v>
      </c>
      <c r="B100" s="53">
        <v>2</v>
      </c>
      <c r="C100" s="53">
        <v>2</v>
      </c>
      <c r="D100" s="53">
        <v>2</v>
      </c>
      <c r="E100" s="53">
        <v>2</v>
      </c>
      <c r="F100" s="53">
        <v>3</v>
      </c>
      <c r="G100" s="53">
        <v>2</v>
      </c>
      <c r="H100" s="53">
        <v>2</v>
      </c>
      <c r="I100" s="53">
        <v>2</v>
      </c>
      <c r="J100" s="53">
        <v>3</v>
      </c>
      <c r="K100" s="53">
        <f t="shared" si="1"/>
        <v>20</v>
      </c>
    </row>
    <row r="101" spans="1:11" x14ac:dyDescent="0.25">
      <c r="A101" s="53" t="s">
        <v>120</v>
      </c>
      <c r="B101" s="53">
        <v>3</v>
      </c>
      <c r="C101" s="53">
        <v>3</v>
      </c>
      <c r="D101" s="53">
        <v>4</v>
      </c>
      <c r="E101" s="53">
        <v>3</v>
      </c>
      <c r="F101" s="53">
        <v>3</v>
      </c>
      <c r="G101" s="53">
        <v>3</v>
      </c>
      <c r="H101" s="53">
        <v>3</v>
      </c>
      <c r="I101" s="53">
        <v>3</v>
      </c>
      <c r="J101" s="53">
        <v>3</v>
      </c>
      <c r="K101" s="53">
        <f t="shared" si="1"/>
        <v>28</v>
      </c>
    </row>
    <row r="102" spans="1:11" x14ac:dyDescent="0.25">
      <c r="A102" s="53" t="s">
        <v>121</v>
      </c>
      <c r="B102" s="53">
        <v>3</v>
      </c>
      <c r="C102" s="53">
        <v>3</v>
      </c>
      <c r="D102" s="53">
        <v>3</v>
      </c>
      <c r="E102" s="53">
        <v>2</v>
      </c>
      <c r="F102" s="53">
        <v>3</v>
      </c>
      <c r="G102" s="53">
        <v>2</v>
      </c>
      <c r="H102" s="53">
        <v>3</v>
      </c>
      <c r="I102" s="53">
        <v>2</v>
      </c>
      <c r="J102" s="53">
        <v>3</v>
      </c>
      <c r="K102" s="53">
        <f t="shared" si="1"/>
        <v>24</v>
      </c>
    </row>
    <row r="103" spans="1:11" x14ac:dyDescent="0.25">
      <c r="A103" s="53" t="s">
        <v>122</v>
      </c>
      <c r="B103" s="53">
        <v>3</v>
      </c>
      <c r="C103" s="53">
        <v>3</v>
      </c>
      <c r="D103" s="53">
        <v>3</v>
      </c>
      <c r="E103" s="53">
        <v>3</v>
      </c>
      <c r="F103" s="53">
        <v>3</v>
      </c>
      <c r="G103" s="53">
        <v>3</v>
      </c>
      <c r="H103" s="53">
        <v>3</v>
      </c>
      <c r="I103" s="53">
        <v>3</v>
      </c>
      <c r="J103" s="53">
        <v>3</v>
      </c>
      <c r="K103" s="53">
        <f t="shared" si="1"/>
        <v>27</v>
      </c>
    </row>
    <row r="104" spans="1:11" x14ac:dyDescent="0.25">
      <c r="A104" s="53" t="s">
        <v>123</v>
      </c>
      <c r="B104" s="53">
        <v>3</v>
      </c>
      <c r="C104" s="53">
        <v>4</v>
      </c>
      <c r="D104" s="53">
        <v>3</v>
      </c>
      <c r="E104" s="53">
        <v>3</v>
      </c>
      <c r="F104" s="53">
        <v>3</v>
      </c>
      <c r="G104" s="53">
        <v>3</v>
      </c>
      <c r="H104" s="53">
        <v>3</v>
      </c>
      <c r="I104" s="53">
        <v>3</v>
      </c>
      <c r="J104" s="53">
        <v>3</v>
      </c>
      <c r="K104" s="53">
        <f t="shared" si="1"/>
        <v>28</v>
      </c>
    </row>
    <row r="105" spans="1:11" x14ac:dyDescent="0.25">
      <c r="A105" s="53" t="s">
        <v>124</v>
      </c>
      <c r="B105" s="53">
        <v>2</v>
      </c>
      <c r="C105" s="53">
        <v>2</v>
      </c>
      <c r="D105" s="53">
        <v>3</v>
      </c>
      <c r="E105" s="53">
        <v>3</v>
      </c>
      <c r="F105" s="53">
        <v>3</v>
      </c>
      <c r="G105" s="53">
        <v>3</v>
      </c>
      <c r="H105" s="53">
        <v>2</v>
      </c>
      <c r="I105" s="53">
        <v>2</v>
      </c>
      <c r="J105" s="53">
        <v>3</v>
      </c>
      <c r="K105" s="53">
        <f t="shared" si="1"/>
        <v>23</v>
      </c>
    </row>
    <row r="106" spans="1:11" x14ac:dyDescent="0.25">
      <c r="A106" s="53" t="s">
        <v>125</v>
      </c>
      <c r="B106" s="53">
        <v>3</v>
      </c>
      <c r="C106" s="53">
        <v>3</v>
      </c>
      <c r="D106" s="53">
        <v>4</v>
      </c>
      <c r="E106" s="53">
        <v>3</v>
      </c>
      <c r="F106" s="53">
        <v>3</v>
      </c>
      <c r="G106" s="53">
        <v>3</v>
      </c>
      <c r="H106" s="53">
        <v>3</v>
      </c>
      <c r="I106" s="53">
        <v>3</v>
      </c>
      <c r="J106" s="53">
        <v>3</v>
      </c>
      <c r="K106" s="53">
        <f t="shared" si="1"/>
        <v>28</v>
      </c>
    </row>
    <row r="107" spans="1:11" x14ac:dyDescent="0.25">
      <c r="A107" s="53" t="s">
        <v>126</v>
      </c>
      <c r="B107" s="53">
        <v>3</v>
      </c>
      <c r="C107" s="53">
        <v>3</v>
      </c>
      <c r="D107" s="53">
        <v>4</v>
      </c>
      <c r="E107" s="53">
        <v>4</v>
      </c>
      <c r="F107" s="53">
        <v>3</v>
      </c>
      <c r="G107" s="53">
        <v>3</v>
      </c>
      <c r="H107" s="53">
        <v>3</v>
      </c>
      <c r="I107" s="53">
        <v>3</v>
      </c>
      <c r="J107" s="53">
        <v>4</v>
      </c>
      <c r="K107" s="53">
        <f t="shared" si="1"/>
        <v>30</v>
      </c>
    </row>
    <row r="108" spans="1:11" x14ac:dyDescent="0.25">
      <c r="A108" s="53" t="s">
        <v>127</v>
      </c>
      <c r="B108" s="53">
        <v>4</v>
      </c>
      <c r="C108" s="53">
        <v>3</v>
      </c>
      <c r="D108" s="53">
        <v>4</v>
      </c>
      <c r="E108" s="53">
        <v>4</v>
      </c>
      <c r="F108" s="53">
        <v>4</v>
      </c>
      <c r="G108" s="53">
        <v>3</v>
      </c>
      <c r="H108" s="53">
        <v>3</v>
      </c>
      <c r="I108" s="53">
        <v>3</v>
      </c>
      <c r="J108" s="53">
        <v>3</v>
      </c>
      <c r="K108" s="53">
        <f t="shared" si="1"/>
        <v>31</v>
      </c>
    </row>
    <row r="109" spans="1:11" x14ac:dyDescent="0.25">
      <c r="A109" s="53" t="s">
        <v>128</v>
      </c>
      <c r="B109" s="53">
        <v>2</v>
      </c>
      <c r="C109" s="53">
        <v>2</v>
      </c>
      <c r="D109" s="53">
        <v>2</v>
      </c>
      <c r="E109" s="53">
        <v>2</v>
      </c>
      <c r="F109" s="53">
        <v>2</v>
      </c>
      <c r="G109" s="53">
        <v>2</v>
      </c>
      <c r="H109" s="53">
        <v>2</v>
      </c>
      <c r="I109" s="53">
        <v>2</v>
      </c>
      <c r="J109" s="53">
        <v>2</v>
      </c>
      <c r="K109" s="53">
        <f t="shared" si="1"/>
        <v>18</v>
      </c>
    </row>
    <row r="110" spans="1:11" x14ac:dyDescent="0.25">
      <c r="A110" s="53" t="s">
        <v>129</v>
      </c>
      <c r="B110" s="53">
        <v>5</v>
      </c>
      <c r="C110" s="53">
        <v>5</v>
      </c>
      <c r="D110" s="53">
        <v>5</v>
      </c>
      <c r="E110" s="53">
        <v>5</v>
      </c>
      <c r="F110" s="53">
        <v>5</v>
      </c>
      <c r="G110" s="53">
        <v>4</v>
      </c>
      <c r="H110" s="53">
        <v>5</v>
      </c>
      <c r="I110" s="53">
        <v>4</v>
      </c>
      <c r="J110" s="53">
        <v>5</v>
      </c>
      <c r="K110" s="53">
        <f t="shared" si="1"/>
        <v>43</v>
      </c>
    </row>
    <row r="111" spans="1:11" x14ac:dyDescent="0.25">
      <c r="A111" s="53" t="s">
        <v>130</v>
      </c>
      <c r="B111" s="53">
        <v>3</v>
      </c>
      <c r="C111" s="53">
        <v>3</v>
      </c>
      <c r="D111" s="53">
        <v>3</v>
      </c>
      <c r="E111" s="53">
        <v>4</v>
      </c>
      <c r="F111" s="53">
        <v>4</v>
      </c>
      <c r="G111" s="53">
        <v>3</v>
      </c>
      <c r="H111" s="53">
        <v>4</v>
      </c>
      <c r="I111" s="53">
        <v>3</v>
      </c>
      <c r="J111" s="53">
        <v>3</v>
      </c>
      <c r="K111" s="53">
        <f t="shared" si="1"/>
        <v>30</v>
      </c>
    </row>
    <row r="112" spans="1:11" x14ac:dyDescent="0.25">
      <c r="A112" s="53" t="s">
        <v>131</v>
      </c>
      <c r="B112" s="53">
        <v>3</v>
      </c>
      <c r="C112" s="53">
        <v>3</v>
      </c>
      <c r="D112" s="53">
        <v>3</v>
      </c>
      <c r="E112" s="53">
        <v>3</v>
      </c>
      <c r="F112" s="53">
        <v>3</v>
      </c>
      <c r="G112" s="53">
        <v>3</v>
      </c>
      <c r="H112" s="53">
        <v>3</v>
      </c>
      <c r="I112" s="53">
        <v>3</v>
      </c>
      <c r="J112" s="53">
        <v>3</v>
      </c>
      <c r="K112" s="53">
        <f t="shared" si="1"/>
        <v>27</v>
      </c>
    </row>
    <row r="113" spans="1:11" x14ac:dyDescent="0.25">
      <c r="A113" s="53" t="s">
        <v>132</v>
      </c>
      <c r="B113" s="53">
        <v>4</v>
      </c>
      <c r="C113" s="53">
        <v>3</v>
      </c>
      <c r="D113" s="53">
        <v>4</v>
      </c>
      <c r="E113" s="53">
        <v>3</v>
      </c>
      <c r="F113" s="53">
        <v>4</v>
      </c>
      <c r="G113" s="53">
        <v>3</v>
      </c>
      <c r="H113" s="53">
        <v>4</v>
      </c>
      <c r="I113" s="53">
        <v>3</v>
      </c>
      <c r="J113" s="53">
        <v>3</v>
      </c>
      <c r="K113" s="53">
        <f t="shared" si="1"/>
        <v>31</v>
      </c>
    </row>
    <row r="114" spans="1:11" x14ac:dyDescent="0.25">
      <c r="A114" s="53" t="s">
        <v>133</v>
      </c>
      <c r="B114" s="53">
        <v>3</v>
      </c>
      <c r="C114" s="53">
        <v>3</v>
      </c>
      <c r="D114" s="53">
        <v>3</v>
      </c>
      <c r="E114" s="53">
        <v>3</v>
      </c>
      <c r="F114" s="53">
        <v>3</v>
      </c>
      <c r="G114" s="53">
        <v>3</v>
      </c>
      <c r="H114" s="53">
        <v>3</v>
      </c>
      <c r="I114" s="53">
        <v>3</v>
      </c>
      <c r="J114" s="53">
        <v>4</v>
      </c>
      <c r="K114" s="53">
        <f t="shared" si="1"/>
        <v>28</v>
      </c>
    </row>
    <row r="115" spans="1:11" x14ac:dyDescent="0.25">
      <c r="A115" s="53" t="s">
        <v>134</v>
      </c>
      <c r="B115" s="53">
        <v>3</v>
      </c>
      <c r="C115" s="53">
        <v>3</v>
      </c>
      <c r="D115" s="53">
        <v>3</v>
      </c>
      <c r="E115" s="53">
        <v>3</v>
      </c>
      <c r="F115" s="53">
        <v>3</v>
      </c>
      <c r="G115" s="53">
        <v>2</v>
      </c>
      <c r="H115" s="53">
        <v>2</v>
      </c>
      <c r="I115" s="53">
        <v>3</v>
      </c>
      <c r="J115" s="53">
        <v>2</v>
      </c>
      <c r="K115" s="53">
        <f t="shared" si="1"/>
        <v>24</v>
      </c>
    </row>
    <row r="116" spans="1:11" x14ac:dyDescent="0.25">
      <c r="A116" s="53" t="s">
        <v>135</v>
      </c>
      <c r="B116" s="53">
        <v>3</v>
      </c>
      <c r="C116" s="53">
        <v>3</v>
      </c>
      <c r="D116" s="53">
        <v>4</v>
      </c>
      <c r="E116" s="53">
        <v>3</v>
      </c>
      <c r="F116" s="53">
        <v>3</v>
      </c>
      <c r="G116" s="53">
        <v>3</v>
      </c>
      <c r="H116" s="53">
        <v>4</v>
      </c>
      <c r="I116" s="53">
        <v>4</v>
      </c>
      <c r="J116" s="53">
        <v>3</v>
      </c>
      <c r="K116" s="53">
        <f t="shared" si="1"/>
        <v>30</v>
      </c>
    </row>
    <row r="117" spans="1:11" x14ac:dyDescent="0.25">
      <c r="A117" s="53" t="s">
        <v>136</v>
      </c>
      <c r="B117" s="53">
        <v>4</v>
      </c>
      <c r="C117" s="53">
        <v>3</v>
      </c>
      <c r="D117" s="53">
        <v>4</v>
      </c>
      <c r="E117" s="53">
        <v>3</v>
      </c>
      <c r="F117" s="53">
        <v>4</v>
      </c>
      <c r="G117" s="53">
        <v>3</v>
      </c>
      <c r="H117" s="53">
        <v>3</v>
      </c>
      <c r="I117" s="53">
        <v>3</v>
      </c>
      <c r="J117" s="53">
        <v>4</v>
      </c>
      <c r="K117" s="53">
        <f t="shared" si="1"/>
        <v>31</v>
      </c>
    </row>
    <row r="118" spans="1:11" x14ac:dyDescent="0.25">
      <c r="A118" s="53" t="s">
        <v>137</v>
      </c>
      <c r="B118" s="53">
        <v>3</v>
      </c>
      <c r="C118" s="53">
        <v>3</v>
      </c>
      <c r="D118" s="53">
        <v>4</v>
      </c>
      <c r="E118" s="53">
        <v>3</v>
      </c>
      <c r="F118" s="53">
        <v>3</v>
      </c>
      <c r="G118" s="53">
        <v>3</v>
      </c>
      <c r="H118" s="53">
        <v>4</v>
      </c>
      <c r="I118" s="53">
        <v>4</v>
      </c>
      <c r="J118" s="53">
        <v>3</v>
      </c>
      <c r="K118" s="53">
        <f t="shared" si="1"/>
        <v>30</v>
      </c>
    </row>
    <row r="119" spans="1:11" x14ac:dyDescent="0.25">
      <c r="A119" s="53" t="s">
        <v>138</v>
      </c>
      <c r="B119" s="53">
        <v>2</v>
      </c>
      <c r="C119" s="53">
        <v>2</v>
      </c>
      <c r="D119" s="53">
        <v>3</v>
      </c>
      <c r="E119" s="53">
        <v>3</v>
      </c>
      <c r="F119" s="53">
        <v>3</v>
      </c>
      <c r="G119" s="53">
        <v>3</v>
      </c>
      <c r="H119" s="53">
        <v>2</v>
      </c>
      <c r="I119" s="53">
        <v>2</v>
      </c>
      <c r="J119" s="53">
        <v>3</v>
      </c>
      <c r="K119" s="53">
        <f t="shared" si="1"/>
        <v>23</v>
      </c>
    </row>
    <row r="120" spans="1:11" x14ac:dyDescent="0.25">
      <c r="A120" s="53" t="s">
        <v>139</v>
      </c>
      <c r="B120" s="53">
        <v>4</v>
      </c>
      <c r="C120" s="53">
        <v>4</v>
      </c>
      <c r="D120" s="53">
        <v>4</v>
      </c>
      <c r="E120" s="53">
        <v>4</v>
      </c>
      <c r="F120" s="53">
        <v>4</v>
      </c>
      <c r="G120" s="53">
        <v>4</v>
      </c>
      <c r="H120" s="53">
        <v>4</v>
      </c>
      <c r="I120" s="53">
        <v>4</v>
      </c>
      <c r="J120" s="53">
        <v>4</v>
      </c>
      <c r="K120" s="53">
        <f t="shared" si="1"/>
        <v>36</v>
      </c>
    </row>
    <row r="121" spans="1:11" x14ac:dyDescent="0.25">
      <c r="A121" s="53" t="s">
        <v>140</v>
      </c>
      <c r="B121" s="53">
        <v>3</v>
      </c>
      <c r="C121" s="53">
        <v>3</v>
      </c>
      <c r="D121" s="53">
        <v>3</v>
      </c>
      <c r="E121" s="53">
        <v>3</v>
      </c>
      <c r="F121" s="53">
        <v>3</v>
      </c>
      <c r="G121" s="53">
        <v>3</v>
      </c>
      <c r="H121" s="53">
        <v>3</v>
      </c>
      <c r="I121" s="53">
        <v>3</v>
      </c>
      <c r="J121" s="53">
        <v>3</v>
      </c>
      <c r="K121" s="53">
        <f t="shared" si="1"/>
        <v>27</v>
      </c>
    </row>
    <row r="122" spans="1:11" x14ac:dyDescent="0.25">
      <c r="A122" s="53" t="s">
        <v>141</v>
      </c>
      <c r="B122" s="53">
        <v>4</v>
      </c>
      <c r="C122" s="53">
        <v>4</v>
      </c>
      <c r="D122" s="53">
        <v>4</v>
      </c>
      <c r="E122" s="53">
        <v>4</v>
      </c>
      <c r="F122" s="53">
        <v>4</v>
      </c>
      <c r="G122" s="53">
        <v>4</v>
      </c>
      <c r="H122" s="53">
        <v>4</v>
      </c>
      <c r="I122" s="53">
        <v>4</v>
      </c>
      <c r="J122" s="53">
        <v>4</v>
      </c>
      <c r="K122" s="53">
        <f t="shared" si="1"/>
        <v>36</v>
      </c>
    </row>
    <row r="123" spans="1:11" x14ac:dyDescent="0.25">
      <c r="A123" s="53" t="s">
        <v>142</v>
      </c>
      <c r="B123" s="53">
        <v>2</v>
      </c>
      <c r="C123" s="53">
        <v>2</v>
      </c>
      <c r="D123" s="53">
        <v>2</v>
      </c>
      <c r="E123" s="53">
        <v>2</v>
      </c>
      <c r="F123" s="53">
        <v>2</v>
      </c>
      <c r="G123" s="53">
        <v>2</v>
      </c>
      <c r="H123" s="53">
        <v>2</v>
      </c>
      <c r="I123" s="53">
        <v>2</v>
      </c>
      <c r="J123" s="53">
        <v>1</v>
      </c>
      <c r="K123" s="53">
        <f t="shared" si="1"/>
        <v>17</v>
      </c>
    </row>
    <row r="124" spans="1:11" x14ac:dyDescent="0.25">
      <c r="A124" s="53" t="s">
        <v>143</v>
      </c>
      <c r="B124" s="53">
        <v>3</v>
      </c>
      <c r="C124" s="53">
        <v>3</v>
      </c>
      <c r="D124" s="53">
        <v>3</v>
      </c>
      <c r="E124" s="53">
        <v>3</v>
      </c>
      <c r="F124" s="53">
        <v>3</v>
      </c>
      <c r="G124" s="53">
        <v>3</v>
      </c>
      <c r="H124" s="53">
        <v>3</v>
      </c>
      <c r="I124" s="53">
        <v>3</v>
      </c>
      <c r="J124" s="53">
        <v>3</v>
      </c>
      <c r="K124" s="53">
        <f t="shared" si="1"/>
        <v>27</v>
      </c>
    </row>
    <row r="125" spans="1:11" x14ac:dyDescent="0.25">
      <c r="A125" s="53" t="s">
        <v>144</v>
      </c>
      <c r="B125" s="53">
        <v>3</v>
      </c>
      <c r="C125" s="53">
        <v>4</v>
      </c>
      <c r="D125" s="53">
        <v>3</v>
      </c>
      <c r="E125" s="53">
        <v>3</v>
      </c>
      <c r="F125" s="53">
        <v>3</v>
      </c>
      <c r="G125" s="53">
        <v>3</v>
      </c>
      <c r="H125" s="53">
        <v>3</v>
      </c>
      <c r="I125" s="53">
        <v>3</v>
      </c>
      <c r="J125" s="53">
        <v>3</v>
      </c>
      <c r="K125" s="53">
        <f t="shared" si="1"/>
        <v>28</v>
      </c>
    </row>
    <row r="126" spans="1:11" x14ac:dyDescent="0.25">
      <c r="A126" s="53" t="s">
        <v>145</v>
      </c>
      <c r="B126" s="53">
        <v>4</v>
      </c>
      <c r="C126" s="53">
        <v>4</v>
      </c>
      <c r="D126" s="53">
        <v>4</v>
      </c>
      <c r="E126" s="53">
        <v>4</v>
      </c>
      <c r="F126" s="53">
        <v>4</v>
      </c>
      <c r="G126" s="53">
        <v>3</v>
      </c>
      <c r="H126" s="53">
        <v>4</v>
      </c>
      <c r="I126" s="53">
        <v>4</v>
      </c>
      <c r="J126" s="53">
        <v>3</v>
      </c>
      <c r="K126" s="53">
        <f t="shared" si="1"/>
        <v>34</v>
      </c>
    </row>
    <row r="127" spans="1:11" x14ac:dyDescent="0.25">
      <c r="A127" s="53" t="s">
        <v>146</v>
      </c>
      <c r="B127" s="53">
        <v>3</v>
      </c>
      <c r="C127" s="53">
        <v>3</v>
      </c>
      <c r="D127" s="53">
        <v>3</v>
      </c>
      <c r="E127" s="53">
        <v>3</v>
      </c>
      <c r="F127" s="53">
        <v>3</v>
      </c>
      <c r="G127" s="53">
        <v>3</v>
      </c>
      <c r="H127" s="53">
        <v>3</v>
      </c>
      <c r="I127" s="53">
        <v>3</v>
      </c>
      <c r="J127" s="53">
        <v>3</v>
      </c>
      <c r="K127" s="53">
        <f t="shared" si="1"/>
        <v>27</v>
      </c>
    </row>
    <row r="128" spans="1:11" x14ac:dyDescent="0.25">
      <c r="A128" s="53" t="s">
        <v>147</v>
      </c>
      <c r="B128" s="53">
        <v>4</v>
      </c>
      <c r="C128" s="53">
        <v>4</v>
      </c>
      <c r="D128" s="53">
        <v>4</v>
      </c>
      <c r="E128" s="53">
        <v>4</v>
      </c>
      <c r="F128" s="53">
        <v>4</v>
      </c>
      <c r="G128" s="53">
        <v>3</v>
      </c>
      <c r="H128" s="53">
        <v>4</v>
      </c>
      <c r="I128" s="53">
        <v>4</v>
      </c>
      <c r="J128" s="53">
        <v>4</v>
      </c>
      <c r="K128" s="53">
        <f t="shared" si="1"/>
        <v>35</v>
      </c>
    </row>
    <row r="129" spans="1:11" x14ac:dyDescent="0.25">
      <c r="A129" s="53" t="s">
        <v>148</v>
      </c>
      <c r="B129" s="53">
        <v>3</v>
      </c>
      <c r="C129" s="53">
        <v>3</v>
      </c>
      <c r="D129" s="53">
        <v>3</v>
      </c>
      <c r="E129" s="53">
        <v>3</v>
      </c>
      <c r="F129" s="53">
        <v>3</v>
      </c>
      <c r="G129" s="53">
        <v>2</v>
      </c>
      <c r="H129" s="53">
        <v>3</v>
      </c>
      <c r="I129" s="53">
        <v>3</v>
      </c>
      <c r="J129" s="53">
        <v>2</v>
      </c>
      <c r="K129" s="53">
        <f t="shared" si="1"/>
        <v>25</v>
      </c>
    </row>
    <row r="130" spans="1:11" x14ac:dyDescent="0.25">
      <c r="A130" s="53" t="s">
        <v>149</v>
      </c>
      <c r="B130" s="53">
        <v>2</v>
      </c>
      <c r="C130" s="53">
        <v>2</v>
      </c>
      <c r="D130" s="53">
        <v>3</v>
      </c>
      <c r="E130" s="53">
        <v>3</v>
      </c>
      <c r="F130" s="53">
        <v>3</v>
      </c>
      <c r="G130" s="53">
        <v>2</v>
      </c>
      <c r="H130" s="53">
        <v>3</v>
      </c>
      <c r="I130" s="53">
        <v>3</v>
      </c>
      <c r="J130" s="53">
        <v>3</v>
      </c>
      <c r="K130" s="53">
        <f t="shared" si="1"/>
        <v>24</v>
      </c>
    </row>
    <row r="131" spans="1:11" x14ac:dyDescent="0.25">
      <c r="A131" s="53" t="s">
        <v>150</v>
      </c>
      <c r="B131" s="53">
        <v>2</v>
      </c>
      <c r="C131" s="53">
        <v>2</v>
      </c>
      <c r="D131" s="53">
        <v>3</v>
      </c>
      <c r="E131" s="53">
        <v>2</v>
      </c>
      <c r="F131" s="53">
        <v>3</v>
      </c>
      <c r="G131" s="53">
        <v>2</v>
      </c>
      <c r="H131" s="53">
        <v>2</v>
      </c>
      <c r="I131" s="53">
        <v>2</v>
      </c>
      <c r="J131" s="53">
        <v>2</v>
      </c>
      <c r="K131" s="53">
        <f t="shared" si="1"/>
        <v>20</v>
      </c>
    </row>
    <row r="132" spans="1:11" x14ac:dyDescent="0.25">
      <c r="A132" s="53" t="s">
        <v>151</v>
      </c>
      <c r="B132" s="53">
        <v>3</v>
      </c>
      <c r="C132" s="53">
        <v>2</v>
      </c>
      <c r="D132" s="53">
        <v>3</v>
      </c>
      <c r="E132" s="53">
        <v>3</v>
      </c>
      <c r="F132" s="53">
        <v>3</v>
      </c>
      <c r="G132" s="53">
        <v>2</v>
      </c>
      <c r="H132" s="53">
        <v>2</v>
      </c>
      <c r="I132" s="53">
        <v>2</v>
      </c>
      <c r="J132" s="53">
        <v>3</v>
      </c>
      <c r="K132" s="53">
        <f t="shared" si="1"/>
        <v>23</v>
      </c>
    </row>
    <row r="133" spans="1:11" x14ac:dyDescent="0.25">
      <c r="A133" s="53" t="s">
        <v>152</v>
      </c>
      <c r="B133" s="53">
        <v>3</v>
      </c>
      <c r="C133" s="53">
        <v>2</v>
      </c>
      <c r="D133" s="53">
        <v>3</v>
      </c>
      <c r="E133" s="53">
        <v>2</v>
      </c>
      <c r="F133" s="53">
        <v>3</v>
      </c>
      <c r="G133" s="53">
        <v>2</v>
      </c>
      <c r="H133" s="53">
        <v>3</v>
      </c>
      <c r="I133" s="53">
        <v>3</v>
      </c>
      <c r="J133" s="53">
        <v>3</v>
      </c>
      <c r="K133" s="53">
        <f t="shared" ref="K133:K196" si="2">SUM(B133:J133)</f>
        <v>24</v>
      </c>
    </row>
    <row r="134" spans="1:11" x14ac:dyDescent="0.25">
      <c r="A134" s="53" t="s">
        <v>153</v>
      </c>
      <c r="B134" s="53">
        <v>2</v>
      </c>
      <c r="C134" s="53">
        <v>2</v>
      </c>
      <c r="D134" s="53">
        <v>2</v>
      </c>
      <c r="E134" s="53">
        <v>3</v>
      </c>
      <c r="F134" s="53">
        <v>3</v>
      </c>
      <c r="G134" s="53">
        <v>2</v>
      </c>
      <c r="H134" s="53">
        <v>2</v>
      </c>
      <c r="I134" s="53">
        <v>2</v>
      </c>
      <c r="J134" s="53">
        <v>2</v>
      </c>
      <c r="K134" s="53">
        <f t="shared" si="2"/>
        <v>20</v>
      </c>
    </row>
    <row r="135" spans="1:11" x14ac:dyDescent="0.25">
      <c r="A135" s="53" t="s">
        <v>154</v>
      </c>
      <c r="B135" s="53">
        <v>4</v>
      </c>
      <c r="C135" s="53">
        <v>4</v>
      </c>
      <c r="D135" s="53">
        <v>4</v>
      </c>
      <c r="E135" s="53">
        <v>4</v>
      </c>
      <c r="F135" s="53">
        <v>4</v>
      </c>
      <c r="G135" s="53">
        <v>4</v>
      </c>
      <c r="H135" s="53">
        <v>4</v>
      </c>
      <c r="I135" s="53">
        <v>4</v>
      </c>
      <c r="J135" s="53">
        <v>4</v>
      </c>
      <c r="K135" s="53">
        <f t="shared" si="2"/>
        <v>36</v>
      </c>
    </row>
    <row r="136" spans="1:11" x14ac:dyDescent="0.25">
      <c r="A136" s="53" t="s">
        <v>155</v>
      </c>
      <c r="B136" s="53">
        <v>2</v>
      </c>
      <c r="C136" s="53">
        <v>2</v>
      </c>
      <c r="D136" s="53">
        <v>3</v>
      </c>
      <c r="E136" s="53">
        <v>2</v>
      </c>
      <c r="F136" s="53">
        <v>2</v>
      </c>
      <c r="G136" s="53">
        <v>2</v>
      </c>
      <c r="H136" s="53">
        <v>2</v>
      </c>
      <c r="I136" s="53">
        <v>2</v>
      </c>
      <c r="J136" s="53">
        <v>2</v>
      </c>
      <c r="K136" s="53">
        <f t="shared" si="2"/>
        <v>19</v>
      </c>
    </row>
    <row r="137" spans="1:11" x14ac:dyDescent="0.25">
      <c r="A137" s="53" t="s">
        <v>156</v>
      </c>
      <c r="B137" s="53">
        <v>3</v>
      </c>
      <c r="C137" s="53">
        <v>4</v>
      </c>
      <c r="D137" s="53">
        <v>4</v>
      </c>
      <c r="E137" s="53">
        <v>4</v>
      </c>
      <c r="F137" s="53">
        <v>4</v>
      </c>
      <c r="G137" s="53">
        <v>3</v>
      </c>
      <c r="H137" s="53">
        <v>4</v>
      </c>
      <c r="I137" s="53">
        <v>3</v>
      </c>
      <c r="J137" s="53">
        <v>4</v>
      </c>
      <c r="K137" s="53">
        <f t="shared" si="2"/>
        <v>33</v>
      </c>
    </row>
    <row r="138" spans="1:11" x14ac:dyDescent="0.25">
      <c r="A138" s="53" t="s">
        <v>157</v>
      </c>
      <c r="B138" s="53">
        <v>4</v>
      </c>
      <c r="C138" s="53">
        <v>4</v>
      </c>
      <c r="D138" s="53">
        <v>4</v>
      </c>
      <c r="E138" s="53">
        <v>4</v>
      </c>
      <c r="F138" s="53">
        <v>4</v>
      </c>
      <c r="G138" s="53">
        <v>3</v>
      </c>
      <c r="H138" s="53">
        <v>4</v>
      </c>
      <c r="I138" s="53">
        <v>4</v>
      </c>
      <c r="J138" s="53">
        <v>4</v>
      </c>
      <c r="K138" s="53">
        <f t="shared" si="2"/>
        <v>35</v>
      </c>
    </row>
    <row r="139" spans="1:11" x14ac:dyDescent="0.25">
      <c r="A139" s="53" t="s">
        <v>158</v>
      </c>
      <c r="B139" s="53">
        <v>2</v>
      </c>
      <c r="C139" s="53">
        <v>2</v>
      </c>
      <c r="D139" s="53">
        <v>2</v>
      </c>
      <c r="E139" s="53">
        <v>2</v>
      </c>
      <c r="F139" s="53">
        <v>2</v>
      </c>
      <c r="G139" s="53">
        <v>2</v>
      </c>
      <c r="H139" s="53">
        <v>2</v>
      </c>
      <c r="I139" s="53">
        <v>2</v>
      </c>
      <c r="J139" s="53">
        <v>2</v>
      </c>
      <c r="K139" s="53">
        <f t="shared" si="2"/>
        <v>18</v>
      </c>
    </row>
    <row r="140" spans="1:11" x14ac:dyDescent="0.25">
      <c r="A140" s="53" t="s">
        <v>159</v>
      </c>
      <c r="B140" s="53">
        <v>3</v>
      </c>
      <c r="C140" s="53">
        <v>3</v>
      </c>
      <c r="D140" s="53">
        <v>3</v>
      </c>
      <c r="E140" s="53">
        <v>3</v>
      </c>
      <c r="F140" s="53">
        <v>3</v>
      </c>
      <c r="G140" s="53">
        <v>2</v>
      </c>
      <c r="H140" s="53">
        <v>2</v>
      </c>
      <c r="I140" s="53">
        <v>2</v>
      </c>
      <c r="J140" s="53">
        <v>2</v>
      </c>
      <c r="K140" s="53">
        <f t="shared" si="2"/>
        <v>23</v>
      </c>
    </row>
    <row r="141" spans="1:11" x14ac:dyDescent="0.25">
      <c r="A141" s="53" t="s">
        <v>160</v>
      </c>
      <c r="B141" s="53">
        <v>2</v>
      </c>
      <c r="C141" s="53">
        <v>2</v>
      </c>
      <c r="D141" s="53">
        <v>3</v>
      </c>
      <c r="E141" s="53">
        <v>2</v>
      </c>
      <c r="F141" s="53">
        <v>2</v>
      </c>
      <c r="G141" s="53">
        <v>2</v>
      </c>
      <c r="H141" s="53">
        <v>2</v>
      </c>
      <c r="I141" s="53">
        <v>2</v>
      </c>
      <c r="J141" s="53">
        <v>3</v>
      </c>
      <c r="K141" s="53">
        <f t="shared" si="2"/>
        <v>20</v>
      </c>
    </row>
    <row r="142" spans="1:11" x14ac:dyDescent="0.25">
      <c r="A142" s="53" t="s">
        <v>161</v>
      </c>
      <c r="B142" s="53">
        <v>2</v>
      </c>
      <c r="C142" s="53">
        <v>2</v>
      </c>
      <c r="D142" s="53">
        <v>2</v>
      </c>
      <c r="E142" s="53">
        <v>2</v>
      </c>
      <c r="F142" s="53">
        <v>2</v>
      </c>
      <c r="G142" s="53">
        <v>2</v>
      </c>
      <c r="H142" s="53">
        <v>2</v>
      </c>
      <c r="I142" s="53">
        <v>2</v>
      </c>
      <c r="J142" s="53">
        <v>2</v>
      </c>
      <c r="K142" s="53">
        <f t="shared" si="2"/>
        <v>18</v>
      </c>
    </row>
    <row r="143" spans="1:11" x14ac:dyDescent="0.25">
      <c r="A143" s="53" t="s">
        <v>162</v>
      </c>
      <c r="B143" s="53">
        <v>3</v>
      </c>
      <c r="C143" s="53">
        <v>3</v>
      </c>
      <c r="D143" s="53">
        <v>3</v>
      </c>
      <c r="E143" s="53">
        <v>3</v>
      </c>
      <c r="F143" s="53">
        <v>3</v>
      </c>
      <c r="G143" s="53">
        <v>3</v>
      </c>
      <c r="H143" s="53">
        <v>3</v>
      </c>
      <c r="I143" s="53">
        <v>3</v>
      </c>
      <c r="J143" s="53">
        <v>3</v>
      </c>
      <c r="K143" s="53">
        <f t="shared" si="2"/>
        <v>27</v>
      </c>
    </row>
    <row r="144" spans="1:11" x14ac:dyDescent="0.25">
      <c r="A144" s="53" t="s">
        <v>163</v>
      </c>
      <c r="B144" s="53">
        <v>2</v>
      </c>
      <c r="C144" s="53">
        <v>3</v>
      </c>
      <c r="D144" s="53">
        <v>3</v>
      </c>
      <c r="E144" s="53">
        <v>3</v>
      </c>
      <c r="F144" s="53">
        <v>3</v>
      </c>
      <c r="G144" s="53">
        <v>3</v>
      </c>
      <c r="H144" s="53">
        <v>2</v>
      </c>
      <c r="I144" s="53">
        <v>3</v>
      </c>
      <c r="J144" s="53">
        <v>3</v>
      </c>
      <c r="K144" s="53">
        <f t="shared" si="2"/>
        <v>25</v>
      </c>
    </row>
    <row r="145" spans="1:11" x14ac:dyDescent="0.25">
      <c r="A145" s="53" t="s">
        <v>164</v>
      </c>
      <c r="B145" s="53">
        <v>3</v>
      </c>
      <c r="C145" s="53">
        <v>3</v>
      </c>
      <c r="D145" s="53">
        <v>4</v>
      </c>
      <c r="E145" s="53">
        <v>3</v>
      </c>
      <c r="F145" s="53">
        <v>4</v>
      </c>
      <c r="G145" s="53">
        <v>3</v>
      </c>
      <c r="H145" s="53">
        <v>3</v>
      </c>
      <c r="I145" s="53">
        <v>3</v>
      </c>
      <c r="J145" s="53">
        <v>3</v>
      </c>
      <c r="K145" s="53">
        <f t="shared" si="2"/>
        <v>29</v>
      </c>
    </row>
    <row r="146" spans="1:11" x14ac:dyDescent="0.25">
      <c r="A146" s="53" t="s">
        <v>165</v>
      </c>
      <c r="B146" s="53">
        <v>3</v>
      </c>
      <c r="C146" s="53">
        <v>3</v>
      </c>
      <c r="D146" s="53">
        <v>3</v>
      </c>
      <c r="E146" s="53">
        <v>3</v>
      </c>
      <c r="F146" s="53">
        <v>3</v>
      </c>
      <c r="G146" s="53">
        <v>3</v>
      </c>
      <c r="H146" s="53">
        <v>3</v>
      </c>
      <c r="I146" s="53">
        <v>3</v>
      </c>
      <c r="J146" s="53">
        <v>3</v>
      </c>
      <c r="K146" s="53">
        <f t="shared" si="2"/>
        <v>27</v>
      </c>
    </row>
    <row r="147" spans="1:11" x14ac:dyDescent="0.25">
      <c r="A147" s="53" t="s">
        <v>166</v>
      </c>
      <c r="B147" s="53">
        <v>3</v>
      </c>
      <c r="C147" s="53">
        <v>4</v>
      </c>
      <c r="D147" s="53">
        <v>4</v>
      </c>
      <c r="E147" s="53">
        <v>3</v>
      </c>
      <c r="F147" s="53">
        <v>4</v>
      </c>
      <c r="G147" s="53">
        <v>3</v>
      </c>
      <c r="H147" s="53">
        <v>3</v>
      </c>
      <c r="I147" s="53">
        <v>3</v>
      </c>
      <c r="J147" s="53">
        <v>3</v>
      </c>
      <c r="K147" s="53">
        <f t="shared" si="2"/>
        <v>30</v>
      </c>
    </row>
    <row r="148" spans="1:11" x14ac:dyDescent="0.25">
      <c r="A148" s="53" t="s">
        <v>167</v>
      </c>
      <c r="B148" s="53">
        <v>4</v>
      </c>
      <c r="C148" s="53">
        <v>4</v>
      </c>
      <c r="D148" s="53">
        <v>4</v>
      </c>
      <c r="E148" s="53">
        <v>4</v>
      </c>
      <c r="F148" s="53">
        <v>4</v>
      </c>
      <c r="G148" s="53">
        <v>3</v>
      </c>
      <c r="H148" s="53">
        <v>4</v>
      </c>
      <c r="I148" s="53">
        <v>4</v>
      </c>
      <c r="J148" s="53">
        <v>4</v>
      </c>
      <c r="K148" s="53">
        <f t="shared" si="2"/>
        <v>35</v>
      </c>
    </row>
    <row r="149" spans="1:11" x14ac:dyDescent="0.25">
      <c r="A149" s="53" t="s">
        <v>168</v>
      </c>
      <c r="B149" s="53">
        <v>2</v>
      </c>
      <c r="C149" s="53">
        <v>2</v>
      </c>
      <c r="D149" s="53">
        <v>3</v>
      </c>
      <c r="E149" s="53">
        <v>2</v>
      </c>
      <c r="F149" s="53">
        <v>2</v>
      </c>
      <c r="G149" s="53">
        <v>2</v>
      </c>
      <c r="H149" s="53">
        <v>2</v>
      </c>
      <c r="I149" s="53">
        <v>2</v>
      </c>
      <c r="J149" s="53">
        <v>2</v>
      </c>
      <c r="K149" s="53">
        <f t="shared" si="2"/>
        <v>19</v>
      </c>
    </row>
    <row r="150" spans="1:11" x14ac:dyDescent="0.25">
      <c r="A150" s="53" t="s">
        <v>169</v>
      </c>
      <c r="B150" s="53">
        <v>2</v>
      </c>
      <c r="C150" s="53">
        <v>2</v>
      </c>
      <c r="D150" s="53">
        <v>2</v>
      </c>
      <c r="E150" s="53">
        <v>2</v>
      </c>
      <c r="F150" s="53">
        <v>2</v>
      </c>
      <c r="G150" s="53">
        <v>2</v>
      </c>
      <c r="H150" s="53">
        <v>2</v>
      </c>
      <c r="I150" s="53">
        <v>2</v>
      </c>
      <c r="J150" s="53">
        <v>2</v>
      </c>
      <c r="K150" s="53">
        <f t="shared" si="2"/>
        <v>18</v>
      </c>
    </row>
    <row r="151" spans="1:11" x14ac:dyDescent="0.25">
      <c r="A151" s="53" t="s">
        <v>170</v>
      </c>
      <c r="B151" s="53">
        <v>3</v>
      </c>
      <c r="C151" s="53">
        <v>3</v>
      </c>
      <c r="D151" s="53">
        <v>3</v>
      </c>
      <c r="E151" s="53">
        <v>3</v>
      </c>
      <c r="F151" s="53">
        <v>3</v>
      </c>
      <c r="G151" s="53">
        <v>3</v>
      </c>
      <c r="H151" s="53">
        <v>3</v>
      </c>
      <c r="I151" s="53">
        <v>2</v>
      </c>
      <c r="J151" s="53">
        <v>3</v>
      </c>
      <c r="K151" s="53">
        <f t="shared" si="2"/>
        <v>26</v>
      </c>
    </row>
    <row r="152" spans="1:11" x14ac:dyDescent="0.25">
      <c r="A152" s="53" t="s">
        <v>171</v>
      </c>
      <c r="B152" s="53">
        <v>3</v>
      </c>
      <c r="C152" s="53">
        <v>3</v>
      </c>
      <c r="D152" s="53">
        <v>4</v>
      </c>
      <c r="E152" s="53">
        <v>3</v>
      </c>
      <c r="F152" s="53">
        <v>4</v>
      </c>
      <c r="G152" s="53">
        <v>3</v>
      </c>
      <c r="H152" s="53">
        <v>3</v>
      </c>
      <c r="I152" s="53">
        <v>3</v>
      </c>
      <c r="J152" s="53">
        <v>4</v>
      </c>
      <c r="K152" s="53">
        <f t="shared" si="2"/>
        <v>30</v>
      </c>
    </row>
    <row r="153" spans="1:11" x14ac:dyDescent="0.25">
      <c r="A153" s="53" t="s">
        <v>172</v>
      </c>
      <c r="B153" s="53">
        <v>3</v>
      </c>
      <c r="C153" s="53">
        <v>3</v>
      </c>
      <c r="D153" s="53">
        <v>4</v>
      </c>
      <c r="E153" s="53">
        <v>3</v>
      </c>
      <c r="F153" s="53">
        <v>3</v>
      </c>
      <c r="G153" s="53">
        <v>3</v>
      </c>
      <c r="H153" s="53">
        <v>3</v>
      </c>
      <c r="I153" s="53">
        <v>3</v>
      </c>
      <c r="J153" s="53">
        <v>3</v>
      </c>
      <c r="K153" s="53">
        <f t="shared" si="2"/>
        <v>28</v>
      </c>
    </row>
    <row r="154" spans="1:11" x14ac:dyDescent="0.25">
      <c r="A154" s="53" t="s">
        <v>173</v>
      </c>
      <c r="B154" s="53">
        <v>3</v>
      </c>
      <c r="C154" s="53">
        <v>3</v>
      </c>
      <c r="D154" s="53">
        <v>3</v>
      </c>
      <c r="E154" s="53">
        <v>3</v>
      </c>
      <c r="F154" s="53">
        <v>3</v>
      </c>
      <c r="G154" s="53">
        <v>3</v>
      </c>
      <c r="H154" s="53">
        <v>3</v>
      </c>
      <c r="I154" s="53">
        <v>3</v>
      </c>
      <c r="J154" s="53">
        <v>3</v>
      </c>
      <c r="K154" s="53">
        <f t="shared" si="2"/>
        <v>27</v>
      </c>
    </row>
    <row r="155" spans="1:11" x14ac:dyDescent="0.25">
      <c r="A155" s="53" t="s">
        <v>174</v>
      </c>
      <c r="B155" s="53">
        <v>4</v>
      </c>
      <c r="C155" s="53">
        <v>4</v>
      </c>
      <c r="D155" s="53">
        <v>4</v>
      </c>
      <c r="E155" s="53">
        <v>4</v>
      </c>
      <c r="F155" s="53">
        <v>4</v>
      </c>
      <c r="G155" s="53">
        <v>4</v>
      </c>
      <c r="H155" s="53">
        <v>4</v>
      </c>
      <c r="I155" s="53">
        <v>4</v>
      </c>
      <c r="J155" s="53">
        <v>4</v>
      </c>
      <c r="K155" s="53">
        <f t="shared" si="2"/>
        <v>36</v>
      </c>
    </row>
    <row r="156" spans="1:11" x14ac:dyDescent="0.25">
      <c r="A156" s="53" t="s">
        <v>175</v>
      </c>
      <c r="B156" s="53">
        <v>5</v>
      </c>
      <c r="C156" s="53">
        <v>4</v>
      </c>
      <c r="D156" s="53">
        <v>5</v>
      </c>
      <c r="E156" s="53">
        <v>5</v>
      </c>
      <c r="F156" s="53">
        <v>5</v>
      </c>
      <c r="G156" s="53">
        <v>4</v>
      </c>
      <c r="H156" s="53">
        <v>5</v>
      </c>
      <c r="I156" s="53">
        <v>4</v>
      </c>
      <c r="J156" s="53">
        <v>5</v>
      </c>
      <c r="K156" s="53">
        <f t="shared" si="2"/>
        <v>42</v>
      </c>
    </row>
    <row r="157" spans="1:11" x14ac:dyDescent="0.25">
      <c r="A157" s="53" t="s">
        <v>176</v>
      </c>
      <c r="B157" s="53">
        <v>3</v>
      </c>
      <c r="C157" s="53">
        <v>3</v>
      </c>
      <c r="D157" s="53">
        <v>3</v>
      </c>
      <c r="E157" s="53">
        <v>3</v>
      </c>
      <c r="F157" s="53">
        <v>3</v>
      </c>
      <c r="G157" s="53">
        <v>2</v>
      </c>
      <c r="H157" s="53">
        <v>3</v>
      </c>
      <c r="I157" s="53">
        <v>3</v>
      </c>
      <c r="J157" s="53">
        <v>2</v>
      </c>
      <c r="K157" s="53">
        <f t="shared" si="2"/>
        <v>25</v>
      </c>
    </row>
    <row r="158" spans="1:11" x14ac:dyDescent="0.25">
      <c r="A158" s="53" t="s">
        <v>177</v>
      </c>
      <c r="B158" s="53">
        <v>3</v>
      </c>
      <c r="C158" s="53">
        <v>3</v>
      </c>
      <c r="D158" s="53">
        <v>3</v>
      </c>
      <c r="E158" s="53">
        <v>4</v>
      </c>
      <c r="F158" s="53">
        <v>3</v>
      </c>
      <c r="G158" s="53">
        <v>2</v>
      </c>
      <c r="H158" s="53">
        <v>3</v>
      </c>
      <c r="I158" s="53">
        <v>3</v>
      </c>
      <c r="J158" s="53">
        <v>3</v>
      </c>
      <c r="K158" s="53">
        <f t="shared" si="2"/>
        <v>27</v>
      </c>
    </row>
    <row r="159" spans="1:11" x14ac:dyDescent="0.25">
      <c r="A159" s="53" t="s">
        <v>178</v>
      </c>
      <c r="B159" s="53">
        <v>3</v>
      </c>
      <c r="C159" s="53">
        <v>3</v>
      </c>
      <c r="D159" s="53">
        <v>3</v>
      </c>
      <c r="E159" s="53">
        <v>3</v>
      </c>
      <c r="F159" s="53">
        <v>3</v>
      </c>
      <c r="G159" s="53">
        <v>3</v>
      </c>
      <c r="H159" s="53">
        <v>3</v>
      </c>
      <c r="I159" s="53">
        <v>3</v>
      </c>
      <c r="J159" s="53">
        <v>3</v>
      </c>
      <c r="K159" s="53">
        <f t="shared" si="2"/>
        <v>27</v>
      </c>
    </row>
    <row r="160" spans="1:11" x14ac:dyDescent="0.25">
      <c r="A160" s="53" t="s">
        <v>179</v>
      </c>
      <c r="B160" s="53">
        <v>3</v>
      </c>
      <c r="C160" s="53">
        <v>2</v>
      </c>
      <c r="D160" s="53">
        <v>3</v>
      </c>
      <c r="E160" s="53">
        <v>3</v>
      </c>
      <c r="F160" s="53">
        <v>3</v>
      </c>
      <c r="G160" s="53">
        <v>2</v>
      </c>
      <c r="H160" s="53">
        <v>3</v>
      </c>
      <c r="I160" s="53">
        <v>3</v>
      </c>
      <c r="J160" s="53">
        <v>2</v>
      </c>
      <c r="K160" s="53">
        <f t="shared" si="2"/>
        <v>24</v>
      </c>
    </row>
    <row r="161" spans="1:11" x14ac:dyDescent="0.25">
      <c r="A161" s="53" t="s">
        <v>180</v>
      </c>
      <c r="B161" s="53">
        <v>3</v>
      </c>
      <c r="C161" s="53">
        <v>3</v>
      </c>
      <c r="D161" s="53">
        <v>3</v>
      </c>
      <c r="E161" s="53">
        <v>3</v>
      </c>
      <c r="F161" s="53">
        <v>3</v>
      </c>
      <c r="G161" s="53">
        <v>3</v>
      </c>
      <c r="H161" s="53">
        <v>3</v>
      </c>
      <c r="I161" s="53">
        <v>3</v>
      </c>
      <c r="J161" s="53">
        <v>3</v>
      </c>
      <c r="K161" s="53">
        <f t="shared" si="2"/>
        <v>27</v>
      </c>
    </row>
    <row r="162" spans="1:11" x14ac:dyDescent="0.25">
      <c r="A162" s="53" t="s">
        <v>181</v>
      </c>
      <c r="B162" s="53">
        <v>3</v>
      </c>
      <c r="C162" s="53">
        <v>2</v>
      </c>
      <c r="D162" s="53">
        <v>3</v>
      </c>
      <c r="E162" s="53">
        <v>2</v>
      </c>
      <c r="F162" s="53">
        <v>3</v>
      </c>
      <c r="G162" s="53">
        <v>2</v>
      </c>
      <c r="H162" s="53">
        <v>2</v>
      </c>
      <c r="I162" s="53">
        <v>3</v>
      </c>
      <c r="J162" s="53">
        <v>3</v>
      </c>
      <c r="K162" s="53">
        <f t="shared" si="2"/>
        <v>23</v>
      </c>
    </row>
    <row r="163" spans="1:11" x14ac:dyDescent="0.25">
      <c r="A163" s="53" t="s">
        <v>182</v>
      </c>
      <c r="B163" s="53">
        <v>4</v>
      </c>
      <c r="C163" s="53">
        <v>3</v>
      </c>
      <c r="D163" s="53">
        <v>4</v>
      </c>
      <c r="E163" s="53">
        <v>3</v>
      </c>
      <c r="F163" s="53">
        <v>4</v>
      </c>
      <c r="G163" s="53">
        <v>3</v>
      </c>
      <c r="H163" s="53">
        <v>3</v>
      </c>
      <c r="I163" s="53">
        <v>3</v>
      </c>
      <c r="J163" s="53">
        <v>3</v>
      </c>
      <c r="K163" s="53">
        <f t="shared" si="2"/>
        <v>30</v>
      </c>
    </row>
    <row r="164" spans="1:11" x14ac:dyDescent="0.25">
      <c r="A164" s="53" t="s">
        <v>183</v>
      </c>
      <c r="B164" s="53">
        <v>3</v>
      </c>
      <c r="C164" s="53">
        <v>3</v>
      </c>
      <c r="D164" s="53">
        <v>3</v>
      </c>
      <c r="E164" s="53">
        <v>3</v>
      </c>
      <c r="F164" s="53">
        <v>3</v>
      </c>
      <c r="G164" s="53">
        <v>3</v>
      </c>
      <c r="H164" s="53">
        <v>3</v>
      </c>
      <c r="I164" s="53">
        <v>3</v>
      </c>
      <c r="J164" s="53">
        <v>2</v>
      </c>
      <c r="K164" s="53">
        <f t="shared" si="2"/>
        <v>26</v>
      </c>
    </row>
    <row r="165" spans="1:11" x14ac:dyDescent="0.25">
      <c r="A165" s="53" t="s">
        <v>184</v>
      </c>
      <c r="B165" s="53">
        <v>4</v>
      </c>
      <c r="C165" s="53">
        <v>4</v>
      </c>
      <c r="D165" s="53">
        <v>4</v>
      </c>
      <c r="E165" s="53">
        <v>4</v>
      </c>
      <c r="F165" s="53">
        <v>4</v>
      </c>
      <c r="G165" s="53">
        <v>4</v>
      </c>
      <c r="H165" s="53">
        <v>4</v>
      </c>
      <c r="I165" s="53">
        <v>4</v>
      </c>
      <c r="J165" s="53">
        <v>4</v>
      </c>
      <c r="K165" s="53">
        <f t="shared" si="2"/>
        <v>36</v>
      </c>
    </row>
    <row r="166" spans="1:11" x14ac:dyDescent="0.25">
      <c r="A166" s="53" t="s">
        <v>185</v>
      </c>
      <c r="B166" s="53">
        <v>3</v>
      </c>
      <c r="C166" s="53">
        <v>4</v>
      </c>
      <c r="D166" s="53">
        <v>4</v>
      </c>
      <c r="E166" s="53">
        <v>4</v>
      </c>
      <c r="F166" s="53">
        <v>4</v>
      </c>
      <c r="G166" s="53">
        <v>3</v>
      </c>
      <c r="H166" s="53">
        <v>4</v>
      </c>
      <c r="I166" s="53">
        <v>3</v>
      </c>
      <c r="J166" s="53">
        <v>3</v>
      </c>
      <c r="K166" s="53">
        <f t="shared" si="2"/>
        <v>32</v>
      </c>
    </row>
    <row r="167" spans="1:11" x14ac:dyDescent="0.25">
      <c r="A167" s="53" t="s">
        <v>186</v>
      </c>
      <c r="B167" s="53">
        <v>3</v>
      </c>
      <c r="C167" s="53">
        <v>3</v>
      </c>
      <c r="D167" s="53">
        <v>3</v>
      </c>
      <c r="E167" s="53">
        <v>3</v>
      </c>
      <c r="F167" s="53">
        <v>3</v>
      </c>
      <c r="G167" s="53">
        <v>3</v>
      </c>
      <c r="H167" s="53">
        <v>3</v>
      </c>
      <c r="I167" s="53">
        <v>3</v>
      </c>
      <c r="J167" s="53">
        <v>3</v>
      </c>
      <c r="K167" s="53">
        <f t="shared" si="2"/>
        <v>27</v>
      </c>
    </row>
    <row r="168" spans="1:11" x14ac:dyDescent="0.25">
      <c r="A168" s="53" t="s">
        <v>187</v>
      </c>
      <c r="B168" s="53">
        <v>3</v>
      </c>
      <c r="C168" s="53">
        <v>3</v>
      </c>
      <c r="D168" s="53">
        <v>4</v>
      </c>
      <c r="E168" s="53">
        <v>3</v>
      </c>
      <c r="F168" s="53">
        <v>3</v>
      </c>
      <c r="G168" s="53">
        <v>3</v>
      </c>
      <c r="H168" s="53">
        <v>3</v>
      </c>
      <c r="I168" s="53">
        <v>3</v>
      </c>
      <c r="J168" s="53">
        <v>3</v>
      </c>
      <c r="K168" s="53">
        <f t="shared" si="2"/>
        <v>28</v>
      </c>
    </row>
    <row r="169" spans="1:11" x14ac:dyDescent="0.25">
      <c r="A169" s="53" t="s">
        <v>188</v>
      </c>
      <c r="B169" s="53">
        <v>3</v>
      </c>
      <c r="C169" s="53">
        <v>3</v>
      </c>
      <c r="D169" s="53">
        <v>4</v>
      </c>
      <c r="E169" s="53">
        <v>3</v>
      </c>
      <c r="F169" s="53">
        <v>4</v>
      </c>
      <c r="G169" s="53">
        <v>3</v>
      </c>
      <c r="H169" s="53">
        <v>3</v>
      </c>
      <c r="I169" s="53">
        <v>3</v>
      </c>
      <c r="J169" s="53">
        <v>3</v>
      </c>
      <c r="K169" s="53">
        <f t="shared" si="2"/>
        <v>29</v>
      </c>
    </row>
    <row r="170" spans="1:11" x14ac:dyDescent="0.25">
      <c r="A170" s="53" t="s">
        <v>189</v>
      </c>
      <c r="B170" s="53">
        <v>3</v>
      </c>
      <c r="C170" s="53">
        <v>3</v>
      </c>
      <c r="D170" s="53">
        <v>4</v>
      </c>
      <c r="E170" s="53">
        <v>3</v>
      </c>
      <c r="F170" s="53">
        <v>3</v>
      </c>
      <c r="G170" s="53">
        <v>3</v>
      </c>
      <c r="H170" s="53">
        <v>3</v>
      </c>
      <c r="I170" s="53">
        <v>4</v>
      </c>
      <c r="J170" s="53">
        <v>3</v>
      </c>
      <c r="K170" s="53">
        <f t="shared" si="2"/>
        <v>29</v>
      </c>
    </row>
    <row r="171" spans="1:11" x14ac:dyDescent="0.25">
      <c r="A171" s="53" t="s">
        <v>190</v>
      </c>
      <c r="B171" s="53">
        <v>3</v>
      </c>
      <c r="C171" s="53">
        <v>3</v>
      </c>
      <c r="D171" s="53">
        <v>4</v>
      </c>
      <c r="E171" s="53">
        <v>3</v>
      </c>
      <c r="F171" s="53">
        <v>3</v>
      </c>
      <c r="G171" s="53">
        <v>3</v>
      </c>
      <c r="H171" s="53">
        <v>3</v>
      </c>
      <c r="I171" s="53">
        <v>3</v>
      </c>
      <c r="J171" s="53">
        <v>3</v>
      </c>
      <c r="K171" s="53">
        <f t="shared" si="2"/>
        <v>28</v>
      </c>
    </row>
    <row r="172" spans="1:11" x14ac:dyDescent="0.25">
      <c r="A172" s="53" t="s">
        <v>191</v>
      </c>
      <c r="B172" s="53">
        <v>4</v>
      </c>
      <c r="C172" s="53">
        <v>4</v>
      </c>
      <c r="D172" s="53">
        <v>4</v>
      </c>
      <c r="E172" s="53">
        <v>4</v>
      </c>
      <c r="F172" s="53">
        <v>4</v>
      </c>
      <c r="G172" s="53">
        <v>3</v>
      </c>
      <c r="H172" s="53">
        <v>3</v>
      </c>
      <c r="I172" s="53">
        <v>3</v>
      </c>
      <c r="J172" s="53">
        <v>4</v>
      </c>
      <c r="K172" s="53">
        <f t="shared" si="2"/>
        <v>33</v>
      </c>
    </row>
    <row r="173" spans="1:11" x14ac:dyDescent="0.25">
      <c r="A173" s="53" t="s">
        <v>192</v>
      </c>
      <c r="B173" s="53">
        <v>3</v>
      </c>
      <c r="C173" s="53">
        <v>3</v>
      </c>
      <c r="D173" s="53">
        <v>4</v>
      </c>
      <c r="E173" s="53">
        <v>3</v>
      </c>
      <c r="F173" s="53">
        <v>3</v>
      </c>
      <c r="G173" s="53">
        <v>3</v>
      </c>
      <c r="H173" s="53">
        <v>3</v>
      </c>
      <c r="I173" s="53">
        <v>3</v>
      </c>
      <c r="J173" s="53">
        <v>3</v>
      </c>
      <c r="K173" s="53">
        <f t="shared" si="2"/>
        <v>28</v>
      </c>
    </row>
    <row r="174" spans="1:11" x14ac:dyDescent="0.25">
      <c r="A174" s="53" t="s">
        <v>193</v>
      </c>
      <c r="B174" s="53">
        <v>2</v>
      </c>
      <c r="C174" s="53">
        <v>2</v>
      </c>
      <c r="D174" s="53">
        <v>2</v>
      </c>
      <c r="E174" s="53">
        <v>2</v>
      </c>
      <c r="F174" s="53">
        <v>2</v>
      </c>
      <c r="G174" s="53">
        <v>2</v>
      </c>
      <c r="H174" s="53">
        <v>2</v>
      </c>
      <c r="I174" s="53">
        <v>2</v>
      </c>
      <c r="J174" s="53">
        <v>2</v>
      </c>
      <c r="K174" s="53">
        <f t="shared" si="2"/>
        <v>18</v>
      </c>
    </row>
    <row r="175" spans="1:11" x14ac:dyDescent="0.25">
      <c r="A175" s="53" t="s">
        <v>194</v>
      </c>
      <c r="B175" s="53">
        <v>3</v>
      </c>
      <c r="C175" s="53">
        <v>3</v>
      </c>
      <c r="D175" s="53">
        <v>3</v>
      </c>
      <c r="E175" s="53">
        <v>3</v>
      </c>
      <c r="F175" s="53">
        <v>3</v>
      </c>
      <c r="G175" s="53">
        <v>3</v>
      </c>
      <c r="H175" s="53">
        <v>3</v>
      </c>
      <c r="I175" s="53">
        <v>3</v>
      </c>
      <c r="J175" s="53">
        <v>3</v>
      </c>
      <c r="K175" s="53">
        <f t="shared" si="2"/>
        <v>27</v>
      </c>
    </row>
    <row r="176" spans="1:11" x14ac:dyDescent="0.25">
      <c r="A176" s="53" t="s">
        <v>195</v>
      </c>
      <c r="B176" s="53">
        <v>2</v>
      </c>
      <c r="C176" s="53">
        <v>2</v>
      </c>
      <c r="D176" s="53">
        <v>2</v>
      </c>
      <c r="E176" s="53">
        <v>2</v>
      </c>
      <c r="F176" s="53">
        <v>2</v>
      </c>
      <c r="G176" s="53">
        <v>2</v>
      </c>
      <c r="H176" s="53">
        <v>2</v>
      </c>
      <c r="I176" s="53">
        <v>1</v>
      </c>
      <c r="J176" s="53">
        <v>2</v>
      </c>
      <c r="K176" s="53">
        <f t="shared" si="2"/>
        <v>17</v>
      </c>
    </row>
    <row r="177" spans="1:11" x14ac:dyDescent="0.25">
      <c r="A177" s="53" t="s">
        <v>196</v>
      </c>
      <c r="B177" s="53">
        <v>3</v>
      </c>
      <c r="C177" s="53">
        <v>4</v>
      </c>
      <c r="D177" s="53">
        <v>3</v>
      </c>
      <c r="E177" s="53">
        <v>3</v>
      </c>
      <c r="F177" s="53">
        <v>3</v>
      </c>
      <c r="G177" s="53">
        <v>3</v>
      </c>
      <c r="H177" s="53">
        <v>3</v>
      </c>
      <c r="I177" s="53">
        <v>3</v>
      </c>
      <c r="J177" s="53">
        <v>3</v>
      </c>
      <c r="K177" s="53">
        <f t="shared" si="2"/>
        <v>28</v>
      </c>
    </row>
    <row r="178" spans="1:11" x14ac:dyDescent="0.25">
      <c r="A178" s="53" t="s">
        <v>197</v>
      </c>
      <c r="B178" s="53">
        <v>3</v>
      </c>
      <c r="C178" s="53">
        <v>3</v>
      </c>
      <c r="D178" s="53">
        <v>3</v>
      </c>
      <c r="E178" s="53">
        <v>3</v>
      </c>
      <c r="F178" s="53">
        <v>3</v>
      </c>
      <c r="G178" s="53">
        <v>2</v>
      </c>
      <c r="H178" s="53">
        <v>3</v>
      </c>
      <c r="I178" s="53">
        <v>3</v>
      </c>
      <c r="J178" s="53">
        <v>2</v>
      </c>
      <c r="K178" s="53">
        <f t="shared" si="2"/>
        <v>25</v>
      </c>
    </row>
    <row r="179" spans="1:11" x14ac:dyDescent="0.25">
      <c r="A179" s="53" t="s">
        <v>198</v>
      </c>
      <c r="B179" s="53">
        <v>2</v>
      </c>
      <c r="C179" s="53">
        <v>2</v>
      </c>
      <c r="D179" s="53">
        <v>3</v>
      </c>
      <c r="E179" s="53">
        <v>2</v>
      </c>
      <c r="F179" s="53">
        <v>3</v>
      </c>
      <c r="G179" s="53">
        <v>3</v>
      </c>
      <c r="H179" s="53">
        <v>2</v>
      </c>
      <c r="I179" s="53">
        <v>2</v>
      </c>
      <c r="J179" s="53">
        <v>2</v>
      </c>
      <c r="K179" s="53">
        <f t="shared" si="2"/>
        <v>21</v>
      </c>
    </row>
    <row r="180" spans="1:11" x14ac:dyDescent="0.25">
      <c r="A180" s="53" t="s">
        <v>199</v>
      </c>
      <c r="B180" s="53">
        <v>3</v>
      </c>
      <c r="C180" s="53">
        <v>3</v>
      </c>
      <c r="D180" s="53">
        <v>4</v>
      </c>
      <c r="E180" s="53">
        <v>3</v>
      </c>
      <c r="F180" s="53">
        <v>4</v>
      </c>
      <c r="G180" s="53">
        <v>3</v>
      </c>
      <c r="H180" s="53">
        <v>4</v>
      </c>
      <c r="I180" s="53">
        <v>3</v>
      </c>
      <c r="J180" s="53">
        <v>3</v>
      </c>
      <c r="K180" s="53">
        <f t="shared" si="2"/>
        <v>30</v>
      </c>
    </row>
    <row r="181" spans="1:11" x14ac:dyDescent="0.25">
      <c r="A181" s="53" t="s">
        <v>200</v>
      </c>
      <c r="B181" s="53">
        <v>4</v>
      </c>
      <c r="C181" s="53">
        <v>4</v>
      </c>
      <c r="D181" s="53">
        <v>4</v>
      </c>
      <c r="E181" s="53">
        <v>4</v>
      </c>
      <c r="F181" s="53">
        <v>4</v>
      </c>
      <c r="G181" s="53">
        <v>4</v>
      </c>
      <c r="H181" s="53">
        <v>4</v>
      </c>
      <c r="I181" s="53">
        <v>4</v>
      </c>
      <c r="J181" s="53">
        <v>4</v>
      </c>
      <c r="K181" s="53">
        <f t="shared" si="2"/>
        <v>36</v>
      </c>
    </row>
    <row r="182" spans="1:11" x14ac:dyDescent="0.25">
      <c r="A182" s="53" t="s">
        <v>201</v>
      </c>
      <c r="B182" s="53">
        <v>3</v>
      </c>
      <c r="C182" s="53">
        <v>3</v>
      </c>
      <c r="D182" s="53">
        <v>3</v>
      </c>
      <c r="E182" s="53">
        <v>3</v>
      </c>
      <c r="F182" s="53">
        <v>3</v>
      </c>
      <c r="G182" s="53">
        <v>3</v>
      </c>
      <c r="H182" s="53">
        <v>3</v>
      </c>
      <c r="I182" s="53">
        <v>3</v>
      </c>
      <c r="J182" s="53">
        <v>3</v>
      </c>
      <c r="K182" s="53">
        <f t="shared" si="2"/>
        <v>27</v>
      </c>
    </row>
    <row r="183" spans="1:11" x14ac:dyDescent="0.25">
      <c r="A183" s="53" t="s">
        <v>202</v>
      </c>
      <c r="B183" s="53">
        <v>3</v>
      </c>
      <c r="C183" s="53">
        <v>3</v>
      </c>
      <c r="D183" s="53">
        <v>3</v>
      </c>
      <c r="E183" s="53">
        <v>3</v>
      </c>
      <c r="F183" s="53">
        <v>4</v>
      </c>
      <c r="G183" s="53">
        <v>3</v>
      </c>
      <c r="H183" s="53">
        <v>3</v>
      </c>
      <c r="I183" s="53">
        <v>3</v>
      </c>
      <c r="J183" s="53">
        <v>3</v>
      </c>
      <c r="K183" s="53">
        <f t="shared" si="2"/>
        <v>28</v>
      </c>
    </row>
    <row r="184" spans="1:11" x14ac:dyDescent="0.25">
      <c r="A184" s="53" t="s">
        <v>203</v>
      </c>
      <c r="B184" s="53">
        <v>3</v>
      </c>
      <c r="C184" s="53">
        <v>2</v>
      </c>
      <c r="D184" s="53">
        <v>3</v>
      </c>
      <c r="E184" s="53">
        <v>3</v>
      </c>
      <c r="F184" s="53">
        <v>3</v>
      </c>
      <c r="G184" s="53">
        <v>2</v>
      </c>
      <c r="H184" s="53">
        <v>3</v>
      </c>
      <c r="I184" s="53">
        <v>3</v>
      </c>
      <c r="J184" s="53">
        <v>2</v>
      </c>
      <c r="K184" s="53">
        <f t="shared" si="2"/>
        <v>24</v>
      </c>
    </row>
    <row r="185" spans="1:11" x14ac:dyDescent="0.25">
      <c r="A185" s="53" t="s">
        <v>204</v>
      </c>
      <c r="B185" s="53">
        <v>3</v>
      </c>
      <c r="C185" s="53">
        <v>3</v>
      </c>
      <c r="D185" s="53">
        <v>3</v>
      </c>
      <c r="E185" s="53">
        <v>4</v>
      </c>
      <c r="F185" s="53">
        <v>4</v>
      </c>
      <c r="G185" s="53">
        <v>3</v>
      </c>
      <c r="H185" s="53">
        <v>4</v>
      </c>
      <c r="I185" s="53">
        <v>3</v>
      </c>
      <c r="J185" s="53">
        <v>4</v>
      </c>
      <c r="K185" s="53">
        <f t="shared" si="2"/>
        <v>31</v>
      </c>
    </row>
    <row r="186" spans="1:11" x14ac:dyDescent="0.25">
      <c r="A186" s="53" t="s">
        <v>205</v>
      </c>
      <c r="B186" s="53">
        <v>4</v>
      </c>
      <c r="C186" s="53">
        <v>3</v>
      </c>
      <c r="D186" s="53">
        <v>4</v>
      </c>
      <c r="E186" s="53">
        <v>4</v>
      </c>
      <c r="F186" s="53">
        <v>4</v>
      </c>
      <c r="G186" s="53">
        <v>3</v>
      </c>
      <c r="H186" s="53">
        <v>3</v>
      </c>
      <c r="I186" s="53">
        <v>3</v>
      </c>
      <c r="J186" s="53">
        <v>3</v>
      </c>
      <c r="K186" s="53">
        <f t="shared" si="2"/>
        <v>31</v>
      </c>
    </row>
    <row r="187" spans="1:11" x14ac:dyDescent="0.25">
      <c r="A187" s="53" t="s">
        <v>206</v>
      </c>
      <c r="B187" s="53">
        <v>3</v>
      </c>
      <c r="C187" s="53">
        <v>3</v>
      </c>
      <c r="D187" s="53">
        <v>4</v>
      </c>
      <c r="E187" s="53">
        <v>4</v>
      </c>
      <c r="F187" s="53">
        <v>4</v>
      </c>
      <c r="G187" s="53">
        <v>4</v>
      </c>
      <c r="H187" s="53">
        <v>4</v>
      </c>
      <c r="I187" s="53">
        <v>3</v>
      </c>
      <c r="J187" s="53">
        <v>3</v>
      </c>
      <c r="K187" s="53">
        <f t="shared" si="2"/>
        <v>32</v>
      </c>
    </row>
    <row r="188" spans="1:11" x14ac:dyDescent="0.25">
      <c r="A188" s="53" t="s">
        <v>207</v>
      </c>
      <c r="B188" s="53">
        <v>3</v>
      </c>
      <c r="C188" s="53">
        <v>3</v>
      </c>
      <c r="D188" s="53">
        <v>3</v>
      </c>
      <c r="E188" s="53">
        <v>3</v>
      </c>
      <c r="F188" s="53">
        <v>3</v>
      </c>
      <c r="G188" s="53">
        <v>3</v>
      </c>
      <c r="H188" s="53">
        <v>3</v>
      </c>
      <c r="I188" s="53">
        <v>3</v>
      </c>
      <c r="J188" s="53">
        <v>3</v>
      </c>
      <c r="K188" s="53">
        <f t="shared" si="2"/>
        <v>27</v>
      </c>
    </row>
    <row r="189" spans="1:11" x14ac:dyDescent="0.25">
      <c r="A189" s="53" t="s">
        <v>208</v>
      </c>
      <c r="B189" s="53">
        <v>3</v>
      </c>
      <c r="C189" s="53">
        <v>4</v>
      </c>
      <c r="D189" s="53">
        <v>3</v>
      </c>
      <c r="E189" s="53">
        <v>3</v>
      </c>
      <c r="F189" s="53">
        <v>3</v>
      </c>
      <c r="G189" s="53">
        <v>3</v>
      </c>
      <c r="H189" s="53">
        <v>3</v>
      </c>
      <c r="I189" s="53">
        <v>3</v>
      </c>
      <c r="J189" s="53">
        <v>3</v>
      </c>
      <c r="K189" s="53">
        <f t="shared" si="2"/>
        <v>28</v>
      </c>
    </row>
    <row r="190" spans="1:11" x14ac:dyDescent="0.25">
      <c r="A190" s="53" t="s">
        <v>209</v>
      </c>
      <c r="B190" s="53">
        <v>3</v>
      </c>
      <c r="C190" s="53">
        <v>4</v>
      </c>
      <c r="D190" s="53">
        <v>4</v>
      </c>
      <c r="E190" s="53">
        <v>3</v>
      </c>
      <c r="F190" s="53">
        <v>3</v>
      </c>
      <c r="G190" s="53">
        <v>3</v>
      </c>
      <c r="H190" s="53">
        <v>3</v>
      </c>
      <c r="I190" s="53">
        <v>3</v>
      </c>
      <c r="J190" s="53">
        <v>3</v>
      </c>
      <c r="K190" s="53">
        <f t="shared" si="2"/>
        <v>29</v>
      </c>
    </row>
    <row r="191" spans="1:11" x14ac:dyDescent="0.25">
      <c r="A191" s="53" t="s">
        <v>210</v>
      </c>
      <c r="B191" s="53">
        <v>3</v>
      </c>
      <c r="C191" s="53">
        <v>3</v>
      </c>
      <c r="D191" s="53">
        <v>3</v>
      </c>
      <c r="E191" s="53">
        <v>3</v>
      </c>
      <c r="F191" s="53">
        <v>3</v>
      </c>
      <c r="G191" s="53">
        <v>3</v>
      </c>
      <c r="H191" s="53">
        <v>4</v>
      </c>
      <c r="I191" s="53">
        <v>3</v>
      </c>
      <c r="J191" s="53">
        <v>4</v>
      </c>
      <c r="K191" s="53">
        <f t="shared" si="2"/>
        <v>29</v>
      </c>
    </row>
    <row r="192" spans="1:11" x14ac:dyDescent="0.25">
      <c r="A192" s="53" t="s">
        <v>211</v>
      </c>
      <c r="B192" s="53">
        <v>3</v>
      </c>
      <c r="C192" s="53">
        <v>4</v>
      </c>
      <c r="D192" s="53">
        <v>4</v>
      </c>
      <c r="E192" s="53">
        <v>4</v>
      </c>
      <c r="F192" s="53">
        <v>4</v>
      </c>
      <c r="G192" s="53">
        <v>4</v>
      </c>
      <c r="H192" s="53">
        <v>4</v>
      </c>
      <c r="I192" s="53">
        <v>4</v>
      </c>
      <c r="J192" s="53">
        <v>3</v>
      </c>
      <c r="K192" s="53">
        <f t="shared" si="2"/>
        <v>34</v>
      </c>
    </row>
    <row r="193" spans="1:11" x14ac:dyDescent="0.25">
      <c r="A193" s="53" t="s">
        <v>212</v>
      </c>
      <c r="B193" s="53">
        <v>3</v>
      </c>
      <c r="C193" s="53">
        <v>3</v>
      </c>
      <c r="D193" s="53">
        <v>4</v>
      </c>
      <c r="E193" s="53">
        <v>4</v>
      </c>
      <c r="F193" s="53">
        <v>3</v>
      </c>
      <c r="G193" s="53">
        <v>3</v>
      </c>
      <c r="H193" s="53">
        <v>4</v>
      </c>
      <c r="I193" s="53">
        <v>4</v>
      </c>
      <c r="J193" s="53">
        <v>3</v>
      </c>
      <c r="K193" s="53">
        <f t="shared" si="2"/>
        <v>31</v>
      </c>
    </row>
    <row r="194" spans="1:11" x14ac:dyDescent="0.25">
      <c r="A194" s="53" t="s">
        <v>213</v>
      </c>
      <c r="B194" s="53">
        <v>2</v>
      </c>
      <c r="C194" s="53">
        <v>2</v>
      </c>
      <c r="D194" s="53">
        <v>2</v>
      </c>
      <c r="E194" s="53">
        <v>1</v>
      </c>
      <c r="F194" s="53">
        <v>2</v>
      </c>
      <c r="G194" s="53">
        <v>2</v>
      </c>
      <c r="H194" s="53">
        <v>2</v>
      </c>
      <c r="I194" s="53">
        <v>2</v>
      </c>
      <c r="J194" s="53">
        <v>2</v>
      </c>
      <c r="K194" s="53">
        <f t="shared" si="2"/>
        <v>17</v>
      </c>
    </row>
    <row r="195" spans="1:11" x14ac:dyDescent="0.25">
      <c r="A195" s="53" t="s">
        <v>214</v>
      </c>
      <c r="B195" s="53">
        <v>3</v>
      </c>
      <c r="C195" s="53">
        <v>4</v>
      </c>
      <c r="D195" s="53">
        <v>4</v>
      </c>
      <c r="E195" s="53">
        <v>4</v>
      </c>
      <c r="F195" s="53">
        <v>4</v>
      </c>
      <c r="G195" s="53">
        <v>3</v>
      </c>
      <c r="H195" s="53">
        <v>4</v>
      </c>
      <c r="I195" s="53">
        <v>3</v>
      </c>
      <c r="J195" s="53">
        <v>4</v>
      </c>
      <c r="K195" s="53">
        <f t="shared" si="2"/>
        <v>33</v>
      </c>
    </row>
    <row r="196" spans="1:11" x14ac:dyDescent="0.25">
      <c r="A196" s="53" t="s">
        <v>215</v>
      </c>
      <c r="B196" s="53">
        <v>4</v>
      </c>
      <c r="C196" s="53">
        <v>4</v>
      </c>
      <c r="D196" s="53">
        <v>4</v>
      </c>
      <c r="E196" s="53">
        <v>4</v>
      </c>
      <c r="F196" s="53">
        <v>4</v>
      </c>
      <c r="G196" s="53">
        <v>4</v>
      </c>
      <c r="H196" s="53">
        <v>4</v>
      </c>
      <c r="I196" s="53">
        <v>4</v>
      </c>
      <c r="J196" s="53">
        <v>4</v>
      </c>
      <c r="K196" s="53">
        <f t="shared" si="2"/>
        <v>36</v>
      </c>
    </row>
    <row r="197" spans="1:11" x14ac:dyDescent="0.25">
      <c r="A197" s="53" t="s">
        <v>216</v>
      </c>
      <c r="B197" s="53">
        <v>3</v>
      </c>
      <c r="C197" s="53">
        <v>3</v>
      </c>
      <c r="D197" s="53">
        <v>3</v>
      </c>
      <c r="E197" s="53">
        <v>3</v>
      </c>
      <c r="F197" s="53">
        <v>3</v>
      </c>
      <c r="G197" s="53">
        <v>3</v>
      </c>
      <c r="H197" s="53">
        <v>3</v>
      </c>
      <c r="I197" s="53">
        <v>3</v>
      </c>
      <c r="J197" s="53">
        <v>3</v>
      </c>
      <c r="K197" s="53">
        <f t="shared" ref="K197:K260" si="3">SUM(B197:J197)</f>
        <v>27</v>
      </c>
    </row>
    <row r="198" spans="1:11" x14ac:dyDescent="0.25">
      <c r="A198" s="53" t="s">
        <v>217</v>
      </c>
      <c r="B198" s="53">
        <v>4</v>
      </c>
      <c r="C198" s="53">
        <v>4</v>
      </c>
      <c r="D198" s="53">
        <v>4</v>
      </c>
      <c r="E198" s="53">
        <v>4</v>
      </c>
      <c r="F198" s="53">
        <v>4</v>
      </c>
      <c r="G198" s="53">
        <v>3</v>
      </c>
      <c r="H198" s="53">
        <v>4</v>
      </c>
      <c r="I198" s="53">
        <v>3</v>
      </c>
      <c r="J198" s="53">
        <v>3</v>
      </c>
      <c r="K198" s="53">
        <f t="shared" si="3"/>
        <v>33</v>
      </c>
    </row>
    <row r="199" spans="1:11" x14ac:dyDescent="0.25">
      <c r="A199" s="53" t="s">
        <v>218</v>
      </c>
      <c r="B199" s="53">
        <v>3</v>
      </c>
      <c r="C199" s="53">
        <v>4</v>
      </c>
      <c r="D199" s="53">
        <v>4</v>
      </c>
      <c r="E199" s="53">
        <v>4</v>
      </c>
      <c r="F199" s="53">
        <v>4</v>
      </c>
      <c r="G199" s="53">
        <v>3</v>
      </c>
      <c r="H199" s="53">
        <v>4</v>
      </c>
      <c r="I199" s="53">
        <v>4</v>
      </c>
      <c r="J199" s="53">
        <v>4</v>
      </c>
      <c r="K199" s="53">
        <f t="shared" si="3"/>
        <v>34</v>
      </c>
    </row>
    <row r="200" spans="1:11" x14ac:dyDescent="0.25">
      <c r="A200" s="53" t="s">
        <v>219</v>
      </c>
      <c r="B200" s="53">
        <v>2</v>
      </c>
      <c r="C200" s="53">
        <v>2</v>
      </c>
      <c r="D200" s="53">
        <v>2</v>
      </c>
      <c r="E200" s="53">
        <v>2</v>
      </c>
      <c r="F200" s="53">
        <v>2</v>
      </c>
      <c r="G200" s="53">
        <v>2</v>
      </c>
      <c r="H200" s="53">
        <v>2</v>
      </c>
      <c r="I200" s="53">
        <v>1</v>
      </c>
      <c r="J200" s="53">
        <v>2</v>
      </c>
      <c r="K200" s="53">
        <f t="shared" si="3"/>
        <v>17</v>
      </c>
    </row>
    <row r="201" spans="1:11" x14ac:dyDescent="0.25">
      <c r="A201" s="53" t="s">
        <v>220</v>
      </c>
      <c r="B201" s="53">
        <v>3</v>
      </c>
      <c r="C201" s="53">
        <v>3</v>
      </c>
      <c r="D201" s="53">
        <v>4</v>
      </c>
      <c r="E201" s="53">
        <v>3</v>
      </c>
      <c r="F201" s="53">
        <v>4</v>
      </c>
      <c r="G201" s="53">
        <v>3</v>
      </c>
      <c r="H201" s="53">
        <v>3</v>
      </c>
      <c r="I201" s="53">
        <v>3</v>
      </c>
      <c r="J201" s="53">
        <v>3</v>
      </c>
      <c r="K201" s="53">
        <f t="shared" si="3"/>
        <v>29</v>
      </c>
    </row>
    <row r="202" spans="1:11" x14ac:dyDescent="0.25">
      <c r="A202" s="53" t="s">
        <v>221</v>
      </c>
      <c r="B202" s="53">
        <v>3</v>
      </c>
      <c r="C202" s="53">
        <v>3</v>
      </c>
      <c r="D202" s="53">
        <v>3</v>
      </c>
      <c r="E202" s="53">
        <v>3</v>
      </c>
      <c r="F202" s="53">
        <v>3</v>
      </c>
      <c r="G202" s="53">
        <v>3</v>
      </c>
      <c r="H202" s="53">
        <v>3</v>
      </c>
      <c r="I202" s="53">
        <v>3</v>
      </c>
      <c r="J202" s="53">
        <v>3</v>
      </c>
      <c r="K202" s="53">
        <f t="shared" si="3"/>
        <v>27</v>
      </c>
    </row>
    <row r="203" spans="1:11" x14ac:dyDescent="0.25">
      <c r="A203" s="53" t="s">
        <v>222</v>
      </c>
      <c r="B203" s="53">
        <v>3</v>
      </c>
      <c r="C203" s="53">
        <v>3</v>
      </c>
      <c r="D203" s="53">
        <v>3</v>
      </c>
      <c r="E203" s="53">
        <v>3</v>
      </c>
      <c r="F203" s="53">
        <v>3</v>
      </c>
      <c r="G203" s="53">
        <v>2</v>
      </c>
      <c r="H203" s="53">
        <v>3</v>
      </c>
      <c r="I203" s="53">
        <v>3</v>
      </c>
      <c r="J203" s="53">
        <v>3</v>
      </c>
      <c r="K203" s="53">
        <f t="shared" si="3"/>
        <v>26</v>
      </c>
    </row>
    <row r="204" spans="1:11" x14ac:dyDescent="0.25">
      <c r="A204" s="53" t="s">
        <v>223</v>
      </c>
      <c r="B204" s="53">
        <v>4</v>
      </c>
      <c r="C204" s="53">
        <v>3</v>
      </c>
      <c r="D204" s="53">
        <v>3</v>
      </c>
      <c r="E204" s="53">
        <v>3</v>
      </c>
      <c r="F204" s="53">
        <v>3</v>
      </c>
      <c r="G204" s="53">
        <v>3</v>
      </c>
      <c r="H204" s="53">
        <v>3</v>
      </c>
      <c r="I204" s="53">
        <v>3</v>
      </c>
      <c r="J204" s="53">
        <v>3</v>
      </c>
      <c r="K204" s="53">
        <f t="shared" si="3"/>
        <v>28</v>
      </c>
    </row>
    <row r="205" spans="1:11" x14ac:dyDescent="0.25">
      <c r="A205" s="53" t="s">
        <v>224</v>
      </c>
      <c r="B205" s="53">
        <v>3</v>
      </c>
      <c r="C205" s="53">
        <v>3</v>
      </c>
      <c r="D205" s="53">
        <v>3</v>
      </c>
      <c r="E205" s="53">
        <v>3</v>
      </c>
      <c r="F205" s="53">
        <v>3</v>
      </c>
      <c r="G205" s="53">
        <v>3</v>
      </c>
      <c r="H205" s="53">
        <v>3</v>
      </c>
      <c r="I205" s="53">
        <v>3</v>
      </c>
      <c r="J205" s="53">
        <v>3</v>
      </c>
      <c r="K205" s="53">
        <f t="shared" si="3"/>
        <v>27</v>
      </c>
    </row>
    <row r="206" spans="1:11" x14ac:dyDescent="0.25">
      <c r="A206" s="53" t="s">
        <v>225</v>
      </c>
      <c r="B206" s="53">
        <v>3</v>
      </c>
      <c r="C206" s="53">
        <v>3</v>
      </c>
      <c r="D206" s="53">
        <v>4</v>
      </c>
      <c r="E206" s="53">
        <v>3</v>
      </c>
      <c r="F206" s="53">
        <v>3</v>
      </c>
      <c r="G206" s="53">
        <v>3</v>
      </c>
      <c r="H206" s="53">
        <v>4</v>
      </c>
      <c r="I206" s="53">
        <v>3</v>
      </c>
      <c r="J206" s="53">
        <v>4</v>
      </c>
      <c r="K206" s="53">
        <f t="shared" si="3"/>
        <v>30</v>
      </c>
    </row>
    <row r="207" spans="1:11" x14ac:dyDescent="0.25">
      <c r="A207" s="53" t="s">
        <v>226</v>
      </c>
      <c r="B207" s="53">
        <v>3</v>
      </c>
      <c r="C207" s="53">
        <v>3</v>
      </c>
      <c r="D207" s="53">
        <v>3</v>
      </c>
      <c r="E207" s="53">
        <v>3</v>
      </c>
      <c r="F207" s="53">
        <v>3</v>
      </c>
      <c r="G207" s="53">
        <v>2</v>
      </c>
      <c r="H207" s="53">
        <v>3</v>
      </c>
      <c r="I207" s="53">
        <v>3</v>
      </c>
      <c r="J207" s="53">
        <v>3</v>
      </c>
      <c r="K207" s="53">
        <f t="shared" si="3"/>
        <v>26</v>
      </c>
    </row>
    <row r="208" spans="1:11" x14ac:dyDescent="0.25">
      <c r="A208" s="53" t="s">
        <v>227</v>
      </c>
      <c r="B208" s="53">
        <v>4</v>
      </c>
      <c r="C208" s="53">
        <v>4</v>
      </c>
      <c r="D208" s="53">
        <v>4</v>
      </c>
      <c r="E208" s="53">
        <v>4</v>
      </c>
      <c r="F208" s="53">
        <v>4</v>
      </c>
      <c r="G208" s="53">
        <v>3</v>
      </c>
      <c r="H208" s="53">
        <v>4</v>
      </c>
      <c r="I208" s="53">
        <v>4</v>
      </c>
      <c r="J208" s="53">
        <v>4</v>
      </c>
      <c r="K208" s="53">
        <f t="shared" si="3"/>
        <v>35</v>
      </c>
    </row>
    <row r="209" spans="1:11" x14ac:dyDescent="0.25">
      <c r="A209" s="53" t="s">
        <v>228</v>
      </c>
      <c r="B209" s="53">
        <v>3</v>
      </c>
      <c r="C209" s="53">
        <v>3</v>
      </c>
      <c r="D209" s="53">
        <v>3</v>
      </c>
      <c r="E209" s="53">
        <v>3</v>
      </c>
      <c r="F209" s="53">
        <v>3</v>
      </c>
      <c r="G209" s="53">
        <v>3</v>
      </c>
      <c r="H209" s="53">
        <v>3</v>
      </c>
      <c r="I209" s="53">
        <v>3</v>
      </c>
      <c r="J209" s="53">
        <v>3</v>
      </c>
      <c r="K209" s="53">
        <f t="shared" si="3"/>
        <v>27</v>
      </c>
    </row>
    <row r="210" spans="1:11" x14ac:dyDescent="0.25">
      <c r="A210" s="53" t="s">
        <v>229</v>
      </c>
      <c r="B210" s="53">
        <v>2</v>
      </c>
      <c r="C210" s="53">
        <v>3</v>
      </c>
      <c r="D210" s="53">
        <v>3</v>
      </c>
      <c r="E210" s="53">
        <v>3</v>
      </c>
      <c r="F210" s="53">
        <v>3</v>
      </c>
      <c r="G210" s="53">
        <v>3</v>
      </c>
      <c r="H210" s="53">
        <v>2</v>
      </c>
      <c r="I210" s="53">
        <v>3</v>
      </c>
      <c r="J210" s="53">
        <v>3</v>
      </c>
      <c r="K210" s="53">
        <f t="shared" si="3"/>
        <v>25</v>
      </c>
    </row>
    <row r="211" spans="1:11" x14ac:dyDescent="0.25">
      <c r="A211" s="53" t="s">
        <v>230</v>
      </c>
      <c r="B211" s="53">
        <v>3</v>
      </c>
      <c r="C211" s="53">
        <v>3</v>
      </c>
      <c r="D211" s="53">
        <v>3</v>
      </c>
      <c r="E211" s="53">
        <v>3</v>
      </c>
      <c r="F211" s="53">
        <v>3</v>
      </c>
      <c r="G211" s="53">
        <v>3</v>
      </c>
      <c r="H211" s="53">
        <v>3</v>
      </c>
      <c r="I211" s="53">
        <v>3</v>
      </c>
      <c r="J211" s="53">
        <v>3</v>
      </c>
      <c r="K211" s="53">
        <f t="shared" si="3"/>
        <v>27</v>
      </c>
    </row>
    <row r="212" spans="1:11" x14ac:dyDescent="0.25">
      <c r="A212" s="53" t="s">
        <v>231</v>
      </c>
      <c r="B212" s="53">
        <v>3</v>
      </c>
      <c r="C212" s="53">
        <v>3</v>
      </c>
      <c r="D212" s="53">
        <v>3</v>
      </c>
      <c r="E212" s="53">
        <v>3</v>
      </c>
      <c r="F212" s="53">
        <v>3</v>
      </c>
      <c r="G212" s="53">
        <v>3</v>
      </c>
      <c r="H212" s="53">
        <v>2</v>
      </c>
      <c r="I212" s="53">
        <v>3</v>
      </c>
      <c r="J212" s="53">
        <v>3</v>
      </c>
      <c r="K212" s="53">
        <f t="shared" si="3"/>
        <v>26</v>
      </c>
    </row>
    <row r="213" spans="1:11" x14ac:dyDescent="0.25">
      <c r="A213" s="53" t="s">
        <v>232</v>
      </c>
      <c r="B213" s="53">
        <v>3</v>
      </c>
      <c r="C213" s="53">
        <v>3</v>
      </c>
      <c r="D213" s="53">
        <v>3</v>
      </c>
      <c r="E213" s="53">
        <v>3</v>
      </c>
      <c r="F213" s="53">
        <v>4</v>
      </c>
      <c r="G213" s="53">
        <v>3</v>
      </c>
      <c r="H213" s="53">
        <v>3</v>
      </c>
      <c r="I213" s="53">
        <v>3</v>
      </c>
      <c r="J213" s="53">
        <v>3</v>
      </c>
      <c r="K213" s="53">
        <f t="shared" si="3"/>
        <v>28</v>
      </c>
    </row>
    <row r="214" spans="1:11" x14ac:dyDescent="0.25">
      <c r="A214" s="53" t="s">
        <v>233</v>
      </c>
      <c r="B214" s="53">
        <v>2</v>
      </c>
      <c r="C214" s="53">
        <v>2</v>
      </c>
      <c r="D214" s="53">
        <v>3</v>
      </c>
      <c r="E214" s="53">
        <v>2</v>
      </c>
      <c r="F214" s="53">
        <v>3</v>
      </c>
      <c r="G214" s="53">
        <v>2</v>
      </c>
      <c r="H214" s="53">
        <v>3</v>
      </c>
      <c r="I214" s="53">
        <v>2</v>
      </c>
      <c r="J214" s="53">
        <v>2</v>
      </c>
      <c r="K214" s="53">
        <f t="shared" si="3"/>
        <v>21</v>
      </c>
    </row>
    <row r="215" spans="1:11" x14ac:dyDescent="0.25">
      <c r="A215" s="53" t="s">
        <v>234</v>
      </c>
      <c r="B215" s="53">
        <v>2</v>
      </c>
      <c r="C215" s="53">
        <v>3</v>
      </c>
      <c r="D215" s="53">
        <v>3</v>
      </c>
      <c r="E215" s="53">
        <v>3</v>
      </c>
      <c r="F215" s="53">
        <v>3</v>
      </c>
      <c r="G215" s="53">
        <v>3</v>
      </c>
      <c r="H215" s="53">
        <v>3</v>
      </c>
      <c r="I215" s="53">
        <v>3</v>
      </c>
      <c r="J215" s="53">
        <v>3</v>
      </c>
      <c r="K215" s="53">
        <f t="shared" si="3"/>
        <v>26</v>
      </c>
    </row>
    <row r="216" spans="1:11" x14ac:dyDescent="0.25">
      <c r="A216" s="53" t="s">
        <v>235</v>
      </c>
      <c r="B216" s="53">
        <v>3</v>
      </c>
      <c r="C216" s="53">
        <v>3</v>
      </c>
      <c r="D216" s="53">
        <v>3</v>
      </c>
      <c r="E216" s="53">
        <v>3</v>
      </c>
      <c r="F216" s="53">
        <v>3</v>
      </c>
      <c r="G216" s="53">
        <v>2</v>
      </c>
      <c r="H216" s="53">
        <v>2</v>
      </c>
      <c r="I216" s="53">
        <v>2</v>
      </c>
      <c r="J216" s="53">
        <v>3</v>
      </c>
      <c r="K216" s="53">
        <f t="shared" si="3"/>
        <v>24</v>
      </c>
    </row>
    <row r="217" spans="1:11" x14ac:dyDescent="0.25">
      <c r="A217" s="53" t="s">
        <v>236</v>
      </c>
      <c r="B217" s="53">
        <v>2</v>
      </c>
      <c r="C217" s="53">
        <v>2</v>
      </c>
      <c r="D217" s="53">
        <v>3</v>
      </c>
      <c r="E217" s="53">
        <v>2</v>
      </c>
      <c r="F217" s="53">
        <v>3</v>
      </c>
      <c r="G217" s="53">
        <v>2</v>
      </c>
      <c r="H217" s="53">
        <v>3</v>
      </c>
      <c r="I217" s="53">
        <v>2</v>
      </c>
      <c r="J217" s="53">
        <v>2</v>
      </c>
      <c r="K217" s="53">
        <f t="shared" si="3"/>
        <v>21</v>
      </c>
    </row>
    <row r="218" spans="1:11" x14ac:dyDescent="0.25">
      <c r="A218" s="53" t="s">
        <v>237</v>
      </c>
      <c r="B218" s="53">
        <v>4</v>
      </c>
      <c r="C218" s="53">
        <v>4</v>
      </c>
      <c r="D218" s="53">
        <v>4</v>
      </c>
      <c r="E218" s="53">
        <v>4</v>
      </c>
      <c r="F218" s="53">
        <v>4</v>
      </c>
      <c r="G218" s="53">
        <v>3</v>
      </c>
      <c r="H218" s="53">
        <v>3</v>
      </c>
      <c r="I218" s="53">
        <v>4</v>
      </c>
      <c r="J218" s="53">
        <v>3</v>
      </c>
      <c r="K218" s="53">
        <f t="shared" si="3"/>
        <v>33</v>
      </c>
    </row>
    <row r="219" spans="1:11" x14ac:dyDescent="0.25">
      <c r="A219" s="53" t="s">
        <v>238</v>
      </c>
      <c r="B219" s="53">
        <v>2</v>
      </c>
      <c r="C219" s="53">
        <v>2</v>
      </c>
      <c r="D219" s="53">
        <v>3</v>
      </c>
      <c r="E219" s="53">
        <v>3</v>
      </c>
      <c r="F219" s="53">
        <v>3</v>
      </c>
      <c r="G219" s="53">
        <v>2</v>
      </c>
      <c r="H219" s="53">
        <v>2</v>
      </c>
      <c r="I219" s="53">
        <v>2</v>
      </c>
      <c r="J219" s="53">
        <v>2</v>
      </c>
      <c r="K219" s="53">
        <f t="shared" si="3"/>
        <v>21</v>
      </c>
    </row>
    <row r="220" spans="1:11" x14ac:dyDescent="0.25">
      <c r="A220" s="53" t="s">
        <v>239</v>
      </c>
      <c r="B220" s="53">
        <v>3</v>
      </c>
      <c r="C220" s="53">
        <v>3</v>
      </c>
      <c r="D220" s="53">
        <v>3</v>
      </c>
      <c r="E220" s="53">
        <v>3</v>
      </c>
      <c r="F220" s="53">
        <v>3</v>
      </c>
      <c r="G220" s="53">
        <v>3</v>
      </c>
      <c r="H220" s="53">
        <v>4</v>
      </c>
      <c r="I220" s="53">
        <v>3</v>
      </c>
      <c r="J220" s="53">
        <v>3</v>
      </c>
      <c r="K220" s="53">
        <f t="shared" si="3"/>
        <v>28</v>
      </c>
    </row>
    <row r="221" spans="1:11" x14ac:dyDescent="0.25">
      <c r="A221" s="53" t="s">
        <v>240</v>
      </c>
      <c r="B221" s="53">
        <v>2</v>
      </c>
      <c r="C221" s="53">
        <v>3</v>
      </c>
      <c r="D221" s="53">
        <v>3</v>
      </c>
      <c r="E221" s="53">
        <v>2</v>
      </c>
      <c r="F221" s="53">
        <v>3</v>
      </c>
      <c r="G221" s="53">
        <v>2</v>
      </c>
      <c r="H221" s="53">
        <v>2</v>
      </c>
      <c r="I221" s="53">
        <v>2</v>
      </c>
      <c r="J221" s="53">
        <v>2</v>
      </c>
      <c r="K221" s="53">
        <f t="shared" si="3"/>
        <v>21</v>
      </c>
    </row>
    <row r="222" spans="1:11" x14ac:dyDescent="0.25">
      <c r="A222" s="53" t="s">
        <v>241</v>
      </c>
      <c r="B222" s="53">
        <v>3</v>
      </c>
      <c r="C222" s="53">
        <v>3</v>
      </c>
      <c r="D222" s="53">
        <v>3</v>
      </c>
      <c r="E222" s="53">
        <v>3</v>
      </c>
      <c r="F222" s="53">
        <v>3</v>
      </c>
      <c r="G222" s="53">
        <v>3</v>
      </c>
      <c r="H222" s="53">
        <v>3</v>
      </c>
      <c r="I222" s="53">
        <v>3</v>
      </c>
      <c r="J222" s="53">
        <v>3</v>
      </c>
      <c r="K222" s="53">
        <f t="shared" si="3"/>
        <v>27</v>
      </c>
    </row>
    <row r="223" spans="1:11" x14ac:dyDescent="0.25">
      <c r="A223" s="53" t="s">
        <v>242</v>
      </c>
      <c r="B223" s="53">
        <v>3</v>
      </c>
      <c r="C223" s="53">
        <v>3</v>
      </c>
      <c r="D223" s="53">
        <v>3</v>
      </c>
      <c r="E223" s="53">
        <v>3</v>
      </c>
      <c r="F223" s="53">
        <v>3</v>
      </c>
      <c r="G223" s="53">
        <v>3</v>
      </c>
      <c r="H223" s="53">
        <v>3</v>
      </c>
      <c r="I223" s="53">
        <v>3</v>
      </c>
      <c r="J223" s="53">
        <v>3</v>
      </c>
      <c r="K223" s="53">
        <f t="shared" si="3"/>
        <v>27</v>
      </c>
    </row>
    <row r="224" spans="1:11" x14ac:dyDescent="0.25">
      <c r="A224" s="53" t="s">
        <v>243</v>
      </c>
      <c r="B224" s="53">
        <v>3</v>
      </c>
      <c r="C224" s="53">
        <v>2</v>
      </c>
      <c r="D224" s="53">
        <v>3</v>
      </c>
      <c r="E224" s="53">
        <v>3</v>
      </c>
      <c r="F224" s="53">
        <v>3</v>
      </c>
      <c r="G224" s="53">
        <v>3</v>
      </c>
      <c r="H224" s="53">
        <v>3</v>
      </c>
      <c r="I224" s="53">
        <v>3</v>
      </c>
      <c r="J224" s="53">
        <v>2</v>
      </c>
      <c r="K224" s="53">
        <f t="shared" si="3"/>
        <v>25</v>
      </c>
    </row>
    <row r="225" spans="1:11" x14ac:dyDescent="0.25">
      <c r="A225" s="53" t="s">
        <v>244</v>
      </c>
      <c r="B225" s="53">
        <v>2</v>
      </c>
      <c r="C225" s="53">
        <v>2</v>
      </c>
      <c r="D225" s="53">
        <v>2</v>
      </c>
      <c r="E225" s="53">
        <v>2</v>
      </c>
      <c r="F225" s="53">
        <v>2</v>
      </c>
      <c r="G225" s="53">
        <v>2</v>
      </c>
      <c r="H225" s="53">
        <v>2</v>
      </c>
      <c r="I225" s="53">
        <v>2</v>
      </c>
      <c r="J225" s="53">
        <v>2</v>
      </c>
      <c r="K225" s="53">
        <f t="shared" si="3"/>
        <v>18</v>
      </c>
    </row>
    <row r="226" spans="1:11" x14ac:dyDescent="0.25">
      <c r="A226" s="53" t="s">
        <v>245</v>
      </c>
      <c r="B226" s="53">
        <v>2</v>
      </c>
      <c r="C226" s="53">
        <v>3</v>
      </c>
      <c r="D226" s="53">
        <v>3</v>
      </c>
      <c r="E226" s="53">
        <v>3</v>
      </c>
      <c r="F226" s="53">
        <v>3</v>
      </c>
      <c r="G226" s="53">
        <v>3</v>
      </c>
      <c r="H226" s="53">
        <v>3</v>
      </c>
      <c r="I226" s="53">
        <v>3</v>
      </c>
      <c r="J226" s="53">
        <v>3</v>
      </c>
      <c r="K226" s="53">
        <f t="shared" si="3"/>
        <v>26</v>
      </c>
    </row>
    <row r="227" spans="1:11" x14ac:dyDescent="0.25">
      <c r="A227" s="53" t="s">
        <v>246</v>
      </c>
      <c r="B227" s="53">
        <v>3</v>
      </c>
      <c r="C227" s="53">
        <v>3</v>
      </c>
      <c r="D227" s="53">
        <v>4</v>
      </c>
      <c r="E227" s="53">
        <v>4</v>
      </c>
      <c r="F227" s="53">
        <v>3</v>
      </c>
      <c r="G227" s="53">
        <v>3</v>
      </c>
      <c r="H227" s="53">
        <v>3</v>
      </c>
      <c r="I227" s="53">
        <v>3</v>
      </c>
      <c r="J227" s="53">
        <v>4</v>
      </c>
      <c r="K227" s="53">
        <f t="shared" si="3"/>
        <v>30</v>
      </c>
    </row>
    <row r="228" spans="1:11" x14ac:dyDescent="0.25">
      <c r="A228" s="53" t="s">
        <v>247</v>
      </c>
      <c r="B228" s="53">
        <v>4</v>
      </c>
      <c r="C228" s="53">
        <v>5</v>
      </c>
      <c r="D228" s="53">
        <v>4</v>
      </c>
      <c r="E228" s="53">
        <v>4</v>
      </c>
      <c r="F228" s="53">
        <v>4</v>
      </c>
      <c r="G228" s="53">
        <v>4</v>
      </c>
      <c r="H228" s="53">
        <v>4</v>
      </c>
      <c r="I228" s="53">
        <v>4</v>
      </c>
      <c r="J228" s="53">
        <v>4</v>
      </c>
      <c r="K228" s="53">
        <f t="shared" si="3"/>
        <v>37</v>
      </c>
    </row>
    <row r="229" spans="1:11" x14ac:dyDescent="0.25">
      <c r="A229" s="53" t="s">
        <v>248</v>
      </c>
      <c r="B229" s="53">
        <v>4</v>
      </c>
      <c r="C229" s="53">
        <v>4</v>
      </c>
      <c r="D229" s="53">
        <v>4</v>
      </c>
      <c r="E229" s="53">
        <v>3</v>
      </c>
      <c r="F229" s="53">
        <v>4</v>
      </c>
      <c r="G229" s="53">
        <v>3</v>
      </c>
      <c r="H229" s="53">
        <v>3</v>
      </c>
      <c r="I229" s="53">
        <v>4</v>
      </c>
      <c r="J229" s="53">
        <v>3</v>
      </c>
      <c r="K229" s="53">
        <f t="shared" si="3"/>
        <v>32</v>
      </c>
    </row>
    <row r="230" spans="1:11" x14ac:dyDescent="0.25">
      <c r="A230" s="53" t="s">
        <v>249</v>
      </c>
      <c r="B230" s="53">
        <v>3</v>
      </c>
      <c r="C230" s="53">
        <v>3</v>
      </c>
      <c r="D230" s="53">
        <v>3</v>
      </c>
      <c r="E230" s="53">
        <v>4</v>
      </c>
      <c r="F230" s="53">
        <v>3</v>
      </c>
      <c r="G230" s="53">
        <v>3</v>
      </c>
      <c r="H230" s="53">
        <v>3</v>
      </c>
      <c r="I230" s="53">
        <v>3</v>
      </c>
      <c r="J230" s="53">
        <v>3</v>
      </c>
      <c r="K230" s="53">
        <f t="shared" si="3"/>
        <v>28</v>
      </c>
    </row>
    <row r="231" spans="1:11" x14ac:dyDescent="0.25">
      <c r="A231" s="53" t="s">
        <v>250</v>
      </c>
      <c r="B231" s="53">
        <v>2</v>
      </c>
      <c r="C231" s="53">
        <v>2</v>
      </c>
      <c r="D231" s="53">
        <v>2</v>
      </c>
      <c r="E231" s="53">
        <v>2</v>
      </c>
      <c r="F231" s="53">
        <v>2</v>
      </c>
      <c r="G231" s="53">
        <v>2</v>
      </c>
      <c r="H231" s="53">
        <v>2</v>
      </c>
      <c r="I231" s="53">
        <v>2</v>
      </c>
      <c r="J231" s="53">
        <v>2</v>
      </c>
      <c r="K231" s="53">
        <f t="shared" si="3"/>
        <v>18</v>
      </c>
    </row>
    <row r="232" spans="1:11" x14ac:dyDescent="0.25">
      <c r="A232" s="53" t="s">
        <v>251</v>
      </c>
      <c r="B232" s="53">
        <v>4</v>
      </c>
      <c r="C232" s="53">
        <v>4</v>
      </c>
      <c r="D232" s="53">
        <v>4</v>
      </c>
      <c r="E232" s="53">
        <v>4</v>
      </c>
      <c r="F232" s="53">
        <v>4</v>
      </c>
      <c r="G232" s="53">
        <v>3</v>
      </c>
      <c r="H232" s="53">
        <v>4</v>
      </c>
      <c r="I232" s="53">
        <v>4</v>
      </c>
      <c r="J232" s="53">
        <v>4</v>
      </c>
      <c r="K232" s="53">
        <f t="shared" si="3"/>
        <v>35</v>
      </c>
    </row>
    <row r="233" spans="1:11" x14ac:dyDescent="0.25">
      <c r="A233" s="53" t="s">
        <v>252</v>
      </c>
      <c r="B233" s="53">
        <v>3</v>
      </c>
      <c r="C233" s="53">
        <v>3</v>
      </c>
      <c r="D233" s="53">
        <v>4</v>
      </c>
      <c r="E233" s="53">
        <v>3</v>
      </c>
      <c r="F233" s="53">
        <v>4</v>
      </c>
      <c r="G233" s="53">
        <v>4</v>
      </c>
      <c r="H233" s="53">
        <v>4</v>
      </c>
      <c r="I233" s="53">
        <v>4</v>
      </c>
      <c r="J233" s="53">
        <v>3</v>
      </c>
      <c r="K233" s="53">
        <f t="shared" si="3"/>
        <v>32</v>
      </c>
    </row>
    <row r="234" spans="1:11" x14ac:dyDescent="0.25">
      <c r="A234" s="53" t="s">
        <v>253</v>
      </c>
      <c r="B234" s="53">
        <v>2</v>
      </c>
      <c r="C234" s="53">
        <v>2</v>
      </c>
      <c r="D234" s="53">
        <v>2</v>
      </c>
      <c r="E234" s="53">
        <v>2</v>
      </c>
      <c r="F234" s="53">
        <v>3</v>
      </c>
      <c r="G234" s="53">
        <v>2</v>
      </c>
      <c r="H234" s="53">
        <v>2</v>
      </c>
      <c r="I234" s="53">
        <v>2</v>
      </c>
      <c r="J234" s="53">
        <v>2</v>
      </c>
      <c r="K234" s="53">
        <f t="shared" si="3"/>
        <v>19</v>
      </c>
    </row>
    <row r="235" spans="1:11" x14ac:dyDescent="0.25">
      <c r="A235" s="53" t="s">
        <v>254</v>
      </c>
      <c r="B235" s="53">
        <v>4</v>
      </c>
      <c r="C235" s="53">
        <v>4</v>
      </c>
      <c r="D235" s="53">
        <v>5</v>
      </c>
      <c r="E235" s="53">
        <v>4</v>
      </c>
      <c r="F235" s="53">
        <v>5</v>
      </c>
      <c r="G235" s="53">
        <v>5</v>
      </c>
      <c r="H235" s="53">
        <v>4</v>
      </c>
      <c r="I235" s="53">
        <v>5</v>
      </c>
      <c r="J235" s="53">
        <v>5</v>
      </c>
      <c r="K235" s="53">
        <f t="shared" si="3"/>
        <v>41</v>
      </c>
    </row>
    <row r="236" spans="1:11" x14ac:dyDescent="0.25">
      <c r="A236" s="53" t="s">
        <v>255</v>
      </c>
      <c r="B236" s="53">
        <v>3</v>
      </c>
      <c r="C236" s="53">
        <v>4</v>
      </c>
      <c r="D236" s="53">
        <v>3</v>
      </c>
      <c r="E236" s="53">
        <v>4</v>
      </c>
      <c r="F236" s="53">
        <v>4</v>
      </c>
      <c r="G236" s="53">
        <v>3</v>
      </c>
      <c r="H236" s="53">
        <v>3</v>
      </c>
      <c r="I236" s="53">
        <v>3</v>
      </c>
      <c r="J236" s="53">
        <v>3</v>
      </c>
      <c r="K236" s="53">
        <f t="shared" si="3"/>
        <v>30</v>
      </c>
    </row>
    <row r="237" spans="1:11" x14ac:dyDescent="0.25">
      <c r="A237" s="53" t="s">
        <v>256</v>
      </c>
      <c r="B237" s="53">
        <v>2</v>
      </c>
      <c r="C237" s="53">
        <v>2</v>
      </c>
      <c r="D237" s="53">
        <v>2</v>
      </c>
      <c r="E237" s="53">
        <v>2</v>
      </c>
      <c r="F237" s="53">
        <v>2</v>
      </c>
      <c r="G237" s="53">
        <v>2</v>
      </c>
      <c r="H237" s="53">
        <v>2</v>
      </c>
      <c r="I237" s="53">
        <v>2</v>
      </c>
      <c r="J237" s="53">
        <v>2</v>
      </c>
      <c r="K237" s="53">
        <f t="shared" si="3"/>
        <v>18</v>
      </c>
    </row>
    <row r="238" spans="1:11" x14ac:dyDescent="0.25">
      <c r="A238" s="53" t="s">
        <v>257</v>
      </c>
      <c r="B238" s="53">
        <v>2</v>
      </c>
      <c r="C238" s="53">
        <v>2</v>
      </c>
      <c r="D238" s="53">
        <v>3</v>
      </c>
      <c r="E238" s="53">
        <v>3</v>
      </c>
      <c r="F238" s="53">
        <v>3</v>
      </c>
      <c r="G238" s="53">
        <v>2</v>
      </c>
      <c r="H238" s="53">
        <v>2</v>
      </c>
      <c r="I238" s="53">
        <v>2</v>
      </c>
      <c r="J238" s="53">
        <v>3</v>
      </c>
      <c r="K238" s="53">
        <f t="shared" si="3"/>
        <v>22</v>
      </c>
    </row>
    <row r="239" spans="1:11" x14ac:dyDescent="0.25">
      <c r="A239" s="53" t="s">
        <v>258</v>
      </c>
      <c r="B239" s="53">
        <v>1</v>
      </c>
      <c r="C239" s="53">
        <v>1</v>
      </c>
      <c r="D239" s="53">
        <v>2</v>
      </c>
      <c r="E239" s="53">
        <v>2</v>
      </c>
      <c r="F239" s="53">
        <v>2</v>
      </c>
      <c r="G239" s="53">
        <v>1</v>
      </c>
      <c r="H239" s="53">
        <v>2</v>
      </c>
      <c r="I239" s="53">
        <v>2</v>
      </c>
      <c r="J239" s="53">
        <v>2</v>
      </c>
      <c r="K239" s="53">
        <f t="shared" si="3"/>
        <v>15</v>
      </c>
    </row>
    <row r="240" spans="1:11" x14ac:dyDescent="0.25">
      <c r="A240" s="53" t="s">
        <v>259</v>
      </c>
      <c r="B240" s="53">
        <v>2</v>
      </c>
      <c r="C240" s="53">
        <v>2</v>
      </c>
      <c r="D240" s="53">
        <v>3</v>
      </c>
      <c r="E240" s="53">
        <v>2</v>
      </c>
      <c r="F240" s="53">
        <v>3</v>
      </c>
      <c r="G240" s="53">
        <v>2</v>
      </c>
      <c r="H240" s="53">
        <v>3</v>
      </c>
      <c r="I240" s="53">
        <v>2</v>
      </c>
      <c r="J240" s="53">
        <v>2</v>
      </c>
      <c r="K240" s="53">
        <f t="shared" si="3"/>
        <v>21</v>
      </c>
    </row>
    <row r="241" spans="1:11" x14ac:dyDescent="0.25">
      <c r="A241" s="53" t="s">
        <v>260</v>
      </c>
      <c r="B241" s="53">
        <v>3</v>
      </c>
      <c r="C241" s="53">
        <v>2</v>
      </c>
      <c r="D241" s="53">
        <v>3</v>
      </c>
      <c r="E241" s="53">
        <v>3</v>
      </c>
      <c r="F241" s="53">
        <v>3</v>
      </c>
      <c r="G241" s="53">
        <v>2</v>
      </c>
      <c r="H241" s="53">
        <v>2</v>
      </c>
      <c r="I241" s="53">
        <v>3</v>
      </c>
      <c r="J241" s="53">
        <v>2</v>
      </c>
      <c r="K241" s="53">
        <f t="shared" si="3"/>
        <v>23</v>
      </c>
    </row>
    <row r="242" spans="1:11" x14ac:dyDescent="0.25">
      <c r="A242" s="53" t="s">
        <v>261</v>
      </c>
      <c r="B242" s="53">
        <v>3</v>
      </c>
      <c r="C242" s="53">
        <v>3</v>
      </c>
      <c r="D242" s="53">
        <v>4</v>
      </c>
      <c r="E242" s="53">
        <v>3</v>
      </c>
      <c r="F242" s="53">
        <v>4</v>
      </c>
      <c r="G242" s="53">
        <v>3</v>
      </c>
      <c r="H242" s="53">
        <v>3</v>
      </c>
      <c r="I242" s="53">
        <v>3</v>
      </c>
      <c r="J242" s="53">
        <v>3</v>
      </c>
      <c r="K242" s="53">
        <f t="shared" si="3"/>
        <v>29</v>
      </c>
    </row>
    <row r="243" spans="1:11" x14ac:dyDescent="0.25">
      <c r="A243" s="53" t="s">
        <v>262</v>
      </c>
      <c r="B243" s="53">
        <v>1</v>
      </c>
      <c r="C243" s="53">
        <v>1</v>
      </c>
      <c r="D243" s="53">
        <v>1</v>
      </c>
      <c r="E243" s="53">
        <v>1</v>
      </c>
      <c r="F243" s="53">
        <v>1</v>
      </c>
      <c r="G243" s="53">
        <v>1</v>
      </c>
      <c r="H243" s="53">
        <v>1</v>
      </c>
      <c r="I243" s="53">
        <v>1</v>
      </c>
      <c r="J243" s="53">
        <v>1</v>
      </c>
      <c r="K243" s="53">
        <f t="shared" si="3"/>
        <v>9</v>
      </c>
    </row>
    <row r="244" spans="1:11" x14ac:dyDescent="0.25">
      <c r="A244" s="53" t="s">
        <v>263</v>
      </c>
      <c r="B244" s="53">
        <v>4</v>
      </c>
      <c r="C244" s="53">
        <v>4</v>
      </c>
      <c r="D244" s="53">
        <v>4</v>
      </c>
      <c r="E244" s="53">
        <v>4</v>
      </c>
      <c r="F244" s="53">
        <v>4</v>
      </c>
      <c r="G244" s="53">
        <v>3</v>
      </c>
      <c r="H244" s="53">
        <v>4</v>
      </c>
      <c r="I244" s="53">
        <v>4</v>
      </c>
      <c r="J244" s="53">
        <v>4</v>
      </c>
      <c r="K244" s="53">
        <f t="shared" si="3"/>
        <v>35</v>
      </c>
    </row>
    <row r="245" spans="1:11" x14ac:dyDescent="0.25">
      <c r="A245" s="53" t="s">
        <v>264</v>
      </c>
      <c r="B245" s="53">
        <v>3</v>
      </c>
      <c r="C245" s="53">
        <v>3</v>
      </c>
      <c r="D245" s="53">
        <v>4</v>
      </c>
      <c r="E245" s="53">
        <v>3</v>
      </c>
      <c r="F245" s="53">
        <v>4</v>
      </c>
      <c r="G245" s="53">
        <v>3</v>
      </c>
      <c r="H245" s="53">
        <v>3</v>
      </c>
      <c r="I245" s="53">
        <v>3</v>
      </c>
      <c r="J245" s="53">
        <v>3</v>
      </c>
      <c r="K245" s="53">
        <f t="shared" si="3"/>
        <v>29</v>
      </c>
    </row>
    <row r="246" spans="1:11" x14ac:dyDescent="0.25">
      <c r="A246" s="53" t="s">
        <v>265</v>
      </c>
      <c r="B246" s="53">
        <v>3</v>
      </c>
      <c r="C246" s="53">
        <v>3</v>
      </c>
      <c r="D246" s="53">
        <v>3</v>
      </c>
      <c r="E246" s="53">
        <v>3</v>
      </c>
      <c r="F246" s="53">
        <v>3</v>
      </c>
      <c r="G246" s="53">
        <v>3</v>
      </c>
      <c r="H246" s="53">
        <v>3</v>
      </c>
      <c r="I246" s="53">
        <v>3</v>
      </c>
      <c r="J246" s="53">
        <v>2</v>
      </c>
      <c r="K246" s="53">
        <f t="shared" si="3"/>
        <v>26</v>
      </c>
    </row>
    <row r="247" spans="1:11" x14ac:dyDescent="0.25">
      <c r="A247" s="53" t="s">
        <v>266</v>
      </c>
      <c r="B247" s="53">
        <v>4</v>
      </c>
      <c r="C247" s="53">
        <v>5</v>
      </c>
      <c r="D247" s="53">
        <v>4</v>
      </c>
      <c r="E247" s="53">
        <v>4</v>
      </c>
      <c r="F247" s="53">
        <v>4</v>
      </c>
      <c r="G247" s="53">
        <v>4</v>
      </c>
      <c r="H247" s="53">
        <v>4</v>
      </c>
      <c r="I247" s="53">
        <v>4</v>
      </c>
      <c r="J247" s="53">
        <v>5</v>
      </c>
      <c r="K247" s="53">
        <f t="shared" si="3"/>
        <v>38</v>
      </c>
    </row>
    <row r="248" spans="1:11" x14ac:dyDescent="0.25">
      <c r="A248" s="53" t="s">
        <v>267</v>
      </c>
      <c r="B248" s="53">
        <v>3</v>
      </c>
      <c r="C248" s="53">
        <v>3</v>
      </c>
      <c r="D248" s="53">
        <v>3</v>
      </c>
      <c r="E248" s="53">
        <v>3</v>
      </c>
      <c r="F248" s="53">
        <v>4</v>
      </c>
      <c r="G248" s="53">
        <v>3</v>
      </c>
      <c r="H248" s="53">
        <v>3</v>
      </c>
      <c r="I248" s="53">
        <v>3</v>
      </c>
      <c r="J248" s="53">
        <v>3</v>
      </c>
      <c r="K248" s="53">
        <f t="shared" si="3"/>
        <v>28</v>
      </c>
    </row>
    <row r="249" spans="1:11" x14ac:dyDescent="0.25">
      <c r="A249" s="53" t="s">
        <v>268</v>
      </c>
      <c r="B249" s="53">
        <v>4</v>
      </c>
      <c r="C249" s="53">
        <v>4</v>
      </c>
      <c r="D249" s="53">
        <v>3</v>
      </c>
      <c r="E249" s="53">
        <v>3</v>
      </c>
      <c r="F249" s="53">
        <v>3</v>
      </c>
      <c r="G249" s="53">
        <v>3</v>
      </c>
      <c r="H249" s="53">
        <v>4</v>
      </c>
      <c r="I249" s="53">
        <v>3</v>
      </c>
      <c r="J249" s="53">
        <v>3</v>
      </c>
      <c r="K249" s="53">
        <f t="shared" si="3"/>
        <v>30</v>
      </c>
    </row>
    <row r="250" spans="1:11" x14ac:dyDescent="0.25">
      <c r="A250" s="53" t="s">
        <v>269</v>
      </c>
      <c r="B250" s="53">
        <v>3</v>
      </c>
      <c r="C250" s="53">
        <v>3</v>
      </c>
      <c r="D250" s="53">
        <v>3</v>
      </c>
      <c r="E250" s="53">
        <v>3</v>
      </c>
      <c r="F250" s="53">
        <v>3</v>
      </c>
      <c r="G250" s="53">
        <v>3</v>
      </c>
      <c r="H250" s="53">
        <v>3</v>
      </c>
      <c r="I250" s="53">
        <v>3</v>
      </c>
      <c r="J250" s="53">
        <v>3</v>
      </c>
      <c r="K250" s="53">
        <f t="shared" si="3"/>
        <v>27</v>
      </c>
    </row>
    <row r="251" spans="1:11" x14ac:dyDescent="0.25">
      <c r="A251" s="53" t="s">
        <v>270</v>
      </c>
      <c r="B251" s="53">
        <v>2</v>
      </c>
      <c r="C251" s="53">
        <v>3</v>
      </c>
      <c r="D251" s="53">
        <v>3</v>
      </c>
      <c r="E251" s="53">
        <v>2</v>
      </c>
      <c r="F251" s="53">
        <v>3</v>
      </c>
      <c r="G251" s="53">
        <v>2</v>
      </c>
      <c r="H251" s="53">
        <v>2</v>
      </c>
      <c r="I251" s="53">
        <v>2</v>
      </c>
      <c r="J251" s="53">
        <v>3</v>
      </c>
      <c r="K251" s="53">
        <f t="shared" si="3"/>
        <v>22</v>
      </c>
    </row>
    <row r="252" spans="1:11" x14ac:dyDescent="0.25">
      <c r="A252" s="53" t="s">
        <v>271</v>
      </c>
      <c r="B252" s="53">
        <v>3</v>
      </c>
      <c r="C252" s="53">
        <v>3</v>
      </c>
      <c r="D252" s="53">
        <v>3</v>
      </c>
      <c r="E252" s="53">
        <v>3</v>
      </c>
      <c r="F252" s="53">
        <v>3</v>
      </c>
      <c r="G252" s="53">
        <v>3</v>
      </c>
      <c r="H252" s="53">
        <v>3</v>
      </c>
      <c r="I252" s="53">
        <v>2</v>
      </c>
      <c r="J252" s="53">
        <v>3</v>
      </c>
      <c r="K252" s="53">
        <f t="shared" si="3"/>
        <v>26</v>
      </c>
    </row>
    <row r="253" spans="1:11" x14ac:dyDescent="0.25">
      <c r="A253" s="53" t="s">
        <v>272</v>
      </c>
      <c r="B253" s="53">
        <v>3</v>
      </c>
      <c r="C253" s="53">
        <v>3</v>
      </c>
      <c r="D253" s="53">
        <v>4</v>
      </c>
      <c r="E253" s="53">
        <v>3</v>
      </c>
      <c r="F253" s="53">
        <v>3</v>
      </c>
      <c r="G253" s="53">
        <v>3</v>
      </c>
      <c r="H253" s="53">
        <v>3</v>
      </c>
      <c r="I253" s="53">
        <v>2</v>
      </c>
      <c r="J253" s="53">
        <v>3</v>
      </c>
      <c r="K253" s="53">
        <f t="shared" si="3"/>
        <v>27</v>
      </c>
    </row>
    <row r="254" spans="1:11" x14ac:dyDescent="0.25">
      <c r="A254" s="53" t="s">
        <v>273</v>
      </c>
      <c r="B254" s="53">
        <v>4</v>
      </c>
      <c r="C254" s="53">
        <v>4</v>
      </c>
      <c r="D254" s="53">
        <v>4</v>
      </c>
      <c r="E254" s="53">
        <v>4</v>
      </c>
      <c r="F254" s="53">
        <v>4</v>
      </c>
      <c r="G254" s="53">
        <v>4</v>
      </c>
      <c r="H254" s="53">
        <v>4</v>
      </c>
      <c r="I254" s="53">
        <v>4</v>
      </c>
      <c r="J254" s="53">
        <v>4</v>
      </c>
      <c r="K254" s="53">
        <f t="shared" si="3"/>
        <v>36</v>
      </c>
    </row>
    <row r="255" spans="1:11" x14ac:dyDescent="0.25">
      <c r="A255" s="53" t="s">
        <v>274</v>
      </c>
      <c r="B255" s="53">
        <v>3</v>
      </c>
      <c r="C255" s="53">
        <v>3</v>
      </c>
      <c r="D255" s="53">
        <v>4</v>
      </c>
      <c r="E255" s="53">
        <v>4</v>
      </c>
      <c r="F255" s="53">
        <v>3</v>
      </c>
      <c r="G255" s="53">
        <v>3</v>
      </c>
      <c r="H255" s="53">
        <v>3</v>
      </c>
      <c r="I255" s="53">
        <v>3</v>
      </c>
      <c r="J255" s="53">
        <v>3</v>
      </c>
      <c r="K255" s="53">
        <f t="shared" si="3"/>
        <v>29</v>
      </c>
    </row>
    <row r="256" spans="1:11" x14ac:dyDescent="0.25">
      <c r="A256" s="53" t="s">
        <v>275</v>
      </c>
      <c r="B256" s="53">
        <v>3</v>
      </c>
      <c r="C256" s="53">
        <v>2</v>
      </c>
      <c r="D256" s="53">
        <v>3</v>
      </c>
      <c r="E256" s="53">
        <v>3</v>
      </c>
      <c r="F256" s="53">
        <v>3</v>
      </c>
      <c r="G256" s="53">
        <v>2</v>
      </c>
      <c r="H256" s="53">
        <v>3</v>
      </c>
      <c r="I256" s="53">
        <v>2</v>
      </c>
      <c r="J256" s="53">
        <v>3</v>
      </c>
      <c r="K256" s="53">
        <f t="shared" si="3"/>
        <v>24</v>
      </c>
    </row>
    <row r="257" spans="1:11" x14ac:dyDescent="0.25">
      <c r="A257" s="53" t="s">
        <v>276</v>
      </c>
      <c r="B257" s="53">
        <v>2</v>
      </c>
      <c r="C257" s="53">
        <v>3</v>
      </c>
      <c r="D257" s="53">
        <v>3</v>
      </c>
      <c r="E257" s="53">
        <v>3</v>
      </c>
      <c r="F257" s="53">
        <v>3</v>
      </c>
      <c r="G257" s="53">
        <v>2</v>
      </c>
      <c r="H257" s="53">
        <v>3</v>
      </c>
      <c r="I257" s="53">
        <v>2</v>
      </c>
      <c r="J257" s="53">
        <v>3</v>
      </c>
      <c r="K257" s="53">
        <f t="shared" si="3"/>
        <v>24</v>
      </c>
    </row>
    <row r="258" spans="1:11" x14ac:dyDescent="0.25">
      <c r="A258" s="53" t="s">
        <v>277</v>
      </c>
      <c r="B258" s="53">
        <v>4</v>
      </c>
      <c r="C258" s="53">
        <v>3</v>
      </c>
      <c r="D258" s="53">
        <v>4</v>
      </c>
      <c r="E258" s="53">
        <v>4</v>
      </c>
      <c r="F258" s="53">
        <v>4</v>
      </c>
      <c r="G258" s="53">
        <v>3</v>
      </c>
      <c r="H258" s="53">
        <v>4</v>
      </c>
      <c r="I258" s="53">
        <v>4</v>
      </c>
      <c r="J258" s="53">
        <v>3</v>
      </c>
      <c r="K258" s="53">
        <f t="shared" si="3"/>
        <v>33</v>
      </c>
    </row>
    <row r="259" spans="1:11" x14ac:dyDescent="0.25">
      <c r="A259" s="53" t="s">
        <v>278</v>
      </c>
      <c r="B259" s="53">
        <v>2</v>
      </c>
      <c r="C259" s="53">
        <v>2</v>
      </c>
      <c r="D259" s="53">
        <v>3</v>
      </c>
      <c r="E259" s="53">
        <v>3</v>
      </c>
      <c r="F259" s="53">
        <v>2</v>
      </c>
      <c r="G259" s="53">
        <v>2</v>
      </c>
      <c r="H259" s="53">
        <v>2</v>
      </c>
      <c r="I259" s="53">
        <v>2</v>
      </c>
      <c r="J259" s="53">
        <v>2</v>
      </c>
      <c r="K259" s="53">
        <f t="shared" si="3"/>
        <v>20</v>
      </c>
    </row>
    <row r="260" spans="1:11" x14ac:dyDescent="0.25">
      <c r="A260" s="53" t="s">
        <v>279</v>
      </c>
      <c r="B260" s="53">
        <v>2</v>
      </c>
      <c r="C260" s="53">
        <v>2</v>
      </c>
      <c r="D260" s="53">
        <v>2</v>
      </c>
      <c r="E260" s="53">
        <v>2</v>
      </c>
      <c r="F260" s="53">
        <v>2</v>
      </c>
      <c r="G260" s="53">
        <v>2</v>
      </c>
      <c r="H260" s="53">
        <v>2</v>
      </c>
      <c r="I260" s="53">
        <v>2</v>
      </c>
      <c r="J260" s="53">
        <v>2</v>
      </c>
      <c r="K260" s="53">
        <f t="shared" si="3"/>
        <v>18</v>
      </c>
    </row>
    <row r="261" spans="1:11" x14ac:dyDescent="0.25">
      <c r="A261" s="53" t="s">
        <v>280</v>
      </c>
      <c r="B261" s="53">
        <v>3</v>
      </c>
      <c r="C261" s="53">
        <v>4</v>
      </c>
      <c r="D261" s="53">
        <v>4</v>
      </c>
      <c r="E261" s="53">
        <v>3</v>
      </c>
      <c r="F261" s="53">
        <v>3</v>
      </c>
      <c r="G261" s="53">
        <v>3</v>
      </c>
      <c r="H261" s="53">
        <v>4</v>
      </c>
      <c r="I261" s="53">
        <v>4</v>
      </c>
      <c r="J261" s="53">
        <v>3</v>
      </c>
      <c r="K261" s="53">
        <f t="shared" ref="K261:K324" si="4">SUM(B261:J261)</f>
        <v>31</v>
      </c>
    </row>
    <row r="262" spans="1:11" x14ac:dyDescent="0.25">
      <c r="A262" s="53" t="s">
        <v>281</v>
      </c>
      <c r="B262" s="53">
        <v>2</v>
      </c>
      <c r="C262" s="53">
        <v>2</v>
      </c>
      <c r="D262" s="53">
        <v>2</v>
      </c>
      <c r="E262" s="53">
        <v>2</v>
      </c>
      <c r="F262" s="53">
        <v>2</v>
      </c>
      <c r="G262" s="53">
        <v>1</v>
      </c>
      <c r="H262" s="53">
        <v>2</v>
      </c>
      <c r="I262" s="53">
        <v>2</v>
      </c>
      <c r="J262" s="53">
        <v>2</v>
      </c>
      <c r="K262" s="53">
        <f t="shared" si="4"/>
        <v>17</v>
      </c>
    </row>
    <row r="263" spans="1:11" x14ac:dyDescent="0.25">
      <c r="A263" s="53" t="s">
        <v>282</v>
      </c>
      <c r="B263" s="53">
        <v>2</v>
      </c>
      <c r="C263" s="53">
        <v>3</v>
      </c>
      <c r="D263" s="53">
        <v>2</v>
      </c>
      <c r="E263" s="53">
        <v>3</v>
      </c>
      <c r="F263" s="53">
        <v>3</v>
      </c>
      <c r="G263" s="53">
        <v>2</v>
      </c>
      <c r="H263" s="53">
        <v>2</v>
      </c>
      <c r="I263" s="53">
        <v>2</v>
      </c>
      <c r="J263" s="53">
        <v>2</v>
      </c>
      <c r="K263" s="53">
        <f t="shared" si="4"/>
        <v>21</v>
      </c>
    </row>
    <row r="264" spans="1:11" x14ac:dyDescent="0.25">
      <c r="A264" s="53" t="s">
        <v>283</v>
      </c>
      <c r="B264" s="53">
        <v>4</v>
      </c>
      <c r="C264" s="53">
        <v>4</v>
      </c>
      <c r="D264" s="53">
        <v>4</v>
      </c>
      <c r="E264" s="53">
        <v>4</v>
      </c>
      <c r="F264" s="53">
        <v>4</v>
      </c>
      <c r="G264" s="53">
        <v>4</v>
      </c>
      <c r="H264" s="53">
        <v>4</v>
      </c>
      <c r="I264" s="53">
        <v>4</v>
      </c>
      <c r="J264" s="53">
        <v>4</v>
      </c>
      <c r="K264" s="53">
        <f t="shared" si="4"/>
        <v>36</v>
      </c>
    </row>
    <row r="265" spans="1:11" x14ac:dyDescent="0.25">
      <c r="A265" s="53" t="s">
        <v>284</v>
      </c>
      <c r="B265" s="53">
        <v>3</v>
      </c>
      <c r="C265" s="53">
        <v>3</v>
      </c>
      <c r="D265" s="53">
        <v>3</v>
      </c>
      <c r="E265" s="53">
        <v>3</v>
      </c>
      <c r="F265" s="53">
        <v>3</v>
      </c>
      <c r="G265" s="53">
        <v>2</v>
      </c>
      <c r="H265" s="53">
        <v>3</v>
      </c>
      <c r="I265" s="53">
        <v>3</v>
      </c>
      <c r="J265" s="53">
        <v>3</v>
      </c>
      <c r="K265" s="53">
        <f t="shared" si="4"/>
        <v>26</v>
      </c>
    </row>
    <row r="266" spans="1:11" x14ac:dyDescent="0.25">
      <c r="A266" s="53" t="s">
        <v>285</v>
      </c>
      <c r="B266" s="53">
        <v>2</v>
      </c>
      <c r="C266" s="53">
        <v>3</v>
      </c>
      <c r="D266" s="53">
        <v>3</v>
      </c>
      <c r="E266" s="53">
        <v>3</v>
      </c>
      <c r="F266" s="53">
        <v>3</v>
      </c>
      <c r="G266" s="53">
        <v>3</v>
      </c>
      <c r="H266" s="53">
        <v>3</v>
      </c>
      <c r="I266" s="53">
        <v>3</v>
      </c>
      <c r="J266" s="53">
        <v>3</v>
      </c>
      <c r="K266" s="53">
        <f t="shared" si="4"/>
        <v>26</v>
      </c>
    </row>
    <row r="267" spans="1:11" x14ac:dyDescent="0.25">
      <c r="A267" s="53" t="s">
        <v>286</v>
      </c>
      <c r="B267" s="53">
        <v>4</v>
      </c>
      <c r="C267" s="53">
        <v>3</v>
      </c>
      <c r="D267" s="53">
        <v>4</v>
      </c>
      <c r="E267" s="53">
        <v>4</v>
      </c>
      <c r="F267" s="53">
        <v>4</v>
      </c>
      <c r="G267" s="53">
        <v>3</v>
      </c>
      <c r="H267" s="53">
        <v>4</v>
      </c>
      <c r="I267" s="53">
        <v>3</v>
      </c>
      <c r="J267" s="53">
        <v>3</v>
      </c>
      <c r="K267" s="53">
        <f t="shared" si="4"/>
        <v>32</v>
      </c>
    </row>
    <row r="268" spans="1:11" x14ac:dyDescent="0.25">
      <c r="A268" s="53" t="s">
        <v>287</v>
      </c>
      <c r="B268" s="53">
        <v>2</v>
      </c>
      <c r="C268" s="53">
        <v>2</v>
      </c>
      <c r="D268" s="53">
        <v>2</v>
      </c>
      <c r="E268" s="53">
        <v>2</v>
      </c>
      <c r="F268" s="53">
        <v>3</v>
      </c>
      <c r="G268" s="53">
        <v>2</v>
      </c>
      <c r="H268" s="53">
        <v>2</v>
      </c>
      <c r="I268" s="53">
        <v>2</v>
      </c>
      <c r="J268" s="53">
        <v>2</v>
      </c>
      <c r="K268" s="53">
        <f t="shared" si="4"/>
        <v>19</v>
      </c>
    </row>
    <row r="269" spans="1:11" x14ac:dyDescent="0.25">
      <c r="A269" s="53" t="s">
        <v>288</v>
      </c>
      <c r="B269" s="53">
        <v>2</v>
      </c>
      <c r="C269" s="53">
        <v>3</v>
      </c>
      <c r="D269" s="53">
        <v>3</v>
      </c>
      <c r="E269" s="53">
        <v>2</v>
      </c>
      <c r="F269" s="53">
        <v>3</v>
      </c>
      <c r="G269" s="53">
        <v>2</v>
      </c>
      <c r="H269" s="53">
        <v>2</v>
      </c>
      <c r="I269" s="53">
        <v>2</v>
      </c>
      <c r="J269" s="53">
        <v>2</v>
      </c>
      <c r="K269" s="53">
        <f t="shared" si="4"/>
        <v>21</v>
      </c>
    </row>
    <row r="270" spans="1:11" x14ac:dyDescent="0.25">
      <c r="A270" s="53" t="s">
        <v>289</v>
      </c>
      <c r="B270" s="53">
        <v>4</v>
      </c>
      <c r="C270" s="53">
        <v>4</v>
      </c>
      <c r="D270" s="53">
        <v>5</v>
      </c>
      <c r="E270" s="53">
        <v>5</v>
      </c>
      <c r="F270" s="53">
        <v>5</v>
      </c>
      <c r="G270" s="53">
        <v>4</v>
      </c>
      <c r="H270" s="53">
        <v>5</v>
      </c>
      <c r="I270" s="53">
        <v>4</v>
      </c>
      <c r="J270" s="53">
        <v>4</v>
      </c>
      <c r="K270" s="53">
        <f t="shared" si="4"/>
        <v>40</v>
      </c>
    </row>
    <row r="271" spans="1:11" x14ac:dyDescent="0.25">
      <c r="A271" s="53" t="s">
        <v>290</v>
      </c>
      <c r="B271" s="53">
        <v>3</v>
      </c>
      <c r="C271" s="53">
        <v>3</v>
      </c>
      <c r="D271" s="53">
        <v>3</v>
      </c>
      <c r="E271" s="53">
        <v>3</v>
      </c>
      <c r="F271" s="53">
        <v>3</v>
      </c>
      <c r="G271" s="53">
        <v>3</v>
      </c>
      <c r="H271" s="53">
        <v>3</v>
      </c>
      <c r="I271" s="53">
        <v>2</v>
      </c>
      <c r="J271" s="53">
        <v>3</v>
      </c>
      <c r="K271" s="53">
        <f t="shared" si="4"/>
        <v>26</v>
      </c>
    </row>
    <row r="272" spans="1:11" x14ac:dyDescent="0.25">
      <c r="A272" s="53" t="s">
        <v>291</v>
      </c>
      <c r="B272" s="53">
        <v>3</v>
      </c>
      <c r="C272" s="53">
        <v>3</v>
      </c>
      <c r="D272" s="53">
        <v>3</v>
      </c>
      <c r="E272" s="53">
        <v>3</v>
      </c>
      <c r="F272" s="53">
        <v>3</v>
      </c>
      <c r="G272" s="53">
        <v>3</v>
      </c>
      <c r="H272" s="53">
        <v>3</v>
      </c>
      <c r="I272" s="53">
        <v>3</v>
      </c>
      <c r="J272" s="53">
        <v>3</v>
      </c>
      <c r="K272" s="53">
        <f t="shared" si="4"/>
        <v>27</v>
      </c>
    </row>
    <row r="273" spans="1:11" x14ac:dyDescent="0.25">
      <c r="A273" s="53" t="s">
        <v>292</v>
      </c>
      <c r="B273" s="53">
        <v>4</v>
      </c>
      <c r="C273" s="53">
        <v>4</v>
      </c>
      <c r="D273" s="53">
        <v>4</v>
      </c>
      <c r="E273" s="53">
        <v>4</v>
      </c>
      <c r="F273" s="53">
        <v>4</v>
      </c>
      <c r="G273" s="53">
        <v>4</v>
      </c>
      <c r="H273" s="53">
        <v>4</v>
      </c>
      <c r="I273" s="53">
        <v>4</v>
      </c>
      <c r="J273" s="53">
        <v>4</v>
      </c>
      <c r="K273" s="53">
        <f t="shared" si="4"/>
        <v>36</v>
      </c>
    </row>
    <row r="274" spans="1:11" x14ac:dyDescent="0.25">
      <c r="A274" s="53" t="s">
        <v>293</v>
      </c>
      <c r="B274" s="53">
        <v>3</v>
      </c>
      <c r="C274" s="53">
        <v>3</v>
      </c>
      <c r="D274" s="53">
        <v>3</v>
      </c>
      <c r="E274" s="53">
        <v>3</v>
      </c>
      <c r="F274" s="53">
        <v>3</v>
      </c>
      <c r="G274" s="53">
        <v>2</v>
      </c>
      <c r="H274" s="53">
        <v>3</v>
      </c>
      <c r="I274" s="53">
        <v>3</v>
      </c>
      <c r="J274" s="53">
        <v>3</v>
      </c>
      <c r="K274" s="53">
        <f t="shared" si="4"/>
        <v>26</v>
      </c>
    </row>
    <row r="275" spans="1:11" x14ac:dyDescent="0.25">
      <c r="A275" s="53" t="s">
        <v>294</v>
      </c>
      <c r="B275" s="53">
        <v>1</v>
      </c>
      <c r="C275" s="53">
        <v>1</v>
      </c>
      <c r="D275" s="53">
        <v>1</v>
      </c>
      <c r="E275" s="53">
        <v>1</v>
      </c>
      <c r="F275" s="53">
        <v>1</v>
      </c>
      <c r="G275" s="53">
        <v>1</v>
      </c>
      <c r="H275" s="53">
        <v>1</v>
      </c>
      <c r="I275" s="53">
        <v>1</v>
      </c>
      <c r="J275" s="53">
        <v>1</v>
      </c>
      <c r="K275" s="53">
        <f t="shared" si="4"/>
        <v>9</v>
      </c>
    </row>
    <row r="276" spans="1:11" x14ac:dyDescent="0.25">
      <c r="A276" s="53" t="s">
        <v>295</v>
      </c>
      <c r="B276" s="53">
        <v>3</v>
      </c>
      <c r="C276" s="53">
        <v>3</v>
      </c>
      <c r="D276" s="53">
        <v>3</v>
      </c>
      <c r="E276" s="53">
        <v>4</v>
      </c>
      <c r="F276" s="53">
        <v>4</v>
      </c>
      <c r="G276" s="53">
        <v>3</v>
      </c>
      <c r="H276" s="53">
        <v>3</v>
      </c>
      <c r="I276" s="53">
        <v>3</v>
      </c>
      <c r="J276" s="53">
        <v>3</v>
      </c>
      <c r="K276" s="53">
        <f t="shared" si="4"/>
        <v>29</v>
      </c>
    </row>
    <row r="277" spans="1:11" x14ac:dyDescent="0.25">
      <c r="A277" s="53" t="s">
        <v>296</v>
      </c>
      <c r="B277" s="53">
        <v>3</v>
      </c>
      <c r="C277" s="53">
        <v>4</v>
      </c>
      <c r="D277" s="53">
        <v>3</v>
      </c>
      <c r="E277" s="53">
        <v>4</v>
      </c>
      <c r="F277" s="53">
        <v>4</v>
      </c>
      <c r="G277" s="53">
        <v>3</v>
      </c>
      <c r="H277" s="53">
        <v>3</v>
      </c>
      <c r="I277" s="53">
        <v>3</v>
      </c>
      <c r="J277" s="53">
        <v>4</v>
      </c>
      <c r="K277" s="53">
        <f t="shared" si="4"/>
        <v>31</v>
      </c>
    </row>
    <row r="278" spans="1:11" x14ac:dyDescent="0.25">
      <c r="A278" s="53" t="s">
        <v>297</v>
      </c>
      <c r="B278" s="53">
        <v>2</v>
      </c>
      <c r="C278" s="53">
        <v>2</v>
      </c>
      <c r="D278" s="53">
        <v>3</v>
      </c>
      <c r="E278" s="53">
        <v>2</v>
      </c>
      <c r="F278" s="53">
        <v>3</v>
      </c>
      <c r="G278" s="53">
        <v>2</v>
      </c>
      <c r="H278" s="53">
        <v>2</v>
      </c>
      <c r="I278" s="53">
        <v>2</v>
      </c>
      <c r="J278" s="53">
        <v>2</v>
      </c>
      <c r="K278" s="53">
        <f t="shared" si="4"/>
        <v>20</v>
      </c>
    </row>
    <row r="279" spans="1:11" x14ac:dyDescent="0.25">
      <c r="A279" s="53" t="s">
        <v>298</v>
      </c>
      <c r="B279" s="53">
        <v>2</v>
      </c>
      <c r="C279" s="53">
        <v>3</v>
      </c>
      <c r="D279" s="53">
        <v>3</v>
      </c>
      <c r="E279" s="53">
        <v>3</v>
      </c>
      <c r="F279" s="53">
        <v>3</v>
      </c>
      <c r="G279" s="53">
        <v>2</v>
      </c>
      <c r="H279" s="53">
        <v>3</v>
      </c>
      <c r="I279" s="53">
        <v>3</v>
      </c>
      <c r="J279" s="53">
        <v>3</v>
      </c>
      <c r="K279" s="53">
        <f t="shared" si="4"/>
        <v>25</v>
      </c>
    </row>
    <row r="280" spans="1:11" x14ac:dyDescent="0.25">
      <c r="A280" s="53" t="s">
        <v>299</v>
      </c>
      <c r="B280" s="53">
        <v>2</v>
      </c>
      <c r="C280" s="53">
        <v>2</v>
      </c>
      <c r="D280" s="53">
        <v>2</v>
      </c>
      <c r="E280" s="53">
        <v>2</v>
      </c>
      <c r="F280" s="53">
        <v>2</v>
      </c>
      <c r="G280" s="53">
        <v>2</v>
      </c>
      <c r="H280" s="53">
        <v>2</v>
      </c>
      <c r="I280" s="53">
        <v>2</v>
      </c>
      <c r="J280" s="53">
        <v>1</v>
      </c>
      <c r="K280" s="53">
        <f t="shared" si="4"/>
        <v>17</v>
      </c>
    </row>
    <row r="281" spans="1:11" x14ac:dyDescent="0.25">
      <c r="A281" s="53" t="s">
        <v>300</v>
      </c>
      <c r="B281" s="53">
        <v>4</v>
      </c>
      <c r="C281" s="53">
        <v>4</v>
      </c>
      <c r="D281" s="53">
        <v>4</v>
      </c>
      <c r="E281" s="53">
        <v>4</v>
      </c>
      <c r="F281" s="53">
        <v>4</v>
      </c>
      <c r="G281" s="53">
        <v>3</v>
      </c>
      <c r="H281" s="53">
        <v>4</v>
      </c>
      <c r="I281" s="53">
        <v>4</v>
      </c>
      <c r="J281" s="53">
        <v>4</v>
      </c>
      <c r="K281" s="53">
        <f t="shared" si="4"/>
        <v>35</v>
      </c>
    </row>
    <row r="282" spans="1:11" x14ac:dyDescent="0.25">
      <c r="A282" s="53" t="s">
        <v>301</v>
      </c>
      <c r="B282" s="53">
        <v>3</v>
      </c>
      <c r="C282" s="53">
        <v>3</v>
      </c>
      <c r="D282" s="53">
        <v>3</v>
      </c>
      <c r="E282" s="53">
        <v>3</v>
      </c>
      <c r="F282" s="53">
        <v>3</v>
      </c>
      <c r="G282" s="53">
        <v>3</v>
      </c>
      <c r="H282" s="53">
        <v>3</v>
      </c>
      <c r="I282" s="53">
        <v>4</v>
      </c>
      <c r="J282" s="53">
        <v>3</v>
      </c>
      <c r="K282" s="53">
        <f t="shared" si="4"/>
        <v>28</v>
      </c>
    </row>
    <row r="283" spans="1:11" x14ac:dyDescent="0.25">
      <c r="A283" s="53" t="s">
        <v>302</v>
      </c>
      <c r="B283" s="53">
        <v>3</v>
      </c>
      <c r="C283" s="53">
        <v>3</v>
      </c>
      <c r="D283" s="53">
        <v>4</v>
      </c>
      <c r="E283" s="53">
        <v>3</v>
      </c>
      <c r="F283" s="53">
        <v>3</v>
      </c>
      <c r="G283" s="53">
        <v>3</v>
      </c>
      <c r="H283" s="53">
        <v>3</v>
      </c>
      <c r="I283" s="53">
        <v>3</v>
      </c>
      <c r="J283" s="53">
        <v>3</v>
      </c>
      <c r="K283" s="53">
        <f t="shared" si="4"/>
        <v>28</v>
      </c>
    </row>
    <row r="284" spans="1:11" x14ac:dyDescent="0.25">
      <c r="A284" s="53" t="s">
        <v>303</v>
      </c>
      <c r="B284" s="53">
        <v>3</v>
      </c>
      <c r="C284" s="53">
        <v>3</v>
      </c>
      <c r="D284" s="53">
        <v>3</v>
      </c>
      <c r="E284" s="53">
        <v>3</v>
      </c>
      <c r="F284" s="53">
        <v>3</v>
      </c>
      <c r="G284" s="53">
        <v>3</v>
      </c>
      <c r="H284" s="53">
        <v>3</v>
      </c>
      <c r="I284" s="53">
        <v>2</v>
      </c>
      <c r="J284" s="53">
        <v>3</v>
      </c>
      <c r="K284" s="53">
        <f t="shared" si="4"/>
        <v>26</v>
      </c>
    </row>
    <row r="285" spans="1:11" x14ac:dyDescent="0.25">
      <c r="A285" s="53" t="s">
        <v>304</v>
      </c>
      <c r="B285" s="53">
        <v>2</v>
      </c>
      <c r="C285" s="53">
        <v>2</v>
      </c>
      <c r="D285" s="53">
        <v>3</v>
      </c>
      <c r="E285" s="53">
        <v>2</v>
      </c>
      <c r="F285" s="53">
        <v>2</v>
      </c>
      <c r="G285" s="53">
        <v>2</v>
      </c>
      <c r="H285" s="53">
        <v>2</v>
      </c>
      <c r="I285" s="53">
        <v>2</v>
      </c>
      <c r="J285" s="53">
        <v>2</v>
      </c>
      <c r="K285" s="53">
        <f t="shared" si="4"/>
        <v>19</v>
      </c>
    </row>
    <row r="286" spans="1:11" x14ac:dyDescent="0.25">
      <c r="A286" s="53" t="s">
        <v>305</v>
      </c>
      <c r="B286" s="53">
        <v>2</v>
      </c>
      <c r="C286" s="53">
        <v>2</v>
      </c>
      <c r="D286" s="53">
        <v>2</v>
      </c>
      <c r="E286" s="53">
        <v>1</v>
      </c>
      <c r="F286" s="53">
        <v>3</v>
      </c>
      <c r="G286" s="53">
        <v>2</v>
      </c>
      <c r="H286" s="53">
        <v>2</v>
      </c>
      <c r="I286" s="53">
        <v>2</v>
      </c>
      <c r="J286" s="53">
        <v>2</v>
      </c>
      <c r="K286" s="53">
        <f t="shared" si="4"/>
        <v>18</v>
      </c>
    </row>
    <row r="287" spans="1:11" x14ac:dyDescent="0.25">
      <c r="A287" s="53" t="s">
        <v>306</v>
      </c>
      <c r="B287" s="53">
        <v>3</v>
      </c>
      <c r="C287" s="53">
        <v>3</v>
      </c>
      <c r="D287" s="53">
        <v>3</v>
      </c>
      <c r="E287" s="53">
        <v>3</v>
      </c>
      <c r="F287" s="53">
        <v>3</v>
      </c>
      <c r="G287" s="53">
        <v>3</v>
      </c>
      <c r="H287" s="53">
        <v>3</v>
      </c>
      <c r="I287" s="53">
        <v>3</v>
      </c>
      <c r="J287" s="53">
        <v>3</v>
      </c>
      <c r="K287" s="53">
        <f t="shared" si="4"/>
        <v>27</v>
      </c>
    </row>
    <row r="288" spans="1:11" x14ac:dyDescent="0.25">
      <c r="A288" s="53" t="s">
        <v>307</v>
      </c>
      <c r="B288" s="53">
        <v>3</v>
      </c>
      <c r="C288" s="53">
        <v>3</v>
      </c>
      <c r="D288" s="53">
        <v>3</v>
      </c>
      <c r="E288" s="53">
        <v>3</v>
      </c>
      <c r="F288" s="53">
        <v>3</v>
      </c>
      <c r="G288" s="53">
        <v>3</v>
      </c>
      <c r="H288" s="53">
        <v>3</v>
      </c>
      <c r="I288" s="53">
        <v>3</v>
      </c>
      <c r="J288" s="53">
        <v>3</v>
      </c>
      <c r="K288" s="53">
        <f t="shared" si="4"/>
        <v>27</v>
      </c>
    </row>
    <row r="289" spans="1:11" x14ac:dyDescent="0.25">
      <c r="A289" s="53" t="s">
        <v>308</v>
      </c>
      <c r="B289" s="53">
        <v>3</v>
      </c>
      <c r="C289" s="53">
        <v>3</v>
      </c>
      <c r="D289" s="53">
        <v>3</v>
      </c>
      <c r="E289" s="53">
        <v>3</v>
      </c>
      <c r="F289" s="53">
        <v>3</v>
      </c>
      <c r="G289" s="53">
        <v>3</v>
      </c>
      <c r="H289" s="53">
        <v>3</v>
      </c>
      <c r="I289" s="53">
        <v>2</v>
      </c>
      <c r="J289" s="53">
        <v>3</v>
      </c>
      <c r="K289" s="53">
        <f t="shared" si="4"/>
        <v>26</v>
      </c>
    </row>
    <row r="290" spans="1:11" x14ac:dyDescent="0.25">
      <c r="A290" s="53" t="s">
        <v>309</v>
      </c>
      <c r="B290" s="53">
        <v>3</v>
      </c>
      <c r="C290" s="53">
        <v>3</v>
      </c>
      <c r="D290" s="53">
        <v>3</v>
      </c>
      <c r="E290" s="53">
        <v>3</v>
      </c>
      <c r="F290" s="53">
        <v>3</v>
      </c>
      <c r="G290" s="53">
        <v>3</v>
      </c>
      <c r="H290" s="53">
        <v>3</v>
      </c>
      <c r="I290" s="53">
        <v>3</v>
      </c>
      <c r="J290" s="53">
        <v>3</v>
      </c>
      <c r="K290" s="53">
        <f t="shared" si="4"/>
        <v>27</v>
      </c>
    </row>
    <row r="291" spans="1:11" x14ac:dyDescent="0.25">
      <c r="A291" s="53" t="s">
        <v>310</v>
      </c>
      <c r="B291" s="53">
        <v>2</v>
      </c>
      <c r="C291" s="53">
        <v>3</v>
      </c>
      <c r="D291" s="53">
        <v>3</v>
      </c>
      <c r="E291" s="53">
        <v>2</v>
      </c>
      <c r="F291" s="53">
        <v>3</v>
      </c>
      <c r="G291" s="53">
        <v>2</v>
      </c>
      <c r="H291" s="53">
        <v>3</v>
      </c>
      <c r="I291" s="53">
        <v>2</v>
      </c>
      <c r="J291" s="53">
        <v>3</v>
      </c>
      <c r="K291" s="53">
        <f t="shared" si="4"/>
        <v>23</v>
      </c>
    </row>
    <row r="292" spans="1:11" x14ac:dyDescent="0.25">
      <c r="A292" s="53" t="s">
        <v>311</v>
      </c>
      <c r="B292" s="53">
        <v>2</v>
      </c>
      <c r="C292" s="53">
        <v>2</v>
      </c>
      <c r="D292" s="53">
        <v>2</v>
      </c>
      <c r="E292" s="53">
        <v>2</v>
      </c>
      <c r="F292" s="53">
        <v>2</v>
      </c>
      <c r="G292" s="53">
        <v>2</v>
      </c>
      <c r="H292" s="53">
        <v>2</v>
      </c>
      <c r="I292" s="53">
        <v>2</v>
      </c>
      <c r="J292" s="53">
        <v>2</v>
      </c>
      <c r="K292" s="53">
        <f t="shared" si="4"/>
        <v>18</v>
      </c>
    </row>
    <row r="293" spans="1:11" x14ac:dyDescent="0.25">
      <c r="A293" s="53" t="s">
        <v>312</v>
      </c>
      <c r="B293" s="53">
        <v>4</v>
      </c>
      <c r="C293" s="53">
        <v>4</v>
      </c>
      <c r="D293" s="53">
        <v>4</v>
      </c>
      <c r="E293" s="53">
        <v>4</v>
      </c>
      <c r="F293" s="53">
        <v>4</v>
      </c>
      <c r="G293" s="53">
        <v>3</v>
      </c>
      <c r="H293" s="53">
        <v>4</v>
      </c>
      <c r="I293" s="53">
        <v>4</v>
      </c>
      <c r="J293" s="53">
        <v>4</v>
      </c>
      <c r="K293" s="53">
        <f t="shared" si="4"/>
        <v>35</v>
      </c>
    </row>
    <row r="294" spans="1:11" x14ac:dyDescent="0.25">
      <c r="A294" t="s">
        <v>313</v>
      </c>
      <c r="B294">
        <f t="shared" ref="B294:K294" si="5">SUM(B5:B293)</f>
        <v>855</v>
      </c>
      <c r="C294">
        <f t="shared" si="5"/>
        <v>866</v>
      </c>
      <c r="D294">
        <f t="shared" si="5"/>
        <v>938</v>
      </c>
      <c r="E294">
        <f t="shared" si="5"/>
        <v>883</v>
      </c>
      <c r="F294">
        <f t="shared" si="5"/>
        <v>927</v>
      </c>
      <c r="G294">
        <f t="shared" si="5"/>
        <v>797</v>
      </c>
      <c r="H294">
        <f t="shared" si="5"/>
        <v>869</v>
      </c>
      <c r="I294">
        <f t="shared" si="5"/>
        <v>839</v>
      </c>
      <c r="J294">
        <f t="shared" si="5"/>
        <v>853</v>
      </c>
      <c r="K294">
        <f t="shared" si="5"/>
        <v>7827</v>
      </c>
    </row>
    <row r="295" spans="1:11" x14ac:dyDescent="0.25">
      <c r="A295" t="s">
        <v>314</v>
      </c>
      <c r="B295">
        <f t="shared" ref="B295:K295" si="6">MODE(B5:B293)</f>
        <v>3</v>
      </c>
      <c r="C295">
        <f t="shared" si="6"/>
        <v>3</v>
      </c>
      <c r="D295">
        <f t="shared" si="6"/>
        <v>3</v>
      </c>
      <c r="E295">
        <f t="shared" si="6"/>
        <v>3</v>
      </c>
      <c r="F295">
        <f t="shared" si="6"/>
        <v>3</v>
      </c>
      <c r="G295">
        <f t="shared" si="6"/>
        <v>3</v>
      </c>
      <c r="H295">
        <f t="shared" si="6"/>
        <v>3</v>
      </c>
      <c r="I295">
        <f t="shared" si="6"/>
        <v>3</v>
      </c>
      <c r="J295">
        <f t="shared" si="6"/>
        <v>3</v>
      </c>
      <c r="K295">
        <f t="shared" si="6"/>
        <v>27</v>
      </c>
    </row>
    <row r="296" spans="1:11" x14ac:dyDescent="0.25">
      <c r="A296" t="s">
        <v>315</v>
      </c>
      <c r="B296">
        <f t="shared" ref="B296:K296" si="7">(B294/289)</f>
        <v>2.9584775086505188</v>
      </c>
      <c r="C296">
        <f t="shared" si="7"/>
        <v>2.9965397923875434</v>
      </c>
      <c r="D296">
        <f t="shared" si="7"/>
        <v>3.2456747404844291</v>
      </c>
      <c r="E296">
        <f t="shared" si="7"/>
        <v>3.0553633217993079</v>
      </c>
      <c r="F296">
        <f t="shared" si="7"/>
        <v>3.2076124567474049</v>
      </c>
      <c r="G296">
        <f t="shared" si="7"/>
        <v>2.7577854671280275</v>
      </c>
      <c r="H296">
        <f t="shared" si="7"/>
        <v>3.0069204152249136</v>
      </c>
      <c r="I296">
        <f t="shared" si="7"/>
        <v>2.9031141868512109</v>
      </c>
      <c r="J296">
        <f t="shared" si="7"/>
        <v>2.9515570934256057</v>
      </c>
      <c r="K296">
        <f t="shared" si="7"/>
        <v>27.083044982698961</v>
      </c>
    </row>
    <row r="297" spans="1:11" x14ac:dyDescent="0.25">
      <c r="A297" t="s">
        <v>316</v>
      </c>
      <c r="B297">
        <f t="shared" ref="B297:K297" si="8">MEDIAN(B5:B293)</f>
        <v>3</v>
      </c>
      <c r="C297">
        <f t="shared" si="8"/>
        <v>3</v>
      </c>
      <c r="D297">
        <f t="shared" si="8"/>
        <v>3</v>
      </c>
      <c r="E297">
        <f t="shared" si="8"/>
        <v>3</v>
      </c>
      <c r="F297">
        <f t="shared" si="8"/>
        <v>3</v>
      </c>
      <c r="G297">
        <f t="shared" si="8"/>
        <v>3</v>
      </c>
      <c r="H297">
        <f t="shared" si="8"/>
        <v>3</v>
      </c>
      <c r="I297">
        <f t="shared" si="8"/>
        <v>3</v>
      </c>
      <c r="J297">
        <f t="shared" si="8"/>
        <v>3</v>
      </c>
      <c r="K297">
        <f t="shared" si="8"/>
        <v>27</v>
      </c>
    </row>
    <row r="298" spans="1:11" x14ac:dyDescent="0.25">
      <c r="A298" t="s">
        <v>317</v>
      </c>
      <c r="B298">
        <f t="shared" ref="B298:K298" si="9">ROUND(STDEV(B5:B293),2)</f>
        <v>0.74</v>
      </c>
      <c r="C298">
        <f t="shared" si="9"/>
        <v>0.78</v>
      </c>
      <c r="D298">
        <f t="shared" si="9"/>
        <v>0.72</v>
      </c>
      <c r="E298">
        <f t="shared" si="9"/>
        <v>0.77</v>
      </c>
      <c r="F298">
        <f t="shared" si="9"/>
        <v>0.72</v>
      </c>
      <c r="G298">
        <f t="shared" si="9"/>
        <v>0.69</v>
      </c>
      <c r="H298">
        <f t="shared" si="9"/>
        <v>0.79</v>
      </c>
      <c r="I298">
        <f t="shared" si="9"/>
        <v>0.76</v>
      </c>
      <c r="J298">
        <f t="shared" si="9"/>
        <v>0.78</v>
      </c>
      <c r="K298">
        <f t="shared" si="9"/>
        <v>6.05</v>
      </c>
    </row>
    <row r="299" spans="1:11" x14ac:dyDescent="0.25">
      <c r="A299" t="s">
        <v>318</v>
      </c>
      <c r="B299" s="2">
        <f t="shared" ref="B299:K299" si="10">(B298/B296)</f>
        <v>0.25012865497076026</v>
      </c>
      <c r="C299" s="2">
        <f t="shared" si="10"/>
        <v>0.26030023094688221</v>
      </c>
      <c r="D299" s="2">
        <f t="shared" si="10"/>
        <v>0.22183368869936032</v>
      </c>
      <c r="E299" s="2">
        <f t="shared" si="10"/>
        <v>0.25201585503963758</v>
      </c>
      <c r="F299" s="2">
        <f t="shared" si="10"/>
        <v>0.22446601941747571</v>
      </c>
      <c r="G299" s="2">
        <f t="shared" si="10"/>
        <v>0.25020075282308657</v>
      </c>
      <c r="H299" s="2">
        <f t="shared" si="10"/>
        <v>0.26272727272727275</v>
      </c>
      <c r="I299" s="2">
        <f t="shared" si="10"/>
        <v>0.26178784266984506</v>
      </c>
      <c r="J299" s="2">
        <f t="shared" si="10"/>
        <v>0.2642672919109027</v>
      </c>
      <c r="K299" s="2">
        <f t="shared" si="10"/>
        <v>0.22338699373961926</v>
      </c>
    </row>
    <row r="300" spans="1:11" x14ac:dyDescent="0.25">
      <c r="A300" t="s">
        <v>319</v>
      </c>
      <c r="B300">
        <f>COUNTIF($B$5:$B$293,1)</f>
        <v>3</v>
      </c>
      <c r="C300">
        <f>COUNTIF($C$5:$C$293,1)</f>
        <v>4</v>
      </c>
      <c r="D300">
        <f>COUNTIF($D$5:$D$293,1)</f>
        <v>2</v>
      </c>
      <c r="E300">
        <f>COUNTIF($E$5:$E$293,1)</f>
        <v>5</v>
      </c>
      <c r="F300">
        <f>COUNTIF($F$5:$F$293,1)</f>
        <v>2</v>
      </c>
      <c r="G300">
        <f>COUNTIF($G$5:$G$293,1)</f>
        <v>6</v>
      </c>
      <c r="H300">
        <f>COUNTIF($H$5:$H$293,1)</f>
        <v>3</v>
      </c>
      <c r="I300">
        <f>COUNTIF($I$5:$I$293,1)</f>
        <v>4</v>
      </c>
      <c r="J300">
        <f>COUNTIF($J$5:$J$293,1)</f>
        <v>5</v>
      </c>
    </row>
    <row r="301" spans="1:11" x14ac:dyDescent="0.25">
      <c r="A301" t="s">
        <v>320</v>
      </c>
      <c r="B301">
        <f>COUNTIF($B$5:$B$293,2)</f>
        <v>72</v>
      </c>
      <c r="C301">
        <f>COUNTIF($C$5:$C$293,2)</f>
        <v>68</v>
      </c>
      <c r="D301">
        <f>COUNTIF($D$5:$D$293,2)</f>
        <v>33</v>
      </c>
      <c r="E301">
        <f>COUNTIF($E$5:$E$293,2)</f>
        <v>55</v>
      </c>
      <c r="F301">
        <f>COUNTIF($F$5:$F$293,2)</f>
        <v>35</v>
      </c>
      <c r="G301">
        <f>COUNTIF($G$5:$G$293,2)</f>
        <v>93</v>
      </c>
      <c r="H301">
        <f>COUNTIF($H$5:$H$293,2)</f>
        <v>71</v>
      </c>
      <c r="I301">
        <f>COUNTIF($I$5:$I$293,2)</f>
        <v>83</v>
      </c>
      <c r="J301">
        <f>COUNTIF($J$5:$J$293,2)</f>
        <v>74</v>
      </c>
    </row>
    <row r="302" spans="1:11" x14ac:dyDescent="0.25">
      <c r="A302" t="s">
        <v>321</v>
      </c>
      <c r="B302">
        <f>COUNTIF($B$5:$B$293,3)</f>
        <v>152</v>
      </c>
      <c r="C302">
        <f>COUNTIF($C$5:$C$293,3)</f>
        <v>149</v>
      </c>
      <c r="D302">
        <f>COUNTIF($D$5:$D$293,3)</f>
        <v>154</v>
      </c>
      <c r="E302">
        <f>COUNTIF($E$5:$E$293,3)</f>
        <v>155</v>
      </c>
      <c r="F302">
        <f>COUNTIF($F$5:$F$293,3)</f>
        <v>163</v>
      </c>
      <c r="G302">
        <f>COUNTIF($G$5:$G$293,3)</f>
        <v>157</v>
      </c>
      <c r="H302">
        <f>COUNTIF($H$5:$H$293,3)</f>
        <v>144</v>
      </c>
      <c r="I302">
        <f>COUNTIF($I$5:$I$293,3)</f>
        <v>143</v>
      </c>
      <c r="J302">
        <f>COUNTIF($J$5:$J$293,3)</f>
        <v>147</v>
      </c>
    </row>
    <row r="303" spans="1:11" x14ac:dyDescent="0.25">
      <c r="A303" t="s">
        <v>322</v>
      </c>
      <c r="B303">
        <f>COUNTIF($B$5:$B$293,4)</f>
        <v>58</v>
      </c>
      <c r="C303">
        <f>COUNTIF($C$5:$C$293,4)</f>
        <v>61</v>
      </c>
      <c r="D303">
        <f>COUNTIF($D$5:$D$293,4)</f>
        <v>92</v>
      </c>
      <c r="E303">
        <f>COUNTIF($E$5:$E$293,4)</f>
        <v>67</v>
      </c>
      <c r="F303">
        <f>COUNTIF($F$5:$F$293,4)</f>
        <v>79</v>
      </c>
      <c r="G303">
        <f>COUNTIF($G$5:$G$293,4)</f>
        <v>31</v>
      </c>
      <c r="H303">
        <f>COUNTIF($H$5:$H$293,4)</f>
        <v>63</v>
      </c>
      <c r="I303">
        <f>COUNTIF($I$5:$I$293,4)</f>
        <v>55</v>
      </c>
      <c r="J303">
        <f>COUNTIF($J$5:$J$293,4)</f>
        <v>56</v>
      </c>
    </row>
    <row r="304" spans="1:11" x14ac:dyDescent="0.25">
      <c r="A304" t="s">
        <v>323</v>
      </c>
      <c r="B304">
        <f>COUNTIF($B$5:$B$293,5)</f>
        <v>4</v>
      </c>
      <c r="C304">
        <f>COUNTIF($C$5:$C$293,5)</f>
        <v>7</v>
      </c>
      <c r="D304">
        <f>COUNTIF($D$5:$D$293,5)</f>
        <v>8</v>
      </c>
      <c r="E304">
        <f>COUNTIF($E$5:$E$293,5)</f>
        <v>7</v>
      </c>
      <c r="F304">
        <f>COUNTIF($F$5:$F$293,5)</f>
        <v>10</v>
      </c>
      <c r="G304">
        <f>COUNTIF($G$5:$G$293,5)</f>
        <v>2</v>
      </c>
      <c r="H304">
        <f>COUNTIF($H$5:$H$293,5)</f>
        <v>8</v>
      </c>
      <c r="I304">
        <f>COUNTIF($I$5:$I$293,5)</f>
        <v>4</v>
      </c>
      <c r="J304">
        <f>COUNTIF($J$5:$J$293,5)</f>
        <v>7</v>
      </c>
    </row>
    <row r="305" spans="1:10" x14ac:dyDescent="0.25">
      <c r="A305" t="s">
        <v>4</v>
      </c>
      <c r="B305">
        <f>SUM($B300:$B304)</f>
        <v>289</v>
      </c>
      <c r="C305">
        <f>SUM($C300:$C304)</f>
        <v>289</v>
      </c>
      <c r="D305">
        <f>SUM($D300:$D304)</f>
        <v>289</v>
      </c>
      <c r="E305">
        <f>SUM($E300:$E304)</f>
        <v>289</v>
      </c>
      <c r="F305">
        <f>SUM($F300:$F304)</f>
        <v>289</v>
      </c>
      <c r="G305">
        <f>SUM($G300:$G304)</f>
        <v>289</v>
      </c>
      <c r="H305">
        <f>SUM($H300:$H304)</f>
        <v>289</v>
      </c>
      <c r="I305">
        <f>SUM($I300:$I304)</f>
        <v>289</v>
      </c>
      <c r="J305">
        <f>SUM($J300:$J304)</f>
        <v>289</v>
      </c>
    </row>
    <row r="306" spans="1:10" x14ac:dyDescent="0.25">
      <c r="A306" t="s">
        <v>324</v>
      </c>
      <c r="B306" s="2">
        <f>($B300/$B305)</f>
        <v>1.0380622837370242E-2</v>
      </c>
      <c r="C306" s="2">
        <f>($C300/$C305)</f>
        <v>1.384083044982699E-2</v>
      </c>
      <c r="D306" s="2">
        <f>($D300/$D305)</f>
        <v>6.920415224913495E-3</v>
      </c>
      <c r="E306" s="2">
        <f>($E300/$E305)</f>
        <v>1.7301038062283738E-2</v>
      </c>
      <c r="F306" s="2">
        <f>($F300/$F305)</f>
        <v>6.920415224913495E-3</v>
      </c>
      <c r="G306" s="2">
        <f>($G300/$G305)</f>
        <v>2.0761245674740483E-2</v>
      </c>
      <c r="H306" s="2">
        <f>($H300/$H305)</f>
        <v>1.0380622837370242E-2</v>
      </c>
      <c r="I306" s="2">
        <f>($I300/$I305)</f>
        <v>1.384083044982699E-2</v>
      </c>
      <c r="J306" s="2">
        <f>($J300/$J305)</f>
        <v>1.7301038062283738E-2</v>
      </c>
    </row>
    <row r="307" spans="1:10" x14ac:dyDescent="0.25">
      <c r="A307" t="s">
        <v>325</v>
      </c>
      <c r="B307" s="2">
        <f>($B301/$B305)</f>
        <v>0.2491349480968858</v>
      </c>
      <c r="C307" s="2">
        <f>($C301/$C305)</f>
        <v>0.23529411764705882</v>
      </c>
      <c r="D307" s="2">
        <f>($D301/$D305)</f>
        <v>0.11418685121107267</v>
      </c>
      <c r="E307" s="2">
        <f>($E301/$E305)</f>
        <v>0.19031141868512111</v>
      </c>
      <c r="F307" s="2">
        <f>($F301/$F305)</f>
        <v>0.12110726643598616</v>
      </c>
      <c r="G307" s="2">
        <f>($G301/$G305)</f>
        <v>0.3217993079584775</v>
      </c>
      <c r="H307" s="2">
        <f>($H301/$H305)</f>
        <v>0.24567474048442905</v>
      </c>
      <c r="I307" s="2">
        <f>($I301/$I305)</f>
        <v>0.28719723183391005</v>
      </c>
      <c r="J307" s="2">
        <f>($J301/$J305)</f>
        <v>0.25605536332179929</v>
      </c>
    </row>
    <row r="308" spans="1:10" x14ac:dyDescent="0.25">
      <c r="A308" t="s">
        <v>326</v>
      </c>
      <c r="B308" s="2">
        <f>($B302/$B305)</f>
        <v>0.52595155709342556</v>
      </c>
      <c r="C308" s="2">
        <f>($C302/$C305)</f>
        <v>0.51557093425605538</v>
      </c>
      <c r="D308" s="2">
        <f>($D302/$D305)</f>
        <v>0.53287197231833905</v>
      </c>
      <c r="E308" s="2">
        <f>($E302/$E305)</f>
        <v>0.53633217993079585</v>
      </c>
      <c r="F308" s="2">
        <f>($F302/$F305)</f>
        <v>0.56401384083044981</v>
      </c>
      <c r="G308" s="2">
        <f>($G302/$G305)</f>
        <v>0.54325259515570934</v>
      </c>
      <c r="H308" s="2">
        <f>($H302/$H305)</f>
        <v>0.4982698961937716</v>
      </c>
      <c r="I308" s="2">
        <f>($I302/$I305)</f>
        <v>0.49480968858131485</v>
      </c>
      <c r="J308" s="2">
        <f>($J302/$J305)</f>
        <v>0.50865051903114189</v>
      </c>
    </row>
    <row r="309" spans="1:10" x14ac:dyDescent="0.25">
      <c r="A309" t="s">
        <v>327</v>
      </c>
      <c r="B309" s="2">
        <f>($B303/$B305)</f>
        <v>0.20069204152249134</v>
      </c>
      <c r="C309" s="2">
        <f>($C303/$C305)</f>
        <v>0.21107266435986158</v>
      </c>
      <c r="D309" s="2">
        <f>($D303/$D305)</f>
        <v>0.31833910034602075</v>
      </c>
      <c r="E309" s="2">
        <f>($E303/$E305)</f>
        <v>0.23183391003460208</v>
      </c>
      <c r="F309" s="2">
        <f>($F303/$F305)</f>
        <v>0.27335640138408307</v>
      </c>
      <c r="G309" s="2">
        <f>($G303/$G305)</f>
        <v>0.10726643598615918</v>
      </c>
      <c r="H309" s="2">
        <f>($H303/$H305)</f>
        <v>0.2179930795847751</v>
      </c>
      <c r="I309" s="2">
        <f>($I303/$I305)</f>
        <v>0.19031141868512111</v>
      </c>
      <c r="J309" s="2">
        <f>($J303/$J305)</f>
        <v>0.19377162629757785</v>
      </c>
    </row>
    <row r="310" spans="1:10" x14ac:dyDescent="0.25">
      <c r="A310" t="s">
        <v>328</v>
      </c>
      <c r="B310" s="2">
        <f>($B304/$B305)</f>
        <v>1.384083044982699E-2</v>
      </c>
      <c r="C310" s="2">
        <f>($C304/$C305)</f>
        <v>2.4221453287197232E-2</v>
      </c>
      <c r="D310" s="2">
        <f>($D304/$D305)</f>
        <v>2.768166089965398E-2</v>
      </c>
      <c r="E310" s="2">
        <f>($E304/$E305)</f>
        <v>2.4221453287197232E-2</v>
      </c>
      <c r="F310" s="2">
        <f>($F304/$F305)</f>
        <v>3.4602076124567477E-2</v>
      </c>
      <c r="G310" s="2">
        <f>($G304/$G305)</f>
        <v>6.920415224913495E-3</v>
      </c>
      <c r="H310" s="2">
        <f>($H304/$H305)</f>
        <v>2.768166089965398E-2</v>
      </c>
      <c r="I310" s="2">
        <f>($I304/$I305)</f>
        <v>1.384083044982699E-2</v>
      </c>
      <c r="J310" s="2">
        <f>($J304/$J305)</f>
        <v>2.4221453287197232E-2</v>
      </c>
    </row>
    <row r="311" spans="1:10" x14ac:dyDescent="0.25">
      <c r="A311" t="s">
        <v>329</v>
      </c>
      <c r="B311" s="2">
        <f>SUM($B306:$B310)</f>
        <v>0.99999999999999989</v>
      </c>
      <c r="C311" s="2">
        <f>SUM($C306:$C310)</f>
        <v>1</v>
      </c>
      <c r="D311" s="2">
        <f>SUM($D306:$D310)</f>
        <v>0.99999999999999989</v>
      </c>
      <c r="E311" s="2">
        <f>SUM($E306:$E310)</f>
        <v>1</v>
      </c>
      <c r="F311" s="2">
        <f>SUM($F306:$F310)</f>
        <v>0.99999999999999989</v>
      </c>
      <c r="G311" s="2">
        <f>SUM($G306:$G310)</f>
        <v>1</v>
      </c>
      <c r="H311" s="2">
        <f>SUM($H306:$H310)</f>
        <v>1</v>
      </c>
      <c r="I311" s="2">
        <f>SUM($I306:$I310)</f>
        <v>1</v>
      </c>
      <c r="J311" s="2">
        <f>SUM($J306:$J310)</f>
        <v>1</v>
      </c>
    </row>
  </sheetData>
  <sheetProtection formatCells="0" formatColumns="0" formatRows="0" insertColumns="0" insertRows="0" insertHyperlinks="0" deleteColumns="0" deleteRows="0" sort="0" autoFilter="0" pivotTables="0"/>
  <mergeCells count="3192">
    <mergeCell ref="K290"/>
    <mergeCell ref="K291"/>
    <mergeCell ref="K292"/>
    <mergeCell ref="K293"/>
    <mergeCell ref="K285"/>
    <mergeCell ref="K286"/>
    <mergeCell ref="K287"/>
    <mergeCell ref="K288"/>
    <mergeCell ref="K289"/>
    <mergeCell ref="K280"/>
    <mergeCell ref="K281"/>
    <mergeCell ref="K282"/>
    <mergeCell ref="K283"/>
    <mergeCell ref="K284"/>
    <mergeCell ref="K275"/>
    <mergeCell ref="K276"/>
    <mergeCell ref="K277"/>
    <mergeCell ref="K278"/>
    <mergeCell ref="K279"/>
    <mergeCell ref="K270"/>
    <mergeCell ref="K271"/>
    <mergeCell ref="K272"/>
    <mergeCell ref="K273"/>
    <mergeCell ref="K274"/>
    <mergeCell ref="K265"/>
    <mergeCell ref="K266"/>
    <mergeCell ref="K267"/>
    <mergeCell ref="K268"/>
    <mergeCell ref="K269"/>
    <mergeCell ref="K260"/>
    <mergeCell ref="K261"/>
    <mergeCell ref="K262"/>
    <mergeCell ref="K263"/>
    <mergeCell ref="K264"/>
    <mergeCell ref="K255"/>
    <mergeCell ref="K256"/>
    <mergeCell ref="K257"/>
    <mergeCell ref="K258"/>
    <mergeCell ref="K259"/>
    <mergeCell ref="K250"/>
    <mergeCell ref="K251"/>
    <mergeCell ref="K252"/>
    <mergeCell ref="K253"/>
    <mergeCell ref="K254"/>
    <mergeCell ref="K245"/>
    <mergeCell ref="K246"/>
    <mergeCell ref="K247"/>
    <mergeCell ref="K248"/>
    <mergeCell ref="K249"/>
    <mergeCell ref="K240"/>
    <mergeCell ref="K241"/>
    <mergeCell ref="K242"/>
    <mergeCell ref="K243"/>
    <mergeCell ref="K244"/>
    <mergeCell ref="K235"/>
    <mergeCell ref="K236"/>
    <mergeCell ref="K237"/>
    <mergeCell ref="K238"/>
    <mergeCell ref="K239"/>
    <mergeCell ref="K230"/>
    <mergeCell ref="K231"/>
    <mergeCell ref="K232"/>
    <mergeCell ref="K233"/>
    <mergeCell ref="K234"/>
    <mergeCell ref="K225"/>
    <mergeCell ref="K226"/>
    <mergeCell ref="K227"/>
    <mergeCell ref="K228"/>
    <mergeCell ref="K229"/>
    <mergeCell ref="K220"/>
    <mergeCell ref="K221"/>
    <mergeCell ref="K222"/>
    <mergeCell ref="K223"/>
    <mergeCell ref="K224"/>
    <mergeCell ref="K215"/>
    <mergeCell ref="K216"/>
    <mergeCell ref="K217"/>
    <mergeCell ref="K218"/>
    <mergeCell ref="K219"/>
    <mergeCell ref="K210"/>
    <mergeCell ref="K211"/>
    <mergeCell ref="K212"/>
    <mergeCell ref="K213"/>
    <mergeCell ref="K214"/>
    <mergeCell ref="K205"/>
    <mergeCell ref="K206"/>
    <mergeCell ref="K207"/>
    <mergeCell ref="K208"/>
    <mergeCell ref="K209"/>
    <mergeCell ref="K200"/>
    <mergeCell ref="K201"/>
    <mergeCell ref="K202"/>
    <mergeCell ref="K203"/>
    <mergeCell ref="K204"/>
    <mergeCell ref="K195"/>
    <mergeCell ref="K196"/>
    <mergeCell ref="K197"/>
    <mergeCell ref="K198"/>
    <mergeCell ref="K199"/>
    <mergeCell ref="K190"/>
    <mergeCell ref="K191"/>
    <mergeCell ref="K192"/>
    <mergeCell ref="K193"/>
    <mergeCell ref="K194"/>
    <mergeCell ref="K185"/>
    <mergeCell ref="K186"/>
    <mergeCell ref="K187"/>
    <mergeCell ref="K188"/>
    <mergeCell ref="K189"/>
    <mergeCell ref="K180"/>
    <mergeCell ref="K181"/>
    <mergeCell ref="K182"/>
    <mergeCell ref="K183"/>
    <mergeCell ref="K184"/>
    <mergeCell ref="K175"/>
    <mergeCell ref="K176"/>
    <mergeCell ref="K177"/>
    <mergeCell ref="K178"/>
    <mergeCell ref="K179"/>
    <mergeCell ref="K170"/>
    <mergeCell ref="K171"/>
    <mergeCell ref="K172"/>
    <mergeCell ref="K173"/>
    <mergeCell ref="K174"/>
    <mergeCell ref="K165"/>
    <mergeCell ref="K166"/>
    <mergeCell ref="K167"/>
    <mergeCell ref="K168"/>
    <mergeCell ref="K169"/>
    <mergeCell ref="K160"/>
    <mergeCell ref="K161"/>
    <mergeCell ref="K162"/>
    <mergeCell ref="K163"/>
    <mergeCell ref="K164"/>
    <mergeCell ref="K155"/>
    <mergeCell ref="K156"/>
    <mergeCell ref="K157"/>
    <mergeCell ref="K158"/>
    <mergeCell ref="K159"/>
    <mergeCell ref="K150"/>
    <mergeCell ref="K151"/>
    <mergeCell ref="K152"/>
    <mergeCell ref="K153"/>
    <mergeCell ref="K154"/>
    <mergeCell ref="K145"/>
    <mergeCell ref="K146"/>
    <mergeCell ref="K147"/>
    <mergeCell ref="K148"/>
    <mergeCell ref="K149"/>
    <mergeCell ref="K140"/>
    <mergeCell ref="K141"/>
    <mergeCell ref="K142"/>
    <mergeCell ref="K143"/>
    <mergeCell ref="K144"/>
    <mergeCell ref="K135"/>
    <mergeCell ref="K136"/>
    <mergeCell ref="K137"/>
    <mergeCell ref="K138"/>
    <mergeCell ref="K139"/>
    <mergeCell ref="K130"/>
    <mergeCell ref="K131"/>
    <mergeCell ref="K132"/>
    <mergeCell ref="K133"/>
    <mergeCell ref="K134"/>
    <mergeCell ref="K125"/>
    <mergeCell ref="K126"/>
    <mergeCell ref="K127"/>
    <mergeCell ref="K128"/>
    <mergeCell ref="K129"/>
    <mergeCell ref="K120"/>
    <mergeCell ref="K121"/>
    <mergeCell ref="K122"/>
    <mergeCell ref="K123"/>
    <mergeCell ref="K124"/>
    <mergeCell ref="K115"/>
    <mergeCell ref="K116"/>
    <mergeCell ref="K117"/>
    <mergeCell ref="K118"/>
    <mergeCell ref="K119"/>
    <mergeCell ref="K110"/>
    <mergeCell ref="K111"/>
    <mergeCell ref="K112"/>
    <mergeCell ref="K113"/>
    <mergeCell ref="K114"/>
    <mergeCell ref="K105"/>
    <mergeCell ref="K106"/>
    <mergeCell ref="K107"/>
    <mergeCell ref="K108"/>
    <mergeCell ref="K109"/>
    <mergeCell ref="K100"/>
    <mergeCell ref="K101"/>
    <mergeCell ref="K102"/>
    <mergeCell ref="K103"/>
    <mergeCell ref="K104"/>
    <mergeCell ref="K95"/>
    <mergeCell ref="K96"/>
    <mergeCell ref="K97"/>
    <mergeCell ref="K98"/>
    <mergeCell ref="K99"/>
    <mergeCell ref="K90"/>
    <mergeCell ref="K91"/>
    <mergeCell ref="K92"/>
    <mergeCell ref="K93"/>
    <mergeCell ref="K94"/>
    <mergeCell ref="K85"/>
    <mergeCell ref="K86"/>
    <mergeCell ref="K87"/>
    <mergeCell ref="K88"/>
    <mergeCell ref="K89"/>
    <mergeCell ref="K80"/>
    <mergeCell ref="K81"/>
    <mergeCell ref="K82"/>
    <mergeCell ref="K83"/>
    <mergeCell ref="K84"/>
    <mergeCell ref="K75"/>
    <mergeCell ref="K76"/>
    <mergeCell ref="K77"/>
    <mergeCell ref="K78"/>
    <mergeCell ref="K79"/>
    <mergeCell ref="K70"/>
    <mergeCell ref="K71"/>
    <mergeCell ref="K72"/>
    <mergeCell ref="K73"/>
    <mergeCell ref="K74"/>
    <mergeCell ref="K65"/>
    <mergeCell ref="K66"/>
    <mergeCell ref="K67"/>
    <mergeCell ref="K68"/>
    <mergeCell ref="K69"/>
    <mergeCell ref="K60"/>
    <mergeCell ref="K61"/>
    <mergeCell ref="K62"/>
    <mergeCell ref="K63"/>
    <mergeCell ref="K64"/>
    <mergeCell ref="K55"/>
    <mergeCell ref="K56"/>
    <mergeCell ref="K57"/>
    <mergeCell ref="K58"/>
    <mergeCell ref="K59"/>
    <mergeCell ref="K50"/>
    <mergeCell ref="K51"/>
    <mergeCell ref="K52"/>
    <mergeCell ref="K53"/>
    <mergeCell ref="K54"/>
    <mergeCell ref="K45"/>
    <mergeCell ref="K46"/>
    <mergeCell ref="K47"/>
    <mergeCell ref="K48"/>
    <mergeCell ref="K49"/>
    <mergeCell ref="K40"/>
    <mergeCell ref="K41"/>
    <mergeCell ref="K42"/>
    <mergeCell ref="K43"/>
    <mergeCell ref="K44"/>
    <mergeCell ref="K35"/>
    <mergeCell ref="K36"/>
    <mergeCell ref="K37"/>
    <mergeCell ref="K38"/>
    <mergeCell ref="K39"/>
    <mergeCell ref="K30"/>
    <mergeCell ref="K31"/>
    <mergeCell ref="K32"/>
    <mergeCell ref="K33"/>
    <mergeCell ref="K34"/>
    <mergeCell ref="K25"/>
    <mergeCell ref="K26"/>
    <mergeCell ref="K27"/>
    <mergeCell ref="K28"/>
    <mergeCell ref="K29"/>
    <mergeCell ref="K20"/>
    <mergeCell ref="K21"/>
    <mergeCell ref="K22"/>
    <mergeCell ref="K23"/>
    <mergeCell ref="K24"/>
    <mergeCell ref="K15"/>
    <mergeCell ref="K16"/>
    <mergeCell ref="K17"/>
    <mergeCell ref="K18"/>
    <mergeCell ref="K19"/>
    <mergeCell ref="K10"/>
    <mergeCell ref="K11"/>
    <mergeCell ref="K12"/>
    <mergeCell ref="K13"/>
    <mergeCell ref="K14"/>
    <mergeCell ref="K5"/>
    <mergeCell ref="K6"/>
    <mergeCell ref="K7"/>
    <mergeCell ref="K8"/>
    <mergeCell ref="K9"/>
    <mergeCell ref="F293"/>
    <mergeCell ref="G293"/>
    <mergeCell ref="H293"/>
    <mergeCell ref="I293"/>
    <mergeCell ref="J293"/>
    <mergeCell ref="A293"/>
    <mergeCell ref="B293"/>
    <mergeCell ref="C293"/>
    <mergeCell ref="D293"/>
    <mergeCell ref="E293"/>
    <mergeCell ref="F292"/>
    <mergeCell ref="G292"/>
    <mergeCell ref="H292"/>
    <mergeCell ref="I292"/>
    <mergeCell ref="J292"/>
    <mergeCell ref="A292"/>
    <mergeCell ref="B292"/>
    <mergeCell ref="C292"/>
    <mergeCell ref="D292"/>
    <mergeCell ref="E292"/>
    <mergeCell ref="F291"/>
    <mergeCell ref="G291"/>
    <mergeCell ref="H291"/>
    <mergeCell ref="I291"/>
    <mergeCell ref="J291"/>
    <mergeCell ref="A291"/>
    <mergeCell ref="B291"/>
    <mergeCell ref="C291"/>
    <mergeCell ref="D291"/>
    <mergeCell ref="E291"/>
    <mergeCell ref="F290"/>
    <mergeCell ref="G290"/>
    <mergeCell ref="H290"/>
    <mergeCell ref="I290"/>
    <mergeCell ref="J290"/>
    <mergeCell ref="A290"/>
    <mergeCell ref="B290"/>
    <mergeCell ref="C290"/>
    <mergeCell ref="D290"/>
    <mergeCell ref="E290"/>
    <mergeCell ref="F289"/>
    <mergeCell ref="G289"/>
    <mergeCell ref="H289"/>
    <mergeCell ref="I289"/>
    <mergeCell ref="J289"/>
    <mergeCell ref="A289"/>
    <mergeCell ref="B289"/>
    <mergeCell ref="C289"/>
    <mergeCell ref="D289"/>
    <mergeCell ref="E289"/>
    <mergeCell ref="F288"/>
    <mergeCell ref="G288"/>
    <mergeCell ref="H288"/>
    <mergeCell ref="I288"/>
    <mergeCell ref="J288"/>
    <mergeCell ref="A288"/>
    <mergeCell ref="B288"/>
    <mergeCell ref="C288"/>
    <mergeCell ref="D288"/>
    <mergeCell ref="E288"/>
    <mergeCell ref="F287"/>
    <mergeCell ref="G287"/>
    <mergeCell ref="H287"/>
    <mergeCell ref="I287"/>
    <mergeCell ref="J287"/>
    <mergeCell ref="A287"/>
    <mergeCell ref="B287"/>
    <mergeCell ref="C287"/>
    <mergeCell ref="D287"/>
    <mergeCell ref="E287"/>
    <mergeCell ref="F286"/>
    <mergeCell ref="G286"/>
    <mergeCell ref="H286"/>
    <mergeCell ref="I286"/>
    <mergeCell ref="J286"/>
    <mergeCell ref="A286"/>
    <mergeCell ref="B286"/>
    <mergeCell ref="C286"/>
    <mergeCell ref="D286"/>
    <mergeCell ref="E286"/>
    <mergeCell ref="F285"/>
    <mergeCell ref="G285"/>
    <mergeCell ref="H285"/>
    <mergeCell ref="I285"/>
    <mergeCell ref="J285"/>
    <mergeCell ref="A285"/>
    <mergeCell ref="B285"/>
    <mergeCell ref="C285"/>
    <mergeCell ref="D285"/>
    <mergeCell ref="E285"/>
    <mergeCell ref="F284"/>
    <mergeCell ref="G284"/>
    <mergeCell ref="H284"/>
    <mergeCell ref="I284"/>
    <mergeCell ref="J284"/>
    <mergeCell ref="A284"/>
    <mergeCell ref="B284"/>
    <mergeCell ref="C284"/>
    <mergeCell ref="D284"/>
    <mergeCell ref="E284"/>
    <mergeCell ref="F283"/>
    <mergeCell ref="G283"/>
    <mergeCell ref="H283"/>
    <mergeCell ref="I283"/>
    <mergeCell ref="J283"/>
    <mergeCell ref="A283"/>
    <mergeCell ref="B283"/>
    <mergeCell ref="C283"/>
    <mergeCell ref="D283"/>
    <mergeCell ref="E283"/>
    <mergeCell ref="F282"/>
    <mergeCell ref="G282"/>
    <mergeCell ref="H282"/>
    <mergeCell ref="I282"/>
    <mergeCell ref="J282"/>
    <mergeCell ref="A282"/>
    <mergeCell ref="B282"/>
    <mergeCell ref="C282"/>
    <mergeCell ref="D282"/>
    <mergeCell ref="E282"/>
    <mergeCell ref="F281"/>
    <mergeCell ref="G281"/>
    <mergeCell ref="H281"/>
    <mergeCell ref="I281"/>
    <mergeCell ref="J281"/>
    <mergeCell ref="A281"/>
    <mergeCell ref="B281"/>
    <mergeCell ref="C281"/>
    <mergeCell ref="D281"/>
    <mergeCell ref="E281"/>
    <mergeCell ref="F280"/>
    <mergeCell ref="G280"/>
    <mergeCell ref="H280"/>
    <mergeCell ref="I280"/>
    <mergeCell ref="J280"/>
    <mergeCell ref="A280"/>
    <mergeCell ref="B280"/>
    <mergeCell ref="C280"/>
    <mergeCell ref="D280"/>
    <mergeCell ref="E280"/>
    <mergeCell ref="F279"/>
    <mergeCell ref="G279"/>
    <mergeCell ref="H279"/>
    <mergeCell ref="I279"/>
    <mergeCell ref="J279"/>
    <mergeCell ref="A279"/>
    <mergeCell ref="B279"/>
    <mergeCell ref="C279"/>
    <mergeCell ref="D279"/>
    <mergeCell ref="E279"/>
    <mergeCell ref="F278"/>
    <mergeCell ref="G278"/>
    <mergeCell ref="H278"/>
    <mergeCell ref="I278"/>
    <mergeCell ref="J278"/>
    <mergeCell ref="A278"/>
    <mergeCell ref="B278"/>
    <mergeCell ref="C278"/>
    <mergeCell ref="D278"/>
    <mergeCell ref="E278"/>
    <mergeCell ref="F277"/>
    <mergeCell ref="G277"/>
    <mergeCell ref="H277"/>
    <mergeCell ref="I277"/>
    <mergeCell ref="J277"/>
    <mergeCell ref="A277"/>
    <mergeCell ref="B277"/>
    <mergeCell ref="C277"/>
    <mergeCell ref="D277"/>
    <mergeCell ref="E277"/>
    <mergeCell ref="F276"/>
    <mergeCell ref="G276"/>
    <mergeCell ref="H276"/>
    <mergeCell ref="I276"/>
    <mergeCell ref="J276"/>
    <mergeCell ref="A276"/>
    <mergeCell ref="B276"/>
    <mergeCell ref="C276"/>
    <mergeCell ref="D276"/>
    <mergeCell ref="E276"/>
    <mergeCell ref="F275"/>
    <mergeCell ref="G275"/>
    <mergeCell ref="H275"/>
    <mergeCell ref="I275"/>
    <mergeCell ref="J275"/>
    <mergeCell ref="A275"/>
    <mergeCell ref="B275"/>
    <mergeCell ref="C275"/>
    <mergeCell ref="D275"/>
    <mergeCell ref="E275"/>
    <mergeCell ref="F274"/>
    <mergeCell ref="G274"/>
    <mergeCell ref="H274"/>
    <mergeCell ref="I274"/>
    <mergeCell ref="J274"/>
    <mergeCell ref="A274"/>
    <mergeCell ref="B274"/>
    <mergeCell ref="C274"/>
    <mergeCell ref="D274"/>
    <mergeCell ref="E274"/>
    <mergeCell ref="F273"/>
    <mergeCell ref="G273"/>
    <mergeCell ref="H273"/>
    <mergeCell ref="I273"/>
    <mergeCell ref="J273"/>
    <mergeCell ref="A273"/>
    <mergeCell ref="B273"/>
    <mergeCell ref="C273"/>
    <mergeCell ref="D273"/>
    <mergeCell ref="E273"/>
    <mergeCell ref="F272"/>
    <mergeCell ref="G272"/>
    <mergeCell ref="H272"/>
    <mergeCell ref="I272"/>
    <mergeCell ref="J272"/>
    <mergeCell ref="A272"/>
    <mergeCell ref="B272"/>
    <mergeCell ref="C272"/>
    <mergeCell ref="D272"/>
    <mergeCell ref="E272"/>
    <mergeCell ref="F271"/>
    <mergeCell ref="G271"/>
    <mergeCell ref="H271"/>
    <mergeCell ref="I271"/>
    <mergeCell ref="J271"/>
    <mergeCell ref="A271"/>
    <mergeCell ref="B271"/>
    <mergeCell ref="C271"/>
    <mergeCell ref="D271"/>
    <mergeCell ref="E271"/>
    <mergeCell ref="F270"/>
    <mergeCell ref="G270"/>
    <mergeCell ref="H270"/>
    <mergeCell ref="I270"/>
    <mergeCell ref="J270"/>
    <mergeCell ref="A270"/>
    <mergeCell ref="B270"/>
    <mergeCell ref="C270"/>
    <mergeCell ref="D270"/>
    <mergeCell ref="E270"/>
    <mergeCell ref="F269"/>
    <mergeCell ref="G269"/>
    <mergeCell ref="H269"/>
    <mergeCell ref="I269"/>
    <mergeCell ref="J269"/>
    <mergeCell ref="A269"/>
    <mergeCell ref="B269"/>
    <mergeCell ref="C269"/>
    <mergeCell ref="D269"/>
    <mergeCell ref="E269"/>
    <mergeCell ref="F268"/>
    <mergeCell ref="G268"/>
    <mergeCell ref="H268"/>
    <mergeCell ref="I268"/>
    <mergeCell ref="J268"/>
    <mergeCell ref="A268"/>
    <mergeCell ref="B268"/>
    <mergeCell ref="C268"/>
    <mergeCell ref="D268"/>
    <mergeCell ref="E268"/>
    <mergeCell ref="F267"/>
    <mergeCell ref="G267"/>
    <mergeCell ref="H267"/>
    <mergeCell ref="I267"/>
    <mergeCell ref="J267"/>
    <mergeCell ref="A267"/>
    <mergeCell ref="B267"/>
    <mergeCell ref="C267"/>
    <mergeCell ref="D267"/>
    <mergeCell ref="E267"/>
    <mergeCell ref="F266"/>
    <mergeCell ref="G266"/>
    <mergeCell ref="H266"/>
    <mergeCell ref="I266"/>
    <mergeCell ref="J266"/>
    <mergeCell ref="A266"/>
    <mergeCell ref="B266"/>
    <mergeCell ref="C266"/>
    <mergeCell ref="D266"/>
    <mergeCell ref="E266"/>
    <mergeCell ref="F265"/>
    <mergeCell ref="G265"/>
    <mergeCell ref="H265"/>
    <mergeCell ref="I265"/>
    <mergeCell ref="J265"/>
    <mergeCell ref="A265"/>
    <mergeCell ref="B265"/>
    <mergeCell ref="C265"/>
    <mergeCell ref="D265"/>
    <mergeCell ref="E265"/>
    <mergeCell ref="F264"/>
    <mergeCell ref="G264"/>
    <mergeCell ref="H264"/>
    <mergeCell ref="I264"/>
    <mergeCell ref="J264"/>
    <mergeCell ref="A264"/>
    <mergeCell ref="B264"/>
    <mergeCell ref="C264"/>
    <mergeCell ref="D264"/>
    <mergeCell ref="E264"/>
    <mergeCell ref="F263"/>
    <mergeCell ref="G263"/>
    <mergeCell ref="H263"/>
    <mergeCell ref="I263"/>
    <mergeCell ref="J263"/>
    <mergeCell ref="A263"/>
    <mergeCell ref="B263"/>
    <mergeCell ref="C263"/>
    <mergeCell ref="D263"/>
    <mergeCell ref="E263"/>
    <mergeCell ref="F262"/>
    <mergeCell ref="G262"/>
    <mergeCell ref="H262"/>
    <mergeCell ref="I262"/>
    <mergeCell ref="J262"/>
    <mergeCell ref="A262"/>
    <mergeCell ref="B262"/>
    <mergeCell ref="C262"/>
    <mergeCell ref="D262"/>
    <mergeCell ref="E262"/>
    <mergeCell ref="F261"/>
    <mergeCell ref="G261"/>
    <mergeCell ref="H261"/>
    <mergeCell ref="I261"/>
    <mergeCell ref="J261"/>
    <mergeCell ref="A261"/>
    <mergeCell ref="B261"/>
    <mergeCell ref="C261"/>
    <mergeCell ref="D261"/>
    <mergeCell ref="E261"/>
    <mergeCell ref="F260"/>
    <mergeCell ref="G260"/>
    <mergeCell ref="H260"/>
    <mergeCell ref="I260"/>
    <mergeCell ref="J260"/>
    <mergeCell ref="A260"/>
    <mergeCell ref="B260"/>
    <mergeCell ref="C260"/>
    <mergeCell ref="D260"/>
    <mergeCell ref="E260"/>
    <mergeCell ref="F259"/>
    <mergeCell ref="G259"/>
    <mergeCell ref="H259"/>
    <mergeCell ref="I259"/>
    <mergeCell ref="J259"/>
    <mergeCell ref="A259"/>
    <mergeCell ref="B259"/>
    <mergeCell ref="C259"/>
    <mergeCell ref="D259"/>
    <mergeCell ref="E259"/>
    <mergeCell ref="F258"/>
    <mergeCell ref="G258"/>
    <mergeCell ref="H258"/>
    <mergeCell ref="I258"/>
    <mergeCell ref="J258"/>
    <mergeCell ref="A258"/>
    <mergeCell ref="B258"/>
    <mergeCell ref="C258"/>
    <mergeCell ref="D258"/>
    <mergeCell ref="E258"/>
    <mergeCell ref="F257"/>
    <mergeCell ref="G257"/>
    <mergeCell ref="H257"/>
    <mergeCell ref="I257"/>
    <mergeCell ref="J257"/>
    <mergeCell ref="A257"/>
    <mergeCell ref="B257"/>
    <mergeCell ref="C257"/>
    <mergeCell ref="D257"/>
    <mergeCell ref="E257"/>
    <mergeCell ref="F256"/>
    <mergeCell ref="G256"/>
    <mergeCell ref="H256"/>
    <mergeCell ref="I256"/>
    <mergeCell ref="J256"/>
    <mergeCell ref="A256"/>
    <mergeCell ref="B256"/>
    <mergeCell ref="C256"/>
    <mergeCell ref="D256"/>
    <mergeCell ref="E256"/>
    <mergeCell ref="F255"/>
    <mergeCell ref="G255"/>
    <mergeCell ref="H255"/>
    <mergeCell ref="I255"/>
    <mergeCell ref="J255"/>
    <mergeCell ref="A255"/>
    <mergeCell ref="B255"/>
    <mergeCell ref="C255"/>
    <mergeCell ref="D255"/>
    <mergeCell ref="E255"/>
    <mergeCell ref="F254"/>
    <mergeCell ref="G254"/>
    <mergeCell ref="H254"/>
    <mergeCell ref="I254"/>
    <mergeCell ref="J254"/>
    <mergeCell ref="A254"/>
    <mergeCell ref="B254"/>
    <mergeCell ref="C254"/>
    <mergeCell ref="D254"/>
    <mergeCell ref="E254"/>
    <mergeCell ref="F253"/>
    <mergeCell ref="G253"/>
    <mergeCell ref="H253"/>
    <mergeCell ref="I253"/>
    <mergeCell ref="J253"/>
    <mergeCell ref="A253"/>
    <mergeCell ref="B253"/>
    <mergeCell ref="C253"/>
    <mergeCell ref="D253"/>
    <mergeCell ref="E253"/>
    <mergeCell ref="F252"/>
    <mergeCell ref="G252"/>
    <mergeCell ref="H252"/>
    <mergeCell ref="I252"/>
    <mergeCell ref="J252"/>
    <mergeCell ref="A252"/>
    <mergeCell ref="B252"/>
    <mergeCell ref="C252"/>
    <mergeCell ref="D252"/>
    <mergeCell ref="E252"/>
    <mergeCell ref="F251"/>
    <mergeCell ref="G251"/>
    <mergeCell ref="H251"/>
    <mergeCell ref="I251"/>
    <mergeCell ref="J251"/>
    <mergeCell ref="A251"/>
    <mergeCell ref="B251"/>
    <mergeCell ref="C251"/>
    <mergeCell ref="D251"/>
    <mergeCell ref="E251"/>
    <mergeCell ref="F250"/>
    <mergeCell ref="G250"/>
    <mergeCell ref="H250"/>
    <mergeCell ref="I250"/>
    <mergeCell ref="J250"/>
    <mergeCell ref="A250"/>
    <mergeCell ref="B250"/>
    <mergeCell ref="C250"/>
    <mergeCell ref="D250"/>
    <mergeCell ref="E250"/>
    <mergeCell ref="F249"/>
    <mergeCell ref="G249"/>
    <mergeCell ref="H249"/>
    <mergeCell ref="I249"/>
    <mergeCell ref="J249"/>
    <mergeCell ref="A249"/>
    <mergeCell ref="B249"/>
    <mergeCell ref="C249"/>
    <mergeCell ref="D249"/>
    <mergeCell ref="E249"/>
    <mergeCell ref="F248"/>
    <mergeCell ref="G248"/>
    <mergeCell ref="H248"/>
    <mergeCell ref="I248"/>
    <mergeCell ref="J248"/>
    <mergeCell ref="A248"/>
    <mergeCell ref="B248"/>
    <mergeCell ref="C248"/>
    <mergeCell ref="D248"/>
    <mergeCell ref="E248"/>
    <mergeCell ref="F247"/>
    <mergeCell ref="G247"/>
    <mergeCell ref="H247"/>
    <mergeCell ref="I247"/>
    <mergeCell ref="J247"/>
    <mergeCell ref="A247"/>
    <mergeCell ref="B247"/>
    <mergeCell ref="C247"/>
    <mergeCell ref="D247"/>
    <mergeCell ref="E247"/>
    <mergeCell ref="F246"/>
    <mergeCell ref="G246"/>
    <mergeCell ref="H246"/>
    <mergeCell ref="I246"/>
    <mergeCell ref="J246"/>
    <mergeCell ref="A246"/>
    <mergeCell ref="B246"/>
    <mergeCell ref="C246"/>
    <mergeCell ref="D246"/>
    <mergeCell ref="E246"/>
    <mergeCell ref="F245"/>
    <mergeCell ref="G245"/>
    <mergeCell ref="H245"/>
    <mergeCell ref="I245"/>
    <mergeCell ref="J245"/>
    <mergeCell ref="A245"/>
    <mergeCell ref="B245"/>
    <mergeCell ref="C245"/>
    <mergeCell ref="D245"/>
    <mergeCell ref="E245"/>
    <mergeCell ref="F244"/>
    <mergeCell ref="G244"/>
    <mergeCell ref="H244"/>
    <mergeCell ref="I244"/>
    <mergeCell ref="J244"/>
    <mergeCell ref="A244"/>
    <mergeCell ref="B244"/>
    <mergeCell ref="C244"/>
    <mergeCell ref="D244"/>
    <mergeCell ref="E244"/>
    <mergeCell ref="F243"/>
    <mergeCell ref="G243"/>
    <mergeCell ref="H243"/>
    <mergeCell ref="I243"/>
    <mergeCell ref="J243"/>
    <mergeCell ref="A243"/>
    <mergeCell ref="B243"/>
    <mergeCell ref="C243"/>
    <mergeCell ref="D243"/>
    <mergeCell ref="E243"/>
    <mergeCell ref="F242"/>
    <mergeCell ref="G242"/>
    <mergeCell ref="H242"/>
    <mergeCell ref="I242"/>
    <mergeCell ref="J242"/>
    <mergeCell ref="A242"/>
    <mergeCell ref="B242"/>
    <mergeCell ref="C242"/>
    <mergeCell ref="D242"/>
    <mergeCell ref="E242"/>
    <mergeCell ref="F241"/>
    <mergeCell ref="G241"/>
    <mergeCell ref="H241"/>
    <mergeCell ref="I241"/>
    <mergeCell ref="J241"/>
    <mergeCell ref="A241"/>
    <mergeCell ref="B241"/>
    <mergeCell ref="C241"/>
    <mergeCell ref="D241"/>
    <mergeCell ref="E241"/>
    <mergeCell ref="F240"/>
    <mergeCell ref="G240"/>
    <mergeCell ref="H240"/>
    <mergeCell ref="I240"/>
    <mergeCell ref="J240"/>
    <mergeCell ref="A240"/>
    <mergeCell ref="B240"/>
    <mergeCell ref="C240"/>
    <mergeCell ref="D240"/>
    <mergeCell ref="E240"/>
    <mergeCell ref="F239"/>
    <mergeCell ref="G239"/>
    <mergeCell ref="H239"/>
    <mergeCell ref="I239"/>
    <mergeCell ref="J239"/>
    <mergeCell ref="A239"/>
    <mergeCell ref="B239"/>
    <mergeCell ref="C239"/>
    <mergeCell ref="D239"/>
    <mergeCell ref="E239"/>
    <mergeCell ref="F238"/>
    <mergeCell ref="G238"/>
    <mergeCell ref="H238"/>
    <mergeCell ref="I238"/>
    <mergeCell ref="J238"/>
    <mergeCell ref="A238"/>
    <mergeCell ref="B238"/>
    <mergeCell ref="C238"/>
    <mergeCell ref="D238"/>
    <mergeCell ref="E238"/>
    <mergeCell ref="F237"/>
    <mergeCell ref="G237"/>
    <mergeCell ref="H237"/>
    <mergeCell ref="I237"/>
    <mergeCell ref="J237"/>
    <mergeCell ref="A237"/>
    <mergeCell ref="B237"/>
    <mergeCell ref="C237"/>
    <mergeCell ref="D237"/>
    <mergeCell ref="E237"/>
    <mergeCell ref="F236"/>
    <mergeCell ref="G236"/>
    <mergeCell ref="H236"/>
    <mergeCell ref="I236"/>
    <mergeCell ref="J236"/>
    <mergeCell ref="A236"/>
    <mergeCell ref="B236"/>
    <mergeCell ref="C236"/>
    <mergeCell ref="D236"/>
    <mergeCell ref="E236"/>
    <mergeCell ref="F235"/>
    <mergeCell ref="G235"/>
    <mergeCell ref="H235"/>
    <mergeCell ref="I235"/>
    <mergeCell ref="J235"/>
    <mergeCell ref="A235"/>
    <mergeCell ref="B235"/>
    <mergeCell ref="C235"/>
    <mergeCell ref="D235"/>
    <mergeCell ref="E235"/>
    <mergeCell ref="F234"/>
    <mergeCell ref="G234"/>
    <mergeCell ref="H234"/>
    <mergeCell ref="I234"/>
    <mergeCell ref="J234"/>
    <mergeCell ref="A234"/>
    <mergeCell ref="B234"/>
    <mergeCell ref="C234"/>
    <mergeCell ref="D234"/>
    <mergeCell ref="E234"/>
    <mergeCell ref="F233"/>
    <mergeCell ref="G233"/>
    <mergeCell ref="H233"/>
    <mergeCell ref="I233"/>
    <mergeCell ref="J233"/>
    <mergeCell ref="A233"/>
    <mergeCell ref="B233"/>
    <mergeCell ref="C233"/>
    <mergeCell ref="D233"/>
    <mergeCell ref="E233"/>
    <mergeCell ref="F232"/>
    <mergeCell ref="G232"/>
    <mergeCell ref="H232"/>
    <mergeCell ref="I232"/>
    <mergeCell ref="J232"/>
    <mergeCell ref="A232"/>
    <mergeCell ref="B232"/>
    <mergeCell ref="C232"/>
    <mergeCell ref="D232"/>
    <mergeCell ref="E232"/>
    <mergeCell ref="F231"/>
    <mergeCell ref="G231"/>
    <mergeCell ref="H231"/>
    <mergeCell ref="I231"/>
    <mergeCell ref="J231"/>
    <mergeCell ref="A231"/>
    <mergeCell ref="B231"/>
    <mergeCell ref="C231"/>
    <mergeCell ref="D231"/>
    <mergeCell ref="E231"/>
    <mergeCell ref="F230"/>
    <mergeCell ref="G230"/>
    <mergeCell ref="H230"/>
    <mergeCell ref="I230"/>
    <mergeCell ref="J230"/>
    <mergeCell ref="A230"/>
    <mergeCell ref="B230"/>
    <mergeCell ref="C230"/>
    <mergeCell ref="D230"/>
    <mergeCell ref="E230"/>
    <mergeCell ref="F229"/>
    <mergeCell ref="G229"/>
    <mergeCell ref="H229"/>
    <mergeCell ref="I229"/>
    <mergeCell ref="J229"/>
    <mergeCell ref="A229"/>
    <mergeCell ref="B229"/>
    <mergeCell ref="C229"/>
    <mergeCell ref="D229"/>
    <mergeCell ref="E229"/>
    <mergeCell ref="F228"/>
    <mergeCell ref="G228"/>
    <mergeCell ref="H228"/>
    <mergeCell ref="I228"/>
    <mergeCell ref="J228"/>
    <mergeCell ref="A228"/>
    <mergeCell ref="B228"/>
    <mergeCell ref="C228"/>
    <mergeCell ref="D228"/>
    <mergeCell ref="E228"/>
    <mergeCell ref="F227"/>
    <mergeCell ref="G227"/>
    <mergeCell ref="H227"/>
    <mergeCell ref="I227"/>
    <mergeCell ref="J227"/>
    <mergeCell ref="A227"/>
    <mergeCell ref="B227"/>
    <mergeCell ref="C227"/>
    <mergeCell ref="D227"/>
    <mergeCell ref="E227"/>
    <mergeCell ref="F226"/>
    <mergeCell ref="G226"/>
    <mergeCell ref="H226"/>
    <mergeCell ref="I226"/>
    <mergeCell ref="J226"/>
    <mergeCell ref="A226"/>
    <mergeCell ref="B226"/>
    <mergeCell ref="C226"/>
    <mergeCell ref="D226"/>
    <mergeCell ref="E226"/>
    <mergeCell ref="F225"/>
    <mergeCell ref="G225"/>
    <mergeCell ref="H225"/>
    <mergeCell ref="I225"/>
    <mergeCell ref="J225"/>
    <mergeCell ref="A225"/>
    <mergeCell ref="B225"/>
    <mergeCell ref="C225"/>
    <mergeCell ref="D225"/>
    <mergeCell ref="E225"/>
    <mergeCell ref="F224"/>
    <mergeCell ref="G224"/>
    <mergeCell ref="H224"/>
    <mergeCell ref="I224"/>
    <mergeCell ref="J224"/>
    <mergeCell ref="A224"/>
    <mergeCell ref="B224"/>
    <mergeCell ref="C224"/>
    <mergeCell ref="D224"/>
    <mergeCell ref="E224"/>
    <mergeCell ref="F223"/>
    <mergeCell ref="G223"/>
    <mergeCell ref="H223"/>
    <mergeCell ref="I223"/>
    <mergeCell ref="J223"/>
    <mergeCell ref="A223"/>
    <mergeCell ref="B223"/>
    <mergeCell ref="C223"/>
    <mergeCell ref="D223"/>
    <mergeCell ref="E223"/>
    <mergeCell ref="F222"/>
    <mergeCell ref="G222"/>
    <mergeCell ref="H222"/>
    <mergeCell ref="I222"/>
    <mergeCell ref="J222"/>
    <mergeCell ref="A222"/>
    <mergeCell ref="B222"/>
    <mergeCell ref="C222"/>
    <mergeCell ref="D222"/>
    <mergeCell ref="E222"/>
    <mergeCell ref="F221"/>
    <mergeCell ref="G221"/>
    <mergeCell ref="H221"/>
    <mergeCell ref="I221"/>
    <mergeCell ref="J221"/>
    <mergeCell ref="A221"/>
    <mergeCell ref="B221"/>
    <mergeCell ref="C221"/>
    <mergeCell ref="D221"/>
    <mergeCell ref="E221"/>
    <mergeCell ref="F220"/>
    <mergeCell ref="G220"/>
    <mergeCell ref="H220"/>
    <mergeCell ref="I220"/>
    <mergeCell ref="J220"/>
    <mergeCell ref="A220"/>
    <mergeCell ref="B220"/>
    <mergeCell ref="C220"/>
    <mergeCell ref="D220"/>
    <mergeCell ref="E220"/>
    <mergeCell ref="F219"/>
    <mergeCell ref="G219"/>
    <mergeCell ref="H219"/>
    <mergeCell ref="I219"/>
    <mergeCell ref="J219"/>
    <mergeCell ref="A219"/>
    <mergeCell ref="B219"/>
    <mergeCell ref="C219"/>
    <mergeCell ref="D219"/>
    <mergeCell ref="E219"/>
    <mergeCell ref="F218"/>
    <mergeCell ref="G218"/>
    <mergeCell ref="H218"/>
    <mergeCell ref="I218"/>
    <mergeCell ref="J218"/>
    <mergeCell ref="A218"/>
    <mergeCell ref="B218"/>
    <mergeCell ref="C218"/>
    <mergeCell ref="D218"/>
    <mergeCell ref="E218"/>
    <mergeCell ref="F217"/>
    <mergeCell ref="G217"/>
    <mergeCell ref="H217"/>
    <mergeCell ref="I217"/>
    <mergeCell ref="J217"/>
    <mergeCell ref="A217"/>
    <mergeCell ref="B217"/>
    <mergeCell ref="C217"/>
    <mergeCell ref="D217"/>
    <mergeCell ref="E217"/>
    <mergeCell ref="F216"/>
    <mergeCell ref="G216"/>
    <mergeCell ref="H216"/>
    <mergeCell ref="I216"/>
    <mergeCell ref="J216"/>
    <mergeCell ref="A216"/>
    <mergeCell ref="B216"/>
    <mergeCell ref="C216"/>
    <mergeCell ref="D216"/>
    <mergeCell ref="E216"/>
    <mergeCell ref="F215"/>
    <mergeCell ref="G215"/>
    <mergeCell ref="H215"/>
    <mergeCell ref="I215"/>
    <mergeCell ref="J215"/>
    <mergeCell ref="A215"/>
    <mergeCell ref="B215"/>
    <mergeCell ref="C215"/>
    <mergeCell ref="D215"/>
    <mergeCell ref="E215"/>
    <mergeCell ref="F214"/>
    <mergeCell ref="G214"/>
    <mergeCell ref="H214"/>
    <mergeCell ref="I214"/>
    <mergeCell ref="J214"/>
    <mergeCell ref="A214"/>
    <mergeCell ref="B214"/>
    <mergeCell ref="C214"/>
    <mergeCell ref="D214"/>
    <mergeCell ref="E214"/>
    <mergeCell ref="F213"/>
    <mergeCell ref="G213"/>
    <mergeCell ref="H213"/>
    <mergeCell ref="I213"/>
    <mergeCell ref="J213"/>
    <mergeCell ref="A213"/>
    <mergeCell ref="B213"/>
    <mergeCell ref="C213"/>
    <mergeCell ref="D213"/>
    <mergeCell ref="E213"/>
    <mergeCell ref="F212"/>
    <mergeCell ref="G212"/>
    <mergeCell ref="H212"/>
    <mergeCell ref="I212"/>
    <mergeCell ref="J212"/>
    <mergeCell ref="A212"/>
    <mergeCell ref="B212"/>
    <mergeCell ref="C212"/>
    <mergeCell ref="D212"/>
    <mergeCell ref="E212"/>
    <mergeCell ref="F211"/>
    <mergeCell ref="G211"/>
    <mergeCell ref="H211"/>
    <mergeCell ref="I211"/>
    <mergeCell ref="J211"/>
    <mergeCell ref="A211"/>
    <mergeCell ref="B211"/>
    <mergeCell ref="C211"/>
    <mergeCell ref="D211"/>
    <mergeCell ref="E211"/>
    <mergeCell ref="F210"/>
    <mergeCell ref="G210"/>
    <mergeCell ref="H210"/>
    <mergeCell ref="I210"/>
    <mergeCell ref="J210"/>
    <mergeCell ref="A210"/>
    <mergeCell ref="B210"/>
    <mergeCell ref="C210"/>
    <mergeCell ref="D210"/>
    <mergeCell ref="E210"/>
    <mergeCell ref="F209"/>
    <mergeCell ref="G209"/>
    <mergeCell ref="H209"/>
    <mergeCell ref="I209"/>
    <mergeCell ref="J209"/>
    <mergeCell ref="A209"/>
    <mergeCell ref="B209"/>
    <mergeCell ref="C209"/>
    <mergeCell ref="D209"/>
    <mergeCell ref="E209"/>
    <mergeCell ref="F208"/>
    <mergeCell ref="G208"/>
    <mergeCell ref="H208"/>
    <mergeCell ref="I208"/>
    <mergeCell ref="J208"/>
    <mergeCell ref="A208"/>
    <mergeCell ref="B208"/>
    <mergeCell ref="C208"/>
    <mergeCell ref="D208"/>
    <mergeCell ref="E208"/>
    <mergeCell ref="F207"/>
    <mergeCell ref="G207"/>
    <mergeCell ref="H207"/>
    <mergeCell ref="I207"/>
    <mergeCell ref="J207"/>
    <mergeCell ref="A207"/>
    <mergeCell ref="B207"/>
    <mergeCell ref="C207"/>
    <mergeCell ref="D207"/>
    <mergeCell ref="E207"/>
    <mergeCell ref="F206"/>
    <mergeCell ref="G206"/>
    <mergeCell ref="H206"/>
    <mergeCell ref="I206"/>
    <mergeCell ref="J206"/>
    <mergeCell ref="A206"/>
    <mergeCell ref="B206"/>
    <mergeCell ref="C206"/>
    <mergeCell ref="D206"/>
    <mergeCell ref="E206"/>
    <mergeCell ref="F205"/>
    <mergeCell ref="G205"/>
    <mergeCell ref="H205"/>
    <mergeCell ref="I205"/>
    <mergeCell ref="J205"/>
    <mergeCell ref="A205"/>
    <mergeCell ref="B205"/>
    <mergeCell ref="C205"/>
    <mergeCell ref="D205"/>
    <mergeCell ref="E205"/>
    <mergeCell ref="F204"/>
    <mergeCell ref="G204"/>
    <mergeCell ref="H204"/>
    <mergeCell ref="I204"/>
    <mergeCell ref="J204"/>
    <mergeCell ref="A204"/>
    <mergeCell ref="B204"/>
    <mergeCell ref="C204"/>
    <mergeCell ref="D204"/>
    <mergeCell ref="E204"/>
    <mergeCell ref="F203"/>
    <mergeCell ref="G203"/>
    <mergeCell ref="H203"/>
    <mergeCell ref="I203"/>
    <mergeCell ref="J203"/>
    <mergeCell ref="A203"/>
    <mergeCell ref="B203"/>
    <mergeCell ref="C203"/>
    <mergeCell ref="D203"/>
    <mergeCell ref="E203"/>
    <mergeCell ref="F202"/>
    <mergeCell ref="G202"/>
    <mergeCell ref="H202"/>
    <mergeCell ref="I202"/>
    <mergeCell ref="J202"/>
    <mergeCell ref="A202"/>
    <mergeCell ref="B202"/>
    <mergeCell ref="C202"/>
    <mergeCell ref="D202"/>
    <mergeCell ref="E202"/>
    <mergeCell ref="F201"/>
    <mergeCell ref="G201"/>
    <mergeCell ref="H201"/>
    <mergeCell ref="I201"/>
    <mergeCell ref="J201"/>
    <mergeCell ref="A201"/>
    <mergeCell ref="B201"/>
    <mergeCell ref="C201"/>
    <mergeCell ref="D201"/>
    <mergeCell ref="E201"/>
    <mergeCell ref="F200"/>
    <mergeCell ref="G200"/>
    <mergeCell ref="H200"/>
    <mergeCell ref="I200"/>
    <mergeCell ref="J200"/>
    <mergeCell ref="A200"/>
    <mergeCell ref="B200"/>
    <mergeCell ref="C200"/>
    <mergeCell ref="D200"/>
    <mergeCell ref="E200"/>
    <mergeCell ref="F199"/>
    <mergeCell ref="G199"/>
    <mergeCell ref="H199"/>
    <mergeCell ref="I199"/>
    <mergeCell ref="J199"/>
    <mergeCell ref="A199"/>
    <mergeCell ref="B199"/>
    <mergeCell ref="C199"/>
    <mergeCell ref="D199"/>
    <mergeCell ref="E199"/>
    <mergeCell ref="F198"/>
    <mergeCell ref="G198"/>
    <mergeCell ref="H198"/>
    <mergeCell ref="I198"/>
    <mergeCell ref="J198"/>
    <mergeCell ref="A198"/>
    <mergeCell ref="B198"/>
    <mergeCell ref="C198"/>
    <mergeCell ref="D198"/>
    <mergeCell ref="E198"/>
    <mergeCell ref="F197"/>
    <mergeCell ref="G197"/>
    <mergeCell ref="H197"/>
    <mergeCell ref="I197"/>
    <mergeCell ref="J197"/>
    <mergeCell ref="A197"/>
    <mergeCell ref="B197"/>
    <mergeCell ref="C197"/>
    <mergeCell ref="D197"/>
    <mergeCell ref="E197"/>
    <mergeCell ref="F196"/>
    <mergeCell ref="G196"/>
    <mergeCell ref="H196"/>
    <mergeCell ref="I196"/>
    <mergeCell ref="J196"/>
    <mergeCell ref="A196"/>
    <mergeCell ref="B196"/>
    <mergeCell ref="C196"/>
    <mergeCell ref="D196"/>
    <mergeCell ref="E196"/>
    <mergeCell ref="F195"/>
    <mergeCell ref="G195"/>
    <mergeCell ref="H195"/>
    <mergeCell ref="I195"/>
    <mergeCell ref="J195"/>
    <mergeCell ref="A195"/>
    <mergeCell ref="B195"/>
    <mergeCell ref="C195"/>
    <mergeCell ref="D195"/>
    <mergeCell ref="E195"/>
    <mergeCell ref="F194"/>
    <mergeCell ref="G194"/>
    <mergeCell ref="H194"/>
    <mergeCell ref="I194"/>
    <mergeCell ref="J194"/>
    <mergeCell ref="A194"/>
    <mergeCell ref="B194"/>
    <mergeCell ref="C194"/>
    <mergeCell ref="D194"/>
    <mergeCell ref="E194"/>
    <mergeCell ref="F193"/>
    <mergeCell ref="G193"/>
    <mergeCell ref="H193"/>
    <mergeCell ref="I193"/>
    <mergeCell ref="J193"/>
    <mergeCell ref="A193"/>
    <mergeCell ref="B193"/>
    <mergeCell ref="C193"/>
    <mergeCell ref="D193"/>
    <mergeCell ref="E193"/>
    <mergeCell ref="F192"/>
    <mergeCell ref="G192"/>
    <mergeCell ref="H192"/>
    <mergeCell ref="I192"/>
    <mergeCell ref="J192"/>
    <mergeCell ref="A192"/>
    <mergeCell ref="B192"/>
    <mergeCell ref="C192"/>
    <mergeCell ref="D192"/>
    <mergeCell ref="E192"/>
    <mergeCell ref="F191"/>
    <mergeCell ref="G191"/>
    <mergeCell ref="H191"/>
    <mergeCell ref="I191"/>
    <mergeCell ref="J191"/>
    <mergeCell ref="A191"/>
    <mergeCell ref="B191"/>
    <mergeCell ref="C191"/>
    <mergeCell ref="D191"/>
    <mergeCell ref="E191"/>
    <mergeCell ref="F190"/>
    <mergeCell ref="G190"/>
    <mergeCell ref="H190"/>
    <mergeCell ref="I190"/>
    <mergeCell ref="J190"/>
    <mergeCell ref="A190"/>
    <mergeCell ref="B190"/>
    <mergeCell ref="C190"/>
    <mergeCell ref="D190"/>
    <mergeCell ref="E190"/>
    <mergeCell ref="F189"/>
    <mergeCell ref="G189"/>
    <mergeCell ref="H189"/>
    <mergeCell ref="I189"/>
    <mergeCell ref="J189"/>
    <mergeCell ref="A189"/>
    <mergeCell ref="B189"/>
    <mergeCell ref="C189"/>
    <mergeCell ref="D189"/>
    <mergeCell ref="E189"/>
    <mergeCell ref="F188"/>
    <mergeCell ref="G188"/>
    <mergeCell ref="H188"/>
    <mergeCell ref="I188"/>
    <mergeCell ref="J188"/>
    <mergeCell ref="A188"/>
    <mergeCell ref="B188"/>
    <mergeCell ref="C188"/>
    <mergeCell ref="D188"/>
    <mergeCell ref="E188"/>
    <mergeCell ref="F187"/>
    <mergeCell ref="G187"/>
    <mergeCell ref="H187"/>
    <mergeCell ref="I187"/>
    <mergeCell ref="J187"/>
    <mergeCell ref="A187"/>
    <mergeCell ref="B187"/>
    <mergeCell ref="C187"/>
    <mergeCell ref="D187"/>
    <mergeCell ref="E187"/>
    <mergeCell ref="F186"/>
    <mergeCell ref="G186"/>
    <mergeCell ref="H186"/>
    <mergeCell ref="I186"/>
    <mergeCell ref="J186"/>
    <mergeCell ref="A186"/>
    <mergeCell ref="B186"/>
    <mergeCell ref="C186"/>
    <mergeCell ref="D186"/>
    <mergeCell ref="E186"/>
    <mergeCell ref="F185"/>
    <mergeCell ref="G185"/>
    <mergeCell ref="H185"/>
    <mergeCell ref="I185"/>
    <mergeCell ref="J185"/>
    <mergeCell ref="A185"/>
    <mergeCell ref="B185"/>
    <mergeCell ref="C185"/>
    <mergeCell ref="D185"/>
    <mergeCell ref="E185"/>
    <mergeCell ref="F184"/>
    <mergeCell ref="G184"/>
    <mergeCell ref="H184"/>
    <mergeCell ref="I184"/>
    <mergeCell ref="J184"/>
    <mergeCell ref="A184"/>
    <mergeCell ref="B184"/>
    <mergeCell ref="C184"/>
    <mergeCell ref="D184"/>
    <mergeCell ref="E184"/>
    <mergeCell ref="F183"/>
    <mergeCell ref="G183"/>
    <mergeCell ref="H183"/>
    <mergeCell ref="I183"/>
    <mergeCell ref="J183"/>
    <mergeCell ref="A183"/>
    <mergeCell ref="B183"/>
    <mergeCell ref="C183"/>
    <mergeCell ref="D183"/>
    <mergeCell ref="E183"/>
    <mergeCell ref="F182"/>
    <mergeCell ref="G182"/>
    <mergeCell ref="H182"/>
    <mergeCell ref="I182"/>
    <mergeCell ref="J182"/>
    <mergeCell ref="A182"/>
    <mergeCell ref="B182"/>
    <mergeCell ref="C182"/>
    <mergeCell ref="D182"/>
    <mergeCell ref="E182"/>
    <mergeCell ref="F181"/>
    <mergeCell ref="G181"/>
    <mergeCell ref="H181"/>
    <mergeCell ref="I181"/>
    <mergeCell ref="J181"/>
    <mergeCell ref="A181"/>
    <mergeCell ref="B181"/>
    <mergeCell ref="C181"/>
    <mergeCell ref="D181"/>
    <mergeCell ref="E181"/>
    <mergeCell ref="F180"/>
    <mergeCell ref="G180"/>
    <mergeCell ref="H180"/>
    <mergeCell ref="I180"/>
    <mergeCell ref="J180"/>
    <mergeCell ref="A180"/>
    <mergeCell ref="B180"/>
    <mergeCell ref="C180"/>
    <mergeCell ref="D180"/>
    <mergeCell ref="E180"/>
    <mergeCell ref="F179"/>
    <mergeCell ref="G179"/>
    <mergeCell ref="H179"/>
    <mergeCell ref="I179"/>
    <mergeCell ref="J179"/>
    <mergeCell ref="A179"/>
    <mergeCell ref="B179"/>
    <mergeCell ref="C179"/>
    <mergeCell ref="D179"/>
    <mergeCell ref="E179"/>
    <mergeCell ref="F178"/>
    <mergeCell ref="G178"/>
    <mergeCell ref="H178"/>
    <mergeCell ref="I178"/>
    <mergeCell ref="J178"/>
    <mergeCell ref="A178"/>
    <mergeCell ref="B178"/>
    <mergeCell ref="C178"/>
    <mergeCell ref="D178"/>
    <mergeCell ref="E178"/>
    <mergeCell ref="F177"/>
    <mergeCell ref="G177"/>
    <mergeCell ref="H177"/>
    <mergeCell ref="I177"/>
    <mergeCell ref="J177"/>
    <mergeCell ref="A177"/>
    <mergeCell ref="B177"/>
    <mergeCell ref="C177"/>
    <mergeCell ref="D177"/>
    <mergeCell ref="E177"/>
    <mergeCell ref="F176"/>
    <mergeCell ref="G176"/>
    <mergeCell ref="H176"/>
    <mergeCell ref="I176"/>
    <mergeCell ref="J176"/>
    <mergeCell ref="A176"/>
    <mergeCell ref="B176"/>
    <mergeCell ref="C176"/>
    <mergeCell ref="D176"/>
    <mergeCell ref="E176"/>
    <mergeCell ref="F175"/>
    <mergeCell ref="G175"/>
    <mergeCell ref="H175"/>
    <mergeCell ref="I175"/>
    <mergeCell ref="J175"/>
    <mergeCell ref="A175"/>
    <mergeCell ref="B175"/>
    <mergeCell ref="C175"/>
    <mergeCell ref="D175"/>
    <mergeCell ref="E175"/>
    <mergeCell ref="F174"/>
    <mergeCell ref="G174"/>
    <mergeCell ref="H174"/>
    <mergeCell ref="I174"/>
    <mergeCell ref="J174"/>
    <mergeCell ref="A174"/>
    <mergeCell ref="B174"/>
    <mergeCell ref="C174"/>
    <mergeCell ref="D174"/>
    <mergeCell ref="E174"/>
    <mergeCell ref="F173"/>
    <mergeCell ref="G173"/>
    <mergeCell ref="H173"/>
    <mergeCell ref="I173"/>
    <mergeCell ref="J173"/>
    <mergeCell ref="A173"/>
    <mergeCell ref="B173"/>
    <mergeCell ref="C173"/>
    <mergeCell ref="D173"/>
    <mergeCell ref="E173"/>
    <mergeCell ref="F172"/>
    <mergeCell ref="G172"/>
    <mergeCell ref="H172"/>
    <mergeCell ref="I172"/>
    <mergeCell ref="J172"/>
    <mergeCell ref="A172"/>
    <mergeCell ref="B172"/>
    <mergeCell ref="C172"/>
    <mergeCell ref="D172"/>
    <mergeCell ref="E172"/>
    <mergeCell ref="F171"/>
    <mergeCell ref="G171"/>
    <mergeCell ref="H171"/>
    <mergeCell ref="I171"/>
    <mergeCell ref="J171"/>
    <mergeCell ref="A171"/>
    <mergeCell ref="B171"/>
    <mergeCell ref="C171"/>
    <mergeCell ref="D171"/>
    <mergeCell ref="E171"/>
    <mergeCell ref="F170"/>
    <mergeCell ref="G170"/>
    <mergeCell ref="H170"/>
    <mergeCell ref="I170"/>
    <mergeCell ref="J170"/>
    <mergeCell ref="A170"/>
    <mergeCell ref="B170"/>
    <mergeCell ref="C170"/>
    <mergeCell ref="D170"/>
    <mergeCell ref="E170"/>
    <mergeCell ref="F169"/>
    <mergeCell ref="G169"/>
    <mergeCell ref="H169"/>
    <mergeCell ref="I169"/>
    <mergeCell ref="J169"/>
    <mergeCell ref="A169"/>
    <mergeCell ref="B169"/>
    <mergeCell ref="C169"/>
    <mergeCell ref="D169"/>
    <mergeCell ref="E169"/>
    <mergeCell ref="F168"/>
    <mergeCell ref="G168"/>
    <mergeCell ref="H168"/>
    <mergeCell ref="I168"/>
    <mergeCell ref="J168"/>
    <mergeCell ref="A168"/>
    <mergeCell ref="B168"/>
    <mergeCell ref="C168"/>
    <mergeCell ref="D168"/>
    <mergeCell ref="E168"/>
    <mergeCell ref="F167"/>
    <mergeCell ref="G167"/>
    <mergeCell ref="H167"/>
    <mergeCell ref="I167"/>
    <mergeCell ref="J167"/>
    <mergeCell ref="A167"/>
    <mergeCell ref="B167"/>
    <mergeCell ref="C167"/>
    <mergeCell ref="D167"/>
    <mergeCell ref="E167"/>
    <mergeCell ref="F166"/>
    <mergeCell ref="G166"/>
    <mergeCell ref="H166"/>
    <mergeCell ref="I166"/>
    <mergeCell ref="J166"/>
    <mergeCell ref="A166"/>
    <mergeCell ref="B166"/>
    <mergeCell ref="C166"/>
    <mergeCell ref="D166"/>
    <mergeCell ref="E166"/>
    <mergeCell ref="F165"/>
    <mergeCell ref="G165"/>
    <mergeCell ref="H165"/>
    <mergeCell ref="I165"/>
    <mergeCell ref="J165"/>
    <mergeCell ref="A165"/>
    <mergeCell ref="B165"/>
    <mergeCell ref="C165"/>
    <mergeCell ref="D165"/>
    <mergeCell ref="E165"/>
    <mergeCell ref="F164"/>
    <mergeCell ref="G164"/>
    <mergeCell ref="H164"/>
    <mergeCell ref="I164"/>
    <mergeCell ref="J164"/>
    <mergeCell ref="A164"/>
    <mergeCell ref="B164"/>
    <mergeCell ref="C164"/>
    <mergeCell ref="D164"/>
    <mergeCell ref="E164"/>
    <mergeCell ref="F163"/>
    <mergeCell ref="G163"/>
    <mergeCell ref="H163"/>
    <mergeCell ref="I163"/>
    <mergeCell ref="J163"/>
    <mergeCell ref="A163"/>
    <mergeCell ref="B163"/>
    <mergeCell ref="C163"/>
    <mergeCell ref="D163"/>
    <mergeCell ref="E163"/>
    <mergeCell ref="F162"/>
    <mergeCell ref="G162"/>
    <mergeCell ref="H162"/>
    <mergeCell ref="I162"/>
    <mergeCell ref="J162"/>
    <mergeCell ref="A162"/>
    <mergeCell ref="B162"/>
    <mergeCell ref="C162"/>
    <mergeCell ref="D162"/>
    <mergeCell ref="E162"/>
    <mergeCell ref="F161"/>
    <mergeCell ref="G161"/>
    <mergeCell ref="H161"/>
    <mergeCell ref="I161"/>
    <mergeCell ref="J161"/>
    <mergeCell ref="A161"/>
    <mergeCell ref="B161"/>
    <mergeCell ref="C161"/>
    <mergeCell ref="D161"/>
    <mergeCell ref="E161"/>
    <mergeCell ref="F160"/>
    <mergeCell ref="G160"/>
    <mergeCell ref="H160"/>
    <mergeCell ref="I160"/>
    <mergeCell ref="J160"/>
    <mergeCell ref="A160"/>
    <mergeCell ref="B160"/>
    <mergeCell ref="C160"/>
    <mergeCell ref="D160"/>
    <mergeCell ref="E160"/>
    <mergeCell ref="F159"/>
    <mergeCell ref="G159"/>
    <mergeCell ref="H159"/>
    <mergeCell ref="I159"/>
    <mergeCell ref="J159"/>
    <mergeCell ref="A159"/>
    <mergeCell ref="B159"/>
    <mergeCell ref="C159"/>
    <mergeCell ref="D159"/>
    <mergeCell ref="E159"/>
    <mergeCell ref="F158"/>
    <mergeCell ref="G158"/>
    <mergeCell ref="H158"/>
    <mergeCell ref="I158"/>
    <mergeCell ref="J158"/>
    <mergeCell ref="A158"/>
    <mergeCell ref="B158"/>
    <mergeCell ref="C158"/>
    <mergeCell ref="D158"/>
    <mergeCell ref="E158"/>
    <mergeCell ref="F157"/>
    <mergeCell ref="G157"/>
    <mergeCell ref="H157"/>
    <mergeCell ref="I157"/>
    <mergeCell ref="J157"/>
    <mergeCell ref="A157"/>
    <mergeCell ref="B157"/>
    <mergeCell ref="C157"/>
    <mergeCell ref="D157"/>
    <mergeCell ref="E157"/>
    <mergeCell ref="F156"/>
    <mergeCell ref="G156"/>
    <mergeCell ref="H156"/>
    <mergeCell ref="I156"/>
    <mergeCell ref="J156"/>
    <mergeCell ref="A156"/>
    <mergeCell ref="B156"/>
    <mergeCell ref="C156"/>
    <mergeCell ref="D156"/>
    <mergeCell ref="E156"/>
    <mergeCell ref="F155"/>
    <mergeCell ref="G155"/>
    <mergeCell ref="H155"/>
    <mergeCell ref="I155"/>
    <mergeCell ref="J155"/>
    <mergeCell ref="A155"/>
    <mergeCell ref="B155"/>
    <mergeCell ref="C155"/>
    <mergeCell ref="D155"/>
    <mergeCell ref="E155"/>
    <mergeCell ref="F154"/>
    <mergeCell ref="G154"/>
    <mergeCell ref="H154"/>
    <mergeCell ref="I154"/>
    <mergeCell ref="J154"/>
    <mergeCell ref="A154"/>
    <mergeCell ref="B154"/>
    <mergeCell ref="C154"/>
    <mergeCell ref="D154"/>
    <mergeCell ref="E154"/>
    <mergeCell ref="F153"/>
    <mergeCell ref="G153"/>
    <mergeCell ref="H153"/>
    <mergeCell ref="I153"/>
    <mergeCell ref="J153"/>
    <mergeCell ref="A153"/>
    <mergeCell ref="B153"/>
    <mergeCell ref="C153"/>
    <mergeCell ref="D153"/>
    <mergeCell ref="E153"/>
    <mergeCell ref="F152"/>
    <mergeCell ref="G152"/>
    <mergeCell ref="H152"/>
    <mergeCell ref="I152"/>
    <mergeCell ref="J152"/>
    <mergeCell ref="A152"/>
    <mergeCell ref="B152"/>
    <mergeCell ref="C152"/>
    <mergeCell ref="D152"/>
    <mergeCell ref="E152"/>
    <mergeCell ref="F151"/>
    <mergeCell ref="G151"/>
    <mergeCell ref="H151"/>
    <mergeCell ref="I151"/>
    <mergeCell ref="J151"/>
    <mergeCell ref="A151"/>
    <mergeCell ref="B151"/>
    <mergeCell ref="C151"/>
    <mergeCell ref="D151"/>
    <mergeCell ref="E151"/>
    <mergeCell ref="F150"/>
    <mergeCell ref="G150"/>
    <mergeCell ref="H150"/>
    <mergeCell ref="I150"/>
    <mergeCell ref="J150"/>
    <mergeCell ref="A150"/>
    <mergeCell ref="B150"/>
    <mergeCell ref="C150"/>
    <mergeCell ref="D150"/>
    <mergeCell ref="E150"/>
    <mergeCell ref="F149"/>
    <mergeCell ref="G149"/>
    <mergeCell ref="H149"/>
    <mergeCell ref="I149"/>
    <mergeCell ref="J149"/>
    <mergeCell ref="A149"/>
    <mergeCell ref="B149"/>
    <mergeCell ref="C149"/>
    <mergeCell ref="D149"/>
    <mergeCell ref="E149"/>
    <mergeCell ref="F148"/>
    <mergeCell ref="G148"/>
    <mergeCell ref="H148"/>
    <mergeCell ref="I148"/>
    <mergeCell ref="J148"/>
    <mergeCell ref="A148"/>
    <mergeCell ref="B148"/>
    <mergeCell ref="C148"/>
    <mergeCell ref="D148"/>
    <mergeCell ref="E148"/>
    <mergeCell ref="F147"/>
    <mergeCell ref="G147"/>
    <mergeCell ref="H147"/>
    <mergeCell ref="I147"/>
    <mergeCell ref="J147"/>
    <mergeCell ref="A147"/>
    <mergeCell ref="B147"/>
    <mergeCell ref="C147"/>
    <mergeCell ref="D147"/>
    <mergeCell ref="E147"/>
    <mergeCell ref="F146"/>
    <mergeCell ref="G146"/>
    <mergeCell ref="H146"/>
    <mergeCell ref="I146"/>
    <mergeCell ref="J146"/>
    <mergeCell ref="A146"/>
    <mergeCell ref="B146"/>
    <mergeCell ref="C146"/>
    <mergeCell ref="D146"/>
    <mergeCell ref="E146"/>
    <mergeCell ref="F145"/>
    <mergeCell ref="G145"/>
    <mergeCell ref="H145"/>
    <mergeCell ref="I145"/>
    <mergeCell ref="J145"/>
    <mergeCell ref="A145"/>
    <mergeCell ref="B145"/>
    <mergeCell ref="C145"/>
    <mergeCell ref="D145"/>
    <mergeCell ref="E145"/>
    <mergeCell ref="F144"/>
    <mergeCell ref="G144"/>
    <mergeCell ref="H144"/>
    <mergeCell ref="I144"/>
    <mergeCell ref="J144"/>
    <mergeCell ref="A144"/>
    <mergeCell ref="B144"/>
    <mergeCell ref="C144"/>
    <mergeCell ref="D144"/>
    <mergeCell ref="E144"/>
    <mergeCell ref="F143"/>
    <mergeCell ref="G143"/>
    <mergeCell ref="H143"/>
    <mergeCell ref="I143"/>
    <mergeCell ref="J143"/>
    <mergeCell ref="A143"/>
    <mergeCell ref="B143"/>
    <mergeCell ref="C143"/>
    <mergeCell ref="D143"/>
    <mergeCell ref="E143"/>
    <mergeCell ref="F142"/>
    <mergeCell ref="G142"/>
    <mergeCell ref="H142"/>
    <mergeCell ref="I142"/>
    <mergeCell ref="J142"/>
    <mergeCell ref="A142"/>
    <mergeCell ref="B142"/>
    <mergeCell ref="C142"/>
    <mergeCell ref="D142"/>
    <mergeCell ref="E142"/>
    <mergeCell ref="F141"/>
    <mergeCell ref="G141"/>
    <mergeCell ref="H141"/>
    <mergeCell ref="I141"/>
    <mergeCell ref="J141"/>
    <mergeCell ref="A141"/>
    <mergeCell ref="B141"/>
    <mergeCell ref="C141"/>
    <mergeCell ref="D141"/>
    <mergeCell ref="E141"/>
    <mergeCell ref="F140"/>
    <mergeCell ref="G140"/>
    <mergeCell ref="H140"/>
    <mergeCell ref="I140"/>
    <mergeCell ref="J140"/>
    <mergeCell ref="A140"/>
    <mergeCell ref="B140"/>
    <mergeCell ref="C140"/>
    <mergeCell ref="D140"/>
    <mergeCell ref="E140"/>
    <mergeCell ref="F139"/>
    <mergeCell ref="G139"/>
    <mergeCell ref="H139"/>
    <mergeCell ref="I139"/>
    <mergeCell ref="J139"/>
    <mergeCell ref="A139"/>
    <mergeCell ref="B139"/>
    <mergeCell ref="C139"/>
    <mergeCell ref="D139"/>
    <mergeCell ref="E139"/>
    <mergeCell ref="F138"/>
    <mergeCell ref="G138"/>
    <mergeCell ref="H138"/>
    <mergeCell ref="I138"/>
    <mergeCell ref="J138"/>
    <mergeCell ref="A138"/>
    <mergeCell ref="B138"/>
    <mergeCell ref="C138"/>
    <mergeCell ref="D138"/>
    <mergeCell ref="E138"/>
    <mergeCell ref="F137"/>
    <mergeCell ref="G137"/>
    <mergeCell ref="H137"/>
    <mergeCell ref="I137"/>
    <mergeCell ref="J137"/>
    <mergeCell ref="A137"/>
    <mergeCell ref="B137"/>
    <mergeCell ref="C137"/>
    <mergeCell ref="D137"/>
    <mergeCell ref="E137"/>
    <mergeCell ref="F136"/>
    <mergeCell ref="G136"/>
    <mergeCell ref="H136"/>
    <mergeCell ref="I136"/>
    <mergeCell ref="J136"/>
    <mergeCell ref="A136"/>
    <mergeCell ref="B136"/>
    <mergeCell ref="C136"/>
    <mergeCell ref="D136"/>
    <mergeCell ref="E136"/>
    <mergeCell ref="F135"/>
    <mergeCell ref="G135"/>
    <mergeCell ref="H135"/>
    <mergeCell ref="I135"/>
    <mergeCell ref="J135"/>
    <mergeCell ref="A135"/>
    <mergeCell ref="B135"/>
    <mergeCell ref="C135"/>
    <mergeCell ref="D135"/>
    <mergeCell ref="E135"/>
    <mergeCell ref="F134"/>
    <mergeCell ref="G134"/>
    <mergeCell ref="H134"/>
    <mergeCell ref="I134"/>
    <mergeCell ref="J134"/>
    <mergeCell ref="A134"/>
    <mergeCell ref="B134"/>
    <mergeCell ref="C134"/>
    <mergeCell ref="D134"/>
    <mergeCell ref="E134"/>
    <mergeCell ref="F133"/>
    <mergeCell ref="G133"/>
    <mergeCell ref="H133"/>
    <mergeCell ref="I133"/>
    <mergeCell ref="J133"/>
    <mergeCell ref="A133"/>
    <mergeCell ref="B133"/>
    <mergeCell ref="C133"/>
    <mergeCell ref="D133"/>
    <mergeCell ref="E133"/>
    <mergeCell ref="F132"/>
    <mergeCell ref="G132"/>
    <mergeCell ref="H132"/>
    <mergeCell ref="I132"/>
    <mergeCell ref="J132"/>
    <mergeCell ref="A132"/>
    <mergeCell ref="B132"/>
    <mergeCell ref="C132"/>
    <mergeCell ref="D132"/>
    <mergeCell ref="E132"/>
    <mergeCell ref="F131"/>
    <mergeCell ref="G131"/>
    <mergeCell ref="H131"/>
    <mergeCell ref="I131"/>
    <mergeCell ref="J131"/>
    <mergeCell ref="A131"/>
    <mergeCell ref="B131"/>
    <mergeCell ref="C131"/>
    <mergeCell ref="D131"/>
    <mergeCell ref="E131"/>
    <mergeCell ref="F130"/>
    <mergeCell ref="G130"/>
    <mergeCell ref="H130"/>
    <mergeCell ref="I130"/>
    <mergeCell ref="J130"/>
    <mergeCell ref="A130"/>
    <mergeCell ref="B130"/>
    <mergeCell ref="C130"/>
    <mergeCell ref="D130"/>
    <mergeCell ref="E130"/>
    <mergeCell ref="F129"/>
    <mergeCell ref="G129"/>
    <mergeCell ref="H129"/>
    <mergeCell ref="I129"/>
    <mergeCell ref="J129"/>
    <mergeCell ref="A129"/>
    <mergeCell ref="B129"/>
    <mergeCell ref="C129"/>
    <mergeCell ref="D129"/>
    <mergeCell ref="E129"/>
    <mergeCell ref="F128"/>
    <mergeCell ref="G128"/>
    <mergeCell ref="H128"/>
    <mergeCell ref="I128"/>
    <mergeCell ref="J128"/>
    <mergeCell ref="A128"/>
    <mergeCell ref="B128"/>
    <mergeCell ref="C128"/>
    <mergeCell ref="D128"/>
    <mergeCell ref="E128"/>
    <mergeCell ref="F127"/>
    <mergeCell ref="G127"/>
    <mergeCell ref="H127"/>
    <mergeCell ref="I127"/>
    <mergeCell ref="J127"/>
    <mergeCell ref="A127"/>
    <mergeCell ref="B127"/>
    <mergeCell ref="C127"/>
    <mergeCell ref="D127"/>
    <mergeCell ref="E127"/>
    <mergeCell ref="F126"/>
    <mergeCell ref="G126"/>
    <mergeCell ref="H126"/>
    <mergeCell ref="I126"/>
    <mergeCell ref="J126"/>
    <mergeCell ref="A126"/>
    <mergeCell ref="B126"/>
    <mergeCell ref="C126"/>
    <mergeCell ref="D126"/>
    <mergeCell ref="E126"/>
    <mergeCell ref="F125"/>
    <mergeCell ref="G125"/>
    <mergeCell ref="H125"/>
    <mergeCell ref="I125"/>
    <mergeCell ref="J125"/>
    <mergeCell ref="A125"/>
    <mergeCell ref="B125"/>
    <mergeCell ref="C125"/>
    <mergeCell ref="D125"/>
    <mergeCell ref="E125"/>
    <mergeCell ref="F124"/>
    <mergeCell ref="G124"/>
    <mergeCell ref="H124"/>
    <mergeCell ref="I124"/>
    <mergeCell ref="J124"/>
    <mergeCell ref="A124"/>
    <mergeCell ref="B124"/>
    <mergeCell ref="C124"/>
    <mergeCell ref="D124"/>
    <mergeCell ref="E124"/>
    <mergeCell ref="F123"/>
    <mergeCell ref="G123"/>
    <mergeCell ref="H123"/>
    <mergeCell ref="I123"/>
    <mergeCell ref="J123"/>
    <mergeCell ref="A123"/>
    <mergeCell ref="B123"/>
    <mergeCell ref="C123"/>
    <mergeCell ref="D123"/>
    <mergeCell ref="E123"/>
    <mergeCell ref="F122"/>
    <mergeCell ref="G122"/>
    <mergeCell ref="H122"/>
    <mergeCell ref="I122"/>
    <mergeCell ref="J122"/>
    <mergeCell ref="A122"/>
    <mergeCell ref="B122"/>
    <mergeCell ref="C122"/>
    <mergeCell ref="D122"/>
    <mergeCell ref="E122"/>
    <mergeCell ref="F121"/>
    <mergeCell ref="G121"/>
    <mergeCell ref="H121"/>
    <mergeCell ref="I121"/>
    <mergeCell ref="J121"/>
    <mergeCell ref="A121"/>
    <mergeCell ref="B121"/>
    <mergeCell ref="C121"/>
    <mergeCell ref="D121"/>
    <mergeCell ref="E121"/>
    <mergeCell ref="F120"/>
    <mergeCell ref="G120"/>
    <mergeCell ref="H120"/>
    <mergeCell ref="I120"/>
    <mergeCell ref="J120"/>
    <mergeCell ref="A120"/>
    <mergeCell ref="B120"/>
    <mergeCell ref="C120"/>
    <mergeCell ref="D120"/>
    <mergeCell ref="E120"/>
    <mergeCell ref="F119"/>
    <mergeCell ref="G119"/>
    <mergeCell ref="H119"/>
    <mergeCell ref="I119"/>
    <mergeCell ref="J119"/>
    <mergeCell ref="A119"/>
    <mergeCell ref="B119"/>
    <mergeCell ref="C119"/>
    <mergeCell ref="D119"/>
    <mergeCell ref="E119"/>
    <mergeCell ref="F118"/>
    <mergeCell ref="G118"/>
    <mergeCell ref="H118"/>
    <mergeCell ref="I118"/>
    <mergeCell ref="J118"/>
    <mergeCell ref="A118"/>
    <mergeCell ref="B118"/>
    <mergeCell ref="C118"/>
    <mergeCell ref="D118"/>
    <mergeCell ref="E118"/>
    <mergeCell ref="F117"/>
    <mergeCell ref="G117"/>
    <mergeCell ref="H117"/>
    <mergeCell ref="I117"/>
    <mergeCell ref="J117"/>
    <mergeCell ref="A117"/>
    <mergeCell ref="B117"/>
    <mergeCell ref="C117"/>
    <mergeCell ref="D117"/>
    <mergeCell ref="E117"/>
    <mergeCell ref="F116"/>
    <mergeCell ref="G116"/>
    <mergeCell ref="H116"/>
    <mergeCell ref="I116"/>
    <mergeCell ref="J116"/>
    <mergeCell ref="A116"/>
    <mergeCell ref="B116"/>
    <mergeCell ref="C116"/>
    <mergeCell ref="D116"/>
    <mergeCell ref="E116"/>
    <mergeCell ref="F115"/>
    <mergeCell ref="G115"/>
    <mergeCell ref="H115"/>
    <mergeCell ref="I115"/>
    <mergeCell ref="J115"/>
    <mergeCell ref="A115"/>
    <mergeCell ref="B115"/>
    <mergeCell ref="C115"/>
    <mergeCell ref="D115"/>
    <mergeCell ref="E115"/>
    <mergeCell ref="F114"/>
    <mergeCell ref="G114"/>
    <mergeCell ref="H114"/>
    <mergeCell ref="I114"/>
    <mergeCell ref="J114"/>
    <mergeCell ref="A114"/>
    <mergeCell ref="B114"/>
    <mergeCell ref="C114"/>
    <mergeCell ref="D114"/>
    <mergeCell ref="E114"/>
    <mergeCell ref="F113"/>
    <mergeCell ref="G113"/>
    <mergeCell ref="H113"/>
    <mergeCell ref="I113"/>
    <mergeCell ref="J113"/>
    <mergeCell ref="A113"/>
    <mergeCell ref="B113"/>
    <mergeCell ref="C113"/>
    <mergeCell ref="D113"/>
    <mergeCell ref="E113"/>
    <mergeCell ref="F112"/>
    <mergeCell ref="G112"/>
    <mergeCell ref="H112"/>
    <mergeCell ref="I112"/>
    <mergeCell ref="J112"/>
    <mergeCell ref="A112"/>
    <mergeCell ref="B112"/>
    <mergeCell ref="C112"/>
    <mergeCell ref="D112"/>
    <mergeCell ref="E112"/>
    <mergeCell ref="F111"/>
    <mergeCell ref="G111"/>
    <mergeCell ref="H111"/>
    <mergeCell ref="I111"/>
    <mergeCell ref="J111"/>
    <mergeCell ref="A111"/>
    <mergeCell ref="B111"/>
    <mergeCell ref="C111"/>
    <mergeCell ref="D111"/>
    <mergeCell ref="E111"/>
    <mergeCell ref="F110"/>
    <mergeCell ref="G110"/>
    <mergeCell ref="H110"/>
    <mergeCell ref="I110"/>
    <mergeCell ref="J110"/>
    <mergeCell ref="A110"/>
    <mergeCell ref="B110"/>
    <mergeCell ref="C110"/>
    <mergeCell ref="D110"/>
    <mergeCell ref="E110"/>
    <mergeCell ref="F109"/>
    <mergeCell ref="G109"/>
    <mergeCell ref="H109"/>
    <mergeCell ref="I109"/>
    <mergeCell ref="J109"/>
    <mergeCell ref="A109"/>
    <mergeCell ref="B109"/>
    <mergeCell ref="C109"/>
    <mergeCell ref="D109"/>
    <mergeCell ref="E109"/>
    <mergeCell ref="F108"/>
    <mergeCell ref="G108"/>
    <mergeCell ref="H108"/>
    <mergeCell ref="I108"/>
    <mergeCell ref="J108"/>
    <mergeCell ref="A108"/>
    <mergeCell ref="B108"/>
    <mergeCell ref="C108"/>
    <mergeCell ref="D108"/>
    <mergeCell ref="E108"/>
    <mergeCell ref="F107"/>
    <mergeCell ref="G107"/>
    <mergeCell ref="H107"/>
    <mergeCell ref="I107"/>
    <mergeCell ref="J107"/>
    <mergeCell ref="A107"/>
    <mergeCell ref="B107"/>
    <mergeCell ref="C107"/>
    <mergeCell ref="D107"/>
    <mergeCell ref="E107"/>
    <mergeCell ref="F106"/>
    <mergeCell ref="G106"/>
    <mergeCell ref="H106"/>
    <mergeCell ref="I106"/>
    <mergeCell ref="J106"/>
    <mergeCell ref="A106"/>
    <mergeCell ref="B106"/>
    <mergeCell ref="C106"/>
    <mergeCell ref="D106"/>
    <mergeCell ref="E106"/>
    <mergeCell ref="F105"/>
    <mergeCell ref="G105"/>
    <mergeCell ref="H105"/>
    <mergeCell ref="I105"/>
    <mergeCell ref="J105"/>
    <mergeCell ref="A105"/>
    <mergeCell ref="B105"/>
    <mergeCell ref="C105"/>
    <mergeCell ref="D105"/>
    <mergeCell ref="E105"/>
    <mergeCell ref="F104"/>
    <mergeCell ref="G104"/>
    <mergeCell ref="H104"/>
    <mergeCell ref="I104"/>
    <mergeCell ref="J104"/>
    <mergeCell ref="A104"/>
    <mergeCell ref="B104"/>
    <mergeCell ref="C104"/>
    <mergeCell ref="D104"/>
    <mergeCell ref="E104"/>
    <mergeCell ref="F103"/>
    <mergeCell ref="G103"/>
    <mergeCell ref="H103"/>
    <mergeCell ref="I103"/>
    <mergeCell ref="J103"/>
    <mergeCell ref="A103"/>
    <mergeCell ref="B103"/>
    <mergeCell ref="C103"/>
    <mergeCell ref="D103"/>
    <mergeCell ref="E103"/>
    <mergeCell ref="F102"/>
    <mergeCell ref="G102"/>
    <mergeCell ref="H102"/>
    <mergeCell ref="I102"/>
    <mergeCell ref="J102"/>
    <mergeCell ref="A102"/>
    <mergeCell ref="B102"/>
    <mergeCell ref="C102"/>
    <mergeCell ref="D102"/>
    <mergeCell ref="E102"/>
    <mergeCell ref="F101"/>
    <mergeCell ref="G101"/>
    <mergeCell ref="H101"/>
    <mergeCell ref="I101"/>
    <mergeCell ref="J101"/>
    <mergeCell ref="A101"/>
    <mergeCell ref="B101"/>
    <mergeCell ref="C101"/>
    <mergeCell ref="D101"/>
    <mergeCell ref="E101"/>
    <mergeCell ref="F100"/>
    <mergeCell ref="G100"/>
    <mergeCell ref="H100"/>
    <mergeCell ref="I100"/>
    <mergeCell ref="J100"/>
    <mergeCell ref="A100"/>
    <mergeCell ref="B100"/>
    <mergeCell ref="C100"/>
    <mergeCell ref="D100"/>
    <mergeCell ref="E100"/>
    <mergeCell ref="F99"/>
    <mergeCell ref="G99"/>
    <mergeCell ref="H99"/>
    <mergeCell ref="I99"/>
    <mergeCell ref="J99"/>
    <mergeCell ref="A99"/>
    <mergeCell ref="B99"/>
    <mergeCell ref="C99"/>
    <mergeCell ref="D99"/>
    <mergeCell ref="E99"/>
    <mergeCell ref="F98"/>
    <mergeCell ref="G98"/>
    <mergeCell ref="H98"/>
    <mergeCell ref="I98"/>
    <mergeCell ref="J98"/>
    <mergeCell ref="A98"/>
    <mergeCell ref="B98"/>
    <mergeCell ref="C98"/>
    <mergeCell ref="D98"/>
    <mergeCell ref="E98"/>
    <mergeCell ref="F97"/>
    <mergeCell ref="G97"/>
    <mergeCell ref="H97"/>
    <mergeCell ref="I97"/>
    <mergeCell ref="J97"/>
    <mergeCell ref="A97"/>
    <mergeCell ref="B97"/>
    <mergeCell ref="C97"/>
    <mergeCell ref="D97"/>
    <mergeCell ref="E97"/>
    <mergeCell ref="F96"/>
    <mergeCell ref="G96"/>
    <mergeCell ref="H96"/>
    <mergeCell ref="I96"/>
    <mergeCell ref="J96"/>
    <mergeCell ref="A96"/>
    <mergeCell ref="B96"/>
    <mergeCell ref="C96"/>
    <mergeCell ref="D96"/>
    <mergeCell ref="E96"/>
    <mergeCell ref="F95"/>
    <mergeCell ref="G95"/>
    <mergeCell ref="H95"/>
    <mergeCell ref="I95"/>
    <mergeCell ref="J95"/>
    <mergeCell ref="A95"/>
    <mergeCell ref="B95"/>
    <mergeCell ref="C95"/>
    <mergeCell ref="D95"/>
    <mergeCell ref="E95"/>
    <mergeCell ref="F94"/>
    <mergeCell ref="G94"/>
    <mergeCell ref="H94"/>
    <mergeCell ref="I94"/>
    <mergeCell ref="J94"/>
    <mergeCell ref="A94"/>
    <mergeCell ref="B94"/>
    <mergeCell ref="C94"/>
    <mergeCell ref="D94"/>
    <mergeCell ref="E94"/>
    <mergeCell ref="F93"/>
    <mergeCell ref="G93"/>
    <mergeCell ref="H93"/>
    <mergeCell ref="I93"/>
    <mergeCell ref="J93"/>
    <mergeCell ref="A93"/>
    <mergeCell ref="B93"/>
    <mergeCell ref="C93"/>
    <mergeCell ref="D93"/>
    <mergeCell ref="E93"/>
    <mergeCell ref="F92"/>
    <mergeCell ref="G92"/>
    <mergeCell ref="H92"/>
    <mergeCell ref="I92"/>
    <mergeCell ref="J92"/>
    <mergeCell ref="A92"/>
    <mergeCell ref="B92"/>
    <mergeCell ref="C92"/>
    <mergeCell ref="D92"/>
    <mergeCell ref="E92"/>
    <mergeCell ref="F91"/>
    <mergeCell ref="G91"/>
    <mergeCell ref="H91"/>
    <mergeCell ref="I91"/>
    <mergeCell ref="J91"/>
    <mergeCell ref="A91"/>
    <mergeCell ref="B91"/>
    <mergeCell ref="C91"/>
    <mergeCell ref="D91"/>
    <mergeCell ref="E91"/>
    <mergeCell ref="F90"/>
    <mergeCell ref="G90"/>
    <mergeCell ref="H90"/>
    <mergeCell ref="I90"/>
    <mergeCell ref="J90"/>
    <mergeCell ref="A90"/>
    <mergeCell ref="B90"/>
    <mergeCell ref="C90"/>
    <mergeCell ref="D90"/>
    <mergeCell ref="E90"/>
    <mergeCell ref="F89"/>
    <mergeCell ref="G89"/>
    <mergeCell ref="H89"/>
    <mergeCell ref="I89"/>
    <mergeCell ref="J89"/>
    <mergeCell ref="A89"/>
    <mergeCell ref="B89"/>
    <mergeCell ref="C89"/>
    <mergeCell ref="D89"/>
    <mergeCell ref="E89"/>
    <mergeCell ref="F88"/>
    <mergeCell ref="G88"/>
    <mergeCell ref="H88"/>
    <mergeCell ref="I88"/>
    <mergeCell ref="J88"/>
    <mergeCell ref="A88"/>
    <mergeCell ref="B88"/>
    <mergeCell ref="C88"/>
    <mergeCell ref="D88"/>
    <mergeCell ref="E88"/>
    <mergeCell ref="F87"/>
    <mergeCell ref="G87"/>
    <mergeCell ref="H87"/>
    <mergeCell ref="I87"/>
    <mergeCell ref="J87"/>
    <mergeCell ref="A87"/>
    <mergeCell ref="B87"/>
    <mergeCell ref="C87"/>
    <mergeCell ref="D87"/>
    <mergeCell ref="E87"/>
    <mergeCell ref="F86"/>
    <mergeCell ref="G86"/>
    <mergeCell ref="H86"/>
    <mergeCell ref="I86"/>
    <mergeCell ref="J86"/>
    <mergeCell ref="A86"/>
    <mergeCell ref="B86"/>
    <mergeCell ref="C86"/>
    <mergeCell ref="D86"/>
    <mergeCell ref="E86"/>
    <mergeCell ref="F85"/>
    <mergeCell ref="G85"/>
    <mergeCell ref="H85"/>
    <mergeCell ref="I85"/>
    <mergeCell ref="J85"/>
    <mergeCell ref="A85"/>
    <mergeCell ref="B85"/>
    <mergeCell ref="C85"/>
    <mergeCell ref="D85"/>
    <mergeCell ref="E85"/>
    <mergeCell ref="F84"/>
    <mergeCell ref="G84"/>
    <mergeCell ref="H84"/>
    <mergeCell ref="I84"/>
    <mergeCell ref="J84"/>
    <mergeCell ref="A84"/>
    <mergeCell ref="B84"/>
    <mergeCell ref="C84"/>
    <mergeCell ref="D84"/>
    <mergeCell ref="E84"/>
    <mergeCell ref="F83"/>
    <mergeCell ref="G83"/>
    <mergeCell ref="H83"/>
    <mergeCell ref="I83"/>
    <mergeCell ref="J83"/>
    <mergeCell ref="A83"/>
    <mergeCell ref="B83"/>
    <mergeCell ref="C83"/>
    <mergeCell ref="D83"/>
    <mergeCell ref="E83"/>
    <mergeCell ref="F82"/>
    <mergeCell ref="G82"/>
    <mergeCell ref="H82"/>
    <mergeCell ref="I82"/>
    <mergeCell ref="J82"/>
    <mergeCell ref="A82"/>
    <mergeCell ref="B82"/>
    <mergeCell ref="C82"/>
    <mergeCell ref="D82"/>
    <mergeCell ref="E82"/>
    <mergeCell ref="F81"/>
    <mergeCell ref="G81"/>
    <mergeCell ref="H81"/>
    <mergeCell ref="I81"/>
    <mergeCell ref="J81"/>
    <mergeCell ref="A81"/>
    <mergeCell ref="B81"/>
    <mergeCell ref="C81"/>
    <mergeCell ref="D81"/>
    <mergeCell ref="E81"/>
    <mergeCell ref="F80"/>
    <mergeCell ref="G80"/>
    <mergeCell ref="H80"/>
    <mergeCell ref="I80"/>
    <mergeCell ref="J80"/>
    <mergeCell ref="A80"/>
    <mergeCell ref="B80"/>
    <mergeCell ref="C80"/>
    <mergeCell ref="D80"/>
    <mergeCell ref="E80"/>
    <mergeCell ref="F79"/>
    <mergeCell ref="G79"/>
    <mergeCell ref="H79"/>
    <mergeCell ref="I79"/>
    <mergeCell ref="J79"/>
    <mergeCell ref="A79"/>
    <mergeCell ref="B79"/>
    <mergeCell ref="C79"/>
    <mergeCell ref="D79"/>
    <mergeCell ref="E79"/>
    <mergeCell ref="F78"/>
    <mergeCell ref="G78"/>
    <mergeCell ref="H78"/>
    <mergeCell ref="I78"/>
    <mergeCell ref="J78"/>
    <mergeCell ref="A78"/>
    <mergeCell ref="B78"/>
    <mergeCell ref="C78"/>
    <mergeCell ref="D78"/>
    <mergeCell ref="E78"/>
    <mergeCell ref="F77"/>
    <mergeCell ref="G77"/>
    <mergeCell ref="H77"/>
    <mergeCell ref="I77"/>
    <mergeCell ref="J77"/>
    <mergeCell ref="A77"/>
    <mergeCell ref="B77"/>
    <mergeCell ref="C77"/>
    <mergeCell ref="D77"/>
    <mergeCell ref="E77"/>
    <mergeCell ref="F76"/>
    <mergeCell ref="G76"/>
    <mergeCell ref="H76"/>
    <mergeCell ref="I76"/>
    <mergeCell ref="J76"/>
    <mergeCell ref="A76"/>
    <mergeCell ref="B76"/>
    <mergeCell ref="C76"/>
    <mergeCell ref="D76"/>
    <mergeCell ref="E76"/>
    <mergeCell ref="F75"/>
    <mergeCell ref="G75"/>
    <mergeCell ref="H75"/>
    <mergeCell ref="I75"/>
    <mergeCell ref="J75"/>
    <mergeCell ref="A75"/>
    <mergeCell ref="B75"/>
    <mergeCell ref="C75"/>
    <mergeCell ref="D75"/>
    <mergeCell ref="E75"/>
    <mergeCell ref="F74"/>
    <mergeCell ref="G74"/>
    <mergeCell ref="H74"/>
    <mergeCell ref="I74"/>
    <mergeCell ref="J74"/>
    <mergeCell ref="A74"/>
    <mergeCell ref="B74"/>
    <mergeCell ref="C74"/>
    <mergeCell ref="D74"/>
    <mergeCell ref="E74"/>
    <mergeCell ref="F73"/>
    <mergeCell ref="G73"/>
    <mergeCell ref="H73"/>
    <mergeCell ref="I73"/>
    <mergeCell ref="J73"/>
    <mergeCell ref="A73"/>
    <mergeCell ref="B73"/>
    <mergeCell ref="C73"/>
    <mergeCell ref="D73"/>
    <mergeCell ref="E73"/>
    <mergeCell ref="F72"/>
    <mergeCell ref="G72"/>
    <mergeCell ref="H72"/>
    <mergeCell ref="I72"/>
    <mergeCell ref="J72"/>
    <mergeCell ref="A72"/>
    <mergeCell ref="B72"/>
    <mergeCell ref="C72"/>
    <mergeCell ref="D72"/>
    <mergeCell ref="E72"/>
    <mergeCell ref="F71"/>
    <mergeCell ref="G71"/>
    <mergeCell ref="H71"/>
    <mergeCell ref="I71"/>
    <mergeCell ref="J71"/>
    <mergeCell ref="A71"/>
    <mergeCell ref="B71"/>
    <mergeCell ref="C71"/>
    <mergeCell ref="D71"/>
    <mergeCell ref="E71"/>
    <mergeCell ref="F70"/>
    <mergeCell ref="G70"/>
    <mergeCell ref="H70"/>
    <mergeCell ref="I70"/>
    <mergeCell ref="J70"/>
    <mergeCell ref="A70"/>
    <mergeCell ref="B70"/>
    <mergeCell ref="C70"/>
    <mergeCell ref="D70"/>
    <mergeCell ref="E70"/>
    <mergeCell ref="F69"/>
    <mergeCell ref="G69"/>
    <mergeCell ref="H69"/>
    <mergeCell ref="I69"/>
    <mergeCell ref="J69"/>
    <mergeCell ref="A69"/>
    <mergeCell ref="B69"/>
    <mergeCell ref="C69"/>
    <mergeCell ref="D69"/>
    <mergeCell ref="E69"/>
    <mergeCell ref="F68"/>
    <mergeCell ref="G68"/>
    <mergeCell ref="H68"/>
    <mergeCell ref="I68"/>
    <mergeCell ref="J68"/>
    <mergeCell ref="A68"/>
    <mergeCell ref="B68"/>
    <mergeCell ref="C68"/>
    <mergeCell ref="D68"/>
    <mergeCell ref="E68"/>
    <mergeCell ref="F67"/>
    <mergeCell ref="G67"/>
    <mergeCell ref="H67"/>
    <mergeCell ref="I67"/>
    <mergeCell ref="J67"/>
    <mergeCell ref="A67"/>
    <mergeCell ref="B67"/>
    <mergeCell ref="C67"/>
    <mergeCell ref="D67"/>
    <mergeCell ref="E67"/>
    <mergeCell ref="F66"/>
    <mergeCell ref="G66"/>
    <mergeCell ref="H66"/>
    <mergeCell ref="I66"/>
    <mergeCell ref="J66"/>
    <mergeCell ref="A66"/>
    <mergeCell ref="B66"/>
    <mergeCell ref="C66"/>
    <mergeCell ref="D66"/>
    <mergeCell ref="E66"/>
    <mergeCell ref="F65"/>
    <mergeCell ref="G65"/>
    <mergeCell ref="H65"/>
    <mergeCell ref="I65"/>
    <mergeCell ref="J65"/>
    <mergeCell ref="A65"/>
    <mergeCell ref="B65"/>
    <mergeCell ref="C65"/>
    <mergeCell ref="D65"/>
    <mergeCell ref="E65"/>
    <mergeCell ref="F64"/>
    <mergeCell ref="G64"/>
    <mergeCell ref="H64"/>
    <mergeCell ref="I64"/>
    <mergeCell ref="J64"/>
    <mergeCell ref="A64"/>
    <mergeCell ref="B64"/>
    <mergeCell ref="C64"/>
    <mergeCell ref="D64"/>
    <mergeCell ref="E64"/>
    <mergeCell ref="F63"/>
    <mergeCell ref="G63"/>
    <mergeCell ref="H63"/>
    <mergeCell ref="I63"/>
    <mergeCell ref="J63"/>
    <mergeCell ref="A63"/>
    <mergeCell ref="B63"/>
    <mergeCell ref="C63"/>
    <mergeCell ref="D63"/>
    <mergeCell ref="E63"/>
    <mergeCell ref="F62"/>
    <mergeCell ref="G62"/>
    <mergeCell ref="H62"/>
    <mergeCell ref="I62"/>
    <mergeCell ref="J62"/>
    <mergeCell ref="A62"/>
    <mergeCell ref="B62"/>
    <mergeCell ref="C62"/>
    <mergeCell ref="D62"/>
    <mergeCell ref="E62"/>
    <mergeCell ref="F61"/>
    <mergeCell ref="G61"/>
    <mergeCell ref="H61"/>
    <mergeCell ref="I61"/>
    <mergeCell ref="J61"/>
    <mergeCell ref="A61"/>
    <mergeCell ref="B61"/>
    <mergeCell ref="C61"/>
    <mergeCell ref="D61"/>
    <mergeCell ref="E61"/>
    <mergeCell ref="F60"/>
    <mergeCell ref="G60"/>
    <mergeCell ref="H60"/>
    <mergeCell ref="I60"/>
    <mergeCell ref="J60"/>
    <mergeCell ref="A60"/>
    <mergeCell ref="B60"/>
    <mergeCell ref="C60"/>
    <mergeCell ref="D60"/>
    <mergeCell ref="E60"/>
    <mergeCell ref="F59"/>
    <mergeCell ref="G59"/>
    <mergeCell ref="H59"/>
    <mergeCell ref="I59"/>
    <mergeCell ref="J59"/>
    <mergeCell ref="A59"/>
    <mergeCell ref="B59"/>
    <mergeCell ref="C59"/>
    <mergeCell ref="D59"/>
    <mergeCell ref="E59"/>
    <mergeCell ref="F58"/>
    <mergeCell ref="G58"/>
    <mergeCell ref="H58"/>
    <mergeCell ref="I58"/>
    <mergeCell ref="J58"/>
    <mergeCell ref="A58"/>
    <mergeCell ref="B58"/>
    <mergeCell ref="C58"/>
    <mergeCell ref="D58"/>
    <mergeCell ref="E58"/>
    <mergeCell ref="F57"/>
    <mergeCell ref="G57"/>
    <mergeCell ref="H57"/>
    <mergeCell ref="I57"/>
    <mergeCell ref="J57"/>
    <mergeCell ref="A57"/>
    <mergeCell ref="B57"/>
    <mergeCell ref="C57"/>
    <mergeCell ref="D57"/>
    <mergeCell ref="E57"/>
    <mergeCell ref="F56"/>
    <mergeCell ref="G56"/>
    <mergeCell ref="H56"/>
    <mergeCell ref="I56"/>
    <mergeCell ref="J56"/>
    <mergeCell ref="A56"/>
    <mergeCell ref="B56"/>
    <mergeCell ref="C56"/>
    <mergeCell ref="D56"/>
    <mergeCell ref="E56"/>
    <mergeCell ref="F55"/>
    <mergeCell ref="G55"/>
    <mergeCell ref="H55"/>
    <mergeCell ref="I55"/>
    <mergeCell ref="J55"/>
    <mergeCell ref="A55"/>
    <mergeCell ref="B55"/>
    <mergeCell ref="C55"/>
    <mergeCell ref="D55"/>
    <mergeCell ref="E55"/>
    <mergeCell ref="F54"/>
    <mergeCell ref="G54"/>
    <mergeCell ref="H54"/>
    <mergeCell ref="I54"/>
    <mergeCell ref="J54"/>
    <mergeCell ref="A54"/>
    <mergeCell ref="B54"/>
    <mergeCell ref="C54"/>
    <mergeCell ref="D54"/>
    <mergeCell ref="E54"/>
    <mergeCell ref="F53"/>
    <mergeCell ref="G53"/>
    <mergeCell ref="H53"/>
    <mergeCell ref="I53"/>
    <mergeCell ref="J53"/>
    <mergeCell ref="A53"/>
    <mergeCell ref="B53"/>
    <mergeCell ref="C53"/>
    <mergeCell ref="D53"/>
    <mergeCell ref="E53"/>
    <mergeCell ref="F52"/>
    <mergeCell ref="G52"/>
    <mergeCell ref="H52"/>
    <mergeCell ref="I52"/>
    <mergeCell ref="J52"/>
    <mergeCell ref="A52"/>
    <mergeCell ref="B52"/>
    <mergeCell ref="C52"/>
    <mergeCell ref="D52"/>
    <mergeCell ref="E52"/>
    <mergeCell ref="F51"/>
    <mergeCell ref="G51"/>
    <mergeCell ref="H51"/>
    <mergeCell ref="I51"/>
    <mergeCell ref="J51"/>
    <mergeCell ref="A51"/>
    <mergeCell ref="B51"/>
    <mergeCell ref="C51"/>
    <mergeCell ref="D51"/>
    <mergeCell ref="E51"/>
    <mergeCell ref="F50"/>
    <mergeCell ref="G50"/>
    <mergeCell ref="H50"/>
    <mergeCell ref="I50"/>
    <mergeCell ref="J50"/>
    <mergeCell ref="A50"/>
    <mergeCell ref="B50"/>
    <mergeCell ref="C50"/>
    <mergeCell ref="D50"/>
    <mergeCell ref="E50"/>
    <mergeCell ref="F49"/>
    <mergeCell ref="G49"/>
    <mergeCell ref="H49"/>
    <mergeCell ref="I49"/>
    <mergeCell ref="J49"/>
    <mergeCell ref="A49"/>
    <mergeCell ref="B49"/>
    <mergeCell ref="C49"/>
    <mergeCell ref="D49"/>
    <mergeCell ref="E49"/>
    <mergeCell ref="F48"/>
    <mergeCell ref="G48"/>
    <mergeCell ref="H48"/>
    <mergeCell ref="I48"/>
    <mergeCell ref="J48"/>
    <mergeCell ref="A48"/>
    <mergeCell ref="B48"/>
    <mergeCell ref="C48"/>
    <mergeCell ref="D48"/>
    <mergeCell ref="E48"/>
    <mergeCell ref="F47"/>
    <mergeCell ref="G47"/>
    <mergeCell ref="H47"/>
    <mergeCell ref="I47"/>
    <mergeCell ref="J47"/>
    <mergeCell ref="A47"/>
    <mergeCell ref="B47"/>
    <mergeCell ref="C47"/>
    <mergeCell ref="D47"/>
    <mergeCell ref="E47"/>
    <mergeCell ref="F46"/>
    <mergeCell ref="G46"/>
    <mergeCell ref="H46"/>
    <mergeCell ref="I46"/>
    <mergeCell ref="J46"/>
    <mergeCell ref="A46"/>
    <mergeCell ref="B46"/>
    <mergeCell ref="C46"/>
    <mergeCell ref="D46"/>
    <mergeCell ref="E46"/>
    <mergeCell ref="F45"/>
    <mergeCell ref="G45"/>
    <mergeCell ref="H45"/>
    <mergeCell ref="I45"/>
    <mergeCell ref="J45"/>
    <mergeCell ref="A45"/>
    <mergeCell ref="B45"/>
    <mergeCell ref="C45"/>
    <mergeCell ref="D45"/>
    <mergeCell ref="E45"/>
    <mergeCell ref="F44"/>
    <mergeCell ref="G44"/>
    <mergeCell ref="H44"/>
    <mergeCell ref="I44"/>
    <mergeCell ref="J44"/>
    <mergeCell ref="A44"/>
    <mergeCell ref="B44"/>
    <mergeCell ref="C44"/>
    <mergeCell ref="D44"/>
    <mergeCell ref="E44"/>
    <mergeCell ref="F43"/>
    <mergeCell ref="G43"/>
    <mergeCell ref="H43"/>
    <mergeCell ref="I43"/>
    <mergeCell ref="J43"/>
    <mergeCell ref="A43"/>
    <mergeCell ref="B43"/>
    <mergeCell ref="C43"/>
    <mergeCell ref="D43"/>
    <mergeCell ref="E43"/>
    <mergeCell ref="F42"/>
    <mergeCell ref="G42"/>
    <mergeCell ref="H42"/>
    <mergeCell ref="I42"/>
    <mergeCell ref="J42"/>
    <mergeCell ref="A42"/>
    <mergeCell ref="B42"/>
    <mergeCell ref="C42"/>
    <mergeCell ref="D42"/>
    <mergeCell ref="E42"/>
    <mergeCell ref="F41"/>
    <mergeCell ref="G41"/>
    <mergeCell ref="H41"/>
    <mergeCell ref="I41"/>
    <mergeCell ref="J41"/>
    <mergeCell ref="A41"/>
    <mergeCell ref="B41"/>
    <mergeCell ref="C41"/>
    <mergeCell ref="D41"/>
    <mergeCell ref="E41"/>
    <mergeCell ref="F40"/>
    <mergeCell ref="G40"/>
    <mergeCell ref="H40"/>
    <mergeCell ref="I40"/>
    <mergeCell ref="J40"/>
    <mergeCell ref="A40"/>
    <mergeCell ref="B40"/>
    <mergeCell ref="C40"/>
    <mergeCell ref="D40"/>
    <mergeCell ref="E40"/>
    <mergeCell ref="F39"/>
    <mergeCell ref="G39"/>
    <mergeCell ref="H39"/>
    <mergeCell ref="I39"/>
    <mergeCell ref="J39"/>
    <mergeCell ref="A39"/>
    <mergeCell ref="B39"/>
    <mergeCell ref="C39"/>
    <mergeCell ref="D39"/>
    <mergeCell ref="E39"/>
    <mergeCell ref="F38"/>
    <mergeCell ref="G38"/>
    <mergeCell ref="H38"/>
    <mergeCell ref="I38"/>
    <mergeCell ref="J38"/>
    <mergeCell ref="A38"/>
    <mergeCell ref="B38"/>
    <mergeCell ref="C38"/>
    <mergeCell ref="D38"/>
    <mergeCell ref="E38"/>
    <mergeCell ref="F37"/>
    <mergeCell ref="G37"/>
    <mergeCell ref="H37"/>
    <mergeCell ref="I37"/>
    <mergeCell ref="J37"/>
    <mergeCell ref="A37"/>
    <mergeCell ref="B37"/>
    <mergeCell ref="C37"/>
    <mergeCell ref="D37"/>
    <mergeCell ref="E37"/>
    <mergeCell ref="F36"/>
    <mergeCell ref="G36"/>
    <mergeCell ref="H36"/>
    <mergeCell ref="I36"/>
    <mergeCell ref="J36"/>
    <mergeCell ref="A36"/>
    <mergeCell ref="B36"/>
    <mergeCell ref="C36"/>
    <mergeCell ref="D36"/>
    <mergeCell ref="E36"/>
    <mergeCell ref="F35"/>
    <mergeCell ref="G35"/>
    <mergeCell ref="H35"/>
    <mergeCell ref="I35"/>
    <mergeCell ref="J35"/>
    <mergeCell ref="A35"/>
    <mergeCell ref="B35"/>
    <mergeCell ref="C35"/>
    <mergeCell ref="D35"/>
    <mergeCell ref="E35"/>
    <mergeCell ref="F34"/>
    <mergeCell ref="G34"/>
    <mergeCell ref="H34"/>
    <mergeCell ref="I34"/>
    <mergeCell ref="J34"/>
    <mergeCell ref="A34"/>
    <mergeCell ref="B34"/>
    <mergeCell ref="C34"/>
    <mergeCell ref="D34"/>
    <mergeCell ref="E34"/>
    <mergeCell ref="F33"/>
    <mergeCell ref="G33"/>
    <mergeCell ref="H33"/>
    <mergeCell ref="I33"/>
    <mergeCell ref="J33"/>
    <mergeCell ref="A33"/>
    <mergeCell ref="B33"/>
    <mergeCell ref="C33"/>
    <mergeCell ref="D33"/>
    <mergeCell ref="E33"/>
    <mergeCell ref="F32"/>
    <mergeCell ref="G32"/>
    <mergeCell ref="H32"/>
    <mergeCell ref="I32"/>
    <mergeCell ref="J32"/>
    <mergeCell ref="A32"/>
    <mergeCell ref="B32"/>
    <mergeCell ref="C32"/>
    <mergeCell ref="D32"/>
    <mergeCell ref="E32"/>
    <mergeCell ref="F31"/>
    <mergeCell ref="G31"/>
    <mergeCell ref="H31"/>
    <mergeCell ref="I31"/>
    <mergeCell ref="J31"/>
    <mergeCell ref="A31"/>
    <mergeCell ref="B31"/>
    <mergeCell ref="C31"/>
    <mergeCell ref="D31"/>
    <mergeCell ref="E31"/>
    <mergeCell ref="F30"/>
    <mergeCell ref="G30"/>
    <mergeCell ref="H30"/>
    <mergeCell ref="I30"/>
    <mergeCell ref="J30"/>
    <mergeCell ref="A30"/>
    <mergeCell ref="B30"/>
    <mergeCell ref="C30"/>
    <mergeCell ref="D30"/>
    <mergeCell ref="E30"/>
    <mergeCell ref="F29"/>
    <mergeCell ref="G29"/>
    <mergeCell ref="H29"/>
    <mergeCell ref="I29"/>
    <mergeCell ref="J29"/>
    <mergeCell ref="A29"/>
    <mergeCell ref="B29"/>
    <mergeCell ref="C29"/>
    <mergeCell ref="D29"/>
    <mergeCell ref="E29"/>
    <mergeCell ref="F28"/>
    <mergeCell ref="G28"/>
    <mergeCell ref="H28"/>
    <mergeCell ref="I28"/>
    <mergeCell ref="J28"/>
    <mergeCell ref="A28"/>
    <mergeCell ref="B28"/>
    <mergeCell ref="C28"/>
    <mergeCell ref="D28"/>
    <mergeCell ref="E28"/>
    <mergeCell ref="F27"/>
    <mergeCell ref="G27"/>
    <mergeCell ref="H27"/>
    <mergeCell ref="I27"/>
    <mergeCell ref="J27"/>
    <mergeCell ref="A27"/>
    <mergeCell ref="B27"/>
    <mergeCell ref="C27"/>
    <mergeCell ref="D27"/>
    <mergeCell ref="E27"/>
    <mergeCell ref="F26"/>
    <mergeCell ref="G26"/>
    <mergeCell ref="H26"/>
    <mergeCell ref="I26"/>
    <mergeCell ref="J26"/>
    <mergeCell ref="A26"/>
    <mergeCell ref="B26"/>
    <mergeCell ref="C26"/>
    <mergeCell ref="D26"/>
    <mergeCell ref="E26"/>
    <mergeCell ref="F25"/>
    <mergeCell ref="G25"/>
    <mergeCell ref="H25"/>
    <mergeCell ref="I25"/>
    <mergeCell ref="J25"/>
    <mergeCell ref="A25"/>
    <mergeCell ref="B25"/>
    <mergeCell ref="C25"/>
    <mergeCell ref="D25"/>
    <mergeCell ref="E25"/>
    <mergeCell ref="F24"/>
    <mergeCell ref="G24"/>
    <mergeCell ref="H24"/>
    <mergeCell ref="I24"/>
    <mergeCell ref="J24"/>
    <mergeCell ref="A24"/>
    <mergeCell ref="B24"/>
    <mergeCell ref="C24"/>
    <mergeCell ref="D24"/>
    <mergeCell ref="E24"/>
    <mergeCell ref="F23"/>
    <mergeCell ref="G23"/>
    <mergeCell ref="H23"/>
    <mergeCell ref="I23"/>
    <mergeCell ref="J23"/>
    <mergeCell ref="A23"/>
    <mergeCell ref="B23"/>
    <mergeCell ref="C23"/>
    <mergeCell ref="D23"/>
    <mergeCell ref="E23"/>
    <mergeCell ref="F22"/>
    <mergeCell ref="G22"/>
    <mergeCell ref="H22"/>
    <mergeCell ref="I22"/>
    <mergeCell ref="J22"/>
    <mergeCell ref="A22"/>
    <mergeCell ref="B22"/>
    <mergeCell ref="C22"/>
    <mergeCell ref="D22"/>
    <mergeCell ref="E22"/>
    <mergeCell ref="F21"/>
    <mergeCell ref="G21"/>
    <mergeCell ref="H21"/>
    <mergeCell ref="I21"/>
    <mergeCell ref="J21"/>
    <mergeCell ref="A21"/>
    <mergeCell ref="B21"/>
    <mergeCell ref="C21"/>
    <mergeCell ref="D21"/>
    <mergeCell ref="E21"/>
    <mergeCell ref="F20"/>
    <mergeCell ref="G20"/>
    <mergeCell ref="H20"/>
    <mergeCell ref="I20"/>
    <mergeCell ref="J20"/>
    <mergeCell ref="A20"/>
    <mergeCell ref="B20"/>
    <mergeCell ref="C20"/>
    <mergeCell ref="D20"/>
    <mergeCell ref="E20"/>
    <mergeCell ref="F19"/>
    <mergeCell ref="G19"/>
    <mergeCell ref="H19"/>
    <mergeCell ref="I19"/>
    <mergeCell ref="J19"/>
    <mergeCell ref="A19"/>
    <mergeCell ref="B19"/>
    <mergeCell ref="C19"/>
    <mergeCell ref="D19"/>
    <mergeCell ref="E19"/>
    <mergeCell ref="F18"/>
    <mergeCell ref="G18"/>
    <mergeCell ref="H18"/>
    <mergeCell ref="I18"/>
    <mergeCell ref="J18"/>
    <mergeCell ref="A18"/>
    <mergeCell ref="B18"/>
    <mergeCell ref="C18"/>
    <mergeCell ref="D18"/>
    <mergeCell ref="E18"/>
    <mergeCell ref="F17"/>
    <mergeCell ref="G17"/>
    <mergeCell ref="H17"/>
    <mergeCell ref="I17"/>
    <mergeCell ref="J17"/>
    <mergeCell ref="A17"/>
    <mergeCell ref="B17"/>
    <mergeCell ref="C17"/>
    <mergeCell ref="D17"/>
    <mergeCell ref="E17"/>
    <mergeCell ref="F16"/>
    <mergeCell ref="G16"/>
    <mergeCell ref="H16"/>
    <mergeCell ref="I16"/>
    <mergeCell ref="J16"/>
    <mergeCell ref="A16"/>
    <mergeCell ref="B16"/>
    <mergeCell ref="C16"/>
    <mergeCell ref="D16"/>
    <mergeCell ref="E16"/>
    <mergeCell ref="F15"/>
    <mergeCell ref="G15"/>
    <mergeCell ref="H15"/>
    <mergeCell ref="I15"/>
    <mergeCell ref="J15"/>
    <mergeCell ref="A15"/>
    <mergeCell ref="B15"/>
    <mergeCell ref="C15"/>
    <mergeCell ref="D15"/>
    <mergeCell ref="E15"/>
    <mergeCell ref="F14"/>
    <mergeCell ref="G14"/>
    <mergeCell ref="H14"/>
    <mergeCell ref="I14"/>
    <mergeCell ref="J14"/>
    <mergeCell ref="A14"/>
    <mergeCell ref="B14"/>
    <mergeCell ref="C14"/>
    <mergeCell ref="D14"/>
    <mergeCell ref="E14"/>
    <mergeCell ref="F13"/>
    <mergeCell ref="G13"/>
    <mergeCell ref="H13"/>
    <mergeCell ref="I13"/>
    <mergeCell ref="J13"/>
    <mergeCell ref="A13"/>
    <mergeCell ref="B13"/>
    <mergeCell ref="C13"/>
    <mergeCell ref="D13"/>
    <mergeCell ref="E13"/>
    <mergeCell ref="F12"/>
    <mergeCell ref="G12"/>
    <mergeCell ref="H12"/>
    <mergeCell ref="I12"/>
    <mergeCell ref="J12"/>
    <mergeCell ref="A12"/>
    <mergeCell ref="B12"/>
    <mergeCell ref="C12"/>
    <mergeCell ref="D12"/>
    <mergeCell ref="E12"/>
    <mergeCell ref="F11"/>
    <mergeCell ref="G11"/>
    <mergeCell ref="H11"/>
    <mergeCell ref="I11"/>
    <mergeCell ref="J11"/>
    <mergeCell ref="A11"/>
    <mergeCell ref="B11"/>
    <mergeCell ref="C11"/>
    <mergeCell ref="D11"/>
    <mergeCell ref="E11"/>
    <mergeCell ref="F10"/>
    <mergeCell ref="G10"/>
    <mergeCell ref="H10"/>
    <mergeCell ref="I10"/>
    <mergeCell ref="J10"/>
    <mergeCell ref="A10"/>
    <mergeCell ref="B10"/>
    <mergeCell ref="C10"/>
    <mergeCell ref="D10"/>
    <mergeCell ref="E10"/>
    <mergeCell ref="F9"/>
    <mergeCell ref="G9"/>
    <mergeCell ref="H9"/>
    <mergeCell ref="I9"/>
    <mergeCell ref="J9"/>
    <mergeCell ref="A9"/>
    <mergeCell ref="B9"/>
    <mergeCell ref="C9"/>
    <mergeCell ref="D9"/>
    <mergeCell ref="E9"/>
    <mergeCell ref="F8"/>
    <mergeCell ref="G8"/>
    <mergeCell ref="H8"/>
    <mergeCell ref="I8"/>
    <mergeCell ref="J8"/>
    <mergeCell ref="A8"/>
    <mergeCell ref="B8"/>
    <mergeCell ref="C8"/>
    <mergeCell ref="D8"/>
    <mergeCell ref="E8"/>
    <mergeCell ref="F7"/>
    <mergeCell ref="G7"/>
    <mergeCell ref="H7"/>
    <mergeCell ref="I7"/>
    <mergeCell ref="J7"/>
    <mergeCell ref="A7"/>
    <mergeCell ref="B7"/>
    <mergeCell ref="C7"/>
    <mergeCell ref="D7"/>
    <mergeCell ref="E7"/>
    <mergeCell ref="F6"/>
    <mergeCell ref="G6"/>
    <mergeCell ref="H6"/>
    <mergeCell ref="I6"/>
    <mergeCell ref="J6"/>
    <mergeCell ref="A6"/>
    <mergeCell ref="B6"/>
    <mergeCell ref="C6"/>
    <mergeCell ref="D6"/>
    <mergeCell ref="E6"/>
    <mergeCell ref="F5"/>
    <mergeCell ref="G5"/>
    <mergeCell ref="H5"/>
    <mergeCell ref="I5"/>
    <mergeCell ref="J5"/>
    <mergeCell ref="A5"/>
    <mergeCell ref="B5"/>
    <mergeCell ref="C5"/>
    <mergeCell ref="D5"/>
    <mergeCell ref="E5"/>
    <mergeCell ref="A1:L2"/>
    <mergeCell ref="B3:J3"/>
    <mergeCell ref="K3"/>
    <mergeCell ref="L3"/>
    <mergeCell ref="B4"/>
    <mergeCell ref="C4"/>
    <mergeCell ref="D4"/>
    <mergeCell ref="E4"/>
    <mergeCell ref="F4"/>
    <mergeCell ref="G4"/>
    <mergeCell ref="H4"/>
    <mergeCell ref="I4"/>
    <mergeCell ref="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G1121"/>
  <sheetViews>
    <sheetView workbookViewId="0">
      <selection activeCell="U47" sqref="U47"/>
    </sheetView>
  </sheetViews>
  <sheetFormatPr baseColWidth="10" defaultColWidth="9.140625" defaultRowHeight="15" x14ac:dyDescent="0.25"/>
  <cols>
    <col min="1" max="1" width="20" bestFit="1" customWidth="1"/>
    <col min="9" max="9" width="34.140625" bestFit="1" customWidth="1"/>
    <col min="10" max="10" width="25" customWidth="1"/>
    <col min="11" max="11" width="33" bestFit="1" customWidth="1"/>
    <col min="12" max="13" width="10" customWidth="1"/>
    <col min="14" max="14" width="15" customWidth="1"/>
    <col min="15" max="15" width="10" customWidth="1"/>
    <col min="21" max="21" width="34.140625" bestFit="1" customWidth="1"/>
    <col min="22" max="22" width="25" customWidth="1"/>
    <col min="23" max="23" width="58.85546875" bestFit="1" customWidth="1"/>
    <col min="24" max="25" width="10" customWidth="1"/>
    <col min="26" max="26" width="15" customWidth="1"/>
    <col min="27" max="27" width="10" customWidth="1"/>
  </cols>
  <sheetData>
    <row r="1" spans="1:29" x14ac:dyDescent="0.25">
      <c r="A1" s="44" t="s">
        <v>0</v>
      </c>
      <c r="B1" s="44"/>
      <c r="C1" s="44"/>
      <c r="D1" s="44"/>
      <c r="E1" s="44"/>
    </row>
    <row r="2" spans="1:29" x14ac:dyDescent="0.25">
      <c r="A2" s="45" t="s">
        <v>330</v>
      </c>
      <c r="B2" s="46" t="s">
        <v>455</v>
      </c>
      <c r="C2" s="46"/>
      <c r="D2" s="46" t="s">
        <v>456</v>
      </c>
      <c r="E2" s="46"/>
    </row>
    <row r="3" spans="1:29" x14ac:dyDescent="0.25">
      <c r="A3" s="45"/>
      <c r="B3" s="47" t="s">
        <v>332</v>
      </c>
      <c r="C3" s="47" t="s">
        <v>5</v>
      </c>
      <c r="D3" s="47" t="s">
        <v>332</v>
      </c>
      <c r="E3" s="47" t="s">
        <v>5</v>
      </c>
      <c r="G3" s="4"/>
      <c r="H3" s="4"/>
      <c r="I3" s="4" t="s">
        <v>456</v>
      </c>
      <c r="J3" s="4"/>
      <c r="K3" s="4"/>
      <c r="L3" s="4"/>
      <c r="M3" s="4"/>
      <c r="N3" s="4"/>
      <c r="O3" s="4"/>
      <c r="P3" s="4"/>
      <c r="Q3" s="4"/>
      <c r="S3" s="18"/>
      <c r="T3" s="18"/>
      <c r="U3" s="18" t="s">
        <v>456</v>
      </c>
      <c r="V3" s="18"/>
      <c r="W3" s="18"/>
      <c r="X3" s="18"/>
      <c r="Y3" s="18"/>
      <c r="Z3" s="18"/>
      <c r="AA3" s="18"/>
      <c r="AB3" s="18"/>
      <c r="AC3" s="18"/>
    </row>
    <row r="4" spans="1:29" x14ac:dyDescent="0.25">
      <c r="A4" t="s">
        <v>24</v>
      </c>
      <c r="B4">
        <f>SUM('Satisfacción de los comités d'!B5:J5)</f>
        <v>31</v>
      </c>
      <c r="C4" t="str">
        <f t="shared" ref="C4:C67" si="0">IF(B4&lt;=$M$19,"Bajo",IF(B4&lt;=$M$20,"Medio",IF(B4&lt;=$M$21,"Alto",0)))</f>
        <v>Medio</v>
      </c>
      <c r="D4">
        <f t="shared" ref="D4:D67" si="1">SUM(B4:B4)</f>
        <v>31</v>
      </c>
      <c r="E4" t="str">
        <f t="shared" ref="E4:E67" si="2">IF(D4&lt;=$Y$19,"Bajo",IF(D4&lt;=$Y$20,"Medio",IF(D4&lt;=$Y$21,"Alto",0)))</f>
        <v>Medio</v>
      </c>
      <c r="G4" s="4"/>
      <c r="I4" s="3" t="s">
        <v>333</v>
      </c>
      <c r="J4" s="3" t="s">
        <v>456</v>
      </c>
      <c r="Q4" s="4"/>
      <c r="S4" s="18"/>
      <c r="U4" s="3" t="s">
        <v>333</v>
      </c>
      <c r="V4" s="3" t="s">
        <v>456</v>
      </c>
      <c r="AC4" s="18"/>
    </row>
    <row r="5" spans="1:29" x14ac:dyDescent="0.25">
      <c r="A5" t="s">
        <v>25</v>
      </c>
      <c r="B5">
        <f>SUM('Satisfacción de los comités d'!B6:J6)</f>
        <v>20</v>
      </c>
      <c r="C5" t="str">
        <f t="shared" si="0"/>
        <v>Bajo</v>
      </c>
      <c r="D5">
        <f t="shared" si="1"/>
        <v>20</v>
      </c>
      <c r="E5" t="str">
        <f t="shared" si="2"/>
        <v>Bajo</v>
      </c>
      <c r="G5" s="4"/>
      <c r="I5" s="3">
        <v>3</v>
      </c>
      <c r="J5" s="3" t="str">
        <f>B2</f>
        <v>Satisfacción del servicio</v>
      </c>
      <c r="Q5" s="4"/>
      <c r="S5" s="18"/>
      <c r="U5">
        <v>3</v>
      </c>
      <c r="AC5" s="18"/>
    </row>
    <row r="6" spans="1:29" x14ac:dyDescent="0.25">
      <c r="A6" t="s">
        <v>26</v>
      </c>
      <c r="B6">
        <f>SUM('Satisfacción de los comités d'!B7:J7)</f>
        <v>26</v>
      </c>
      <c r="C6" t="str">
        <f t="shared" si="0"/>
        <v>Medio</v>
      </c>
      <c r="D6">
        <f t="shared" si="1"/>
        <v>26</v>
      </c>
      <c r="E6" t="str">
        <f t="shared" si="2"/>
        <v>Medio</v>
      </c>
      <c r="G6" s="4"/>
      <c r="I6" s="3" t="s">
        <v>334</v>
      </c>
      <c r="J6" s="3">
        <v>3</v>
      </c>
      <c r="Q6" s="4"/>
      <c r="S6" s="18"/>
      <c r="U6" s="3" t="s">
        <v>334</v>
      </c>
      <c r="V6" s="3">
        <v>3</v>
      </c>
      <c r="AC6" s="18"/>
    </row>
    <row r="7" spans="1:29" x14ac:dyDescent="0.25">
      <c r="A7" t="s">
        <v>27</v>
      </c>
      <c r="B7">
        <f>SUM('Satisfacción de los comités d'!B8:J8)</f>
        <v>35</v>
      </c>
      <c r="C7" t="str">
        <f t="shared" si="0"/>
        <v>Alto</v>
      </c>
      <c r="D7">
        <f t="shared" si="1"/>
        <v>35</v>
      </c>
      <c r="E7" t="str">
        <f t="shared" si="2"/>
        <v>Alto</v>
      </c>
      <c r="G7" s="4"/>
      <c r="I7" s="3">
        <v>1</v>
      </c>
      <c r="J7" s="3">
        <v>9</v>
      </c>
      <c r="Q7" s="4"/>
      <c r="S7" s="18"/>
      <c r="U7" s="3">
        <v>1</v>
      </c>
      <c r="V7" s="3">
        <v>9</v>
      </c>
      <c r="AC7" s="18"/>
    </row>
    <row r="8" spans="1:29" x14ac:dyDescent="0.25">
      <c r="A8" t="s">
        <v>28</v>
      </c>
      <c r="B8">
        <f>SUM('Satisfacción de los comités d'!B9:J9)</f>
        <v>35</v>
      </c>
      <c r="C8" t="str">
        <f t="shared" si="0"/>
        <v>Alto</v>
      </c>
      <c r="D8">
        <f t="shared" si="1"/>
        <v>35</v>
      </c>
      <c r="E8" t="str">
        <f t="shared" si="2"/>
        <v>Alto</v>
      </c>
      <c r="G8" s="4"/>
      <c r="I8" s="3">
        <v>5</v>
      </c>
      <c r="J8" s="3">
        <v>1</v>
      </c>
      <c r="Q8" s="4"/>
      <c r="S8" s="18"/>
      <c r="U8" s="3">
        <v>5</v>
      </c>
      <c r="V8" s="3">
        <v>1</v>
      </c>
      <c r="AC8" s="18"/>
    </row>
    <row r="9" spans="1:29" x14ac:dyDescent="0.25">
      <c r="A9" t="s">
        <v>29</v>
      </c>
      <c r="B9">
        <f>SUM('Satisfacción de los comités d'!B10:J10)</f>
        <v>27</v>
      </c>
      <c r="C9" t="str">
        <f t="shared" si="0"/>
        <v>Medio</v>
      </c>
      <c r="D9">
        <f t="shared" si="1"/>
        <v>27</v>
      </c>
      <c r="E9" t="str">
        <f t="shared" si="2"/>
        <v>Medio</v>
      </c>
      <c r="G9" s="4"/>
      <c r="I9" s="3" t="s">
        <v>335</v>
      </c>
      <c r="J9" s="3">
        <v>5</v>
      </c>
      <c r="Q9" s="4"/>
      <c r="S9" s="18"/>
      <c r="U9" s="3" t="s">
        <v>335</v>
      </c>
      <c r="V9" s="3">
        <v>5</v>
      </c>
      <c r="AC9" s="18"/>
    </row>
    <row r="10" spans="1:29" x14ac:dyDescent="0.25">
      <c r="A10" t="s">
        <v>30</v>
      </c>
      <c r="B10">
        <f>SUM('Satisfacción de los comités d'!B11:J11)</f>
        <v>32</v>
      </c>
      <c r="C10" t="str">
        <f t="shared" si="0"/>
        <v>Medio</v>
      </c>
      <c r="D10">
        <f t="shared" si="1"/>
        <v>32</v>
      </c>
      <c r="E10" t="str">
        <f t="shared" si="2"/>
        <v>Medio</v>
      </c>
      <c r="G10" s="4"/>
      <c r="I10" s="3" t="s">
        <v>336</v>
      </c>
      <c r="J10" s="3">
        <f>J7*J9</f>
        <v>45</v>
      </c>
      <c r="Q10" s="4"/>
      <c r="S10" s="18"/>
      <c r="U10" s="3" t="s">
        <v>336</v>
      </c>
      <c r="V10" s="3">
        <f>V7*V9</f>
        <v>45</v>
      </c>
      <c r="AC10" s="18"/>
    </row>
    <row r="11" spans="1:29" x14ac:dyDescent="0.25">
      <c r="A11" t="s">
        <v>31</v>
      </c>
      <c r="B11">
        <f>SUM('Satisfacción de los comités d'!B12:J12)</f>
        <v>18</v>
      </c>
      <c r="C11" t="str">
        <f t="shared" si="0"/>
        <v>Bajo</v>
      </c>
      <c r="D11">
        <f t="shared" si="1"/>
        <v>18</v>
      </c>
      <c r="E11" t="str">
        <f t="shared" si="2"/>
        <v>Bajo</v>
      </c>
      <c r="G11" s="4"/>
      <c r="I11" s="3" t="s">
        <v>337</v>
      </c>
      <c r="J11" s="3">
        <f>J8*J7</f>
        <v>9</v>
      </c>
      <c r="Q11" s="4"/>
      <c r="S11" s="18"/>
      <c r="U11" s="3" t="s">
        <v>337</v>
      </c>
      <c r="V11" s="3">
        <f>V8*V7</f>
        <v>9</v>
      </c>
      <c r="AC11" s="18"/>
    </row>
    <row r="12" spans="1:29" x14ac:dyDescent="0.25">
      <c r="A12" t="s">
        <v>32</v>
      </c>
      <c r="B12">
        <f>SUM('Satisfacción de los comités d'!B13:J13)</f>
        <v>21</v>
      </c>
      <c r="C12" t="str">
        <f t="shared" si="0"/>
        <v>Bajo</v>
      </c>
      <c r="D12">
        <f t="shared" si="1"/>
        <v>21</v>
      </c>
      <c r="E12" t="str">
        <f t="shared" si="2"/>
        <v>Medio</v>
      </c>
      <c r="G12" s="4"/>
      <c r="I12" s="3" t="s">
        <v>338</v>
      </c>
      <c r="J12" s="3">
        <f>J10-J11</f>
        <v>36</v>
      </c>
      <c r="Q12" s="4"/>
      <c r="S12" s="18"/>
      <c r="U12" s="3" t="s">
        <v>338</v>
      </c>
      <c r="V12" s="3">
        <f>V10-V11</f>
        <v>36</v>
      </c>
      <c r="AC12" s="18"/>
    </row>
    <row r="13" spans="1:29" x14ac:dyDescent="0.25">
      <c r="A13" t="s">
        <v>33</v>
      </c>
      <c r="B13">
        <f>SUM('Satisfacción de los comités d'!B14:J14)</f>
        <v>33</v>
      </c>
      <c r="C13" t="str">
        <f t="shared" si="0"/>
        <v>Medio</v>
      </c>
      <c r="D13">
        <f t="shared" si="1"/>
        <v>33</v>
      </c>
      <c r="E13" t="str">
        <f t="shared" si="2"/>
        <v>Alto</v>
      </c>
      <c r="G13" s="4"/>
      <c r="I13" s="3" t="s">
        <v>339</v>
      </c>
      <c r="J13" s="3">
        <f>ROUND(J12/J6,0)</f>
        <v>12</v>
      </c>
      <c r="Q13" s="4"/>
      <c r="S13" s="18"/>
      <c r="U13" s="3" t="s">
        <v>339</v>
      </c>
      <c r="V13" s="3">
        <f>ROUND(V12/V6,0)</f>
        <v>12</v>
      </c>
      <c r="AC13" s="18"/>
    </row>
    <row r="14" spans="1:29" x14ac:dyDescent="0.25">
      <c r="A14" t="s">
        <v>34</v>
      </c>
      <c r="B14">
        <f>SUM('Satisfacción de los comités d'!B15:J15)</f>
        <v>24</v>
      </c>
      <c r="C14" t="str">
        <f t="shared" si="0"/>
        <v>Medio</v>
      </c>
      <c r="D14">
        <f t="shared" si="1"/>
        <v>24</v>
      </c>
      <c r="E14" t="str">
        <f t="shared" si="2"/>
        <v>Medio</v>
      </c>
      <c r="G14" s="4"/>
      <c r="K14" s="8"/>
      <c r="L14" s="8"/>
      <c r="M14" s="8"/>
      <c r="N14" s="8"/>
      <c r="O14" s="8"/>
      <c r="Q14" s="4"/>
      <c r="S14" s="18"/>
      <c r="W14" s="8"/>
      <c r="X14" s="8"/>
      <c r="Y14" s="8"/>
      <c r="Z14" s="8"/>
      <c r="AA14" s="8"/>
      <c r="AC14" s="18"/>
    </row>
    <row r="15" spans="1:29" x14ac:dyDescent="0.25">
      <c r="A15" t="s">
        <v>35</v>
      </c>
      <c r="B15">
        <f>SUM('Satisfacción de los comités d'!B16:J16)</f>
        <v>34</v>
      </c>
      <c r="C15" t="str">
        <f t="shared" si="0"/>
        <v>Medio</v>
      </c>
      <c r="D15">
        <f t="shared" si="1"/>
        <v>34</v>
      </c>
      <c r="E15" t="str">
        <f t="shared" si="2"/>
        <v>Alto</v>
      </c>
      <c r="G15" s="4"/>
      <c r="K15" s="15" t="s">
        <v>340</v>
      </c>
      <c r="L15" s="8"/>
      <c r="M15" s="8"/>
      <c r="N15" s="8"/>
      <c r="O15" s="8"/>
      <c r="Q15" s="4"/>
      <c r="S15" s="18"/>
      <c r="W15" s="15" t="s">
        <v>341</v>
      </c>
      <c r="X15" s="8"/>
      <c r="Y15" s="8"/>
      <c r="Z15" s="8"/>
      <c r="AA15" s="8"/>
      <c r="AC15" s="18"/>
    </row>
    <row r="16" spans="1:29" x14ac:dyDescent="0.25">
      <c r="A16" t="s">
        <v>36</v>
      </c>
      <c r="B16">
        <f>SUM('Satisfacción de los comités d'!B17:J17)</f>
        <v>22</v>
      </c>
      <c r="C16" t="str">
        <f t="shared" si="0"/>
        <v>Medio</v>
      </c>
      <c r="D16">
        <f t="shared" si="1"/>
        <v>22</v>
      </c>
      <c r="E16" t="str">
        <f t="shared" si="2"/>
        <v>Medio</v>
      </c>
      <c r="G16" s="4"/>
      <c r="K16" s="16" t="str">
        <f>J5</f>
        <v>Satisfacción del servicio</v>
      </c>
      <c r="L16" s="11"/>
      <c r="M16" s="11"/>
      <c r="N16" s="11"/>
      <c r="O16" s="11"/>
      <c r="Q16" s="4"/>
      <c r="S16" s="18"/>
      <c r="W16" s="16" t="str">
        <f>V4</f>
        <v>Satisfacción de los comités del Programa Vaso de Leche</v>
      </c>
      <c r="X16" s="11"/>
      <c r="Y16" s="11"/>
      <c r="Z16" s="11"/>
      <c r="AA16" s="11"/>
      <c r="AC16" s="18"/>
    </row>
    <row r="17" spans="1:29" x14ac:dyDescent="0.25">
      <c r="A17" t="s">
        <v>37</v>
      </c>
      <c r="B17">
        <f>SUM('Satisfacción de los comités d'!B18:J18)</f>
        <v>27</v>
      </c>
      <c r="C17" t="str">
        <f t="shared" si="0"/>
        <v>Medio</v>
      </c>
      <c r="D17">
        <f t="shared" si="1"/>
        <v>27</v>
      </c>
      <c r="E17" t="str">
        <f t="shared" si="2"/>
        <v>Medio</v>
      </c>
      <c r="G17" s="4"/>
      <c r="K17" s="48" t="s">
        <v>344</v>
      </c>
      <c r="L17" s="50" t="s">
        <v>338</v>
      </c>
      <c r="M17" s="50"/>
      <c r="N17" s="50" t="s">
        <v>345</v>
      </c>
      <c r="O17" s="50" t="s">
        <v>346</v>
      </c>
      <c r="Q17" s="4"/>
      <c r="S17" s="18"/>
      <c r="W17" s="48" t="s">
        <v>344</v>
      </c>
      <c r="X17" s="50" t="s">
        <v>338</v>
      </c>
      <c r="Y17" s="50"/>
      <c r="Z17" s="50" t="s">
        <v>345</v>
      </c>
      <c r="AA17" s="50" t="s">
        <v>346</v>
      </c>
      <c r="AC17" s="18"/>
    </row>
    <row r="18" spans="1:29" x14ac:dyDescent="0.25">
      <c r="A18" t="s">
        <v>38</v>
      </c>
      <c r="B18">
        <f>SUM('Satisfacción de los comités d'!B19:J19)</f>
        <v>26</v>
      </c>
      <c r="C18" t="str">
        <f t="shared" si="0"/>
        <v>Medio</v>
      </c>
      <c r="D18">
        <f t="shared" si="1"/>
        <v>26</v>
      </c>
      <c r="E18" t="str">
        <f t="shared" si="2"/>
        <v>Medio</v>
      </c>
      <c r="G18" s="4"/>
      <c r="K18" s="49"/>
      <c r="L18" s="11" t="s">
        <v>347</v>
      </c>
      <c r="M18" s="11" t="s">
        <v>348</v>
      </c>
      <c r="N18" s="51"/>
      <c r="O18" s="51"/>
      <c r="Q18" s="4"/>
      <c r="S18" s="18"/>
      <c r="W18" s="49"/>
      <c r="X18" s="11" t="s">
        <v>347</v>
      </c>
      <c r="Y18" s="11" t="s">
        <v>348</v>
      </c>
      <c r="Z18" s="51"/>
      <c r="AA18" s="51"/>
      <c r="AC18" s="18"/>
    </row>
    <row r="19" spans="1:29" x14ac:dyDescent="0.25">
      <c r="A19" t="s">
        <v>39</v>
      </c>
      <c r="B19">
        <f>SUM('Satisfacción de los comités d'!B20:J20)</f>
        <v>27</v>
      </c>
      <c r="C19" t="str">
        <f t="shared" si="0"/>
        <v>Medio</v>
      </c>
      <c r="D19">
        <f t="shared" si="1"/>
        <v>27</v>
      </c>
      <c r="E19" t="str">
        <f t="shared" si="2"/>
        <v>Medio</v>
      </c>
      <c r="G19" s="4"/>
      <c r="K19" s="9" t="s">
        <v>349</v>
      </c>
      <c r="L19" s="9">
        <f>J11</f>
        <v>9</v>
      </c>
      <c r="M19" s="9">
        <f>L19+J13</f>
        <v>21</v>
      </c>
      <c r="N19" s="9">
        <f>COUNTIF($C$4:$C$292,$K19)</f>
        <v>56</v>
      </c>
      <c r="O19" s="13">
        <f>N19/N22</f>
        <v>0.19377162629757785</v>
      </c>
      <c r="Q19" s="4"/>
      <c r="S19" s="18"/>
      <c r="W19" s="9" t="s">
        <v>349</v>
      </c>
      <c r="X19" s="9">
        <f>V11</f>
        <v>9</v>
      </c>
      <c r="Y19" s="9">
        <f>X19+V13 - 1</f>
        <v>20</v>
      </c>
      <c r="Z19" s="9">
        <f>COUNTIF($E$4:$E$292,$W19)</f>
        <v>44</v>
      </c>
      <c r="AA19" s="13">
        <f>Z19/Z22</f>
        <v>0.15224913494809689</v>
      </c>
      <c r="AC19" s="18"/>
    </row>
    <row r="20" spans="1:29" x14ac:dyDescent="0.25">
      <c r="A20" t="s">
        <v>40</v>
      </c>
      <c r="B20">
        <f>SUM('Satisfacción de los comités d'!B21:J21)</f>
        <v>26</v>
      </c>
      <c r="C20" t="str">
        <f t="shared" si="0"/>
        <v>Medio</v>
      </c>
      <c r="D20">
        <f t="shared" si="1"/>
        <v>26</v>
      </c>
      <c r="E20" t="str">
        <f t="shared" si="2"/>
        <v>Medio</v>
      </c>
      <c r="G20" s="4"/>
      <c r="K20" s="9" t="s">
        <v>457</v>
      </c>
      <c r="L20" s="9">
        <f>M19+ 1</f>
        <v>22</v>
      </c>
      <c r="M20" s="9">
        <f>L20+J13</f>
        <v>34</v>
      </c>
      <c r="N20" s="9">
        <f>COUNTIF($C$4:$C$292,$K20)</f>
        <v>190</v>
      </c>
      <c r="O20" s="13">
        <f>N20/N22</f>
        <v>0.65743944636678198</v>
      </c>
      <c r="Q20" s="4"/>
      <c r="S20" s="18"/>
      <c r="W20" s="9" t="s">
        <v>457</v>
      </c>
      <c r="X20" s="9">
        <f>Y19+ 1</f>
        <v>21</v>
      </c>
      <c r="Y20" s="9">
        <f>X20+V13 - 1</f>
        <v>32</v>
      </c>
      <c r="Z20" s="9">
        <f>COUNTIF($E$4:$E$292,$W20)</f>
        <v>189</v>
      </c>
      <c r="AA20" s="13">
        <f>Z20/Z22</f>
        <v>0.65397923875432529</v>
      </c>
      <c r="AC20" s="18"/>
    </row>
    <row r="21" spans="1:29" x14ac:dyDescent="0.25">
      <c r="A21" t="s">
        <v>41</v>
      </c>
      <c r="B21">
        <f>SUM('Satisfacción de los comités d'!B22:J22)</f>
        <v>22</v>
      </c>
      <c r="C21" t="str">
        <f t="shared" si="0"/>
        <v>Medio</v>
      </c>
      <c r="D21">
        <f t="shared" si="1"/>
        <v>22</v>
      </c>
      <c r="E21" t="str">
        <f t="shared" si="2"/>
        <v>Medio</v>
      </c>
      <c r="G21" s="4"/>
      <c r="K21" s="9" t="s">
        <v>351</v>
      </c>
      <c r="L21" s="9">
        <f>M20+ 1</f>
        <v>35</v>
      </c>
      <c r="M21" s="9">
        <f>J10</f>
        <v>45</v>
      </c>
      <c r="N21" s="9">
        <f>COUNTIF($C$4:$C$292,$K21)</f>
        <v>43</v>
      </c>
      <c r="O21" s="13">
        <f>N21/N22</f>
        <v>0.14878892733564014</v>
      </c>
      <c r="Q21" s="4"/>
      <c r="S21" s="18"/>
      <c r="W21" s="9" t="s">
        <v>351</v>
      </c>
      <c r="X21" s="9">
        <f>Y20+ 1</f>
        <v>33</v>
      </c>
      <c r="Y21" s="9">
        <f>V10</f>
        <v>45</v>
      </c>
      <c r="Z21" s="9">
        <f>COUNTIF($E$4:$E$292,$W21)</f>
        <v>56</v>
      </c>
      <c r="AA21" s="13">
        <f>Z21/Z22</f>
        <v>0.19377162629757785</v>
      </c>
      <c r="AC21" s="18"/>
    </row>
    <row r="22" spans="1:29" x14ac:dyDescent="0.25">
      <c r="A22" t="s">
        <v>42</v>
      </c>
      <c r="B22">
        <f>SUM('Satisfacción de los comités d'!B23:J23)</f>
        <v>20</v>
      </c>
      <c r="C22" t="str">
        <f t="shared" si="0"/>
        <v>Bajo</v>
      </c>
      <c r="D22">
        <f t="shared" si="1"/>
        <v>20</v>
      </c>
      <c r="E22" t="str">
        <f t="shared" si="2"/>
        <v>Bajo</v>
      </c>
      <c r="G22" s="4"/>
      <c r="K22" s="10" t="s">
        <v>4</v>
      </c>
      <c r="L22" s="12"/>
      <c r="M22" s="10"/>
      <c r="N22" s="10">
        <f>SUM(N19:N21)</f>
        <v>289</v>
      </c>
      <c r="O22" s="14">
        <f>SUM(O19:O21)</f>
        <v>1</v>
      </c>
      <c r="Q22" s="4"/>
      <c r="S22" s="18"/>
      <c r="W22" s="10" t="s">
        <v>4</v>
      </c>
      <c r="X22" s="12"/>
      <c r="Y22" s="10"/>
      <c r="Z22" s="10">
        <f>SUM(Z19:Z21)</f>
        <v>289</v>
      </c>
      <c r="AA22" s="14">
        <f>SUM(AA19:AA21)</f>
        <v>1</v>
      </c>
      <c r="AC22" s="18"/>
    </row>
    <row r="23" spans="1:29" x14ac:dyDescent="0.25">
      <c r="A23" t="s">
        <v>43</v>
      </c>
      <c r="B23">
        <f>SUM('Satisfacción de los comités d'!B24:J24)</f>
        <v>36</v>
      </c>
      <c r="C23" t="str">
        <f t="shared" si="0"/>
        <v>Alto</v>
      </c>
      <c r="D23">
        <f t="shared" si="1"/>
        <v>36</v>
      </c>
      <c r="E23" t="str">
        <f t="shared" si="2"/>
        <v>Alto</v>
      </c>
      <c r="G23" s="4"/>
      <c r="K23" s="3" t="s">
        <v>352</v>
      </c>
      <c r="Q23" s="4"/>
      <c r="S23" s="18"/>
      <c r="W23" s="3" t="s">
        <v>352</v>
      </c>
      <c r="AC23" s="18"/>
    </row>
    <row r="24" spans="1:29" x14ac:dyDescent="0.25">
      <c r="A24" t="s">
        <v>44</v>
      </c>
      <c r="B24">
        <f>SUM('Satisfacción de los comités d'!B25:J25)</f>
        <v>19</v>
      </c>
      <c r="C24" t="str">
        <f t="shared" si="0"/>
        <v>Bajo</v>
      </c>
      <c r="D24">
        <f t="shared" si="1"/>
        <v>19</v>
      </c>
      <c r="E24" t="str">
        <f t="shared" si="2"/>
        <v>Bajo</v>
      </c>
      <c r="G24" s="4"/>
      <c r="K24" s="3" t="s">
        <v>353</v>
      </c>
      <c r="Q24" s="4"/>
      <c r="S24" s="18"/>
      <c r="W24" s="3" t="s">
        <v>353</v>
      </c>
      <c r="AC24" s="18"/>
    </row>
    <row r="25" spans="1:29" x14ac:dyDescent="0.25">
      <c r="A25" t="s">
        <v>45</v>
      </c>
      <c r="B25">
        <f>SUM('Satisfacción de los comités d'!B26:J26)</f>
        <v>23</v>
      </c>
      <c r="C25" t="str">
        <f t="shared" si="0"/>
        <v>Medio</v>
      </c>
      <c r="D25">
        <f t="shared" si="1"/>
        <v>23</v>
      </c>
      <c r="E25" t="str">
        <f t="shared" si="2"/>
        <v>Medio</v>
      </c>
      <c r="G25" s="4"/>
      <c r="Q25" s="4"/>
      <c r="S25" s="18"/>
      <c r="AC25" s="18"/>
    </row>
    <row r="26" spans="1:29" x14ac:dyDescent="0.25">
      <c r="A26" t="s">
        <v>46</v>
      </c>
      <c r="B26">
        <f>SUM('Satisfacción de los comités d'!B27:J27)</f>
        <v>25</v>
      </c>
      <c r="C26" t="str">
        <f t="shared" si="0"/>
        <v>Medio</v>
      </c>
      <c r="D26">
        <f t="shared" si="1"/>
        <v>25</v>
      </c>
      <c r="E26" t="str">
        <f t="shared" si="2"/>
        <v>Medio</v>
      </c>
      <c r="G26" s="4"/>
      <c r="Q26" s="4"/>
      <c r="S26" s="18"/>
      <c r="AC26" s="18"/>
    </row>
    <row r="27" spans="1:29" x14ac:dyDescent="0.25">
      <c r="A27" t="s">
        <v>47</v>
      </c>
      <c r="B27">
        <f>SUM('Satisfacción de los comités d'!B28:J28)</f>
        <v>39</v>
      </c>
      <c r="C27" t="str">
        <f t="shared" si="0"/>
        <v>Alto</v>
      </c>
      <c r="D27">
        <f t="shared" si="1"/>
        <v>39</v>
      </c>
      <c r="E27" t="str">
        <f t="shared" si="2"/>
        <v>Alto</v>
      </c>
      <c r="G27" s="4"/>
      <c r="Q27" s="4"/>
      <c r="S27" s="18"/>
      <c r="AC27" s="18"/>
    </row>
    <row r="28" spans="1:29" x14ac:dyDescent="0.25">
      <c r="A28" t="s">
        <v>48</v>
      </c>
      <c r="B28">
        <f>SUM('Satisfacción de los comités d'!B29:J29)</f>
        <v>18</v>
      </c>
      <c r="C28" t="str">
        <f t="shared" si="0"/>
        <v>Bajo</v>
      </c>
      <c r="D28">
        <f t="shared" si="1"/>
        <v>18</v>
      </c>
      <c r="E28" t="str">
        <f t="shared" si="2"/>
        <v>Bajo</v>
      </c>
      <c r="G28" s="4"/>
      <c r="Q28" s="4"/>
      <c r="S28" s="18"/>
      <c r="AC28" s="18"/>
    </row>
    <row r="29" spans="1:29" x14ac:dyDescent="0.25">
      <c r="A29" t="s">
        <v>49</v>
      </c>
      <c r="B29">
        <f>SUM('Satisfacción de los comités d'!B30:J30)</f>
        <v>20</v>
      </c>
      <c r="C29" t="str">
        <f t="shared" si="0"/>
        <v>Bajo</v>
      </c>
      <c r="D29">
        <f t="shared" si="1"/>
        <v>20</v>
      </c>
      <c r="E29" t="str">
        <f t="shared" si="2"/>
        <v>Bajo</v>
      </c>
      <c r="G29" s="4"/>
      <c r="Q29" s="4"/>
      <c r="S29" s="18"/>
      <c r="AC29" s="18"/>
    </row>
    <row r="30" spans="1:29" x14ac:dyDescent="0.25">
      <c r="A30" t="s">
        <v>50</v>
      </c>
      <c r="B30">
        <f>SUM('Satisfacción de los comités d'!B31:J31)</f>
        <v>26</v>
      </c>
      <c r="C30" t="str">
        <f t="shared" si="0"/>
        <v>Medio</v>
      </c>
      <c r="D30">
        <f t="shared" si="1"/>
        <v>26</v>
      </c>
      <c r="E30" t="str">
        <f t="shared" si="2"/>
        <v>Medio</v>
      </c>
      <c r="G30" s="4"/>
      <c r="Q30" s="4"/>
      <c r="S30" s="18"/>
      <c r="AC30" s="18"/>
    </row>
    <row r="31" spans="1:29" x14ac:dyDescent="0.25">
      <c r="A31" t="s">
        <v>51</v>
      </c>
      <c r="B31">
        <f>SUM('Satisfacción de los comités d'!B32:J32)</f>
        <v>31</v>
      </c>
      <c r="C31" t="str">
        <f t="shared" si="0"/>
        <v>Medio</v>
      </c>
      <c r="D31">
        <f t="shared" si="1"/>
        <v>31</v>
      </c>
      <c r="E31" t="str">
        <f t="shared" si="2"/>
        <v>Medio</v>
      </c>
      <c r="G31" s="4"/>
      <c r="Q31" s="4"/>
      <c r="S31" s="18"/>
      <c r="AC31" s="18"/>
    </row>
    <row r="32" spans="1:29" x14ac:dyDescent="0.25">
      <c r="A32" t="s">
        <v>52</v>
      </c>
      <c r="B32">
        <f>SUM('Satisfacción de los comités d'!B33:J33)</f>
        <v>35</v>
      </c>
      <c r="C32" t="str">
        <f t="shared" si="0"/>
        <v>Alto</v>
      </c>
      <c r="D32">
        <f t="shared" si="1"/>
        <v>35</v>
      </c>
      <c r="E32" t="str">
        <f t="shared" si="2"/>
        <v>Alto</v>
      </c>
      <c r="G32" s="4"/>
      <c r="Q32" s="4"/>
      <c r="S32" s="18"/>
      <c r="AC32" s="18"/>
    </row>
    <row r="33" spans="1:29" x14ac:dyDescent="0.25">
      <c r="A33" t="s">
        <v>53</v>
      </c>
      <c r="B33">
        <f>SUM('Satisfacción de los comités d'!B34:J34)</f>
        <v>27</v>
      </c>
      <c r="C33" t="str">
        <f t="shared" si="0"/>
        <v>Medio</v>
      </c>
      <c r="D33">
        <f t="shared" si="1"/>
        <v>27</v>
      </c>
      <c r="E33" t="str">
        <f t="shared" si="2"/>
        <v>Medio</v>
      </c>
      <c r="G33" s="4"/>
      <c r="Q33" s="4"/>
      <c r="S33" s="18"/>
      <c r="AC33" s="18"/>
    </row>
    <row r="34" spans="1:29" x14ac:dyDescent="0.25">
      <c r="A34" t="s">
        <v>54</v>
      </c>
      <c r="B34">
        <f>SUM('Satisfacción de los comités d'!B35:J35)</f>
        <v>39</v>
      </c>
      <c r="C34" t="str">
        <f t="shared" si="0"/>
        <v>Alto</v>
      </c>
      <c r="D34">
        <f t="shared" si="1"/>
        <v>39</v>
      </c>
      <c r="E34" t="str">
        <f t="shared" si="2"/>
        <v>Alto</v>
      </c>
      <c r="G34" s="4"/>
      <c r="Q34" s="4"/>
      <c r="S34" s="18"/>
      <c r="AC34" s="18"/>
    </row>
    <row r="35" spans="1:29" x14ac:dyDescent="0.25">
      <c r="A35" t="s">
        <v>55</v>
      </c>
      <c r="B35">
        <f>SUM('Satisfacción de los comités d'!B36:J36)</f>
        <v>38</v>
      </c>
      <c r="C35" t="str">
        <f t="shared" si="0"/>
        <v>Alto</v>
      </c>
      <c r="D35">
        <f t="shared" si="1"/>
        <v>38</v>
      </c>
      <c r="E35" t="str">
        <f t="shared" si="2"/>
        <v>Alto</v>
      </c>
      <c r="G35" s="4"/>
      <c r="Q35" s="4"/>
      <c r="S35" s="18"/>
      <c r="AC35" s="18"/>
    </row>
    <row r="36" spans="1:29" x14ac:dyDescent="0.25">
      <c r="A36" t="s">
        <v>56</v>
      </c>
      <c r="B36">
        <f>SUM('Satisfacción de los comités d'!B37:J37)</f>
        <v>21</v>
      </c>
      <c r="C36" t="str">
        <f t="shared" si="0"/>
        <v>Bajo</v>
      </c>
      <c r="D36">
        <f t="shared" si="1"/>
        <v>21</v>
      </c>
      <c r="E36" t="str">
        <f t="shared" si="2"/>
        <v>Medio</v>
      </c>
      <c r="G36" s="4"/>
      <c r="Q36" s="4"/>
      <c r="S36" s="18"/>
      <c r="AC36" s="18"/>
    </row>
    <row r="37" spans="1:29" x14ac:dyDescent="0.25">
      <c r="A37" t="s">
        <v>57</v>
      </c>
      <c r="B37">
        <f>SUM('Satisfacción de los comités d'!B38:J38)</f>
        <v>25</v>
      </c>
      <c r="C37" t="str">
        <f t="shared" si="0"/>
        <v>Medio</v>
      </c>
      <c r="D37">
        <f t="shared" si="1"/>
        <v>25</v>
      </c>
      <c r="E37" t="str">
        <f t="shared" si="2"/>
        <v>Medio</v>
      </c>
      <c r="G37" s="4"/>
      <c r="Q37" s="4"/>
      <c r="S37" s="18"/>
      <c r="AC37" s="18"/>
    </row>
    <row r="38" spans="1:29" x14ac:dyDescent="0.25">
      <c r="A38" t="s">
        <v>58</v>
      </c>
      <c r="B38">
        <f>SUM('Satisfacción de los comités d'!B39:J39)</f>
        <v>27</v>
      </c>
      <c r="C38" t="str">
        <f t="shared" si="0"/>
        <v>Medio</v>
      </c>
      <c r="D38">
        <f t="shared" si="1"/>
        <v>27</v>
      </c>
      <c r="E38" t="str">
        <f t="shared" si="2"/>
        <v>Medio</v>
      </c>
      <c r="G38" s="4"/>
      <c r="Q38" s="4"/>
      <c r="S38" s="18"/>
      <c r="AC38" s="18"/>
    </row>
    <row r="39" spans="1:29" x14ac:dyDescent="0.25">
      <c r="A39" t="s">
        <v>59</v>
      </c>
      <c r="B39">
        <f>SUM('Satisfacción de los comités d'!B40:J40)</f>
        <v>27</v>
      </c>
      <c r="C39" t="str">
        <f t="shared" si="0"/>
        <v>Medio</v>
      </c>
      <c r="D39">
        <f t="shared" si="1"/>
        <v>27</v>
      </c>
      <c r="E39" t="str">
        <f t="shared" si="2"/>
        <v>Medio</v>
      </c>
      <c r="G39" s="4"/>
      <c r="Q39" s="4"/>
      <c r="S39" s="18"/>
      <c r="AC39" s="18"/>
    </row>
    <row r="40" spans="1:29" x14ac:dyDescent="0.25">
      <c r="A40" t="s">
        <v>60</v>
      </c>
      <c r="B40">
        <f>SUM('Satisfacción de los comités d'!B41:J41)</f>
        <v>17</v>
      </c>
      <c r="C40" t="str">
        <f t="shared" si="0"/>
        <v>Bajo</v>
      </c>
      <c r="D40">
        <f t="shared" si="1"/>
        <v>17</v>
      </c>
      <c r="E40" t="str">
        <f t="shared" si="2"/>
        <v>Bajo</v>
      </c>
      <c r="G40" s="4"/>
      <c r="Q40" s="4"/>
      <c r="S40" s="18"/>
      <c r="AC40" s="18"/>
    </row>
    <row r="41" spans="1:29" x14ac:dyDescent="0.25">
      <c r="A41" t="s">
        <v>61</v>
      </c>
      <c r="B41">
        <f>SUM('Satisfacción de los comités d'!B42:J42)</f>
        <v>28</v>
      </c>
      <c r="C41" t="str">
        <f t="shared" si="0"/>
        <v>Medio</v>
      </c>
      <c r="D41">
        <f t="shared" si="1"/>
        <v>28</v>
      </c>
      <c r="E41" t="str">
        <f t="shared" si="2"/>
        <v>Medio</v>
      </c>
      <c r="G41" s="4"/>
      <c r="Q41" s="4"/>
      <c r="S41" s="18"/>
      <c r="AC41" s="18"/>
    </row>
    <row r="42" spans="1:29" x14ac:dyDescent="0.25">
      <c r="A42" t="s">
        <v>62</v>
      </c>
      <c r="B42">
        <f>SUM('Satisfacción de los comités d'!B43:J43)</f>
        <v>30</v>
      </c>
      <c r="C42" t="str">
        <f t="shared" si="0"/>
        <v>Medio</v>
      </c>
      <c r="D42">
        <f t="shared" si="1"/>
        <v>30</v>
      </c>
      <c r="E42" t="str">
        <f t="shared" si="2"/>
        <v>Medio</v>
      </c>
      <c r="G42" s="4"/>
      <c r="Q42" s="4"/>
      <c r="S42" s="18"/>
      <c r="AC42" s="18"/>
    </row>
    <row r="43" spans="1:29" x14ac:dyDescent="0.25">
      <c r="A43" t="s">
        <v>63</v>
      </c>
      <c r="B43">
        <f>SUM('Satisfacción de los comités d'!B44:J44)</f>
        <v>36</v>
      </c>
      <c r="C43" t="str">
        <f t="shared" si="0"/>
        <v>Alto</v>
      </c>
      <c r="D43">
        <f t="shared" si="1"/>
        <v>36</v>
      </c>
      <c r="E43" t="str">
        <f t="shared" si="2"/>
        <v>Alto</v>
      </c>
      <c r="G43" s="4"/>
      <c r="K43" t="s">
        <v>354</v>
      </c>
      <c r="Q43" s="4"/>
      <c r="S43" s="18"/>
      <c r="W43" t="s">
        <v>355</v>
      </c>
      <c r="AC43" s="18"/>
    </row>
    <row r="44" spans="1:29" x14ac:dyDescent="0.25">
      <c r="A44" t="s">
        <v>64</v>
      </c>
      <c r="B44">
        <f>SUM('Satisfacción de los comités d'!B45:J45)</f>
        <v>28</v>
      </c>
      <c r="C44" t="str">
        <f t="shared" si="0"/>
        <v>Medio</v>
      </c>
      <c r="D44">
        <f t="shared" si="1"/>
        <v>28</v>
      </c>
      <c r="E44" t="str">
        <f t="shared" si="2"/>
        <v>Medio</v>
      </c>
      <c r="G44" s="4"/>
      <c r="K44" s="3" t="s">
        <v>455</v>
      </c>
      <c r="Q44" s="4"/>
      <c r="S44" s="18"/>
      <c r="W44" s="3" t="s">
        <v>455</v>
      </c>
      <c r="AC44" s="18"/>
    </row>
    <row r="45" spans="1:29" x14ac:dyDescent="0.25">
      <c r="A45" t="s">
        <v>65</v>
      </c>
      <c r="B45">
        <f>SUM('Satisfacción de los comités d'!B46:J46)</f>
        <v>44</v>
      </c>
      <c r="C45" t="str">
        <f t="shared" si="0"/>
        <v>Alto</v>
      </c>
      <c r="D45">
        <f t="shared" si="1"/>
        <v>44</v>
      </c>
      <c r="E45" t="str">
        <f t="shared" si="2"/>
        <v>Alto</v>
      </c>
      <c r="G45" s="4"/>
      <c r="H45" s="4"/>
      <c r="I45" s="4"/>
      <c r="J45" s="4"/>
      <c r="K45" s="4"/>
      <c r="L45" s="4"/>
      <c r="M45" s="4"/>
      <c r="N45" s="4"/>
      <c r="O45" s="4"/>
      <c r="P45" s="4"/>
      <c r="Q45" s="4"/>
      <c r="S45" s="18"/>
      <c r="T45" s="18"/>
      <c r="U45" s="18"/>
      <c r="V45" s="18"/>
      <c r="W45" s="18"/>
      <c r="X45" s="18"/>
      <c r="Y45" s="18"/>
      <c r="Z45" s="18"/>
      <c r="AA45" s="18"/>
      <c r="AB45" s="18"/>
      <c r="AC45" s="18"/>
    </row>
    <row r="46" spans="1:29" x14ac:dyDescent="0.25">
      <c r="A46" t="s">
        <v>66</v>
      </c>
      <c r="B46">
        <f>SUM('Satisfacción de los comités d'!B47:J47)</f>
        <v>18</v>
      </c>
      <c r="C46" t="str">
        <f t="shared" si="0"/>
        <v>Bajo</v>
      </c>
      <c r="D46">
        <f t="shared" si="1"/>
        <v>18</v>
      </c>
      <c r="E46" t="str">
        <f t="shared" si="2"/>
        <v>Bajo</v>
      </c>
      <c r="I46" t="s">
        <v>456</v>
      </c>
      <c r="U46" t="s">
        <v>456</v>
      </c>
    </row>
    <row r="47" spans="1:29" x14ac:dyDescent="0.25">
      <c r="A47" t="s">
        <v>67</v>
      </c>
      <c r="B47">
        <f>SUM('Satisfacción de los comités d'!B48:J48)</f>
        <v>35</v>
      </c>
      <c r="C47" t="str">
        <f t="shared" si="0"/>
        <v>Alto</v>
      </c>
      <c r="D47">
        <f t="shared" si="1"/>
        <v>35</v>
      </c>
      <c r="E47" t="str">
        <f t="shared" si="2"/>
        <v>Alto</v>
      </c>
      <c r="I47" s="52" t="str">
        <f ca="1">CONCATENATE("en la ",K15," y ",K43," se puede observar que la variable ",H901," en base a su dimensión ",H902," tiene una calificación de ",I904," por el ",ROUND(H904*100,0),"% ","de los resultados, ","los cuales fueron extraídos  de las encuestas ejecutadas a los ",J902,", estos resultados son afectados debido a que, ",Q1016," ",I1016,",","asi mismo ",Q1017," ",I1017,", de modo que ",Q1018," ",I1018,", de modo que ",Q1019," ",I1019,", no obstante ",Q1020," ",I1020,", no obstante ",Q1021," ",I1021,", de nuevo ",Q1022," ",I1022,", en cambio ",Q1023," ",I1023, ", ","y ",I1024," ",Q1024,", ","por todo ello la dimensión ",H902," es ",I904,".")</f>
        <v>en la Tabla 1 y Figura.1 se puede observar que la variable Satisfacción de los comités del Programa Vaso de Leche en base a su dimensión Satisfacción del servicio tiene una calificación de Medio por el 66% de los resultados, los cuales fueron extraídos  de las encuestas ejecutadas a los Beneficiaross, estos resultados son afectados debido a que, el 53% determinó como Ni de acuerdo ni en desacuerdo x,asi mismo el 52% de los Beneficiaross determinó como Ni de acuerdo ni en desacuerdo x, de modo que el 53% calificó como Ni de acuerdo ni en desacuerdo x, de modo que el 54% de los Beneficiaross mencionó como Ni de acuerdo ni en desacuerdo x, no obstante el 56% percibió como Ni de acuerdo ni en desacuerdo x, no obstante el 54% consideró como Ni de acuerdo ni en desacuerdo x, de nuevo el 50% de los Beneficiaross calificó como Ni de acuerdo ni en desacuerdo x, en cambio el 49% Tuvo una percepción de como Ni de acuerdo ni en desacuerdo x, y x el 51% valoró como Ni de acuerdo ni en desacuerdo, por todo ello la dimensión Satisfacción del servicio es Medio.</v>
      </c>
      <c r="J47" s="53"/>
      <c r="K47" s="53"/>
      <c r="L47" s="53"/>
      <c r="M47" s="53"/>
      <c r="N47" s="53"/>
      <c r="U47" s="52" t="str">
        <f ca="1">CONCATENATE("En la ",W15," y ",W43," se puede evidenciar que la variable ",T901," es calificado como ",U904," por el ",ROUND(T904*100,0),"% de los resultados, mismos que son originados porque; ",AG1016," ",AG1017," ",AG1018,AG1019,AG1020,AG1021,AG1022,AG1023,AG1024,AG1025,AG1026," se concluye que la variable ",T901,"tiene un valor de ",U904,".")</f>
        <v>En la Tabla 2 y Figura.2 se puede evidenciar que la variable Satisfacción de los comités del Programa Vaso de Leche es calificado como Medio por el 65% de los resultados, mismos que son originados porque; el 66% de los Beneficiaross Tuvo una percepción de a la dimensión Satisfacción del servicio como Medio, ademas    se concluye que la variable Satisfacción de los comités del Programa Vaso de Lechetiene un valor de Medio.</v>
      </c>
      <c r="V47" s="53"/>
      <c r="W47" s="53"/>
      <c r="X47" s="53"/>
      <c r="Y47" s="53"/>
      <c r="Z47" s="53"/>
    </row>
    <row r="48" spans="1:29" x14ac:dyDescent="0.25">
      <c r="A48" t="s">
        <v>68</v>
      </c>
      <c r="B48">
        <f>SUM('Satisfacción de los comités d'!B49:J49)</f>
        <v>37</v>
      </c>
      <c r="C48" t="str">
        <f t="shared" si="0"/>
        <v>Alto</v>
      </c>
      <c r="D48">
        <f t="shared" si="1"/>
        <v>37</v>
      </c>
      <c r="E48" t="str">
        <f t="shared" si="2"/>
        <v>Alto</v>
      </c>
      <c r="I48" s="53"/>
      <c r="J48" s="53"/>
      <c r="K48" s="53"/>
      <c r="L48" s="53"/>
      <c r="M48" s="53"/>
      <c r="N48" s="53"/>
      <c r="U48" s="53"/>
      <c r="V48" s="53"/>
      <c r="W48" s="53"/>
      <c r="X48" s="53"/>
      <c r="Y48" s="53"/>
      <c r="Z48" s="53"/>
    </row>
    <row r="49" spans="1:26" x14ac:dyDescent="0.25">
      <c r="A49" t="s">
        <v>69</v>
      </c>
      <c r="B49">
        <f>SUM('Satisfacción de los comités d'!B50:J50)</f>
        <v>22</v>
      </c>
      <c r="C49" t="str">
        <f t="shared" si="0"/>
        <v>Medio</v>
      </c>
      <c r="D49">
        <f t="shared" si="1"/>
        <v>22</v>
      </c>
      <c r="E49" t="str">
        <f t="shared" si="2"/>
        <v>Medio</v>
      </c>
      <c r="I49" s="53"/>
      <c r="J49" s="53"/>
      <c r="K49" s="53"/>
      <c r="L49" s="53"/>
      <c r="M49" s="53"/>
      <c r="N49" s="53"/>
      <c r="U49" s="53"/>
      <c r="V49" s="53"/>
      <c r="W49" s="53"/>
      <c r="X49" s="53"/>
      <c r="Y49" s="53"/>
      <c r="Z49" s="53"/>
    </row>
    <row r="50" spans="1:26" x14ac:dyDescent="0.25">
      <c r="A50" t="s">
        <v>70</v>
      </c>
      <c r="B50">
        <f>SUM('Satisfacción de los comités d'!B51:J51)</f>
        <v>25</v>
      </c>
      <c r="C50" t="str">
        <f t="shared" si="0"/>
        <v>Medio</v>
      </c>
      <c r="D50">
        <f t="shared" si="1"/>
        <v>25</v>
      </c>
      <c r="E50" t="str">
        <f t="shared" si="2"/>
        <v>Medio</v>
      </c>
      <c r="I50" s="53"/>
      <c r="J50" s="53"/>
      <c r="K50" s="53"/>
      <c r="L50" s="53"/>
      <c r="M50" s="53"/>
      <c r="N50" s="53"/>
      <c r="U50" s="53"/>
      <c r="V50" s="53"/>
      <c r="W50" s="53"/>
      <c r="X50" s="53"/>
      <c r="Y50" s="53"/>
      <c r="Z50" s="53"/>
    </row>
    <row r="51" spans="1:26" x14ac:dyDescent="0.25">
      <c r="A51" t="s">
        <v>71</v>
      </c>
      <c r="B51">
        <f>SUM('Satisfacción de los comités d'!B52:J52)</f>
        <v>28</v>
      </c>
      <c r="C51" t="str">
        <f t="shared" si="0"/>
        <v>Medio</v>
      </c>
      <c r="D51">
        <f t="shared" si="1"/>
        <v>28</v>
      </c>
      <c r="E51" t="str">
        <f t="shared" si="2"/>
        <v>Medio</v>
      </c>
      <c r="I51" s="53"/>
      <c r="J51" s="53"/>
      <c r="K51" s="53"/>
      <c r="L51" s="53"/>
      <c r="M51" s="53"/>
      <c r="N51" s="53"/>
      <c r="U51" s="53"/>
      <c r="V51" s="53"/>
      <c r="W51" s="53"/>
      <c r="X51" s="53"/>
      <c r="Y51" s="53"/>
      <c r="Z51" s="53"/>
    </row>
    <row r="52" spans="1:26" x14ac:dyDescent="0.25">
      <c r="A52" t="s">
        <v>72</v>
      </c>
      <c r="B52">
        <f>SUM('Satisfacción de los comités d'!B53:J53)</f>
        <v>25</v>
      </c>
      <c r="C52" t="str">
        <f t="shared" si="0"/>
        <v>Medio</v>
      </c>
      <c r="D52">
        <f t="shared" si="1"/>
        <v>25</v>
      </c>
      <c r="E52" t="str">
        <f t="shared" si="2"/>
        <v>Medio</v>
      </c>
      <c r="I52" s="53"/>
      <c r="J52" s="53"/>
      <c r="K52" s="53"/>
      <c r="L52" s="53"/>
      <c r="M52" s="53"/>
      <c r="N52" s="53"/>
      <c r="U52" s="53"/>
      <c r="V52" s="53"/>
      <c r="W52" s="53"/>
      <c r="X52" s="53"/>
      <c r="Y52" s="53"/>
      <c r="Z52" s="53"/>
    </row>
    <row r="53" spans="1:26" x14ac:dyDescent="0.25">
      <c r="A53" t="s">
        <v>73</v>
      </c>
      <c r="B53">
        <f>SUM('Satisfacción de los comités d'!B54:J54)</f>
        <v>18</v>
      </c>
      <c r="C53" t="str">
        <f t="shared" si="0"/>
        <v>Bajo</v>
      </c>
      <c r="D53">
        <f t="shared" si="1"/>
        <v>18</v>
      </c>
      <c r="E53" t="str">
        <f t="shared" si="2"/>
        <v>Bajo</v>
      </c>
      <c r="I53" s="53"/>
      <c r="J53" s="53"/>
      <c r="K53" s="53"/>
      <c r="L53" s="53"/>
      <c r="M53" s="53"/>
      <c r="N53" s="53"/>
      <c r="U53" s="53"/>
      <c r="V53" s="53"/>
      <c r="W53" s="53"/>
      <c r="X53" s="53"/>
      <c r="Y53" s="53"/>
      <c r="Z53" s="53"/>
    </row>
    <row r="54" spans="1:26" x14ac:dyDescent="0.25">
      <c r="A54" t="s">
        <v>74</v>
      </c>
      <c r="B54">
        <f>SUM('Satisfacción de los comités d'!B55:J55)</f>
        <v>23</v>
      </c>
      <c r="C54" t="str">
        <f t="shared" si="0"/>
        <v>Medio</v>
      </c>
      <c r="D54">
        <f t="shared" si="1"/>
        <v>23</v>
      </c>
      <c r="E54" t="str">
        <f t="shared" si="2"/>
        <v>Medio</v>
      </c>
    </row>
    <row r="55" spans="1:26" x14ac:dyDescent="0.25">
      <c r="A55" t="s">
        <v>75</v>
      </c>
      <c r="B55">
        <f>SUM('Satisfacción de los comités d'!B56:J56)</f>
        <v>36</v>
      </c>
      <c r="C55" t="str">
        <f t="shared" si="0"/>
        <v>Alto</v>
      </c>
      <c r="D55">
        <f t="shared" si="1"/>
        <v>36</v>
      </c>
      <c r="E55" t="str">
        <f t="shared" si="2"/>
        <v>Alto</v>
      </c>
    </row>
    <row r="56" spans="1:26" x14ac:dyDescent="0.25">
      <c r="A56" t="s">
        <v>76</v>
      </c>
      <c r="B56">
        <f>SUM('Satisfacción de los comités d'!B57:J57)</f>
        <v>27</v>
      </c>
      <c r="C56" t="str">
        <f t="shared" si="0"/>
        <v>Medio</v>
      </c>
      <c r="D56">
        <f t="shared" si="1"/>
        <v>27</v>
      </c>
      <c r="E56" t="str">
        <f t="shared" si="2"/>
        <v>Medio</v>
      </c>
    </row>
    <row r="57" spans="1:26" x14ac:dyDescent="0.25">
      <c r="A57" t="s">
        <v>77</v>
      </c>
      <c r="B57">
        <f>SUM('Satisfacción de los comités d'!B58:J58)</f>
        <v>36</v>
      </c>
      <c r="C57" t="str">
        <f t="shared" si="0"/>
        <v>Alto</v>
      </c>
      <c r="D57">
        <f t="shared" si="1"/>
        <v>36</v>
      </c>
      <c r="E57" t="str">
        <f t="shared" si="2"/>
        <v>Alto</v>
      </c>
    </row>
    <row r="58" spans="1:26" x14ac:dyDescent="0.25">
      <c r="A58" t="s">
        <v>78</v>
      </c>
      <c r="B58">
        <f>SUM('Satisfacción de los comités d'!B59:J59)</f>
        <v>26</v>
      </c>
      <c r="C58" t="str">
        <f t="shared" si="0"/>
        <v>Medio</v>
      </c>
      <c r="D58">
        <f t="shared" si="1"/>
        <v>26</v>
      </c>
      <c r="E58" t="str">
        <f t="shared" si="2"/>
        <v>Medio</v>
      </c>
    </row>
    <row r="59" spans="1:26" x14ac:dyDescent="0.25">
      <c r="A59" t="s">
        <v>79</v>
      </c>
      <c r="B59">
        <f>SUM('Satisfacción de los comités d'!B60:J60)</f>
        <v>18</v>
      </c>
      <c r="C59" t="str">
        <f t="shared" si="0"/>
        <v>Bajo</v>
      </c>
      <c r="D59">
        <f t="shared" si="1"/>
        <v>18</v>
      </c>
      <c r="E59" t="str">
        <f t="shared" si="2"/>
        <v>Bajo</v>
      </c>
    </row>
    <row r="60" spans="1:26" x14ac:dyDescent="0.25">
      <c r="A60" t="s">
        <v>80</v>
      </c>
      <c r="B60">
        <f>SUM('Satisfacción de los comités d'!B61:J61)</f>
        <v>25</v>
      </c>
      <c r="C60" t="str">
        <f t="shared" si="0"/>
        <v>Medio</v>
      </c>
      <c r="D60">
        <f t="shared" si="1"/>
        <v>25</v>
      </c>
      <c r="E60" t="str">
        <f t="shared" si="2"/>
        <v>Medio</v>
      </c>
    </row>
    <row r="61" spans="1:26" x14ac:dyDescent="0.25">
      <c r="A61" t="s">
        <v>81</v>
      </c>
      <c r="B61">
        <f>SUM('Satisfacción de los comités d'!B62:J62)</f>
        <v>34</v>
      </c>
      <c r="C61" t="str">
        <f t="shared" si="0"/>
        <v>Medio</v>
      </c>
      <c r="D61">
        <f t="shared" si="1"/>
        <v>34</v>
      </c>
      <c r="E61" t="str">
        <f t="shared" si="2"/>
        <v>Alto</v>
      </c>
    </row>
    <row r="62" spans="1:26" x14ac:dyDescent="0.25">
      <c r="A62" t="s">
        <v>82</v>
      </c>
      <c r="B62">
        <f>SUM('Satisfacción de los comités d'!B63:J63)</f>
        <v>28</v>
      </c>
      <c r="C62" t="str">
        <f t="shared" si="0"/>
        <v>Medio</v>
      </c>
      <c r="D62">
        <f t="shared" si="1"/>
        <v>28</v>
      </c>
      <c r="E62" t="str">
        <f t="shared" si="2"/>
        <v>Medio</v>
      </c>
    </row>
    <row r="63" spans="1:26" x14ac:dyDescent="0.25">
      <c r="A63" t="s">
        <v>83</v>
      </c>
      <c r="B63">
        <f>SUM('Satisfacción de los comités d'!B64:J64)</f>
        <v>24</v>
      </c>
      <c r="C63" t="str">
        <f t="shared" si="0"/>
        <v>Medio</v>
      </c>
      <c r="D63">
        <f t="shared" si="1"/>
        <v>24</v>
      </c>
      <c r="E63" t="str">
        <f t="shared" si="2"/>
        <v>Medio</v>
      </c>
    </row>
    <row r="64" spans="1:26" x14ac:dyDescent="0.25">
      <c r="A64" t="s">
        <v>84</v>
      </c>
      <c r="B64">
        <f>SUM('Satisfacción de los comités d'!B65:J65)</f>
        <v>29</v>
      </c>
      <c r="C64" t="str">
        <f t="shared" si="0"/>
        <v>Medio</v>
      </c>
      <c r="D64">
        <f t="shared" si="1"/>
        <v>29</v>
      </c>
      <c r="E64" t="str">
        <f t="shared" si="2"/>
        <v>Medio</v>
      </c>
    </row>
    <row r="65" spans="1:5" x14ac:dyDescent="0.25">
      <c r="A65" t="s">
        <v>85</v>
      </c>
      <c r="B65">
        <f>SUM('Satisfacción de los comités d'!B66:J66)</f>
        <v>26</v>
      </c>
      <c r="C65" t="str">
        <f t="shared" si="0"/>
        <v>Medio</v>
      </c>
      <c r="D65">
        <f t="shared" si="1"/>
        <v>26</v>
      </c>
      <c r="E65" t="str">
        <f t="shared" si="2"/>
        <v>Medio</v>
      </c>
    </row>
    <row r="66" spans="1:5" x14ac:dyDescent="0.25">
      <c r="A66" t="s">
        <v>86</v>
      </c>
      <c r="B66">
        <f>SUM('Satisfacción de los comités d'!B67:J67)</f>
        <v>27</v>
      </c>
      <c r="C66" t="str">
        <f t="shared" si="0"/>
        <v>Medio</v>
      </c>
      <c r="D66">
        <f t="shared" si="1"/>
        <v>27</v>
      </c>
      <c r="E66" t="str">
        <f t="shared" si="2"/>
        <v>Medio</v>
      </c>
    </row>
    <row r="67" spans="1:5" x14ac:dyDescent="0.25">
      <c r="A67" t="s">
        <v>87</v>
      </c>
      <c r="B67">
        <f>SUM('Satisfacción de los comités d'!B68:J68)</f>
        <v>21</v>
      </c>
      <c r="C67" t="str">
        <f t="shared" si="0"/>
        <v>Bajo</v>
      </c>
      <c r="D67">
        <f t="shared" si="1"/>
        <v>21</v>
      </c>
      <c r="E67" t="str">
        <f t="shared" si="2"/>
        <v>Medio</v>
      </c>
    </row>
    <row r="68" spans="1:5" x14ac:dyDescent="0.25">
      <c r="A68" t="s">
        <v>88</v>
      </c>
      <c r="B68">
        <f>SUM('Satisfacción de los comités d'!B69:J69)</f>
        <v>45</v>
      </c>
      <c r="C68" t="str">
        <f t="shared" ref="C68:C131" si="3">IF(B68&lt;=$M$19,"Bajo",IF(B68&lt;=$M$20,"Medio",IF(B68&lt;=$M$21,"Alto",0)))</f>
        <v>Alto</v>
      </c>
      <c r="D68">
        <f t="shared" ref="D68:D131" si="4">SUM(B68:B68)</f>
        <v>45</v>
      </c>
      <c r="E68" t="str">
        <f t="shared" ref="E68:E131" si="5">IF(D68&lt;=$Y$19,"Bajo",IF(D68&lt;=$Y$20,"Medio",IF(D68&lt;=$Y$21,"Alto",0)))</f>
        <v>Alto</v>
      </c>
    </row>
    <row r="69" spans="1:5" x14ac:dyDescent="0.25">
      <c r="A69" t="s">
        <v>89</v>
      </c>
      <c r="B69">
        <f>SUM('Satisfacción de los comités d'!B70:J70)</f>
        <v>21</v>
      </c>
      <c r="C69" t="str">
        <f t="shared" si="3"/>
        <v>Bajo</v>
      </c>
      <c r="D69">
        <f t="shared" si="4"/>
        <v>21</v>
      </c>
      <c r="E69" t="str">
        <f t="shared" si="5"/>
        <v>Medio</v>
      </c>
    </row>
    <row r="70" spans="1:5" x14ac:dyDescent="0.25">
      <c r="A70" t="s">
        <v>90</v>
      </c>
      <c r="B70">
        <f>SUM('Satisfacción de los comités d'!B71:J71)</f>
        <v>26</v>
      </c>
      <c r="C70" t="str">
        <f t="shared" si="3"/>
        <v>Medio</v>
      </c>
      <c r="D70">
        <f t="shared" si="4"/>
        <v>26</v>
      </c>
      <c r="E70" t="str">
        <f t="shared" si="5"/>
        <v>Medio</v>
      </c>
    </row>
    <row r="71" spans="1:5" x14ac:dyDescent="0.25">
      <c r="A71" t="s">
        <v>91</v>
      </c>
      <c r="B71">
        <f>SUM('Satisfacción de los comités d'!B72:J72)</f>
        <v>36</v>
      </c>
      <c r="C71" t="str">
        <f t="shared" si="3"/>
        <v>Alto</v>
      </c>
      <c r="D71">
        <f t="shared" si="4"/>
        <v>36</v>
      </c>
      <c r="E71" t="str">
        <f t="shared" si="5"/>
        <v>Alto</v>
      </c>
    </row>
    <row r="72" spans="1:5" x14ac:dyDescent="0.25">
      <c r="A72" t="s">
        <v>92</v>
      </c>
      <c r="B72">
        <f>SUM('Satisfacción de los comités d'!B73:J73)</f>
        <v>28</v>
      </c>
      <c r="C72" t="str">
        <f t="shared" si="3"/>
        <v>Medio</v>
      </c>
      <c r="D72">
        <f t="shared" si="4"/>
        <v>28</v>
      </c>
      <c r="E72" t="str">
        <f t="shared" si="5"/>
        <v>Medio</v>
      </c>
    </row>
    <row r="73" spans="1:5" x14ac:dyDescent="0.25">
      <c r="A73" t="s">
        <v>93</v>
      </c>
      <c r="B73">
        <f>SUM('Satisfacción de los comités d'!B74:J74)</f>
        <v>29</v>
      </c>
      <c r="C73" t="str">
        <f t="shared" si="3"/>
        <v>Medio</v>
      </c>
      <c r="D73">
        <f t="shared" si="4"/>
        <v>29</v>
      </c>
      <c r="E73" t="str">
        <f t="shared" si="5"/>
        <v>Medio</v>
      </c>
    </row>
    <row r="74" spans="1:5" x14ac:dyDescent="0.25">
      <c r="A74" t="s">
        <v>94</v>
      </c>
      <c r="B74">
        <f>SUM('Satisfacción de los comités d'!B75:J75)</f>
        <v>23</v>
      </c>
      <c r="C74" t="str">
        <f t="shared" si="3"/>
        <v>Medio</v>
      </c>
      <c r="D74">
        <f t="shared" si="4"/>
        <v>23</v>
      </c>
      <c r="E74" t="str">
        <f t="shared" si="5"/>
        <v>Medio</v>
      </c>
    </row>
    <row r="75" spans="1:5" x14ac:dyDescent="0.25">
      <c r="A75" t="s">
        <v>95</v>
      </c>
      <c r="B75">
        <f>SUM('Satisfacción de los comités d'!B76:J76)</f>
        <v>13</v>
      </c>
      <c r="C75" t="str">
        <f t="shared" si="3"/>
        <v>Bajo</v>
      </c>
      <c r="D75">
        <f t="shared" si="4"/>
        <v>13</v>
      </c>
      <c r="E75" t="str">
        <f t="shared" si="5"/>
        <v>Bajo</v>
      </c>
    </row>
    <row r="76" spans="1:5" x14ac:dyDescent="0.25">
      <c r="A76" t="s">
        <v>96</v>
      </c>
      <c r="B76">
        <f>SUM('Satisfacción de los comités d'!B77:J77)</f>
        <v>24</v>
      </c>
      <c r="C76" t="str">
        <f t="shared" si="3"/>
        <v>Medio</v>
      </c>
      <c r="D76">
        <f t="shared" si="4"/>
        <v>24</v>
      </c>
      <c r="E76" t="str">
        <f t="shared" si="5"/>
        <v>Medio</v>
      </c>
    </row>
    <row r="77" spans="1:5" x14ac:dyDescent="0.25">
      <c r="A77" t="s">
        <v>97</v>
      </c>
      <c r="B77">
        <f>SUM('Satisfacción de los comités d'!B78:J78)</f>
        <v>25</v>
      </c>
      <c r="C77" t="str">
        <f t="shared" si="3"/>
        <v>Medio</v>
      </c>
      <c r="D77">
        <f t="shared" si="4"/>
        <v>25</v>
      </c>
      <c r="E77" t="str">
        <f t="shared" si="5"/>
        <v>Medio</v>
      </c>
    </row>
    <row r="78" spans="1:5" x14ac:dyDescent="0.25">
      <c r="A78" t="s">
        <v>98</v>
      </c>
      <c r="B78">
        <f>SUM('Satisfacción de los comités d'!B79:J79)</f>
        <v>23</v>
      </c>
      <c r="C78" t="str">
        <f t="shared" si="3"/>
        <v>Medio</v>
      </c>
      <c r="D78">
        <f t="shared" si="4"/>
        <v>23</v>
      </c>
      <c r="E78" t="str">
        <f t="shared" si="5"/>
        <v>Medio</v>
      </c>
    </row>
    <row r="79" spans="1:5" x14ac:dyDescent="0.25">
      <c r="A79" t="s">
        <v>99</v>
      </c>
      <c r="B79">
        <f>SUM('Satisfacción de los comités d'!B80:J80)</f>
        <v>27</v>
      </c>
      <c r="C79" t="str">
        <f t="shared" si="3"/>
        <v>Medio</v>
      </c>
      <c r="D79">
        <f t="shared" si="4"/>
        <v>27</v>
      </c>
      <c r="E79" t="str">
        <f t="shared" si="5"/>
        <v>Medio</v>
      </c>
    </row>
    <row r="80" spans="1:5" x14ac:dyDescent="0.25">
      <c r="A80" t="s">
        <v>100</v>
      </c>
      <c r="B80">
        <f>SUM('Satisfacción de los comités d'!B81:J81)</f>
        <v>28</v>
      </c>
      <c r="C80" t="str">
        <f t="shared" si="3"/>
        <v>Medio</v>
      </c>
      <c r="D80">
        <f t="shared" si="4"/>
        <v>28</v>
      </c>
      <c r="E80" t="str">
        <f t="shared" si="5"/>
        <v>Medio</v>
      </c>
    </row>
    <row r="81" spans="1:5" x14ac:dyDescent="0.25">
      <c r="A81" t="s">
        <v>101</v>
      </c>
      <c r="B81">
        <f>SUM('Satisfacción de los comités d'!B82:J82)</f>
        <v>29</v>
      </c>
      <c r="C81" t="str">
        <f t="shared" si="3"/>
        <v>Medio</v>
      </c>
      <c r="D81">
        <f t="shared" si="4"/>
        <v>29</v>
      </c>
      <c r="E81" t="str">
        <f t="shared" si="5"/>
        <v>Medio</v>
      </c>
    </row>
    <row r="82" spans="1:5" x14ac:dyDescent="0.25">
      <c r="A82" t="s">
        <v>102</v>
      </c>
      <c r="B82">
        <f>SUM('Satisfacción de los comités d'!B83:J83)</f>
        <v>24</v>
      </c>
      <c r="C82" t="str">
        <f t="shared" si="3"/>
        <v>Medio</v>
      </c>
      <c r="D82">
        <f t="shared" si="4"/>
        <v>24</v>
      </c>
      <c r="E82" t="str">
        <f t="shared" si="5"/>
        <v>Medio</v>
      </c>
    </row>
    <row r="83" spans="1:5" x14ac:dyDescent="0.25">
      <c r="A83" t="s">
        <v>103</v>
      </c>
      <c r="B83">
        <f>SUM('Satisfacción de los comités d'!B84:J84)</f>
        <v>33</v>
      </c>
      <c r="C83" t="str">
        <f t="shared" si="3"/>
        <v>Medio</v>
      </c>
      <c r="D83">
        <f t="shared" si="4"/>
        <v>33</v>
      </c>
      <c r="E83" t="str">
        <f t="shared" si="5"/>
        <v>Alto</v>
      </c>
    </row>
    <row r="84" spans="1:5" x14ac:dyDescent="0.25">
      <c r="A84" t="s">
        <v>104</v>
      </c>
      <c r="B84">
        <f>SUM('Satisfacción de los comités d'!B85:J85)</f>
        <v>25</v>
      </c>
      <c r="C84" t="str">
        <f t="shared" si="3"/>
        <v>Medio</v>
      </c>
      <c r="D84">
        <f t="shared" si="4"/>
        <v>25</v>
      </c>
      <c r="E84" t="str">
        <f t="shared" si="5"/>
        <v>Medio</v>
      </c>
    </row>
    <row r="85" spans="1:5" x14ac:dyDescent="0.25">
      <c r="A85" t="s">
        <v>105</v>
      </c>
      <c r="B85">
        <f>SUM('Satisfacción de los comités d'!B86:J86)</f>
        <v>26</v>
      </c>
      <c r="C85" t="str">
        <f t="shared" si="3"/>
        <v>Medio</v>
      </c>
      <c r="D85">
        <f t="shared" si="4"/>
        <v>26</v>
      </c>
      <c r="E85" t="str">
        <f t="shared" si="5"/>
        <v>Medio</v>
      </c>
    </row>
    <row r="86" spans="1:5" x14ac:dyDescent="0.25">
      <c r="A86" t="s">
        <v>106</v>
      </c>
      <c r="B86">
        <f>SUM('Satisfacción de los comités d'!B87:J87)</f>
        <v>25</v>
      </c>
      <c r="C86" t="str">
        <f t="shared" si="3"/>
        <v>Medio</v>
      </c>
      <c r="D86">
        <f t="shared" si="4"/>
        <v>25</v>
      </c>
      <c r="E86" t="str">
        <f t="shared" si="5"/>
        <v>Medio</v>
      </c>
    </row>
    <row r="87" spans="1:5" x14ac:dyDescent="0.25">
      <c r="A87" t="s">
        <v>107</v>
      </c>
      <c r="B87">
        <f>SUM('Satisfacción de los comités d'!B88:J88)</f>
        <v>19</v>
      </c>
      <c r="C87" t="str">
        <f t="shared" si="3"/>
        <v>Bajo</v>
      </c>
      <c r="D87">
        <f t="shared" si="4"/>
        <v>19</v>
      </c>
      <c r="E87" t="str">
        <f t="shared" si="5"/>
        <v>Bajo</v>
      </c>
    </row>
    <row r="88" spans="1:5" x14ac:dyDescent="0.25">
      <c r="A88" t="s">
        <v>108</v>
      </c>
      <c r="B88">
        <f>SUM('Satisfacción de los comités d'!B89:J89)</f>
        <v>40</v>
      </c>
      <c r="C88" t="str">
        <f t="shared" si="3"/>
        <v>Alto</v>
      </c>
      <c r="D88">
        <f t="shared" si="4"/>
        <v>40</v>
      </c>
      <c r="E88" t="str">
        <f t="shared" si="5"/>
        <v>Alto</v>
      </c>
    </row>
    <row r="89" spans="1:5" x14ac:dyDescent="0.25">
      <c r="A89" t="s">
        <v>109</v>
      </c>
      <c r="B89">
        <f>SUM('Satisfacción de los comités d'!B90:J90)</f>
        <v>27</v>
      </c>
      <c r="C89" t="str">
        <f t="shared" si="3"/>
        <v>Medio</v>
      </c>
      <c r="D89">
        <f t="shared" si="4"/>
        <v>27</v>
      </c>
      <c r="E89" t="str">
        <f t="shared" si="5"/>
        <v>Medio</v>
      </c>
    </row>
    <row r="90" spans="1:5" x14ac:dyDescent="0.25">
      <c r="A90" t="s">
        <v>110</v>
      </c>
      <c r="B90">
        <f>SUM('Satisfacción de los comités d'!B91:J91)</f>
        <v>24</v>
      </c>
      <c r="C90" t="str">
        <f t="shared" si="3"/>
        <v>Medio</v>
      </c>
      <c r="D90">
        <f t="shared" si="4"/>
        <v>24</v>
      </c>
      <c r="E90" t="str">
        <f t="shared" si="5"/>
        <v>Medio</v>
      </c>
    </row>
    <row r="91" spans="1:5" x14ac:dyDescent="0.25">
      <c r="A91" t="s">
        <v>111</v>
      </c>
      <c r="B91">
        <f>SUM('Satisfacción de los comités d'!B92:J92)</f>
        <v>35</v>
      </c>
      <c r="C91" t="str">
        <f t="shared" si="3"/>
        <v>Alto</v>
      </c>
      <c r="D91">
        <f t="shared" si="4"/>
        <v>35</v>
      </c>
      <c r="E91" t="str">
        <f t="shared" si="5"/>
        <v>Alto</v>
      </c>
    </row>
    <row r="92" spans="1:5" x14ac:dyDescent="0.25">
      <c r="A92" t="s">
        <v>112</v>
      </c>
      <c r="B92">
        <f>SUM('Satisfacción de los comités d'!B93:J93)</f>
        <v>19</v>
      </c>
      <c r="C92" t="str">
        <f t="shared" si="3"/>
        <v>Bajo</v>
      </c>
      <c r="D92">
        <f t="shared" si="4"/>
        <v>19</v>
      </c>
      <c r="E92" t="str">
        <f t="shared" si="5"/>
        <v>Bajo</v>
      </c>
    </row>
    <row r="93" spans="1:5" x14ac:dyDescent="0.25">
      <c r="A93" t="s">
        <v>113</v>
      </c>
      <c r="B93">
        <f>SUM('Satisfacción de los comités d'!B94:J94)</f>
        <v>37</v>
      </c>
      <c r="C93" t="str">
        <f t="shared" si="3"/>
        <v>Alto</v>
      </c>
      <c r="D93">
        <f t="shared" si="4"/>
        <v>37</v>
      </c>
      <c r="E93" t="str">
        <f t="shared" si="5"/>
        <v>Alto</v>
      </c>
    </row>
    <row r="94" spans="1:5" x14ac:dyDescent="0.25">
      <c r="A94" t="s">
        <v>114</v>
      </c>
      <c r="B94">
        <f>SUM('Satisfacción de los comités d'!B95:J95)</f>
        <v>28</v>
      </c>
      <c r="C94" t="str">
        <f t="shared" si="3"/>
        <v>Medio</v>
      </c>
      <c r="D94">
        <f t="shared" si="4"/>
        <v>28</v>
      </c>
      <c r="E94" t="str">
        <f t="shared" si="5"/>
        <v>Medio</v>
      </c>
    </row>
    <row r="95" spans="1:5" x14ac:dyDescent="0.25">
      <c r="A95" t="s">
        <v>115</v>
      </c>
      <c r="B95">
        <f>SUM('Satisfacción de los comités d'!B96:J96)</f>
        <v>22</v>
      </c>
      <c r="C95" t="str">
        <f t="shared" si="3"/>
        <v>Medio</v>
      </c>
      <c r="D95">
        <f t="shared" si="4"/>
        <v>22</v>
      </c>
      <c r="E95" t="str">
        <f t="shared" si="5"/>
        <v>Medio</v>
      </c>
    </row>
    <row r="96" spans="1:5" x14ac:dyDescent="0.25">
      <c r="A96" t="s">
        <v>116</v>
      </c>
      <c r="B96">
        <f>SUM('Satisfacción de los comités d'!B97:J97)</f>
        <v>23</v>
      </c>
      <c r="C96" t="str">
        <f t="shared" si="3"/>
        <v>Medio</v>
      </c>
      <c r="D96">
        <f t="shared" si="4"/>
        <v>23</v>
      </c>
      <c r="E96" t="str">
        <f t="shared" si="5"/>
        <v>Medio</v>
      </c>
    </row>
    <row r="97" spans="1:5" x14ac:dyDescent="0.25">
      <c r="A97" t="s">
        <v>117</v>
      </c>
      <c r="B97">
        <f>SUM('Satisfacción de los comités d'!B98:J98)</f>
        <v>35</v>
      </c>
      <c r="C97" t="str">
        <f t="shared" si="3"/>
        <v>Alto</v>
      </c>
      <c r="D97">
        <f t="shared" si="4"/>
        <v>35</v>
      </c>
      <c r="E97" t="str">
        <f t="shared" si="5"/>
        <v>Alto</v>
      </c>
    </row>
    <row r="98" spans="1:5" x14ac:dyDescent="0.25">
      <c r="A98" t="s">
        <v>118</v>
      </c>
      <c r="B98">
        <f>SUM('Satisfacción de los comités d'!B99:J99)</f>
        <v>26</v>
      </c>
      <c r="C98" t="str">
        <f t="shared" si="3"/>
        <v>Medio</v>
      </c>
      <c r="D98">
        <f t="shared" si="4"/>
        <v>26</v>
      </c>
      <c r="E98" t="str">
        <f t="shared" si="5"/>
        <v>Medio</v>
      </c>
    </row>
    <row r="99" spans="1:5" x14ac:dyDescent="0.25">
      <c r="A99" t="s">
        <v>119</v>
      </c>
      <c r="B99">
        <f>SUM('Satisfacción de los comités d'!B100:J100)</f>
        <v>20</v>
      </c>
      <c r="C99" t="str">
        <f t="shared" si="3"/>
        <v>Bajo</v>
      </c>
      <c r="D99">
        <f t="shared" si="4"/>
        <v>20</v>
      </c>
      <c r="E99" t="str">
        <f t="shared" si="5"/>
        <v>Bajo</v>
      </c>
    </row>
    <row r="100" spans="1:5" x14ac:dyDescent="0.25">
      <c r="A100" t="s">
        <v>120</v>
      </c>
      <c r="B100">
        <f>SUM('Satisfacción de los comités d'!B101:J101)</f>
        <v>28</v>
      </c>
      <c r="C100" t="str">
        <f t="shared" si="3"/>
        <v>Medio</v>
      </c>
      <c r="D100">
        <f t="shared" si="4"/>
        <v>28</v>
      </c>
      <c r="E100" t="str">
        <f t="shared" si="5"/>
        <v>Medio</v>
      </c>
    </row>
    <row r="101" spans="1:5" x14ac:dyDescent="0.25">
      <c r="A101" t="s">
        <v>121</v>
      </c>
      <c r="B101">
        <f>SUM('Satisfacción de los comités d'!B102:J102)</f>
        <v>24</v>
      </c>
      <c r="C101" t="str">
        <f t="shared" si="3"/>
        <v>Medio</v>
      </c>
      <c r="D101">
        <f t="shared" si="4"/>
        <v>24</v>
      </c>
      <c r="E101" t="str">
        <f t="shared" si="5"/>
        <v>Medio</v>
      </c>
    </row>
    <row r="102" spans="1:5" x14ac:dyDescent="0.25">
      <c r="A102" t="s">
        <v>122</v>
      </c>
      <c r="B102">
        <f>SUM('Satisfacción de los comités d'!B103:J103)</f>
        <v>27</v>
      </c>
      <c r="C102" t="str">
        <f t="shared" si="3"/>
        <v>Medio</v>
      </c>
      <c r="D102">
        <f t="shared" si="4"/>
        <v>27</v>
      </c>
      <c r="E102" t="str">
        <f t="shared" si="5"/>
        <v>Medio</v>
      </c>
    </row>
    <row r="103" spans="1:5" x14ac:dyDescent="0.25">
      <c r="A103" t="s">
        <v>123</v>
      </c>
      <c r="B103">
        <f>SUM('Satisfacción de los comités d'!B104:J104)</f>
        <v>28</v>
      </c>
      <c r="C103" t="str">
        <f t="shared" si="3"/>
        <v>Medio</v>
      </c>
      <c r="D103">
        <f t="shared" si="4"/>
        <v>28</v>
      </c>
      <c r="E103" t="str">
        <f t="shared" si="5"/>
        <v>Medio</v>
      </c>
    </row>
    <row r="104" spans="1:5" x14ac:dyDescent="0.25">
      <c r="A104" t="s">
        <v>124</v>
      </c>
      <c r="B104">
        <f>SUM('Satisfacción de los comités d'!B105:J105)</f>
        <v>23</v>
      </c>
      <c r="C104" t="str">
        <f t="shared" si="3"/>
        <v>Medio</v>
      </c>
      <c r="D104">
        <f t="shared" si="4"/>
        <v>23</v>
      </c>
      <c r="E104" t="str">
        <f t="shared" si="5"/>
        <v>Medio</v>
      </c>
    </row>
    <row r="105" spans="1:5" x14ac:dyDescent="0.25">
      <c r="A105" t="s">
        <v>125</v>
      </c>
      <c r="B105">
        <f>SUM('Satisfacción de los comités d'!B106:J106)</f>
        <v>28</v>
      </c>
      <c r="C105" t="str">
        <f t="shared" si="3"/>
        <v>Medio</v>
      </c>
      <c r="D105">
        <f t="shared" si="4"/>
        <v>28</v>
      </c>
      <c r="E105" t="str">
        <f t="shared" si="5"/>
        <v>Medio</v>
      </c>
    </row>
    <row r="106" spans="1:5" x14ac:dyDescent="0.25">
      <c r="A106" t="s">
        <v>126</v>
      </c>
      <c r="B106">
        <f>SUM('Satisfacción de los comités d'!B107:J107)</f>
        <v>30</v>
      </c>
      <c r="C106" t="str">
        <f t="shared" si="3"/>
        <v>Medio</v>
      </c>
      <c r="D106">
        <f t="shared" si="4"/>
        <v>30</v>
      </c>
      <c r="E106" t="str">
        <f t="shared" si="5"/>
        <v>Medio</v>
      </c>
    </row>
    <row r="107" spans="1:5" x14ac:dyDescent="0.25">
      <c r="A107" t="s">
        <v>127</v>
      </c>
      <c r="B107">
        <f>SUM('Satisfacción de los comités d'!B108:J108)</f>
        <v>31</v>
      </c>
      <c r="C107" t="str">
        <f t="shared" si="3"/>
        <v>Medio</v>
      </c>
      <c r="D107">
        <f t="shared" si="4"/>
        <v>31</v>
      </c>
      <c r="E107" t="str">
        <f t="shared" si="5"/>
        <v>Medio</v>
      </c>
    </row>
    <row r="108" spans="1:5" x14ac:dyDescent="0.25">
      <c r="A108" t="s">
        <v>128</v>
      </c>
      <c r="B108">
        <f>SUM('Satisfacción de los comités d'!B109:J109)</f>
        <v>18</v>
      </c>
      <c r="C108" t="str">
        <f t="shared" si="3"/>
        <v>Bajo</v>
      </c>
      <c r="D108">
        <f t="shared" si="4"/>
        <v>18</v>
      </c>
      <c r="E108" t="str">
        <f t="shared" si="5"/>
        <v>Bajo</v>
      </c>
    </row>
    <row r="109" spans="1:5" x14ac:dyDescent="0.25">
      <c r="A109" t="s">
        <v>129</v>
      </c>
      <c r="B109">
        <f>SUM('Satisfacción de los comités d'!B110:J110)</f>
        <v>43</v>
      </c>
      <c r="C109" t="str">
        <f t="shared" si="3"/>
        <v>Alto</v>
      </c>
      <c r="D109">
        <f t="shared" si="4"/>
        <v>43</v>
      </c>
      <c r="E109" t="str">
        <f t="shared" si="5"/>
        <v>Alto</v>
      </c>
    </row>
    <row r="110" spans="1:5" x14ac:dyDescent="0.25">
      <c r="A110" t="s">
        <v>130</v>
      </c>
      <c r="B110">
        <f>SUM('Satisfacción de los comités d'!B111:J111)</f>
        <v>30</v>
      </c>
      <c r="C110" t="str">
        <f t="shared" si="3"/>
        <v>Medio</v>
      </c>
      <c r="D110">
        <f t="shared" si="4"/>
        <v>30</v>
      </c>
      <c r="E110" t="str">
        <f t="shared" si="5"/>
        <v>Medio</v>
      </c>
    </row>
    <row r="111" spans="1:5" x14ac:dyDescent="0.25">
      <c r="A111" t="s">
        <v>131</v>
      </c>
      <c r="B111">
        <f>SUM('Satisfacción de los comités d'!B112:J112)</f>
        <v>27</v>
      </c>
      <c r="C111" t="str">
        <f t="shared" si="3"/>
        <v>Medio</v>
      </c>
      <c r="D111">
        <f t="shared" si="4"/>
        <v>27</v>
      </c>
      <c r="E111" t="str">
        <f t="shared" si="5"/>
        <v>Medio</v>
      </c>
    </row>
    <row r="112" spans="1:5" x14ac:dyDescent="0.25">
      <c r="A112" t="s">
        <v>132</v>
      </c>
      <c r="B112">
        <f>SUM('Satisfacción de los comités d'!B113:J113)</f>
        <v>31</v>
      </c>
      <c r="C112" t="str">
        <f t="shared" si="3"/>
        <v>Medio</v>
      </c>
      <c r="D112">
        <f t="shared" si="4"/>
        <v>31</v>
      </c>
      <c r="E112" t="str">
        <f t="shared" si="5"/>
        <v>Medio</v>
      </c>
    </row>
    <row r="113" spans="1:5" x14ac:dyDescent="0.25">
      <c r="A113" t="s">
        <v>133</v>
      </c>
      <c r="B113">
        <f>SUM('Satisfacción de los comités d'!B114:J114)</f>
        <v>28</v>
      </c>
      <c r="C113" t="str">
        <f t="shared" si="3"/>
        <v>Medio</v>
      </c>
      <c r="D113">
        <f t="shared" si="4"/>
        <v>28</v>
      </c>
      <c r="E113" t="str">
        <f t="shared" si="5"/>
        <v>Medio</v>
      </c>
    </row>
    <row r="114" spans="1:5" x14ac:dyDescent="0.25">
      <c r="A114" t="s">
        <v>134</v>
      </c>
      <c r="B114">
        <f>SUM('Satisfacción de los comités d'!B115:J115)</f>
        <v>24</v>
      </c>
      <c r="C114" t="str">
        <f t="shared" si="3"/>
        <v>Medio</v>
      </c>
      <c r="D114">
        <f t="shared" si="4"/>
        <v>24</v>
      </c>
      <c r="E114" t="str">
        <f t="shared" si="5"/>
        <v>Medio</v>
      </c>
    </row>
    <row r="115" spans="1:5" x14ac:dyDescent="0.25">
      <c r="A115" t="s">
        <v>135</v>
      </c>
      <c r="B115">
        <f>SUM('Satisfacción de los comités d'!B116:J116)</f>
        <v>30</v>
      </c>
      <c r="C115" t="str">
        <f t="shared" si="3"/>
        <v>Medio</v>
      </c>
      <c r="D115">
        <f t="shared" si="4"/>
        <v>30</v>
      </c>
      <c r="E115" t="str">
        <f t="shared" si="5"/>
        <v>Medio</v>
      </c>
    </row>
    <row r="116" spans="1:5" x14ac:dyDescent="0.25">
      <c r="A116" t="s">
        <v>136</v>
      </c>
      <c r="B116">
        <f>SUM('Satisfacción de los comités d'!B117:J117)</f>
        <v>31</v>
      </c>
      <c r="C116" t="str">
        <f t="shared" si="3"/>
        <v>Medio</v>
      </c>
      <c r="D116">
        <f t="shared" si="4"/>
        <v>31</v>
      </c>
      <c r="E116" t="str">
        <f t="shared" si="5"/>
        <v>Medio</v>
      </c>
    </row>
    <row r="117" spans="1:5" x14ac:dyDescent="0.25">
      <c r="A117" t="s">
        <v>137</v>
      </c>
      <c r="B117">
        <f>SUM('Satisfacción de los comités d'!B118:J118)</f>
        <v>30</v>
      </c>
      <c r="C117" t="str">
        <f t="shared" si="3"/>
        <v>Medio</v>
      </c>
      <c r="D117">
        <f t="shared" si="4"/>
        <v>30</v>
      </c>
      <c r="E117" t="str">
        <f t="shared" si="5"/>
        <v>Medio</v>
      </c>
    </row>
    <row r="118" spans="1:5" x14ac:dyDescent="0.25">
      <c r="A118" t="s">
        <v>138</v>
      </c>
      <c r="B118">
        <f>SUM('Satisfacción de los comités d'!B119:J119)</f>
        <v>23</v>
      </c>
      <c r="C118" t="str">
        <f t="shared" si="3"/>
        <v>Medio</v>
      </c>
      <c r="D118">
        <f t="shared" si="4"/>
        <v>23</v>
      </c>
      <c r="E118" t="str">
        <f t="shared" si="5"/>
        <v>Medio</v>
      </c>
    </row>
    <row r="119" spans="1:5" x14ac:dyDescent="0.25">
      <c r="A119" t="s">
        <v>139</v>
      </c>
      <c r="B119">
        <f>SUM('Satisfacción de los comités d'!B120:J120)</f>
        <v>36</v>
      </c>
      <c r="C119" t="str">
        <f t="shared" si="3"/>
        <v>Alto</v>
      </c>
      <c r="D119">
        <f t="shared" si="4"/>
        <v>36</v>
      </c>
      <c r="E119" t="str">
        <f t="shared" si="5"/>
        <v>Alto</v>
      </c>
    </row>
    <row r="120" spans="1:5" x14ac:dyDescent="0.25">
      <c r="A120" t="s">
        <v>140</v>
      </c>
      <c r="B120">
        <f>SUM('Satisfacción de los comités d'!B121:J121)</f>
        <v>27</v>
      </c>
      <c r="C120" t="str">
        <f t="shared" si="3"/>
        <v>Medio</v>
      </c>
      <c r="D120">
        <f t="shared" si="4"/>
        <v>27</v>
      </c>
      <c r="E120" t="str">
        <f t="shared" si="5"/>
        <v>Medio</v>
      </c>
    </row>
    <row r="121" spans="1:5" x14ac:dyDescent="0.25">
      <c r="A121" t="s">
        <v>141</v>
      </c>
      <c r="B121">
        <f>SUM('Satisfacción de los comités d'!B122:J122)</f>
        <v>36</v>
      </c>
      <c r="C121" t="str">
        <f t="shared" si="3"/>
        <v>Alto</v>
      </c>
      <c r="D121">
        <f t="shared" si="4"/>
        <v>36</v>
      </c>
      <c r="E121" t="str">
        <f t="shared" si="5"/>
        <v>Alto</v>
      </c>
    </row>
    <row r="122" spans="1:5" x14ac:dyDescent="0.25">
      <c r="A122" t="s">
        <v>142</v>
      </c>
      <c r="B122">
        <f>SUM('Satisfacción de los comités d'!B123:J123)</f>
        <v>17</v>
      </c>
      <c r="C122" t="str">
        <f t="shared" si="3"/>
        <v>Bajo</v>
      </c>
      <c r="D122">
        <f t="shared" si="4"/>
        <v>17</v>
      </c>
      <c r="E122" t="str">
        <f t="shared" si="5"/>
        <v>Bajo</v>
      </c>
    </row>
    <row r="123" spans="1:5" x14ac:dyDescent="0.25">
      <c r="A123" t="s">
        <v>143</v>
      </c>
      <c r="B123">
        <f>SUM('Satisfacción de los comités d'!B124:J124)</f>
        <v>27</v>
      </c>
      <c r="C123" t="str">
        <f t="shared" si="3"/>
        <v>Medio</v>
      </c>
      <c r="D123">
        <f t="shared" si="4"/>
        <v>27</v>
      </c>
      <c r="E123" t="str">
        <f t="shared" si="5"/>
        <v>Medio</v>
      </c>
    </row>
    <row r="124" spans="1:5" x14ac:dyDescent="0.25">
      <c r="A124" t="s">
        <v>144</v>
      </c>
      <c r="B124">
        <f>SUM('Satisfacción de los comités d'!B125:J125)</f>
        <v>28</v>
      </c>
      <c r="C124" t="str">
        <f t="shared" si="3"/>
        <v>Medio</v>
      </c>
      <c r="D124">
        <f t="shared" si="4"/>
        <v>28</v>
      </c>
      <c r="E124" t="str">
        <f t="shared" si="5"/>
        <v>Medio</v>
      </c>
    </row>
    <row r="125" spans="1:5" x14ac:dyDescent="0.25">
      <c r="A125" t="s">
        <v>145</v>
      </c>
      <c r="B125">
        <f>SUM('Satisfacción de los comités d'!B126:J126)</f>
        <v>34</v>
      </c>
      <c r="C125" t="str">
        <f t="shared" si="3"/>
        <v>Medio</v>
      </c>
      <c r="D125">
        <f t="shared" si="4"/>
        <v>34</v>
      </c>
      <c r="E125" t="str">
        <f t="shared" si="5"/>
        <v>Alto</v>
      </c>
    </row>
    <row r="126" spans="1:5" x14ac:dyDescent="0.25">
      <c r="A126" t="s">
        <v>146</v>
      </c>
      <c r="B126">
        <f>SUM('Satisfacción de los comités d'!B127:J127)</f>
        <v>27</v>
      </c>
      <c r="C126" t="str">
        <f t="shared" si="3"/>
        <v>Medio</v>
      </c>
      <c r="D126">
        <f t="shared" si="4"/>
        <v>27</v>
      </c>
      <c r="E126" t="str">
        <f t="shared" si="5"/>
        <v>Medio</v>
      </c>
    </row>
    <row r="127" spans="1:5" x14ac:dyDescent="0.25">
      <c r="A127" t="s">
        <v>147</v>
      </c>
      <c r="B127">
        <f>SUM('Satisfacción de los comités d'!B128:J128)</f>
        <v>35</v>
      </c>
      <c r="C127" t="str">
        <f t="shared" si="3"/>
        <v>Alto</v>
      </c>
      <c r="D127">
        <f t="shared" si="4"/>
        <v>35</v>
      </c>
      <c r="E127" t="str">
        <f t="shared" si="5"/>
        <v>Alto</v>
      </c>
    </row>
    <row r="128" spans="1:5" x14ac:dyDescent="0.25">
      <c r="A128" t="s">
        <v>148</v>
      </c>
      <c r="B128">
        <f>SUM('Satisfacción de los comités d'!B129:J129)</f>
        <v>25</v>
      </c>
      <c r="C128" t="str">
        <f t="shared" si="3"/>
        <v>Medio</v>
      </c>
      <c r="D128">
        <f t="shared" si="4"/>
        <v>25</v>
      </c>
      <c r="E128" t="str">
        <f t="shared" si="5"/>
        <v>Medio</v>
      </c>
    </row>
    <row r="129" spans="1:5" x14ac:dyDescent="0.25">
      <c r="A129" t="s">
        <v>149</v>
      </c>
      <c r="B129">
        <f>SUM('Satisfacción de los comités d'!B130:J130)</f>
        <v>24</v>
      </c>
      <c r="C129" t="str">
        <f t="shared" si="3"/>
        <v>Medio</v>
      </c>
      <c r="D129">
        <f t="shared" si="4"/>
        <v>24</v>
      </c>
      <c r="E129" t="str">
        <f t="shared" si="5"/>
        <v>Medio</v>
      </c>
    </row>
    <row r="130" spans="1:5" x14ac:dyDescent="0.25">
      <c r="A130" t="s">
        <v>150</v>
      </c>
      <c r="B130">
        <f>SUM('Satisfacción de los comités d'!B131:J131)</f>
        <v>20</v>
      </c>
      <c r="C130" t="str">
        <f t="shared" si="3"/>
        <v>Bajo</v>
      </c>
      <c r="D130">
        <f t="shared" si="4"/>
        <v>20</v>
      </c>
      <c r="E130" t="str">
        <f t="shared" si="5"/>
        <v>Bajo</v>
      </c>
    </row>
    <row r="131" spans="1:5" x14ac:dyDescent="0.25">
      <c r="A131" t="s">
        <v>151</v>
      </c>
      <c r="B131">
        <f>SUM('Satisfacción de los comités d'!B132:J132)</f>
        <v>23</v>
      </c>
      <c r="C131" t="str">
        <f t="shared" si="3"/>
        <v>Medio</v>
      </c>
      <c r="D131">
        <f t="shared" si="4"/>
        <v>23</v>
      </c>
      <c r="E131" t="str">
        <f t="shared" si="5"/>
        <v>Medio</v>
      </c>
    </row>
    <row r="132" spans="1:5" x14ac:dyDescent="0.25">
      <c r="A132" t="s">
        <v>152</v>
      </c>
      <c r="B132">
        <f>SUM('Satisfacción de los comités d'!B133:J133)</f>
        <v>24</v>
      </c>
      <c r="C132" t="str">
        <f t="shared" ref="C132:C195" si="6">IF(B132&lt;=$M$19,"Bajo",IF(B132&lt;=$M$20,"Medio",IF(B132&lt;=$M$21,"Alto",0)))</f>
        <v>Medio</v>
      </c>
      <c r="D132">
        <f t="shared" ref="D132:D195" si="7">SUM(B132:B132)</f>
        <v>24</v>
      </c>
      <c r="E132" t="str">
        <f t="shared" ref="E132:E195" si="8">IF(D132&lt;=$Y$19,"Bajo",IF(D132&lt;=$Y$20,"Medio",IF(D132&lt;=$Y$21,"Alto",0)))</f>
        <v>Medio</v>
      </c>
    </row>
    <row r="133" spans="1:5" x14ac:dyDescent="0.25">
      <c r="A133" t="s">
        <v>153</v>
      </c>
      <c r="B133">
        <f>SUM('Satisfacción de los comités d'!B134:J134)</f>
        <v>20</v>
      </c>
      <c r="C133" t="str">
        <f t="shared" si="6"/>
        <v>Bajo</v>
      </c>
      <c r="D133">
        <f t="shared" si="7"/>
        <v>20</v>
      </c>
      <c r="E133" t="str">
        <f t="shared" si="8"/>
        <v>Bajo</v>
      </c>
    </row>
    <row r="134" spans="1:5" x14ac:dyDescent="0.25">
      <c r="A134" t="s">
        <v>154</v>
      </c>
      <c r="B134">
        <f>SUM('Satisfacción de los comités d'!B135:J135)</f>
        <v>36</v>
      </c>
      <c r="C134" t="str">
        <f t="shared" si="6"/>
        <v>Alto</v>
      </c>
      <c r="D134">
        <f t="shared" si="7"/>
        <v>36</v>
      </c>
      <c r="E134" t="str">
        <f t="shared" si="8"/>
        <v>Alto</v>
      </c>
    </row>
    <row r="135" spans="1:5" x14ac:dyDescent="0.25">
      <c r="A135" t="s">
        <v>155</v>
      </c>
      <c r="B135">
        <f>SUM('Satisfacción de los comités d'!B136:J136)</f>
        <v>19</v>
      </c>
      <c r="C135" t="str">
        <f t="shared" si="6"/>
        <v>Bajo</v>
      </c>
      <c r="D135">
        <f t="shared" si="7"/>
        <v>19</v>
      </c>
      <c r="E135" t="str">
        <f t="shared" si="8"/>
        <v>Bajo</v>
      </c>
    </row>
    <row r="136" spans="1:5" x14ac:dyDescent="0.25">
      <c r="A136" t="s">
        <v>156</v>
      </c>
      <c r="B136">
        <f>SUM('Satisfacción de los comités d'!B137:J137)</f>
        <v>33</v>
      </c>
      <c r="C136" t="str">
        <f t="shared" si="6"/>
        <v>Medio</v>
      </c>
      <c r="D136">
        <f t="shared" si="7"/>
        <v>33</v>
      </c>
      <c r="E136" t="str">
        <f t="shared" si="8"/>
        <v>Alto</v>
      </c>
    </row>
    <row r="137" spans="1:5" x14ac:dyDescent="0.25">
      <c r="A137" t="s">
        <v>157</v>
      </c>
      <c r="B137">
        <f>SUM('Satisfacción de los comités d'!B138:J138)</f>
        <v>35</v>
      </c>
      <c r="C137" t="str">
        <f t="shared" si="6"/>
        <v>Alto</v>
      </c>
      <c r="D137">
        <f t="shared" si="7"/>
        <v>35</v>
      </c>
      <c r="E137" t="str">
        <f t="shared" si="8"/>
        <v>Alto</v>
      </c>
    </row>
    <row r="138" spans="1:5" x14ac:dyDescent="0.25">
      <c r="A138" t="s">
        <v>158</v>
      </c>
      <c r="B138">
        <f>SUM('Satisfacción de los comités d'!B139:J139)</f>
        <v>18</v>
      </c>
      <c r="C138" t="str">
        <f t="shared" si="6"/>
        <v>Bajo</v>
      </c>
      <c r="D138">
        <f t="shared" si="7"/>
        <v>18</v>
      </c>
      <c r="E138" t="str">
        <f t="shared" si="8"/>
        <v>Bajo</v>
      </c>
    </row>
    <row r="139" spans="1:5" x14ac:dyDescent="0.25">
      <c r="A139" t="s">
        <v>159</v>
      </c>
      <c r="B139">
        <f>SUM('Satisfacción de los comités d'!B140:J140)</f>
        <v>23</v>
      </c>
      <c r="C139" t="str">
        <f t="shared" si="6"/>
        <v>Medio</v>
      </c>
      <c r="D139">
        <f t="shared" si="7"/>
        <v>23</v>
      </c>
      <c r="E139" t="str">
        <f t="shared" si="8"/>
        <v>Medio</v>
      </c>
    </row>
    <row r="140" spans="1:5" x14ac:dyDescent="0.25">
      <c r="A140" t="s">
        <v>160</v>
      </c>
      <c r="B140">
        <f>SUM('Satisfacción de los comités d'!B141:J141)</f>
        <v>20</v>
      </c>
      <c r="C140" t="str">
        <f t="shared" si="6"/>
        <v>Bajo</v>
      </c>
      <c r="D140">
        <f t="shared" si="7"/>
        <v>20</v>
      </c>
      <c r="E140" t="str">
        <f t="shared" si="8"/>
        <v>Bajo</v>
      </c>
    </row>
    <row r="141" spans="1:5" x14ac:dyDescent="0.25">
      <c r="A141" t="s">
        <v>161</v>
      </c>
      <c r="B141">
        <f>SUM('Satisfacción de los comités d'!B142:J142)</f>
        <v>18</v>
      </c>
      <c r="C141" t="str">
        <f t="shared" si="6"/>
        <v>Bajo</v>
      </c>
      <c r="D141">
        <f t="shared" si="7"/>
        <v>18</v>
      </c>
      <c r="E141" t="str">
        <f t="shared" si="8"/>
        <v>Bajo</v>
      </c>
    </row>
    <row r="142" spans="1:5" x14ac:dyDescent="0.25">
      <c r="A142" t="s">
        <v>162</v>
      </c>
      <c r="B142">
        <f>SUM('Satisfacción de los comités d'!B143:J143)</f>
        <v>27</v>
      </c>
      <c r="C142" t="str">
        <f t="shared" si="6"/>
        <v>Medio</v>
      </c>
      <c r="D142">
        <f t="shared" si="7"/>
        <v>27</v>
      </c>
      <c r="E142" t="str">
        <f t="shared" si="8"/>
        <v>Medio</v>
      </c>
    </row>
    <row r="143" spans="1:5" x14ac:dyDescent="0.25">
      <c r="A143" t="s">
        <v>163</v>
      </c>
      <c r="B143">
        <f>SUM('Satisfacción de los comités d'!B144:J144)</f>
        <v>25</v>
      </c>
      <c r="C143" t="str">
        <f t="shared" si="6"/>
        <v>Medio</v>
      </c>
      <c r="D143">
        <f t="shared" si="7"/>
        <v>25</v>
      </c>
      <c r="E143" t="str">
        <f t="shared" si="8"/>
        <v>Medio</v>
      </c>
    </row>
    <row r="144" spans="1:5" x14ac:dyDescent="0.25">
      <c r="A144" t="s">
        <v>164</v>
      </c>
      <c r="B144">
        <f>SUM('Satisfacción de los comités d'!B145:J145)</f>
        <v>29</v>
      </c>
      <c r="C144" t="str">
        <f t="shared" si="6"/>
        <v>Medio</v>
      </c>
      <c r="D144">
        <f t="shared" si="7"/>
        <v>29</v>
      </c>
      <c r="E144" t="str">
        <f t="shared" si="8"/>
        <v>Medio</v>
      </c>
    </row>
    <row r="145" spans="1:5" x14ac:dyDescent="0.25">
      <c r="A145" t="s">
        <v>165</v>
      </c>
      <c r="B145">
        <f>SUM('Satisfacción de los comités d'!B146:J146)</f>
        <v>27</v>
      </c>
      <c r="C145" t="str">
        <f t="shared" si="6"/>
        <v>Medio</v>
      </c>
      <c r="D145">
        <f t="shared" si="7"/>
        <v>27</v>
      </c>
      <c r="E145" t="str">
        <f t="shared" si="8"/>
        <v>Medio</v>
      </c>
    </row>
    <row r="146" spans="1:5" x14ac:dyDescent="0.25">
      <c r="A146" t="s">
        <v>166</v>
      </c>
      <c r="B146">
        <f>SUM('Satisfacción de los comités d'!B147:J147)</f>
        <v>30</v>
      </c>
      <c r="C146" t="str">
        <f t="shared" si="6"/>
        <v>Medio</v>
      </c>
      <c r="D146">
        <f t="shared" si="7"/>
        <v>30</v>
      </c>
      <c r="E146" t="str">
        <f t="shared" si="8"/>
        <v>Medio</v>
      </c>
    </row>
    <row r="147" spans="1:5" x14ac:dyDescent="0.25">
      <c r="A147" t="s">
        <v>167</v>
      </c>
      <c r="B147">
        <f>SUM('Satisfacción de los comités d'!B148:J148)</f>
        <v>35</v>
      </c>
      <c r="C147" t="str">
        <f t="shared" si="6"/>
        <v>Alto</v>
      </c>
      <c r="D147">
        <f t="shared" si="7"/>
        <v>35</v>
      </c>
      <c r="E147" t="str">
        <f t="shared" si="8"/>
        <v>Alto</v>
      </c>
    </row>
    <row r="148" spans="1:5" x14ac:dyDescent="0.25">
      <c r="A148" t="s">
        <v>168</v>
      </c>
      <c r="B148">
        <f>SUM('Satisfacción de los comités d'!B149:J149)</f>
        <v>19</v>
      </c>
      <c r="C148" t="str">
        <f t="shared" si="6"/>
        <v>Bajo</v>
      </c>
      <c r="D148">
        <f t="shared" si="7"/>
        <v>19</v>
      </c>
      <c r="E148" t="str">
        <f t="shared" si="8"/>
        <v>Bajo</v>
      </c>
    </row>
    <row r="149" spans="1:5" x14ac:dyDescent="0.25">
      <c r="A149" t="s">
        <v>169</v>
      </c>
      <c r="B149">
        <f>SUM('Satisfacción de los comités d'!B150:J150)</f>
        <v>18</v>
      </c>
      <c r="C149" t="str">
        <f t="shared" si="6"/>
        <v>Bajo</v>
      </c>
      <c r="D149">
        <f t="shared" si="7"/>
        <v>18</v>
      </c>
      <c r="E149" t="str">
        <f t="shared" si="8"/>
        <v>Bajo</v>
      </c>
    </row>
    <row r="150" spans="1:5" x14ac:dyDescent="0.25">
      <c r="A150" t="s">
        <v>170</v>
      </c>
      <c r="B150">
        <f>SUM('Satisfacción de los comités d'!B151:J151)</f>
        <v>26</v>
      </c>
      <c r="C150" t="str">
        <f t="shared" si="6"/>
        <v>Medio</v>
      </c>
      <c r="D150">
        <f t="shared" si="7"/>
        <v>26</v>
      </c>
      <c r="E150" t="str">
        <f t="shared" si="8"/>
        <v>Medio</v>
      </c>
    </row>
    <row r="151" spans="1:5" x14ac:dyDescent="0.25">
      <c r="A151" t="s">
        <v>171</v>
      </c>
      <c r="B151">
        <f>SUM('Satisfacción de los comités d'!B152:J152)</f>
        <v>30</v>
      </c>
      <c r="C151" t="str">
        <f t="shared" si="6"/>
        <v>Medio</v>
      </c>
      <c r="D151">
        <f t="shared" si="7"/>
        <v>30</v>
      </c>
      <c r="E151" t="str">
        <f t="shared" si="8"/>
        <v>Medio</v>
      </c>
    </row>
    <row r="152" spans="1:5" x14ac:dyDescent="0.25">
      <c r="A152" t="s">
        <v>172</v>
      </c>
      <c r="B152">
        <f>SUM('Satisfacción de los comités d'!B153:J153)</f>
        <v>28</v>
      </c>
      <c r="C152" t="str">
        <f t="shared" si="6"/>
        <v>Medio</v>
      </c>
      <c r="D152">
        <f t="shared" si="7"/>
        <v>28</v>
      </c>
      <c r="E152" t="str">
        <f t="shared" si="8"/>
        <v>Medio</v>
      </c>
    </row>
    <row r="153" spans="1:5" x14ac:dyDescent="0.25">
      <c r="A153" t="s">
        <v>173</v>
      </c>
      <c r="B153">
        <f>SUM('Satisfacción de los comités d'!B154:J154)</f>
        <v>27</v>
      </c>
      <c r="C153" t="str">
        <f t="shared" si="6"/>
        <v>Medio</v>
      </c>
      <c r="D153">
        <f t="shared" si="7"/>
        <v>27</v>
      </c>
      <c r="E153" t="str">
        <f t="shared" si="8"/>
        <v>Medio</v>
      </c>
    </row>
    <row r="154" spans="1:5" x14ac:dyDescent="0.25">
      <c r="A154" t="s">
        <v>174</v>
      </c>
      <c r="B154">
        <f>SUM('Satisfacción de los comités d'!B155:J155)</f>
        <v>36</v>
      </c>
      <c r="C154" t="str">
        <f t="shared" si="6"/>
        <v>Alto</v>
      </c>
      <c r="D154">
        <f t="shared" si="7"/>
        <v>36</v>
      </c>
      <c r="E154" t="str">
        <f t="shared" si="8"/>
        <v>Alto</v>
      </c>
    </row>
    <row r="155" spans="1:5" x14ac:dyDescent="0.25">
      <c r="A155" t="s">
        <v>175</v>
      </c>
      <c r="B155">
        <f>SUM('Satisfacción de los comités d'!B156:J156)</f>
        <v>42</v>
      </c>
      <c r="C155" t="str">
        <f t="shared" si="6"/>
        <v>Alto</v>
      </c>
      <c r="D155">
        <f t="shared" si="7"/>
        <v>42</v>
      </c>
      <c r="E155" t="str">
        <f t="shared" si="8"/>
        <v>Alto</v>
      </c>
    </row>
    <row r="156" spans="1:5" x14ac:dyDescent="0.25">
      <c r="A156" t="s">
        <v>176</v>
      </c>
      <c r="B156">
        <f>SUM('Satisfacción de los comités d'!B157:J157)</f>
        <v>25</v>
      </c>
      <c r="C156" t="str">
        <f t="shared" si="6"/>
        <v>Medio</v>
      </c>
      <c r="D156">
        <f t="shared" si="7"/>
        <v>25</v>
      </c>
      <c r="E156" t="str">
        <f t="shared" si="8"/>
        <v>Medio</v>
      </c>
    </row>
    <row r="157" spans="1:5" x14ac:dyDescent="0.25">
      <c r="A157" t="s">
        <v>177</v>
      </c>
      <c r="B157">
        <f>SUM('Satisfacción de los comités d'!B158:J158)</f>
        <v>27</v>
      </c>
      <c r="C157" t="str">
        <f t="shared" si="6"/>
        <v>Medio</v>
      </c>
      <c r="D157">
        <f t="shared" si="7"/>
        <v>27</v>
      </c>
      <c r="E157" t="str">
        <f t="shared" si="8"/>
        <v>Medio</v>
      </c>
    </row>
    <row r="158" spans="1:5" x14ac:dyDescent="0.25">
      <c r="A158" t="s">
        <v>178</v>
      </c>
      <c r="B158">
        <f>SUM('Satisfacción de los comités d'!B159:J159)</f>
        <v>27</v>
      </c>
      <c r="C158" t="str">
        <f t="shared" si="6"/>
        <v>Medio</v>
      </c>
      <c r="D158">
        <f t="shared" si="7"/>
        <v>27</v>
      </c>
      <c r="E158" t="str">
        <f t="shared" si="8"/>
        <v>Medio</v>
      </c>
    </row>
    <row r="159" spans="1:5" x14ac:dyDescent="0.25">
      <c r="A159" t="s">
        <v>179</v>
      </c>
      <c r="B159">
        <f>SUM('Satisfacción de los comités d'!B160:J160)</f>
        <v>24</v>
      </c>
      <c r="C159" t="str">
        <f t="shared" si="6"/>
        <v>Medio</v>
      </c>
      <c r="D159">
        <f t="shared" si="7"/>
        <v>24</v>
      </c>
      <c r="E159" t="str">
        <f t="shared" si="8"/>
        <v>Medio</v>
      </c>
    </row>
    <row r="160" spans="1:5" x14ac:dyDescent="0.25">
      <c r="A160" t="s">
        <v>180</v>
      </c>
      <c r="B160">
        <f>SUM('Satisfacción de los comités d'!B161:J161)</f>
        <v>27</v>
      </c>
      <c r="C160" t="str">
        <f t="shared" si="6"/>
        <v>Medio</v>
      </c>
      <c r="D160">
        <f t="shared" si="7"/>
        <v>27</v>
      </c>
      <c r="E160" t="str">
        <f t="shared" si="8"/>
        <v>Medio</v>
      </c>
    </row>
    <row r="161" spans="1:5" x14ac:dyDescent="0.25">
      <c r="A161" t="s">
        <v>181</v>
      </c>
      <c r="B161">
        <f>SUM('Satisfacción de los comités d'!B162:J162)</f>
        <v>23</v>
      </c>
      <c r="C161" t="str">
        <f t="shared" si="6"/>
        <v>Medio</v>
      </c>
      <c r="D161">
        <f t="shared" si="7"/>
        <v>23</v>
      </c>
      <c r="E161" t="str">
        <f t="shared" si="8"/>
        <v>Medio</v>
      </c>
    </row>
    <row r="162" spans="1:5" x14ac:dyDescent="0.25">
      <c r="A162" t="s">
        <v>182</v>
      </c>
      <c r="B162">
        <f>SUM('Satisfacción de los comités d'!B163:J163)</f>
        <v>30</v>
      </c>
      <c r="C162" t="str">
        <f t="shared" si="6"/>
        <v>Medio</v>
      </c>
      <c r="D162">
        <f t="shared" si="7"/>
        <v>30</v>
      </c>
      <c r="E162" t="str">
        <f t="shared" si="8"/>
        <v>Medio</v>
      </c>
    </row>
    <row r="163" spans="1:5" x14ac:dyDescent="0.25">
      <c r="A163" t="s">
        <v>183</v>
      </c>
      <c r="B163">
        <f>SUM('Satisfacción de los comités d'!B164:J164)</f>
        <v>26</v>
      </c>
      <c r="C163" t="str">
        <f t="shared" si="6"/>
        <v>Medio</v>
      </c>
      <c r="D163">
        <f t="shared" si="7"/>
        <v>26</v>
      </c>
      <c r="E163" t="str">
        <f t="shared" si="8"/>
        <v>Medio</v>
      </c>
    </row>
    <row r="164" spans="1:5" x14ac:dyDescent="0.25">
      <c r="A164" t="s">
        <v>184</v>
      </c>
      <c r="B164">
        <f>SUM('Satisfacción de los comités d'!B165:J165)</f>
        <v>36</v>
      </c>
      <c r="C164" t="str">
        <f t="shared" si="6"/>
        <v>Alto</v>
      </c>
      <c r="D164">
        <f t="shared" si="7"/>
        <v>36</v>
      </c>
      <c r="E164" t="str">
        <f t="shared" si="8"/>
        <v>Alto</v>
      </c>
    </row>
    <row r="165" spans="1:5" x14ac:dyDescent="0.25">
      <c r="A165" t="s">
        <v>185</v>
      </c>
      <c r="B165">
        <f>SUM('Satisfacción de los comités d'!B166:J166)</f>
        <v>32</v>
      </c>
      <c r="C165" t="str">
        <f t="shared" si="6"/>
        <v>Medio</v>
      </c>
      <c r="D165">
        <f t="shared" si="7"/>
        <v>32</v>
      </c>
      <c r="E165" t="str">
        <f t="shared" si="8"/>
        <v>Medio</v>
      </c>
    </row>
    <row r="166" spans="1:5" x14ac:dyDescent="0.25">
      <c r="A166" t="s">
        <v>186</v>
      </c>
      <c r="B166">
        <f>SUM('Satisfacción de los comités d'!B167:J167)</f>
        <v>27</v>
      </c>
      <c r="C166" t="str">
        <f t="shared" si="6"/>
        <v>Medio</v>
      </c>
      <c r="D166">
        <f t="shared" si="7"/>
        <v>27</v>
      </c>
      <c r="E166" t="str">
        <f t="shared" si="8"/>
        <v>Medio</v>
      </c>
    </row>
    <row r="167" spans="1:5" x14ac:dyDescent="0.25">
      <c r="A167" t="s">
        <v>187</v>
      </c>
      <c r="B167">
        <f>SUM('Satisfacción de los comités d'!B168:J168)</f>
        <v>28</v>
      </c>
      <c r="C167" t="str">
        <f t="shared" si="6"/>
        <v>Medio</v>
      </c>
      <c r="D167">
        <f t="shared" si="7"/>
        <v>28</v>
      </c>
      <c r="E167" t="str">
        <f t="shared" si="8"/>
        <v>Medio</v>
      </c>
    </row>
    <row r="168" spans="1:5" x14ac:dyDescent="0.25">
      <c r="A168" t="s">
        <v>188</v>
      </c>
      <c r="B168">
        <f>SUM('Satisfacción de los comités d'!B169:J169)</f>
        <v>29</v>
      </c>
      <c r="C168" t="str">
        <f t="shared" si="6"/>
        <v>Medio</v>
      </c>
      <c r="D168">
        <f t="shared" si="7"/>
        <v>29</v>
      </c>
      <c r="E168" t="str">
        <f t="shared" si="8"/>
        <v>Medio</v>
      </c>
    </row>
    <row r="169" spans="1:5" x14ac:dyDescent="0.25">
      <c r="A169" t="s">
        <v>189</v>
      </c>
      <c r="B169">
        <f>SUM('Satisfacción de los comités d'!B170:J170)</f>
        <v>29</v>
      </c>
      <c r="C169" t="str">
        <f t="shared" si="6"/>
        <v>Medio</v>
      </c>
      <c r="D169">
        <f t="shared" si="7"/>
        <v>29</v>
      </c>
      <c r="E169" t="str">
        <f t="shared" si="8"/>
        <v>Medio</v>
      </c>
    </row>
    <row r="170" spans="1:5" x14ac:dyDescent="0.25">
      <c r="A170" t="s">
        <v>190</v>
      </c>
      <c r="B170">
        <f>SUM('Satisfacción de los comités d'!B171:J171)</f>
        <v>28</v>
      </c>
      <c r="C170" t="str">
        <f t="shared" si="6"/>
        <v>Medio</v>
      </c>
      <c r="D170">
        <f t="shared" si="7"/>
        <v>28</v>
      </c>
      <c r="E170" t="str">
        <f t="shared" si="8"/>
        <v>Medio</v>
      </c>
    </row>
    <row r="171" spans="1:5" x14ac:dyDescent="0.25">
      <c r="A171" t="s">
        <v>191</v>
      </c>
      <c r="B171">
        <f>SUM('Satisfacción de los comités d'!B172:J172)</f>
        <v>33</v>
      </c>
      <c r="C171" t="str">
        <f t="shared" si="6"/>
        <v>Medio</v>
      </c>
      <c r="D171">
        <f t="shared" si="7"/>
        <v>33</v>
      </c>
      <c r="E171" t="str">
        <f t="shared" si="8"/>
        <v>Alto</v>
      </c>
    </row>
    <row r="172" spans="1:5" x14ac:dyDescent="0.25">
      <c r="A172" t="s">
        <v>192</v>
      </c>
      <c r="B172">
        <f>SUM('Satisfacción de los comités d'!B173:J173)</f>
        <v>28</v>
      </c>
      <c r="C172" t="str">
        <f t="shared" si="6"/>
        <v>Medio</v>
      </c>
      <c r="D172">
        <f t="shared" si="7"/>
        <v>28</v>
      </c>
      <c r="E172" t="str">
        <f t="shared" si="8"/>
        <v>Medio</v>
      </c>
    </row>
    <row r="173" spans="1:5" x14ac:dyDescent="0.25">
      <c r="A173" t="s">
        <v>193</v>
      </c>
      <c r="B173">
        <f>SUM('Satisfacción de los comités d'!B174:J174)</f>
        <v>18</v>
      </c>
      <c r="C173" t="str">
        <f t="shared" si="6"/>
        <v>Bajo</v>
      </c>
      <c r="D173">
        <f t="shared" si="7"/>
        <v>18</v>
      </c>
      <c r="E173" t="str">
        <f t="shared" si="8"/>
        <v>Bajo</v>
      </c>
    </row>
    <row r="174" spans="1:5" x14ac:dyDescent="0.25">
      <c r="A174" t="s">
        <v>194</v>
      </c>
      <c r="B174">
        <f>SUM('Satisfacción de los comités d'!B175:J175)</f>
        <v>27</v>
      </c>
      <c r="C174" t="str">
        <f t="shared" si="6"/>
        <v>Medio</v>
      </c>
      <c r="D174">
        <f t="shared" si="7"/>
        <v>27</v>
      </c>
      <c r="E174" t="str">
        <f t="shared" si="8"/>
        <v>Medio</v>
      </c>
    </row>
    <row r="175" spans="1:5" x14ac:dyDescent="0.25">
      <c r="A175" t="s">
        <v>195</v>
      </c>
      <c r="B175">
        <f>SUM('Satisfacción de los comités d'!B176:J176)</f>
        <v>17</v>
      </c>
      <c r="C175" t="str">
        <f t="shared" si="6"/>
        <v>Bajo</v>
      </c>
      <c r="D175">
        <f t="shared" si="7"/>
        <v>17</v>
      </c>
      <c r="E175" t="str">
        <f t="shared" si="8"/>
        <v>Bajo</v>
      </c>
    </row>
    <row r="176" spans="1:5" x14ac:dyDescent="0.25">
      <c r="A176" t="s">
        <v>196</v>
      </c>
      <c r="B176">
        <f>SUM('Satisfacción de los comités d'!B177:J177)</f>
        <v>28</v>
      </c>
      <c r="C176" t="str">
        <f t="shared" si="6"/>
        <v>Medio</v>
      </c>
      <c r="D176">
        <f t="shared" si="7"/>
        <v>28</v>
      </c>
      <c r="E176" t="str">
        <f t="shared" si="8"/>
        <v>Medio</v>
      </c>
    </row>
    <row r="177" spans="1:5" x14ac:dyDescent="0.25">
      <c r="A177" t="s">
        <v>197</v>
      </c>
      <c r="B177">
        <f>SUM('Satisfacción de los comités d'!B178:J178)</f>
        <v>25</v>
      </c>
      <c r="C177" t="str">
        <f t="shared" si="6"/>
        <v>Medio</v>
      </c>
      <c r="D177">
        <f t="shared" si="7"/>
        <v>25</v>
      </c>
      <c r="E177" t="str">
        <f t="shared" si="8"/>
        <v>Medio</v>
      </c>
    </row>
    <row r="178" spans="1:5" x14ac:dyDescent="0.25">
      <c r="A178" t="s">
        <v>198</v>
      </c>
      <c r="B178">
        <f>SUM('Satisfacción de los comités d'!B179:J179)</f>
        <v>21</v>
      </c>
      <c r="C178" t="str">
        <f t="shared" si="6"/>
        <v>Bajo</v>
      </c>
      <c r="D178">
        <f t="shared" si="7"/>
        <v>21</v>
      </c>
      <c r="E178" t="str">
        <f t="shared" si="8"/>
        <v>Medio</v>
      </c>
    </row>
    <row r="179" spans="1:5" x14ac:dyDescent="0.25">
      <c r="A179" t="s">
        <v>199</v>
      </c>
      <c r="B179">
        <f>SUM('Satisfacción de los comités d'!B180:J180)</f>
        <v>30</v>
      </c>
      <c r="C179" t="str">
        <f t="shared" si="6"/>
        <v>Medio</v>
      </c>
      <c r="D179">
        <f t="shared" si="7"/>
        <v>30</v>
      </c>
      <c r="E179" t="str">
        <f t="shared" si="8"/>
        <v>Medio</v>
      </c>
    </row>
    <row r="180" spans="1:5" x14ac:dyDescent="0.25">
      <c r="A180" t="s">
        <v>200</v>
      </c>
      <c r="B180">
        <f>SUM('Satisfacción de los comités d'!B181:J181)</f>
        <v>36</v>
      </c>
      <c r="C180" t="str">
        <f t="shared" si="6"/>
        <v>Alto</v>
      </c>
      <c r="D180">
        <f t="shared" si="7"/>
        <v>36</v>
      </c>
      <c r="E180" t="str">
        <f t="shared" si="8"/>
        <v>Alto</v>
      </c>
    </row>
    <row r="181" spans="1:5" x14ac:dyDescent="0.25">
      <c r="A181" t="s">
        <v>201</v>
      </c>
      <c r="B181">
        <f>SUM('Satisfacción de los comités d'!B182:J182)</f>
        <v>27</v>
      </c>
      <c r="C181" t="str">
        <f t="shared" si="6"/>
        <v>Medio</v>
      </c>
      <c r="D181">
        <f t="shared" si="7"/>
        <v>27</v>
      </c>
      <c r="E181" t="str">
        <f t="shared" si="8"/>
        <v>Medio</v>
      </c>
    </row>
    <row r="182" spans="1:5" x14ac:dyDescent="0.25">
      <c r="A182" t="s">
        <v>202</v>
      </c>
      <c r="B182">
        <f>SUM('Satisfacción de los comités d'!B183:J183)</f>
        <v>28</v>
      </c>
      <c r="C182" t="str">
        <f t="shared" si="6"/>
        <v>Medio</v>
      </c>
      <c r="D182">
        <f t="shared" si="7"/>
        <v>28</v>
      </c>
      <c r="E182" t="str">
        <f t="shared" si="8"/>
        <v>Medio</v>
      </c>
    </row>
    <row r="183" spans="1:5" x14ac:dyDescent="0.25">
      <c r="A183" t="s">
        <v>203</v>
      </c>
      <c r="B183">
        <f>SUM('Satisfacción de los comités d'!B184:J184)</f>
        <v>24</v>
      </c>
      <c r="C183" t="str">
        <f t="shared" si="6"/>
        <v>Medio</v>
      </c>
      <c r="D183">
        <f t="shared" si="7"/>
        <v>24</v>
      </c>
      <c r="E183" t="str">
        <f t="shared" si="8"/>
        <v>Medio</v>
      </c>
    </row>
    <row r="184" spans="1:5" x14ac:dyDescent="0.25">
      <c r="A184" t="s">
        <v>204</v>
      </c>
      <c r="B184">
        <f>SUM('Satisfacción de los comités d'!B185:J185)</f>
        <v>31</v>
      </c>
      <c r="C184" t="str">
        <f t="shared" si="6"/>
        <v>Medio</v>
      </c>
      <c r="D184">
        <f t="shared" si="7"/>
        <v>31</v>
      </c>
      <c r="E184" t="str">
        <f t="shared" si="8"/>
        <v>Medio</v>
      </c>
    </row>
    <row r="185" spans="1:5" x14ac:dyDescent="0.25">
      <c r="A185" t="s">
        <v>205</v>
      </c>
      <c r="B185">
        <f>SUM('Satisfacción de los comités d'!B186:J186)</f>
        <v>31</v>
      </c>
      <c r="C185" t="str">
        <f t="shared" si="6"/>
        <v>Medio</v>
      </c>
      <c r="D185">
        <f t="shared" si="7"/>
        <v>31</v>
      </c>
      <c r="E185" t="str">
        <f t="shared" si="8"/>
        <v>Medio</v>
      </c>
    </row>
    <row r="186" spans="1:5" x14ac:dyDescent="0.25">
      <c r="A186" t="s">
        <v>206</v>
      </c>
      <c r="B186">
        <f>SUM('Satisfacción de los comités d'!B187:J187)</f>
        <v>32</v>
      </c>
      <c r="C186" t="str">
        <f t="shared" si="6"/>
        <v>Medio</v>
      </c>
      <c r="D186">
        <f t="shared" si="7"/>
        <v>32</v>
      </c>
      <c r="E186" t="str">
        <f t="shared" si="8"/>
        <v>Medio</v>
      </c>
    </row>
    <row r="187" spans="1:5" x14ac:dyDescent="0.25">
      <c r="A187" t="s">
        <v>207</v>
      </c>
      <c r="B187">
        <f>SUM('Satisfacción de los comités d'!B188:J188)</f>
        <v>27</v>
      </c>
      <c r="C187" t="str">
        <f t="shared" si="6"/>
        <v>Medio</v>
      </c>
      <c r="D187">
        <f t="shared" si="7"/>
        <v>27</v>
      </c>
      <c r="E187" t="str">
        <f t="shared" si="8"/>
        <v>Medio</v>
      </c>
    </row>
    <row r="188" spans="1:5" x14ac:dyDescent="0.25">
      <c r="A188" t="s">
        <v>208</v>
      </c>
      <c r="B188">
        <f>SUM('Satisfacción de los comités d'!B189:J189)</f>
        <v>28</v>
      </c>
      <c r="C188" t="str">
        <f t="shared" si="6"/>
        <v>Medio</v>
      </c>
      <c r="D188">
        <f t="shared" si="7"/>
        <v>28</v>
      </c>
      <c r="E188" t="str">
        <f t="shared" si="8"/>
        <v>Medio</v>
      </c>
    </row>
    <row r="189" spans="1:5" x14ac:dyDescent="0.25">
      <c r="A189" t="s">
        <v>209</v>
      </c>
      <c r="B189">
        <f>SUM('Satisfacción de los comités d'!B190:J190)</f>
        <v>29</v>
      </c>
      <c r="C189" t="str">
        <f t="shared" si="6"/>
        <v>Medio</v>
      </c>
      <c r="D189">
        <f t="shared" si="7"/>
        <v>29</v>
      </c>
      <c r="E189" t="str">
        <f t="shared" si="8"/>
        <v>Medio</v>
      </c>
    </row>
    <row r="190" spans="1:5" x14ac:dyDescent="0.25">
      <c r="A190" t="s">
        <v>210</v>
      </c>
      <c r="B190">
        <f>SUM('Satisfacción de los comités d'!B191:J191)</f>
        <v>29</v>
      </c>
      <c r="C190" t="str">
        <f t="shared" si="6"/>
        <v>Medio</v>
      </c>
      <c r="D190">
        <f t="shared" si="7"/>
        <v>29</v>
      </c>
      <c r="E190" t="str">
        <f t="shared" si="8"/>
        <v>Medio</v>
      </c>
    </row>
    <row r="191" spans="1:5" x14ac:dyDescent="0.25">
      <c r="A191" t="s">
        <v>211</v>
      </c>
      <c r="B191">
        <f>SUM('Satisfacción de los comités d'!B192:J192)</f>
        <v>34</v>
      </c>
      <c r="C191" t="str">
        <f t="shared" si="6"/>
        <v>Medio</v>
      </c>
      <c r="D191">
        <f t="shared" si="7"/>
        <v>34</v>
      </c>
      <c r="E191" t="str">
        <f t="shared" si="8"/>
        <v>Alto</v>
      </c>
    </row>
    <row r="192" spans="1:5" x14ac:dyDescent="0.25">
      <c r="A192" t="s">
        <v>212</v>
      </c>
      <c r="B192">
        <f>SUM('Satisfacción de los comités d'!B193:J193)</f>
        <v>31</v>
      </c>
      <c r="C192" t="str">
        <f t="shared" si="6"/>
        <v>Medio</v>
      </c>
      <c r="D192">
        <f t="shared" si="7"/>
        <v>31</v>
      </c>
      <c r="E192" t="str">
        <f t="shared" si="8"/>
        <v>Medio</v>
      </c>
    </row>
    <row r="193" spans="1:5" x14ac:dyDescent="0.25">
      <c r="A193" t="s">
        <v>213</v>
      </c>
      <c r="B193">
        <f>SUM('Satisfacción de los comités d'!B194:J194)</f>
        <v>17</v>
      </c>
      <c r="C193" t="str">
        <f t="shared" si="6"/>
        <v>Bajo</v>
      </c>
      <c r="D193">
        <f t="shared" si="7"/>
        <v>17</v>
      </c>
      <c r="E193" t="str">
        <f t="shared" si="8"/>
        <v>Bajo</v>
      </c>
    </row>
    <row r="194" spans="1:5" x14ac:dyDescent="0.25">
      <c r="A194" t="s">
        <v>214</v>
      </c>
      <c r="B194">
        <f>SUM('Satisfacción de los comités d'!B195:J195)</f>
        <v>33</v>
      </c>
      <c r="C194" t="str">
        <f t="shared" si="6"/>
        <v>Medio</v>
      </c>
      <c r="D194">
        <f t="shared" si="7"/>
        <v>33</v>
      </c>
      <c r="E194" t="str">
        <f t="shared" si="8"/>
        <v>Alto</v>
      </c>
    </row>
    <row r="195" spans="1:5" x14ac:dyDescent="0.25">
      <c r="A195" t="s">
        <v>215</v>
      </c>
      <c r="B195">
        <f>SUM('Satisfacción de los comités d'!B196:J196)</f>
        <v>36</v>
      </c>
      <c r="C195" t="str">
        <f t="shared" si="6"/>
        <v>Alto</v>
      </c>
      <c r="D195">
        <f t="shared" si="7"/>
        <v>36</v>
      </c>
      <c r="E195" t="str">
        <f t="shared" si="8"/>
        <v>Alto</v>
      </c>
    </row>
    <row r="196" spans="1:5" x14ac:dyDescent="0.25">
      <c r="A196" t="s">
        <v>216</v>
      </c>
      <c r="B196">
        <f>SUM('Satisfacción de los comités d'!B197:J197)</f>
        <v>27</v>
      </c>
      <c r="C196" t="str">
        <f t="shared" ref="C196:C259" si="9">IF(B196&lt;=$M$19,"Bajo",IF(B196&lt;=$M$20,"Medio",IF(B196&lt;=$M$21,"Alto",0)))</f>
        <v>Medio</v>
      </c>
      <c r="D196">
        <f t="shared" ref="D196:D259" si="10">SUM(B196:B196)</f>
        <v>27</v>
      </c>
      <c r="E196" t="str">
        <f t="shared" ref="E196:E259" si="11">IF(D196&lt;=$Y$19,"Bajo",IF(D196&lt;=$Y$20,"Medio",IF(D196&lt;=$Y$21,"Alto",0)))</f>
        <v>Medio</v>
      </c>
    </row>
    <row r="197" spans="1:5" x14ac:dyDescent="0.25">
      <c r="A197" t="s">
        <v>217</v>
      </c>
      <c r="B197">
        <f>SUM('Satisfacción de los comités d'!B198:J198)</f>
        <v>33</v>
      </c>
      <c r="C197" t="str">
        <f t="shared" si="9"/>
        <v>Medio</v>
      </c>
      <c r="D197">
        <f t="shared" si="10"/>
        <v>33</v>
      </c>
      <c r="E197" t="str">
        <f t="shared" si="11"/>
        <v>Alto</v>
      </c>
    </row>
    <row r="198" spans="1:5" x14ac:dyDescent="0.25">
      <c r="A198" t="s">
        <v>218</v>
      </c>
      <c r="B198">
        <f>SUM('Satisfacción de los comités d'!B199:J199)</f>
        <v>34</v>
      </c>
      <c r="C198" t="str">
        <f t="shared" si="9"/>
        <v>Medio</v>
      </c>
      <c r="D198">
        <f t="shared" si="10"/>
        <v>34</v>
      </c>
      <c r="E198" t="str">
        <f t="shared" si="11"/>
        <v>Alto</v>
      </c>
    </row>
    <row r="199" spans="1:5" x14ac:dyDescent="0.25">
      <c r="A199" t="s">
        <v>219</v>
      </c>
      <c r="B199">
        <f>SUM('Satisfacción de los comités d'!B200:J200)</f>
        <v>17</v>
      </c>
      <c r="C199" t="str">
        <f t="shared" si="9"/>
        <v>Bajo</v>
      </c>
      <c r="D199">
        <f t="shared" si="10"/>
        <v>17</v>
      </c>
      <c r="E199" t="str">
        <f t="shared" si="11"/>
        <v>Bajo</v>
      </c>
    </row>
    <row r="200" spans="1:5" x14ac:dyDescent="0.25">
      <c r="A200" t="s">
        <v>220</v>
      </c>
      <c r="B200">
        <f>SUM('Satisfacción de los comités d'!B201:J201)</f>
        <v>29</v>
      </c>
      <c r="C200" t="str">
        <f t="shared" si="9"/>
        <v>Medio</v>
      </c>
      <c r="D200">
        <f t="shared" si="10"/>
        <v>29</v>
      </c>
      <c r="E200" t="str">
        <f t="shared" si="11"/>
        <v>Medio</v>
      </c>
    </row>
    <row r="201" spans="1:5" x14ac:dyDescent="0.25">
      <c r="A201" t="s">
        <v>221</v>
      </c>
      <c r="B201">
        <f>SUM('Satisfacción de los comités d'!B202:J202)</f>
        <v>27</v>
      </c>
      <c r="C201" t="str">
        <f t="shared" si="9"/>
        <v>Medio</v>
      </c>
      <c r="D201">
        <f t="shared" si="10"/>
        <v>27</v>
      </c>
      <c r="E201" t="str">
        <f t="shared" si="11"/>
        <v>Medio</v>
      </c>
    </row>
    <row r="202" spans="1:5" x14ac:dyDescent="0.25">
      <c r="A202" t="s">
        <v>222</v>
      </c>
      <c r="B202">
        <f>SUM('Satisfacción de los comités d'!B203:J203)</f>
        <v>26</v>
      </c>
      <c r="C202" t="str">
        <f t="shared" si="9"/>
        <v>Medio</v>
      </c>
      <c r="D202">
        <f t="shared" si="10"/>
        <v>26</v>
      </c>
      <c r="E202" t="str">
        <f t="shared" si="11"/>
        <v>Medio</v>
      </c>
    </row>
    <row r="203" spans="1:5" x14ac:dyDescent="0.25">
      <c r="A203" t="s">
        <v>223</v>
      </c>
      <c r="B203">
        <f>SUM('Satisfacción de los comités d'!B204:J204)</f>
        <v>28</v>
      </c>
      <c r="C203" t="str">
        <f t="shared" si="9"/>
        <v>Medio</v>
      </c>
      <c r="D203">
        <f t="shared" si="10"/>
        <v>28</v>
      </c>
      <c r="E203" t="str">
        <f t="shared" si="11"/>
        <v>Medio</v>
      </c>
    </row>
    <row r="204" spans="1:5" x14ac:dyDescent="0.25">
      <c r="A204" t="s">
        <v>224</v>
      </c>
      <c r="B204">
        <f>SUM('Satisfacción de los comités d'!B205:J205)</f>
        <v>27</v>
      </c>
      <c r="C204" t="str">
        <f t="shared" si="9"/>
        <v>Medio</v>
      </c>
      <c r="D204">
        <f t="shared" si="10"/>
        <v>27</v>
      </c>
      <c r="E204" t="str">
        <f t="shared" si="11"/>
        <v>Medio</v>
      </c>
    </row>
    <row r="205" spans="1:5" x14ac:dyDescent="0.25">
      <c r="A205" t="s">
        <v>225</v>
      </c>
      <c r="B205">
        <f>SUM('Satisfacción de los comités d'!B206:J206)</f>
        <v>30</v>
      </c>
      <c r="C205" t="str">
        <f t="shared" si="9"/>
        <v>Medio</v>
      </c>
      <c r="D205">
        <f t="shared" si="10"/>
        <v>30</v>
      </c>
      <c r="E205" t="str">
        <f t="shared" si="11"/>
        <v>Medio</v>
      </c>
    </row>
    <row r="206" spans="1:5" x14ac:dyDescent="0.25">
      <c r="A206" t="s">
        <v>226</v>
      </c>
      <c r="B206">
        <f>SUM('Satisfacción de los comités d'!B207:J207)</f>
        <v>26</v>
      </c>
      <c r="C206" t="str">
        <f t="shared" si="9"/>
        <v>Medio</v>
      </c>
      <c r="D206">
        <f t="shared" si="10"/>
        <v>26</v>
      </c>
      <c r="E206" t="str">
        <f t="shared" si="11"/>
        <v>Medio</v>
      </c>
    </row>
    <row r="207" spans="1:5" x14ac:dyDescent="0.25">
      <c r="A207" t="s">
        <v>227</v>
      </c>
      <c r="B207">
        <f>SUM('Satisfacción de los comités d'!B208:J208)</f>
        <v>35</v>
      </c>
      <c r="C207" t="str">
        <f t="shared" si="9"/>
        <v>Alto</v>
      </c>
      <c r="D207">
        <f t="shared" si="10"/>
        <v>35</v>
      </c>
      <c r="E207" t="str">
        <f t="shared" si="11"/>
        <v>Alto</v>
      </c>
    </row>
    <row r="208" spans="1:5" x14ac:dyDescent="0.25">
      <c r="A208" t="s">
        <v>228</v>
      </c>
      <c r="B208">
        <f>SUM('Satisfacción de los comités d'!B209:J209)</f>
        <v>27</v>
      </c>
      <c r="C208" t="str">
        <f t="shared" si="9"/>
        <v>Medio</v>
      </c>
      <c r="D208">
        <f t="shared" si="10"/>
        <v>27</v>
      </c>
      <c r="E208" t="str">
        <f t="shared" si="11"/>
        <v>Medio</v>
      </c>
    </row>
    <row r="209" spans="1:5" x14ac:dyDescent="0.25">
      <c r="A209" t="s">
        <v>229</v>
      </c>
      <c r="B209">
        <f>SUM('Satisfacción de los comités d'!B210:J210)</f>
        <v>25</v>
      </c>
      <c r="C209" t="str">
        <f t="shared" si="9"/>
        <v>Medio</v>
      </c>
      <c r="D209">
        <f t="shared" si="10"/>
        <v>25</v>
      </c>
      <c r="E209" t="str">
        <f t="shared" si="11"/>
        <v>Medio</v>
      </c>
    </row>
    <row r="210" spans="1:5" x14ac:dyDescent="0.25">
      <c r="A210" t="s">
        <v>230</v>
      </c>
      <c r="B210">
        <f>SUM('Satisfacción de los comités d'!B211:J211)</f>
        <v>27</v>
      </c>
      <c r="C210" t="str">
        <f t="shared" si="9"/>
        <v>Medio</v>
      </c>
      <c r="D210">
        <f t="shared" si="10"/>
        <v>27</v>
      </c>
      <c r="E210" t="str">
        <f t="shared" si="11"/>
        <v>Medio</v>
      </c>
    </row>
    <row r="211" spans="1:5" x14ac:dyDescent="0.25">
      <c r="A211" t="s">
        <v>231</v>
      </c>
      <c r="B211">
        <f>SUM('Satisfacción de los comités d'!B212:J212)</f>
        <v>26</v>
      </c>
      <c r="C211" t="str">
        <f t="shared" si="9"/>
        <v>Medio</v>
      </c>
      <c r="D211">
        <f t="shared" si="10"/>
        <v>26</v>
      </c>
      <c r="E211" t="str">
        <f t="shared" si="11"/>
        <v>Medio</v>
      </c>
    </row>
    <row r="212" spans="1:5" x14ac:dyDescent="0.25">
      <c r="A212" t="s">
        <v>232</v>
      </c>
      <c r="B212">
        <f>SUM('Satisfacción de los comités d'!B213:J213)</f>
        <v>28</v>
      </c>
      <c r="C212" t="str">
        <f t="shared" si="9"/>
        <v>Medio</v>
      </c>
      <c r="D212">
        <f t="shared" si="10"/>
        <v>28</v>
      </c>
      <c r="E212" t="str">
        <f t="shared" si="11"/>
        <v>Medio</v>
      </c>
    </row>
    <row r="213" spans="1:5" x14ac:dyDescent="0.25">
      <c r="A213" t="s">
        <v>233</v>
      </c>
      <c r="B213">
        <f>SUM('Satisfacción de los comités d'!B214:J214)</f>
        <v>21</v>
      </c>
      <c r="C213" t="str">
        <f t="shared" si="9"/>
        <v>Bajo</v>
      </c>
      <c r="D213">
        <f t="shared" si="10"/>
        <v>21</v>
      </c>
      <c r="E213" t="str">
        <f t="shared" si="11"/>
        <v>Medio</v>
      </c>
    </row>
    <row r="214" spans="1:5" x14ac:dyDescent="0.25">
      <c r="A214" t="s">
        <v>234</v>
      </c>
      <c r="B214">
        <f>SUM('Satisfacción de los comités d'!B215:J215)</f>
        <v>26</v>
      </c>
      <c r="C214" t="str">
        <f t="shared" si="9"/>
        <v>Medio</v>
      </c>
      <c r="D214">
        <f t="shared" si="10"/>
        <v>26</v>
      </c>
      <c r="E214" t="str">
        <f t="shared" si="11"/>
        <v>Medio</v>
      </c>
    </row>
    <row r="215" spans="1:5" x14ac:dyDescent="0.25">
      <c r="A215" t="s">
        <v>235</v>
      </c>
      <c r="B215">
        <f>SUM('Satisfacción de los comités d'!B216:J216)</f>
        <v>24</v>
      </c>
      <c r="C215" t="str">
        <f t="shared" si="9"/>
        <v>Medio</v>
      </c>
      <c r="D215">
        <f t="shared" si="10"/>
        <v>24</v>
      </c>
      <c r="E215" t="str">
        <f t="shared" si="11"/>
        <v>Medio</v>
      </c>
    </row>
    <row r="216" spans="1:5" x14ac:dyDescent="0.25">
      <c r="A216" t="s">
        <v>236</v>
      </c>
      <c r="B216">
        <f>SUM('Satisfacción de los comités d'!B217:J217)</f>
        <v>21</v>
      </c>
      <c r="C216" t="str">
        <f t="shared" si="9"/>
        <v>Bajo</v>
      </c>
      <c r="D216">
        <f t="shared" si="10"/>
        <v>21</v>
      </c>
      <c r="E216" t="str">
        <f t="shared" si="11"/>
        <v>Medio</v>
      </c>
    </row>
    <row r="217" spans="1:5" x14ac:dyDescent="0.25">
      <c r="A217" t="s">
        <v>237</v>
      </c>
      <c r="B217">
        <f>SUM('Satisfacción de los comités d'!B218:J218)</f>
        <v>33</v>
      </c>
      <c r="C217" t="str">
        <f t="shared" si="9"/>
        <v>Medio</v>
      </c>
      <c r="D217">
        <f t="shared" si="10"/>
        <v>33</v>
      </c>
      <c r="E217" t="str">
        <f t="shared" si="11"/>
        <v>Alto</v>
      </c>
    </row>
    <row r="218" spans="1:5" x14ac:dyDescent="0.25">
      <c r="A218" t="s">
        <v>238</v>
      </c>
      <c r="B218">
        <f>SUM('Satisfacción de los comités d'!B219:J219)</f>
        <v>21</v>
      </c>
      <c r="C218" t="str">
        <f t="shared" si="9"/>
        <v>Bajo</v>
      </c>
      <c r="D218">
        <f t="shared" si="10"/>
        <v>21</v>
      </c>
      <c r="E218" t="str">
        <f t="shared" si="11"/>
        <v>Medio</v>
      </c>
    </row>
    <row r="219" spans="1:5" x14ac:dyDescent="0.25">
      <c r="A219" t="s">
        <v>239</v>
      </c>
      <c r="B219">
        <f>SUM('Satisfacción de los comités d'!B220:J220)</f>
        <v>28</v>
      </c>
      <c r="C219" t="str">
        <f t="shared" si="9"/>
        <v>Medio</v>
      </c>
      <c r="D219">
        <f t="shared" si="10"/>
        <v>28</v>
      </c>
      <c r="E219" t="str">
        <f t="shared" si="11"/>
        <v>Medio</v>
      </c>
    </row>
    <row r="220" spans="1:5" x14ac:dyDescent="0.25">
      <c r="A220" t="s">
        <v>240</v>
      </c>
      <c r="B220">
        <f>SUM('Satisfacción de los comités d'!B221:J221)</f>
        <v>21</v>
      </c>
      <c r="C220" t="str">
        <f t="shared" si="9"/>
        <v>Bajo</v>
      </c>
      <c r="D220">
        <f t="shared" si="10"/>
        <v>21</v>
      </c>
      <c r="E220" t="str">
        <f t="shared" si="11"/>
        <v>Medio</v>
      </c>
    </row>
    <row r="221" spans="1:5" x14ac:dyDescent="0.25">
      <c r="A221" t="s">
        <v>241</v>
      </c>
      <c r="B221">
        <f>SUM('Satisfacción de los comités d'!B222:J222)</f>
        <v>27</v>
      </c>
      <c r="C221" t="str">
        <f t="shared" si="9"/>
        <v>Medio</v>
      </c>
      <c r="D221">
        <f t="shared" si="10"/>
        <v>27</v>
      </c>
      <c r="E221" t="str">
        <f t="shared" si="11"/>
        <v>Medio</v>
      </c>
    </row>
    <row r="222" spans="1:5" x14ac:dyDescent="0.25">
      <c r="A222" t="s">
        <v>242</v>
      </c>
      <c r="B222">
        <f>SUM('Satisfacción de los comités d'!B223:J223)</f>
        <v>27</v>
      </c>
      <c r="C222" t="str">
        <f t="shared" si="9"/>
        <v>Medio</v>
      </c>
      <c r="D222">
        <f t="shared" si="10"/>
        <v>27</v>
      </c>
      <c r="E222" t="str">
        <f t="shared" si="11"/>
        <v>Medio</v>
      </c>
    </row>
    <row r="223" spans="1:5" x14ac:dyDescent="0.25">
      <c r="A223" t="s">
        <v>243</v>
      </c>
      <c r="B223">
        <f>SUM('Satisfacción de los comités d'!B224:J224)</f>
        <v>25</v>
      </c>
      <c r="C223" t="str">
        <f t="shared" si="9"/>
        <v>Medio</v>
      </c>
      <c r="D223">
        <f t="shared" si="10"/>
        <v>25</v>
      </c>
      <c r="E223" t="str">
        <f t="shared" si="11"/>
        <v>Medio</v>
      </c>
    </row>
    <row r="224" spans="1:5" x14ac:dyDescent="0.25">
      <c r="A224" t="s">
        <v>244</v>
      </c>
      <c r="B224">
        <f>SUM('Satisfacción de los comités d'!B225:J225)</f>
        <v>18</v>
      </c>
      <c r="C224" t="str">
        <f t="shared" si="9"/>
        <v>Bajo</v>
      </c>
      <c r="D224">
        <f t="shared" si="10"/>
        <v>18</v>
      </c>
      <c r="E224" t="str">
        <f t="shared" si="11"/>
        <v>Bajo</v>
      </c>
    </row>
    <row r="225" spans="1:5" x14ac:dyDescent="0.25">
      <c r="A225" t="s">
        <v>245</v>
      </c>
      <c r="B225">
        <f>SUM('Satisfacción de los comités d'!B226:J226)</f>
        <v>26</v>
      </c>
      <c r="C225" t="str">
        <f t="shared" si="9"/>
        <v>Medio</v>
      </c>
      <c r="D225">
        <f t="shared" si="10"/>
        <v>26</v>
      </c>
      <c r="E225" t="str">
        <f t="shared" si="11"/>
        <v>Medio</v>
      </c>
    </row>
    <row r="226" spans="1:5" x14ac:dyDescent="0.25">
      <c r="A226" t="s">
        <v>246</v>
      </c>
      <c r="B226">
        <f>SUM('Satisfacción de los comités d'!B227:J227)</f>
        <v>30</v>
      </c>
      <c r="C226" t="str">
        <f t="shared" si="9"/>
        <v>Medio</v>
      </c>
      <c r="D226">
        <f t="shared" si="10"/>
        <v>30</v>
      </c>
      <c r="E226" t="str">
        <f t="shared" si="11"/>
        <v>Medio</v>
      </c>
    </row>
    <row r="227" spans="1:5" x14ac:dyDescent="0.25">
      <c r="A227" t="s">
        <v>247</v>
      </c>
      <c r="B227">
        <f>SUM('Satisfacción de los comités d'!B228:J228)</f>
        <v>37</v>
      </c>
      <c r="C227" t="str">
        <f t="shared" si="9"/>
        <v>Alto</v>
      </c>
      <c r="D227">
        <f t="shared" si="10"/>
        <v>37</v>
      </c>
      <c r="E227" t="str">
        <f t="shared" si="11"/>
        <v>Alto</v>
      </c>
    </row>
    <row r="228" spans="1:5" x14ac:dyDescent="0.25">
      <c r="A228" t="s">
        <v>248</v>
      </c>
      <c r="B228">
        <f>SUM('Satisfacción de los comités d'!B229:J229)</f>
        <v>32</v>
      </c>
      <c r="C228" t="str">
        <f t="shared" si="9"/>
        <v>Medio</v>
      </c>
      <c r="D228">
        <f t="shared" si="10"/>
        <v>32</v>
      </c>
      <c r="E228" t="str">
        <f t="shared" si="11"/>
        <v>Medio</v>
      </c>
    </row>
    <row r="229" spans="1:5" x14ac:dyDescent="0.25">
      <c r="A229" t="s">
        <v>249</v>
      </c>
      <c r="B229">
        <f>SUM('Satisfacción de los comités d'!B230:J230)</f>
        <v>28</v>
      </c>
      <c r="C229" t="str">
        <f t="shared" si="9"/>
        <v>Medio</v>
      </c>
      <c r="D229">
        <f t="shared" si="10"/>
        <v>28</v>
      </c>
      <c r="E229" t="str">
        <f t="shared" si="11"/>
        <v>Medio</v>
      </c>
    </row>
    <row r="230" spans="1:5" x14ac:dyDescent="0.25">
      <c r="A230" t="s">
        <v>250</v>
      </c>
      <c r="B230">
        <f>SUM('Satisfacción de los comités d'!B231:J231)</f>
        <v>18</v>
      </c>
      <c r="C230" t="str">
        <f t="shared" si="9"/>
        <v>Bajo</v>
      </c>
      <c r="D230">
        <f t="shared" si="10"/>
        <v>18</v>
      </c>
      <c r="E230" t="str">
        <f t="shared" si="11"/>
        <v>Bajo</v>
      </c>
    </row>
    <row r="231" spans="1:5" x14ac:dyDescent="0.25">
      <c r="A231" t="s">
        <v>251</v>
      </c>
      <c r="B231">
        <f>SUM('Satisfacción de los comités d'!B232:J232)</f>
        <v>35</v>
      </c>
      <c r="C231" t="str">
        <f t="shared" si="9"/>
        <v>Alto</v>
      </c>
      <c r="D231">
        <f t="shared" si="10"/>
        <v>35</v>
      </c>
      <c r="E231" t="str">
        <f t="shared" si="11"/>
        <v>Alto</v>
      </c>
    </row>
    <row r="232" spans="1:5" x14ac:dyDescent="0.25">
      <c r="A232" t="s">
        <v>252</v>
      </c>
      <c r="B232">
        <f>SUM('Satisfacción de los comités d'!B233:J233)</f>
        <v>32</v>
      </c>
      <c r="C232" t="str">
        <f t="shared" si="9"/>
        <v>Medio</v>
      </c>
      <c r="D232">
        <f t="shared" si="10"/>
        <v>32</v>
      </c>
      <c r="E232" t="str">
        <f t="shared" si="11"/>
        <v>Medio</v>
      </c>
    </row>
    <row r="233" spans="1:5" x14ac:dyDescent="0.25">
      <c r="A233" t="s">
        <v>253</v>
      </c>
      <c r="B233">
        <f>SUM('Satisfacción de los comités d'!B234:J234)</f>
        <v>19</v>
      </c>
      <c r="C233" t="str">
        <f t="shared" si="9"/>
        <v>Bajo</v>
      </c>
      <c r="D233">
        <f t="shared" si="10"/>
        <v>19</v>
      </c>
      <c r="E233" t="str">
        <f t="shared" si="11"/>
        <v>Bajo</v>
      </c>
    </row>
    <row r="234" spans="1:5" x14ac:dyDescent="0.25">
      <c r="A234" t="s">
        <v>254</v>
      </c>
      <c r="B234">
        <f>SUM('Satisfacción de los comités d'!B235:J235)</f>
        <v>41</v>
      </c>
      <c r="C234" t="str">
        <f t="shared" si="9"/>
        <v>Alto</v>
      </c>
      <c r="D234">
        <f t="shared" si="10"/>
        <v>41</v>
      </c>
      <c r="E234" t="str">
        <f t="shared" si="11"/>
        <v>Alto</v>
      </c>
    </row>
    <row r="235" spans="1:5" x14ac:dyDescent="0.25">
      <c r="A235" t="s">
        <v>255</v>
      </c>
      <c r="B235">
        <f>SUM('Satisfacción de los comités d'!B236:J236)</f>
        <v>30</v>
      </c>
      <c r="C235" t="str">
        <f t="shared" si="9"/>
        <v>Medio</v>
      </c>
      <c r="D235">
        <f t="shared" si="10"/>
        <v>30</v>
      </c>
      <c r="E235" t="str">
        <f t="shared" si="11"/>
        <v>Medio</v>
      </c>
    </row>
    <row r="236" spans="1:5" x14ac:dyDescent="0.25">
      <c r="A236" t="s">
        <v>256</v>
      </c>
      <c r="B236">
        <f>SUM('Satisfacción de los comités d'!B237:J237)</f>
        <v>18</v>
      </c>
      <c r="C236" t="str">
        <f t="shared" si="9"/>
        <v>Bajo</v>
      </c>
      <c r="D236">
        <f t="shared" si="10"/>
        <v>18</v>
      </c>
      <c r="E236" t="str">
        <f t="shared" si="11"/>
        <v>Bajo</v>
      </c>
    </row>
    <row r="237" spans="1:5" x14ac:dyDescent="0.25">
      <c r="A237" t="s">
        <v>257</v>
      </c>
      <c r="B237">
        <f>SUM('Satisfacción de los comités d'!B238:J238)</f>
        <v>22</v>
      </c>
      <c r="C237" t="str">
        <f t="shared" si="9"/>
        <v>Medio</v>
      </c>
      <c r="D237">
        <f t="shared" si="10"/>
        <v>22</v>
      </c>
      <c r="E237" t="str">
        <f t="shared" si="11"/>
        <v>Medio</v>
      </c>
    </row>
    <row r="238" spans="1:5" x14ac:dyDescent="0.25">
      <c r="A238" t="s">
        <v>258</v>
      </c>
      <c r="B238">
        <f>SUM('Satisfacción de los comités d'!B239:J239)</f>
        <v>15</v>
      </c>
      <c r="C238" t="str">
        <f t="shared" si="9"/>
        <v>Bajo</v>
      </c>
      <c r="D238">
        <f t="shared" si="10"/>
        <v>15</v>
      </c>
      <c r="E238" t="str">
        <f t="shared" si="11"/>
        <v>Bajo</v>
      </c>
    </row>
    <row r="239" spans="1:5" x14ac:dyDescent="0.25">
      <c r="A239" t="s">
        <v>259</v>
      </c>
      <c r="B239">
        <f>SUM('Satisfacción de los comités d'!B240:J240)</f>
        <v>21</v>
      </c>
      <c r="C239" t="str">
        <f t="shared" si="9"/>
        <v>Bajo</v>
      </c>
      <c r="D239">
        <f t="shared" si="10"/>
        <v>21</v>
      </c>
      <c r="E239" t="str">
        <f t="shared" si="11"/>
        <v>Medio</v>
      </c>
    </row>
    <row r="240" spans="1:5" x14ac:dyDescent="0.25">
      <c r="A240" t="s">
        <v>260</v>
      </c>
      <c r="B240">
        <f>SUM('Satisfacción de los comités d'!B241:J241)</f>
        <v>23</v>
      </c>
      <c r="C240" t="str">
        <f t="shared" si="9"/>
        <v>Medio</v>
      </c>
      <c r="D240">
        <f t="shared" si="10"/>
        <v>23</v>
      </c>
      <c r="E240" t="str">
        <f t="shared" si="11"/>
        <v>Medio</v>
      </c>
    </row>
    <row r="241" spans="1:5" x14ac:dyDescent="0.25">
      <c r="A241" t="s">
        <v>261</v>
      </c>
      <c r="B241">
        <f>SUM('Satisfacción de los comités d'!B242:J242)</f>
        <v>29</v>
      </c>
      <c r="C241" t="str">
        <f t="shared" si="9"/>
        <v>Medio</v>
      </c>
      <c r="D241">
        <f t="shared" si="10"/>
        <v>29</v>
      </c>
      <c r="E241" t="str">
        <f t="shared" si="11"/>
        <v>Medio</v>
      </c>
    </row>
    <row r="242" spans="1:5" x14ac:dyDescent="0.25">
      <c r="A242" t="s">
        <v>262</v>
      </c>
      <c r="B242">
        <f>SUM('Satisfacción de los comités d'!B243:J243)</f>
        <v>9</v>
      </c>
      <c r="C242" t="str">
        <f t="shared" si="9"/>
        <v>Bajo</v>
      </c>
      <c r="D242">
        <f t="shared" si="10"/>
        <v>9</v>
      </c>
      <c r="E242" t="str">
        <f t="shared" si="11"/>
        <v>Bajo</v>
      </c>
    </row>
    <row r="243" spans="1:5" x14ac:dyDescent="0.25">
      <c r="A243" t="s">
        <v>263</v>
      </c>
      <c r="B243">
        <f>SUM('Satisfacción de los comités d'!B244:J244)</f>
        <v>35</v>
      </c>
      <c r="C243" t="str">
        <f t="shared" si="9"/>
        <v>Alto</v>
      </c>
      <c r="D243">
        <f t="shared" si="10"/>
        <v>35</v>
      </c>
      <c r="E243" t="str">
        <f t="shared" si="11"/>
        <v>Alto</v>
      </c>
    </row>
    <row r="244" spans="1:5" x14ac:dyDescent="0.25">
      <c r="A244" t="s">
        <v>264</v>
      </c>
      <c r="B244">
        <f>SUM('Satisfacción de los comités d'!B245:J245)</f>
        <v>29</v>
      </c>
      <c r="C244" t="str">
        <f t="shared" si="9"/>
        <v>Medio</v>
      </c>
      <c r="D244">
        <f t="shared" si="10"/>
        <v>29</v>
      </c>
      <c r="E244" t="str">
        <f t="shared" si="11"/>
        <v>Medio</v>
      </c>
    </row>
    <row r="245" spans="1:5" x14ac:dyDescent="0.25">
      <c r="A245" t="s">
        <v>265</v>
      </c>
      <c r="B245">
        <f>SUM('Satisfacción de los comités d'!B246:J246)</f>
        <v>26</v>
      </c>
      <c r="C245" t="str">
        <f t="shared" si="9"/>
        <v>Medio</v>
      </c>
      <c r="D245">
        <f t="shared" si="10"/>
        <v>26</v>
      </c>
      <c r="E245" t="str">
        <f t="shared" si="11"/>
        <v>Medio</v>
      </c>
    </row>
    <row r="246" spans="1:5" x14ac:dyDescent="0.25">
      <c r="A246" t="s">
        <v>266</v>
      </c>
      <c r="B246">
        <f>SUM('Satisfacción de los comités d'!B247:J247)</f>
        <v>38</v>
      </c>
      <c r="C246" t="str">
        <f t="shared" si="9"/>
        <v>Alto</v>
      </c>
      <c r="D246">
        <f t="shared" si="10"/>
        <v>38</v>
      </c>
      <c r="E246" t="str">
        <f t="shared" si="11"/>
        <v>Alto</v>
      </c>
    </row>
    <row r="247" spans="1:5" x14ac:dyDescent="0.25">
      <c r="A247" t="s">
        <v>267</v>
      </c>
      <c r="B247">
        <f>SUM('Satisfacción de los comités d'!B248:J248)</f>
        <v>28</v>
      </c>
      <c r="C247" t="str">
        <f t="shared" si="9"/>
        <v>Medio</v>
      </c>
      <c r="D247">
        <f t="shared" si="10"/>
        <v>28</v>
      </c>
      <c r="E247" t="str">
        <f t="shared" si="11"/>
        <v>Medio</v>
      </c>
    </row>
    <row r="248" spans="1:5" x14ac:dyDescent="0.25">
      <c r="A248" t="s">
        <v>268</v>
      </c>
      <c r="B248">
        <f>SUM('Satisfacción de los comités d'!B249:J249)</f>
        <v>30</v>
      </c>
      <c r="C248" t="str">
        <f t="shared" si="9"/>
        <v>Medio</v>
      </c>
      <c r="D248">
        <f t="shared" si="10"/>
        <v>30</v>
      </c>
      <c r="E248" t="str">
        <f t="shared" si="11"/>
        <v>Medio</v>
      </c>
    </row>
    <row r="249" spans="1:5" x14ac:dyDescent="0.25">
      <c r="A249" t="s">
        <v>269</v>
      </c>
      <c r="B249">
        <f>SUM('Satisfacción de los comités d'!B250:J250)</f>
        <v>27</v>
      </c>
      <c r="C249" t="str">
        <f t="shared" si="9"/>
        <v>Medio</v>
      </c>
      <c r="D249">
        <f t="shared" si="10"/>
        <v>27</v>
      </c>
      <c r="E249" t="str">
        <f t="shared" si="11"/>
        <v>Medio</v>
      </c>
    </row>
    <row r="250" spans="1:5" x14ac:dyDescent="0.25">
      <c r="A250" t="s">
        <v>270</v>
      </c>
      <c r="B250">
        <f>SUM('Satisfacción de los comités d'!B251:J251)</f>
        <v>22</v>
      </c>
      <c r="C250" t="str">
        <f t="shared" si="9"/>
        <v>Medio</v>
      </c>
      <c r="D250">
        <f t="shared" si="10"/>
        <v>22</v>
      </c>
      <c r="E250" t="str">
        <f t="shared" si="11"/>
        <v>Medio</v>
      </c>
    </row>
    <row r="251" spans="1:5" x14ac:dyDescent="0.25">
      <c r="A251" t="s">
        <v>271</v>
      </c>
      <c r="B251">
        <f>SUM('Satisfacción de los comités d'!B252:J252)</f>
        <v>26</v>
      </c>
      <c r="C251" t="str">
        <f t="shared" si="9"/>
        <v>Medio</v>
      </c>
      <c r="D251">
        <f t="shared" si="10"/>
        <v>26</v>
      </c>
      <c r="E251" t="str">
        <f t="shared" si="11"/>
        <v>Medio</v>
      </c>
    </row>
    <row r="252" spans="1:5" x14ac:dyDescent="0.25">
      <c r="A252" t="s">
        <v>272</v>
      </c>
      <c r="B252">
        <f>SUM('Satisfacción de los comités d'!B253:J253)</f>
        <v>27</v>
      </c>
      <c r="C252" t="str">
        <f t="shared" si="9"/>
        <v>Medio</v>
      </c>
      <c r="D252">
        <f t="shared" si="10"/>
        <v>27</v>
      </c>
      <c r="E252" t="str">
        <f t="shared" si="11"/>
        <v>Medio</v>
      </c>
    </row>
    <row r="253" spans="1:5" x14ac:dyDescent="0.25">
      <c r="A253" t="s">
        <v>273</v>
      </c>
      <c r="B253">
        <f>SUM('Satisfacción de los comités d'!B254:J254)</f>
        <v>36</v>
      </c>
      <c r="C253" t="str">
        <f t="shared" si="9"/>
        <v>Alto</v>
      </c>
      <c r="D253">
        <f t="shared" si="10"/>
        <v>36</v>
      </c>
      <c r="E253" t="str">
        <f t="shared" si="11"/>
        <v>Alto</v>
      </c>
    </row>
    <row r="254" spans="1:5" x14ac:dyDescent="0.25">
      <c r="A254" t="s">
        <v>274</v>
      </c>
      <c r="B254">
        <f>SUM('Satisfacción de los comités d'!B255:J255)</f>
        <v>29</v>
      </c>
      <c r="C254" t="str">
        <f t="shared" si="9"/>
        <v>Medio</v>
      </c>
      <c r="D254">
        <f t="shared" si="10"/>
        <v>29</v>
      </c>
      <c r="E254" t="str">
        <f t="shared" si="11"/>
        <v>Medio</v>
      </c>
    </row>
    <row r="255" spans="1:5" x14ac:dyDescent="0.25">
      <c r="A255" t="s">
        <v>275</v>
      </c>
      <c r="B255">
        <f>SUM('Satisfacción de los comités d'!B256:J256)</f>
        <v>24</v>
      </c>
      <c r="C255" t="str">
        <f t="shared" si="9"/>
        <v>Medio</v>
      </c>
      <c r="D255">
        <f t="shared" si="10"/>
        <v>24</v>
      </c>
      <c r="E255" t="str">
        <f t="shared" si="11"/>
        <v>Medio</v>
      </c>
    </row>
    <row r="256" spans="1:5" x14ac:dyDescent="0.25">
      <c r="A256" t="s">
        <v>276</v>
      </c>
      <c r="B256">
        <f>SUM('Satisfacción de los comités d'!B257:J257)</f>
        <v>24</v>
      </c>
      <c r="C256" t="str">
        <f t="shared" si="9"/>
        <v>Medio</v>
      </c>
      <c r="D256">
        <f t="shared" si="10"/>
        <v>24</v>
      </c>
      <c r="E256" t="str">
        <f t="shared" si="11"/>
        <v>Medio</v>
      </c>
    </row>
    <row r="257" spans="1:5" x14ac:dyDescent="0.25">
      <c r="A257" t="s">
        <v>277</v>
      </c>
      <c r="B257">
        <f>SUM('Satisfacción de los comités d'!B258:J258)</f>
        <v>33</v>
      </c>
      <c r="C257" t="str">
        <f t="shared" si="9"/>
        <v>Medio</v>
      </c>
      <c r="D257">
        <f t="shared" si="10"/>
        <v>33</v>
      </c>
      <c r="E257" t="str">
        <f t="shared" si="11"/>
        <v>Alto</v>
      </c>
    </row>
    <row r="258" spans="1:5" x14ac:dyDescent="0.25">
      <c r="A258" t="s">
        <v>278</v>
      </c>
      <c r="B258">
        <f>SUM('Satisfacción de los comités d'!B259:J259)</f>
        <v>20</v>
      </c>
      <c r="C258" t="str">
        <f t="shared" si="9"/>
        <v>Bajo</v>
      </c>
      <c r="D258">
        <f t="shared" si="10"/>
        <v>20</v>
      </c>
      <c r="E258" t="str">
        <f t="shared" si="11"/>
        <v>Bajo</v>
      </c>
    </row>
    <row r="259" spans="1:5" x14ac:dyDescent="0.25">
      <c r="A259" t="s">
        <v>279</v>
      </c>
      <c r="B259">
        <f>SUM('Satisfacción de los comités d'!B260:J260)</f>
        <v>18</v>
      </c>
      <c r="C259" t="str">
        <f t="shared" si="9"/>
        <v>Bajo</v>
      </c>
      <c r="D259">
        <f t="shared" si="10"/>
        <v>18</v>
      </c>
      <c r="E259" t="str">
        <f t="shared" si="11"/>
        <v>Bajo</v>
      </c>
    </row>
    <row r="260" spans="1:5" x14ac:dyDescent="0.25">
      <c r="A260" t="s">
        <v>280</v>
      </c>
      <c r="B260">
        <f>SUM('Satisfacción de los comités d'!B261:J261)</f>
        <v>31</v>
      </c>
      <c r="C260" t="str">
        <f t="shared" ref="C260:C323" si="12">IF(B260&lt;=$M$19,"Bajo",IF(B260&lt;=$M$20,"Medio",IF(B260&lt;=$M$21,"Alto",0)))</f>
        <v>Medio</v>
      </c>
      <c r="D260">
        <f t="shared" ref="D260:D292" si="13">SUM(B260:B260)</f>
        <v>31</v>
      </c>
      <c r="E260" t="str">
        <f t="shared" ref="E260:E323" si="14">IF(D260&lt;=$Y$19,"Bajo",IF(D260&lt;=$Y$20,"Medio",IF(D260&lt;=$Y$21,"Alto",0)))</f>
        <v>Medio</v>
      </c>
    </row>
    <row r="261" spans="1:5" x14ac:dyDescent="0.25">
      <c r="A261" t="s">
        <v>281</v>
      </c>
      <c r="B261">
        <f>SUM('Satisfacción de los comités d'!B262:J262)</f>
        <v>17</v>
      </c>
      <c r="C261" t="str">
        <f t="shared" si="12"/>
        <v>Bajo</v>
      </c>
      <c r="D261">
        <f t="shared" si="13"/>
        <v>17</v>
      </c>
      <c r="E261" t="str">
        <f t="shared" si="14"/>
        <v>Bajo</v>
      </c>
    </row>
    <row r="262" spans="1:5" x14ac:dyDescent="0.25">
      <c r="A262" t="s">
        <v>282</v>
      </c>
      <c r="B262">
        <f>SUM('Satisfacción de los comités d'!B263:J263)</f>
        <v>21</v>
      </c>
      <c r="C262" t="str">
        <f t="shared" si="12"/>
        <v>Bajo</v>
      </c>
      <c r="D262">
        <f t="shared" si="13"/>
        <v>21</v>
      </c>
      <c r="E262" t="str">
        <f t="shared" si="14"/>
        <v>Medio</v>
      </c>
    </row>
    <row r="263" spans="1:5" x14ac:dyDescent="0.25">
      <c r="A263" t="s">
        <v>283</v>
      </c>
      <c r="B263">
        <f>SUM('Satisfacción de los comités d'!B264:J264)</f>
        <v>36</v>
      </c>
      <c r="C263" t="str">
        <f t="shared" si="12"/>
        <v>Alto</v>
      </c>
      <c r="D263">
        <f t="shared" si="13"/>
        <v>36</v>
      </c>
      <c r="E263" t="str">
        <f t="shared" si="14"/>
        <v>Alto</v>
      </c>
    </row>
    <row r="264" spans="1:5" x14ac:dyDescent="0.25">
      <c r="A264" t="s">
        <v>284</v>
      </c>
      <c r="B264">
        <f>SUM('Satisfacción de los comités d'!B265:J265)</f>
        <v>26</v>
      </c>
      <c r="C264" t="str">
        <f t="shared" si="12"/>
        <v>Medio</v>
      </c>
      <c r="D264">
        <f t="shared" si="13"/>
        <v>26</v>
      </c>
      <c r="E264" t="str">
        <f t="shared" si="14"/>
        <v>Medio</v>
      </c>
    </row>
    <row r="265" spans="1:5" x14ac:dyDescent="0.25">
      <c r="A265" t="s">
        <v>285</v>
      </c>
      <c r="B265">
        <f>SUM('Satisfacción de los comités d'!B266:J266)</f>
        <v>26</v>
      </c>
      <c r="C265" t="str">
        <f t="shared" si="12"/>
        <v>Medio</v>
      </c>
      <c r="D265">
        <f t="shared" si="13"/>
        <v>26</v>
      </c>
      <c r="E265" t="str">
        <f t="shared" si="14"/>
        <v>Medio</v>
      </c>
    </row>
    <row r="266" spans="1:5" x14ac:dyDescent="0.25">
      <c r="A266" t="s">
        <v>286</v>
      </c>
      <c r="B266">
        <f>SUM('Satisfacción de los comités d'!B267:J267)</f>
        <v>32</v>
      </c>
      <c r="C266" t="str">
        <f t="shared" si="12"/>
        <v>Medio</v>
      </c>
      <c r="D266">
        <f t="shared" si="13"/>
        <v>32</v>
      </c>
      <c r="E266" t="str">
        <f t="shared" si="14"/>
        <v>Medio</v>
      </c>
    </row>
    <row r="267" spans="1:5" x14ac:dyDescent="0.25">
      <c r="A267" t="s">
        <v>287</v>
      </c>
      <c r="B267">
        <f>SUM('Satisfacción de los comités d'!B268:J268)</f>
        <v>19</v>
      </c>
      <c r="C267" t="str">
        <f t="shared" si="12"/>
        <v>Bajo</v>
      </c>
      <c r="D267">
        <f t="shared" si="13"/>
        <v>19</v>
      </c>
      <c r="E267" t="str">
        <f t="shared" si="14"/>
        <v>Bajo</v>
      </c>
    </row>
    <row r="268" spans="1:5" x14ac:dyDescent="0.25">
      <c r="A268" t="s">
        <v>288</v>
      </c>
      <c r="B268">
        <f>SUM('Satisfacción de los comités d'!B269:J269)</f>
        <v>21</v>
      </c>
      <c r="C268" t="str">
        <f t="shared" si="12"/>
        <v>Bajo</v>
      </c>
      <c r="D268">
        <f t="shared" si="13"/>
        <v>21</v>
      </c>
      <c r="E268" t="str">
        <f t="shared" si="14"/>
        <v>Medio</v>
      </c>
    </row>
    <row r="269" spans="1:5" x14ac:dyDescent="0.25">
      <c r="A269" t="s">
        <v>289</v>
      </c>
      <c r="B269">
        <f>SUM('Satisfacción de los comités d'!B270:J270)</f>
        <v>40</v>
      </c>
      <c r="C269" t="str">
        <f t="shared" si="12"/>
        <v>Alto</v>
      </c>
      <c r="D269">
        <f t="shared" si="13"/>
        <v>40</v>
      </c>
      <c r="E269" t="str">
        <f t="shared" si="14"/>
        <v>Alto</v>
      </c>
    </row>
    <row r="270" spans="1:5" x14ac:dyDescent="0.25">
      <c r="A270" t="s">
        <v>290</v>
      </c>
      <c r="B270">
        <f>SUM('Satisfacción de los comités d'!B271:J271)</f>
        <v>26</v>
      </c>
      <c r="C270" t="str">
        <f t="shared" si="12"/>
        <v>Medio</v>
      </c>
      <c r="D270">
        <f t="shared" si="13"/>
        <v>26</v>
      </c>
      <c r="E270" t="str">
        <f t="shared" si="14"/>
        <v>Medio</v>
      </c>
    </row>
    <row r="271" spans="1:5" x14ac:dyDescent="0.25">
      <c r="A271" t="s">
        <v>291</v>
      </c>
      <c r="B271">
        <f>SUM('Satisfacción de los comités d'!B272:J272)</f>
        <v>27</v>
      </c>
      <c r="C271" t="str">
        <f t="shared" si="12"/>
        <v>Medio</v>
      </c>
      <c r="D271">
        <f t="shared" si="13"/>
        <v>27</v>
      </c>
      <c r="E271" t="str">
        <f t="shared" si="14"/>
        <v>Medio</v>
      </c>
    </row>
    <row r="272" spans="1:5" x14ac:dyDescent="0.25">
      <c r="A272" t="s">
        <v>292</v>
      </c>
      <c r="B272">
        <f>SUM('Satisfacción de los comités d'!B273:J273)</f>
        <v>36</v>
      </c>
      <c r="C272" t="str">
        <f t="shared" si="12"/>
        <v>Alto</v>
      </c>
      <c r="D272">
        <f t="shared" si="13"/>
        <v>36</v>
      </c>
      <c r="E272" t="str">
        <f t="shared" si="14"/>
        <v>Alto</v>
      </c>
    </row>
    <row r="273" spans="1:5" x14ac:dyDescent="0.25">
      <c r="A273" t="s">
        <v>293</v>
      </c>
      <c r="B273">
        <f>SUM('Satisfacción de los comités d'!B274:J274)</f>
        <v>26</v>
      </c>
      <c r="C273" t="str">
        <f t="shared" si="12"/>
        <v>Medio</v>
      </c>
      <c r="D273">
        <f t="shared" si="13"/>
        <v>26</v>
      </c>
      <c r="E273" t="str">
        <f t="shared" si="14"/>
        <v>Medio</v>
      </c>
    </row>
    <row r="274" spans="1:5" x14ac:dyDescent="0.25">
      <c r="A274" t="s">
        <v>294</v>
      </c>
      <c r="B274">
        <f>SUM('Satisfacción de los comités d'!B275:J275)</f>
        <v>9</v>
      </c>
      <c r="C274" t="str">
        <f t="shared" si="12"/>
        <v>Bajo</v>
      </c>
      <c r="D274">
        <f t="shared" si="13"/>
        <v>9</v>
      </c>
      <c r="E274" t="str">
        <f t="shared" si="14"/>
        <v>Bajo</v>
      </c>
    </row>
    <row r="275" spans="1:5" x14ac:dyDescent="0.25">
      <c r="A275" t="s">
        <v>295</v>
      </c>
      <c r="B275">
        <f>SUM('Satisfacción de los comités d'!B276:J276)</f>
        <v>29</v>
      </c>
      <c r="C275" t="str">
        <f t="shared" si="12"/>
        <v>Medio</v>
      </c>
      <c r="D275">
        <f t="shared" si="13"/>
        <v>29</v>
      </c>
      <c r="E275" t="str">
        <f t="shared" si="14"/>
        <v>Medio</v>
      </c>
    </row>
    <row r="276" spans="1:5" x14ac:dyDescent="0.25">
      <c r="A276" t="s">
        <v>296</v>
      </c>
      <c r="B276">
        <f>SUM('Satisfacción de los comités d'!B277:J277)</f>
        <v>31</v>
      </c>
      <c r="C276" t="str">
        <f t="shared" si="12"/>
        <v>Medio</v>
      </c>
      <c r="D276">
        <f t="shared" si="13"/>
        <v>31</v>
      </c>
      <c r="E276" t="str">
        <f t="shared" si="14"/>
        <v>Medio</v>
      </c>
    </row>
    <row r="277" spans="1:5" x14ac:dyDescent="0.25">
      <c r="A277" t="s">
        <v>297</v>
      </c>
      <c r="B277">
        <f>SUM('Satisfacción de los comités d'!B278:J278)</f>
        <v>20</v>
      </c>
      <c r="C277" t="str">
        <f t="shared" si="12"/>
        <v>Bajo</v>
      </c>
      <c r="D277">
        <f t="shared" si="13"/>
        <v>20</v>
      </c>
      <c r="E277" t="str">
        <f t="shared" si="14"/>
        <v>Bajo</v>
      </c>
    </row>
    <row r="278" spans="1:5" x14ac:dyDescent="0.25">
      <c r="A278" t="s">
        <v>298</v>
      </c>
      <c r="B278">
        <f>SUM('Satisfacción de los comités d'!B279:J279)</f>
        <v>25</v>
      </c>
      <c r="C278" t="str">
        <f t="shared" si="12"/>
        <v>Medio</v>
      </c>
      <c r="D278">
        <f t="shared" si="13"/>
        <v>25</v>
      </c>
      <c r="E278" t="str">
        <f t="shared" si="14"/>
        <v>Medio</v>
      </c>
    </row>
    <row r="279" spans="1:5" x14ac:dyDescent="0.25">
      <c r="A279" t="s">
        <v>299</v>
      </c>
      <c r="B279">
        <f>SUM('Satisfacción de los comités d'!B280:J280)</f>
        <v>17</v>
      </c>
      <c r="C279" t="str">
        <f t="shared" si="12"/>
        <v>Bajo</v>
      </c>
      <c r="D279">
        <f t="shared" si="13"/>
        <v>17</v>
      </c>
      <c r="E279" t="str">
        <f t="shared" si="14"/>
        <v>Bajo</v>
      </c>
    </row>
    <row r="280" spans="1:5" x14ac:dyDescent="0.25">
      <c r="A280" t="s">
        <v>300</v>
      </c>
      <c r="B280">
        <f>SUM('Satisfacción de los comités d'!B281:J281)</f>
        <v>35</v>
      </c>
      <c r="C280" t="str">
        <f t="shared" si="12"/>
        <v>Alto</v>
      </c>
      <c r="D280">
        <f t="shared" si="13"/>
        <v>35</v>
      </c>
      <c r="E280" t="str">
        <f t="shared" si="14"/>
        <v>Alto</v>
      </c>
    </row>
    <row r="281" spans="1:5" x14ac:dyDescent="0.25">
      <c r="A281" t="s">
        <v>301</v>
      </c>
      <c r="B281">
        <f>SUM('Satisfacción de los comités d'!B282:J282)</f>
        <v>28</v>
      </c>
      <c r="C281" t="str">
        <f t="shared" si="12"/>
        <v>Medio</v>
      </c>
      <c r="D281">
        <f t="shared" si="13"/>
        <v>28</v>
      </c>
      <c r="E281" t="str">
        <f t="shared" si="14"/>
        <v>Medio</v>
      </c>
    </row>
    <row r="282" spans="1:5" x14ac:dyDescent="0.25">
      <c r="A282" t="s">
        <v>302</v>
      </c>
      <c r="B282">
        <f>SUM('Satisfacción de los comités d'!B283:J283)</f>
        <v>28</v>
      </c>
      <c r="C282" t="str">
        <f t="shared" si="12"/>
        <v>Medio</v>
      </c>
      <c r="D282">
        <f t="shared" si="13"/>
        <v>28</v>
      </c>
      <c r="E282" t="str">
        <f t="shared" si="14"/>
        <v>Medio</v>
      </c>
    </row>
    <row r="283" spans="1:5" x14ac:dyDescent="0.25">
      <c r="A283" t="s">
        <v>303</v>
      </c>
      <c r="B283">
        <f>SUM('Satisfacción de los comités d'!B284:J284)</f>
        <v>26</v>
      </c>
      <c r="C283" t="str">
        <f t="shared" si="12"/>
        <v>Medio</v>
      </c>
      <c r="D283">
        <f t="shared" si="13"/>
        <v>26</v>
      </c>
      <c r="E283" t="str">
        <f t="shared" si="14"/>
        <v>Medio</v>
      </c>
    </row>
    <row r="284" spans="1:5" x14ac:dyDescent="0.25">
      <c r="A284" t="s">
        <v>304</v>
      </c>
      <c r="B284">
        <f>SUM('Satisfacción de los comités d'!B285:J285)</f>
        <v>19</v>
      </c>
      <c r="C284" t="str">
        <f t="shared" si="12"/>
        <v>Bajo</v>
      </c>
      <c r="D284">
        <f t="shared" si="13"/>
        <v>19</v>
      </c>
      <c r="E284" t="str">
        <f t="shared" si="14"/>
        <v>Bajo</v>
      </c>
    </row>
    <row r="285" spans="1:5" x14ac:dyDescent="0.25">
      <c r="A285" t="s">
        <v>305</v>
      </c>
      <c r="B285">
        <f>SUM('Satisfacción de los comités d'!B286:J286)</f>
        <v>18</v>
      </c>
      <c r="C285" t="str">
        <f t="shared" si="12"/>
        <v>Bajo</v>
      </c>
      <c r="D285">
        <f t="shared" si="13"/>
        <v>18</v>
      </c>
      <c r="E285" t="str">
        <f t="shared" si="14"/>
        <v>Bajo</v>
      </c>
    </row>
    <row r="286" spans="1:5" x14ac:dyDescent="0.25">
      <c r="A286" t="s">
        <v>306</v>
      </c>
      <c r="B286">
        <f>SUM('Satisfacción de los comités d'!B287:J287)</f>
        <v>27</v>
      </c>
      <c r="C286" t="str">
        <f t="shared" si="12"/>
        <v>Medio</v>
      </c>
      <c r="D286">
        <f t="shared" si="13"/>
        <v>27</v>
      </c>
      <c r="E286" t="str">
        <f t="shared" si="14"/>
        <v>Medio</v>
      </c>
    </row>
    <row r="287" spans="1:5" x14ac:dyDescent="0.25">
      <c r="A287" t="s">
        <v>307</v>
      </c>
      <c r="B287">
        <f>SUM('Satisfacción de los comités d'!B288:J288)</f>
        <v>27</v>
      </c>
      <c r="C287" t="str">
        <f t="shared" si="12"/>
        <v>Medio</v>
      </c>
      <c r="D287">
        <f t="shared" si="13"/>
        <v>27</v>
      </c>
      <c r="E287" t="str">
        <f t="shared" si="14"/>
        <v>Medio</v>
      </c>
    </row>
    <row r="288" spans="1:5" x14ac:dyDescent="0.25">
      <c r="A288" t="s">
        <v>308</v>
      </c>
      <c r="B288">
        <f>SUM('Satisfacción de los comités d'!B289:J289)</f>
        <v>26</v>
      </c>
      <c r="C288" t="str">
        <f t="shared" si="12"/>
        <v>Medio</v>
      </c>
      <c r="D288">
        <f t="shared" si="13"/>
        <v>26</v>
      </c>
      <c r="E288" t="str">
        <f t="shared" si="14"/>
        <v>Medio</v>
      </c>
    </row>
    <row r="289" spans="1:5" x14ac:dyDescent="0.25">
      <c r="A289" t="s">
        <v>309</v>
      </c>
      <c r="B289">
        <f>SUM('Satisfacción de los comités d'!B290:J290)</f>
        <v>27</v>
      </c>
      <c r="C289" t="str">
        <f t="shared" si="12"/>
        <v>Medio</v>
      </c>
      <c r="D289">
        <f t="shared" si="13"/>
        <v>27</v>
      </c>
      <c r="E289" t="str">
        <f t="shared" si="14"/>
        <v>Medio</v>
      </c>
    </row>
    <row r="290" spans="1:5" x14ac:dyDescent="0.25">
      <c r="A290" t="s">
        <v>310</v>
      </c>
      <c r="B290">
        <f>SUM('Satisfacción de los comités d'!B291:J291)</f>
        <v>23</v>
      </c>
      <c r="C290" t="str">
        <f t="shared" si="12"/>
        <v>Medio</v>
      </c>
      <c r="D290">
        <f t="shared" si="13"/>
        <v>23</v>
      </c>
      <c r="E290" t="str">
        <f t="shared" si="14"/>
        <v>Medio</v>
      </c>
    </row>
    <row r="291" spans="1:5" x14ac:dyDescent="0.25">
      <c r="A291" t="s">
        <v>311</v>
      </c>
      <c r="B291">
        <f>SUM('Satisfacción de los comités d'!B292:J292)</f>
        <v>18</v>
      </c>
      <c r="C291" t="str">
        <f t="shared" si="12"/>
        <v>Bajo</v>
      </c>
      <c r="D291">
        <f t="shared" si="13"/>
        <v>18</v>
      </c>
      <c r="E291" t="str">
        <f t="shared" si="14"/>
        <v>Bajo</v>
      </c>
    </row>
    <row r="292" spans="1:5" x14ac:dyDescent="0.25">
      <c r="A292" t="s">
        <v>312</v>
      </c>
      <c r="B292">
        <f>SUM('Satisfacción de los comités d'!B293:J293)</f>
        <v>35</v>
      </c>
      <c r="C292" t="str">
        <f t="shared" si="12"/>
        <v>Alto</v>
      </c>
      <c r="D292">
        <f t="shared" si="13"/>
        <v>35</v>
      </c>
      <c r="E292" t="str">
        <f t="shared" si="14"/>
        <v>Alto</v>
      </c>
    </row>
    <row r="900" spans="7:22" x14ac:dyDescent="0.25">
      <c r="G900" t="s">
        <v>456</v>
      </c>
      <c r="S900" t="s">
        <v>456</v>
      </c>
    </row>
    <row r="901" spans="7:22" x14ac:dyDescent="0.25">
      <c r="G901" s="3" t="s">
        <v>333</v>
      </c>
      <c r="H901" s="3" t="str">
        <f>(J4)</f>
        <v>Satisfacción de los comités del Programa Vaso de Leche</v>
      </c>
      <c r="J901" s="3" t="s">
        <v>358</v>
      </c>
      <c r="S901" s="3" t="s">
        <v>333</v>
      </c>
      <c r="T901" s="3" t="str">
        <f>(V4)</f>
        <v>Satisfacción de los comités del Programa Vaso de Leche</v>
      </c>
      <c r="V901" s="3" t="s">
        <v>358</v>
      </c>
    </row>
    <row r="902" spans="7:22" x14ac:dyDescent="0.25">
      <c r="G902" s="3" t="s">
        <v>359</v>
      </c>
      <c r="H902" s="3" t="str">
        <f>(J5)</f>
        <v>Satisfacción del servicio</v>
      </c>
      <c r="J902" s="3" t="s">
        <v>360</v>
      </c>
      <c r="S902" s="3" t="s">
        <v>359</v>
      </c>
      <c r="T902" s="3">
        <f>(V5)</f>
        <v>0</v>
      </c>
      <c r="V902" s="3" t="s">
        <v>360</v>
      </c>
    </row>
    <row r="903" spans="7:22" x14ac:dyDescent="0.25">
      <c r="G903" t="s">
        <v>456</v>
      </c>
      <c r="S903" t="s">
        <v>456</v>
      </c>
    </row>
    <row r="904" spans="7:22" x14ac:dyDescent="0.25">
      <c r="G904" s="3" t="s">
        <v>361</v>
      </c>
      <c r="H904" s="7">
        <f>MAX(O19:O21)</f>
        <v>0.65743944636678198</v>
      </c>
      <c r="I904" s="3" t="str">
        <f>IF(H904=O19,K19,IF(H904=O20,K20,IF(H904=O21,K21,"algo esta mal")))</f>
        <v>Medio</v>
      </c>
      <c r="S904" s="3" t="s">
        <v>361</v>
      </c>
      <c r="T904" s="7">
        <f>MAX(AA19:AA21)</f>
        <v>0.65397923875432529</v>
      </c>
      <c r="U904" s="3" t="str">
        <f>IF(T904=AA19,W19,IF(T904=AA20,W20,IF(T904=AA21,W21,"algo esta mal")))</f>
        <v>Medio</v>
      </c>
    </row>
    <row r="905" spans="7:22" x14ac:dyDescent="0.25">
      <c r="I905" s="3" t="s">
        <v>362</v>
      </c>
      <c r="J905" s="3" t="s">
        <v>363</v>
      </c>
      <c r="K905" s="3" t="s">
        <v>319</v>
      </c>
      <c r="L905" s="3" t="s">
        <v>320</v>
      </c>
      <c r="M905" s="3" t="s">
        <v>321</v>
      </c>
      <c r="N905" s="3" t="s">
        <v>322</v>
      </c>
      <c r="O905" s="3" t="s">
        <v>323</v>
      </c>
    </row>
    <row r="906" spans="7:22" x14ac:dyDescent="0.25">
      <c r="I906" s="3" t="s">
        <v>364</v>
      </c>
      <c r="J906" s="7" t="s">
        <v>364</v>
      </c>
      <c r="K906">
        <f>('Satisfacción de los comités d'!B306)</f>
        <v>1.0380622837370242E-2</v>
      </c>
      <c r="L906">
        <f>('Satisfacción de los comités d'!B307)</f>
        <v>0.2491349480968858</v>
      </c>
      <c r="M906">
        <f>('Satisfacción de los comités d'!B308)</f>
        <v>0.52595155709342556</v>
      </c>
      <c r="N906">
        <f>('Satisfacción de los comités d'!B309)</f>
        <v>0.20069204152249134</v>
      </c>
      <c r="O906">
        <f>('Satisfacción de los comités d'!B310)</f>
        <v>1.384083044982699E-2</v>
      </c>
    </row>
    <row r="907" spans="7:22" x14ac:dyDescent="0.25">
      <c r="I907" s="3" t="s">
        <v>364</v>
      </c>
      <c r="J907" s="7" t="s">
        <v>364</v>
      </c>
      <c r="K907">
        <f>('Satisfacción de los comités d'!C306)</f>
        <v>1.384083044982699E-2</v>
      </c>
      <c r="L907">
        <f>('Satisfacción de los comités d'!C307)</f>
        <v>0.23529411764705882</v>
      </c>
      <c r="M907">
        <f>('Satisfacción de los comités d'!C308)</f>
        <v>0.51557093425605538</v>
      </c>
      <c r="N907">
        <f>('Satisfacción de los comités d'!C309)</f>
        <v>0.21107266435986158</v>
      </c>
      <c r="O907">
        <f>('Satisfacción de los comités d'!C310)</f>
        <v>2.4221453287197232E-2</v>
      </c>
    </row>
    <row r="908" spans="7:22" x14ac:dyDescent="0.25">
      <c r="I908" s="3" t="s">
        <v>364</v>
      </c>
      <c r="J908" s="7" t="s">
        <v>364</v>
      </c>
      <c r="K908">
        <f>('Satisfacción de los comités d'!D306)</f>
        <v>6.920415224913495E-3</v>
      </c>
      <c r="L908">
        <f>('Satisfacción de los comités d'!D307)</f>
        <v>0.11418685121107267</v>
      </c>
      <c r="M908">
        <f>('Satisfacción de los comités d'!D308)</f>
        <v>0.53287197231833905</v>
      </c>
      <c r="N908">
        <f>('Satisfacción de los comités d'!D309)</f>
        <v>0.31833910034602075</v>
      </c>
      <c r="O908">
        <f>('Satisfacción de los comités d'!D310)</f>
        <v>2.768166089965398E-2</v>
      </c>
    </row>
    <row r="909" spans="7:22" x14ac:dyDescent="0.25">
      <c r="I909" s="3" t="s">
        <v>364</v>
      </c>
      <c r="J909" s="7" t="s">
        <v>364</v>
      </c>
      <c r="K909">
        <f>('Satisfacción de los comités d'!E306)</f>
        <v>1.7301038062283738E-2</v>
      </c>
      <c r="L909">
        <f>('Satisfacción de los comités d'!E307)</f>
        <v>0.19031141868512111</v>
      </c>
      <c r="M909">
        <f>('Satisfacción de los comités d'!E308)</f>
        <v>0.53633217993079585</v>
      </c>
      <c r="N909">
        <f>('Satisfacción de los comités d'!E309)</f>
        <v>0.23183391003460208</v>
      </c>
      <c r="O909">
        <f>('Satisfacción de los comités d'!E310)</f>
        <v>2.4221453287197232E-2</v>
      </c>
    </row>
    <row r="910" spans="7:22" x14ac:dyDescent="0.25">
      <c r="I910" s="3" t="s">
        <v>364</v>
      </c>
      <c r="J910" s="7" t="s">
        <v>364</v>
      </c>
      <c r="K910">
        <f>('Satisfacción de los comités d'!F306)</f>
        <v>6.920415224913495E-3</v>
      </c>
      <c r="L910">
        <f>('Satisfacción de los comités d'!F307)</f>
        <v>0.12110726643598616</v>
      </c>
      <c r="M910">
        <f>('Satisfacción de los comités d'!F308)</f>
        <v>0.56401384083044981</v>
      </c>
      <c r="N910">
        <f>('Satisfacción de los comités d'!F309)</f>
        <v>0.27335640138408307</v>
      </c>
      <c r="O910">
        <f>('Satisfacción de los comités d'!F310)</f>
        <v>3.4602076124567477E-2</v>
      </c>
    </row>
    <row r="911" spans="7:22" x14ac:dyDescent="0.25">
      <c r="I911" s="3" t="s">
        <v>364</v>
      </c>
      <c r="J911" s="7" t="s">
        <v>364</v>
      </c>
      <c r="K911">
        <f>('Satisfacción de los comités d'!G306)</f>
        <v>2.0761245674740483E-2</v>
      </c>
      <c r="L911">
        <f>('Satisfacción de los comités d'!G307)</f>
        <v>0.3217993079584775</v>
      </c>
      <c r="M911">
        <f>('Satisfacción de los comités d'!G308)</f>
        <v>0.54325259515570934</v>
      </c>
      <c r="N911">
        <f>('Satisfacción de los comités d'!G309)</f>
        <v>0.10726643598615918</v>
      </c>
      <c r="O911">
        <f>('Satisfacción de los comités d'!G310)</f>
        <v>6.920415224913495E-3</v>
      </c>
    </row>
    <row r="912" spans="7:22" x14ac:dyDescent="0.25">
      <c r="I912" s="3" t="s">
        <v>364</v>
      </c>
      <c r="J912" s="7" t="s">
        <v>364</v>
      </c>
      <c r="K912">
        <f>('Satisfacción de los comités d'!H306)</f>
        <v>1.0380622837370242E-2</v>
      </c>
      <c r="L912">
        <f>('Satisfacción de los comités d'!H307)</f>
        <v>0.24567474048442905</v>
      </c>
      <c r="M912">
        <f>('Satisfacción de los comités d'!H308)</f>
        <v>0.4982698961937716</v>
      </c>
      <c r="N912">
        <f>('Satisfacción de los comités d'!H309)</f>
        <v>0.2179930795847751</v>
      </c>
      <c r="O912">
        <f>('Satisfacción de los comités d'!H310)</f>
        <v>2.768166089965398E-2</v>
      </c>
    </row>
    <row r="913" spans="9:15" x14ac:dyDescent="0.25">
      <c r="I913" s="3" t="s">
        <v>364</v>
      </c>
      <c r="J913" s="7" t="s">
        <v>364</v>
      </c>
      <c r="K913">
        <f>('Satisfacción de los comités d'!I306)</f>
        <v>1.384083044982699E-2</v>
      </c>
      <c r="L913">
        <f>('Satisfacción de los comités d'!I307)</f>
        <v>0.28719723183391005</v>
      </c>
      <c r="M913">
        <f>('Satisfacción de los comités d'!I308)</f>
        <v>0.49480968858131485</v>
      </c>
      <c r="N913">
        <f>('Satisfacción de los comités d'!I309)</f>
        <v>0.19031141868512111</v>
      </c>
      <c r="O913">
        <f>('Satisfacción de los comités d'!I310)</f>
        <v>1.384083044982699E-2</v>
      </c>
    </row>
    <row r="914" spans="9:15" x14ac:dyDescent="0.25">
      <c r="I914" s="3" t="s">
        <v>364</v>
      </c>
      <c r="J914" s="7" t="s">
        <v>364</v>
      </c>
      <c r="K914">
        <f>('Satisfacción de los comités d'!J306)</f>
        <v>1.7301038062283738E-2</v>
      </c>
      <c r="L914">
        <f>('Satisfacción de los comités d'!J307)</f>
        <v>0.25605536332179929</v>
      </c>
      <c r="M914">
        <f>('Satisfacción de los comités d'!J308)</f>
        <v>0.50865051903114189</v>
      </c>
      <c r="N914">
        <f>('Satisfacción de los comités d'!J309)</f>
        <v>0.19377162629757785</v>
      </c>
      <c r="O914">
        <f>('Satisfacción de los comités d'!J310)</f>
        <v>2.4221453287197232E-2</v>
      </c>
    </row>
    <row r="1015" spans="9:33" x14ac:dyDescent="0.25">
      <c r="I1015" s="3" t="s">
        <v>363</v>
      </c>
      <c r="J1015" s="3" t="str">
        <f>CONCATENATE(K905," y ",L905)</f>
        <v>Totalmente en desacuerdo y En desacuerdo</v>
      </c>
      <c r="K1015" s="3" t="str">
        <f t="shared" ref="K1015:K1024" si="15">(M905)</f>
        <v>Ni de acuerdo ni en desacuerdo</v>
      </c>
      <c r="L1015" s="3" t="str">
        <f>CONCATENATE(N905," y ",O905)</f>
        <v>De acuerdo y Totalmente de acuerdo</v>
      </c>
      <c r="M1015" s="3" t="s">
        <v>365</v>
      </c>
      <c r="N1015" s="3" t="s">
        <v>366</v>
      </c>
      <c r="O1015" s="3" t="s">
        <v>367</v>
      </c>
      <c r="P1015" s="3" t="s">
        <v>368</v>
      </c>
      <c r="Q1015" s="3" t="s">
        <v>369</v>
      </c>
      <c r="U1015" s="3" t="s">
        <v>370</v>
      </c>
      <c r="V1015" s="3" t="s">
        <v>349</v>
      </c>
      <c r="W1015" s="3" t="s">
        <v>457</v>
      </c>
      <c r="X1015" s="3" t="s">
        <v>351</v>
      </c>
      <c r="Y1015" s="3" t="s">
        <v>365</v>
      </c>
      <c r="Z1015" s="3" t="s">
        <v>371</v>
      </c>
      <c r="AA1015" s="3" t="s">
        <v>372</v>
      </c>
      <c r="AB1015" s="3" t="s">
        <v>373</v>
      </c>
      <c r="AC1015" s="3" t="s">
        <v>374</v>
      </c>
      <c r="AD1015" s="3" t="s">
        <v>375</v>
      </c>
      <c r="AE1015" s="3" t="s">
        <v>376</v>
      </c>
      <c r="AF1015" s="3" t="s">
        <v>377</v>
      </c>
      <c r="AG1015" s="3" t="s">
        <v>369</v>
      </c>
    </row>
    <row r="1016" spans="9:33" x14ac:dyDescent="0.25">
      <c r="I1016" s="3" t="str">
        <f t="shared" ref="I1016:I1024" si="16">(J906)</f>
        <v>x</v>
      </c>
      <c r="J1016" s="7">
        <f t="shared" ref="J1016:J1024" si="17">SUM(K906:L906)</f>
        <v>0.25951557093425603</v>
      </c>
      <c r="K1016" s="7">
        <f t="shared" si="15"/>
        <v>0.52595155709342556</v>
      </c>
      <c r="L1016" s="7">
        <f t="shared" ref="L1016:L1024" si="18">SUM(N906:O906)</f>
        <v>0.21453287197231832</v>
      </c>
      <c r="M1016" s="7">
        <f t="shared" ref="M1016:M1024" si="19">MAX(J1016:L1016)</f>
        <v>0.52595155709342556</v>
      </c>
      <c r="N1016" s="3" t="str">
        <f t="shared" ref="N1016:N1024" si="20">IF(M1016=J1016,$J$1015,IF(M1016=K1016,$K$1015,IF(M1016=L1016,$L$1015,"ALGO ESTA MAL")))</f>
        <v>Ni de acuerdo ni en desacuerdo</v>
      </c>
      <c r="O1016" s="3">
        <f t="shared" ref="O1016:O1024" ca="1" si="21">RANDBETWEEN(1,10)</f>
        <v>6</v>
      </c>
      <c r="P1016" s="3" t="str">
        <f t="shared" ref="P1016:P1024" ca="1" si="22">IF(O1016=$P$1100,$Q$1100,IF(O1016=$P$1101,$Q$1101,IF(O1016=$P$1102,$Q$1102,IF(O1016=$P$1103,$Q$1103,IF(O1016=$P$1104,$Q$1104,IF(O1016=$P$1105,$Q$1105,IF(O1016=$P$1106,$Q$1106,IF(O1016=$P$1107,$Q$1107,IF(O1016=$P$1108,$Q$1108,IF(O1016=$P$1109,$Q$1109,"algo esta mal"))))))))))</f>
        <v>determinó</v>
      </c>
      <c r="Q1016" s="3" t="str">
        <f ca="1">CONCATENATE("el ",ROUND(M1016*100,0),"% ",P1016," como ",N1016)</f>
        <v>el 53% determinó como Ni de acuerdo ni en desacuerdo</v>
      </c>
      <c r="U1016" s="7" t="str">
        <f>(K16)</f>
        <v>Satisfacción del servicio</v>
      </c>
      <c r="V1016" s="7">
        <f>(O19)</f>
        <v>0.19377162629757785</v>
      </c>
      <c r="W1016" s="2">
        <f>(O20)</f>
        <v>0.65743944636678198</v>
      </c>
      <c r="X1016" s="7">
        <f>(O21)</f>
        <v>0.14878892733564014</v>
      </c>
      <c r="Y1016" s="7">
        <f>MAX(V1016:X1016)</f>
        <v>0.65743944636678198</v>
      </c>
      <c r="Z1016" s="3" t="str">
        <f>IF(Y1016=V1016,$V$1015,IF(Y1016=W1016,$W$1015,IF(Y1016=X1016,$X$1015,"algo esta mal")))</f>
        <v>Medio</v>
      </c>
      <c r="AA1016" s="3">
        <f ca="1" xml:space="preserve"> RANDBETWEEN(1,10)</f>
        <v>10</v>
      </c>
      <c r="AB1016" s="3" t="str">
        <f ca="1">IF(AA1016=$AB$1100,$AC$1100,IF(AA1016=$AB$1101,$AC$1101,IF(AA1016=$AB$1102,$AC$1102,IF(AA1016=$AB$1103,$AC$1103,IF(AA1016=$AB$1104,$AC$1104,IF(AA1016=$AB$1105,$AC$1105,IF(AA1016=$AB$1106,$AC$1106,IF(AA1016=$AB$1107,$AC$1107,IF(AA1016=$AB$1108,$AC$1108,IF(AA1016=$AB$1109,$AC$1109,"algo esta mal"))))))))))</f>
        <v>Tuvo una percepción de</v>
      </c>
      <c r="AC1016" s="3">
        <f ca="1" xml:space="preserve"> RANDBETWEEN(1,7)</f>
        <v>4</v>
      </c>
      <c r="AD1016" s="3" t="str">
        <f ca="1">IF(AC1016=$AB$1110,$AC$1110,IF(AC1016=$AB$1111,$AC$1111,IF(AC1016=$AB$1112,$AC$1112,IF(AC1016=$AB$1113,$AC$1113,IF(AC1016=$AB$1114,$AC$1114,IF(AC1016=$AB$1115,$AC$1115,IF(AC1016=$AB$1116,$AC$1116,IF(AC1016=$AB$1047,$AC$1047,IF(AC1016=$AB$1048,$AC$1048,IF(AC1016=$AB$1049,$AC$1049,"algo esta mal"))))))))))</f>
        <v xml:space="preserve">ademas </v>
      </c>
      <c r="AE1016" s="3">
        <f ca="1" xml:space="preserve"> RANDBETWEEN(1,2)</f>
        <v>1</v>
      </c>
      <c r="AF1016" s="3" t="str">
        <f ca="1">IF(AE1016=$AB$1120,$AC$1120,IF(AE1016=$AB$1121,$AC$1121,"algo esta mal"))</f>
        <v>Beneficiaross</v>
      </c>
      <c r="AG1016" s="3" t="str">
        <f ca="1">CONCATENATE("el ",ROUND(Y1016*100,0),"% de los ",AF1016," ",AB1016," a la dimensión ",U1016," como ",Z1016,", ",AD1016)</f>
        <v xml:space="preserve">el 66% de los Beneficiaross Tuvo una percepción de a la dimensión Satisfacción del servicio como Medio, ademas </v>
      </c>
    </row>
    <row r="1017" spans="9:33" x14ac:dyDescent="0.25">
      <c r="I1017" s="3" t="str">
        <f t="shared" si="16"/>
        <v>x</v>
      </c>
      <c r="J1017" s="7">
        <f t="shared" si="17"/>
        <v>0.2491349480968858</v>
      </c>
      <c r="K1017" s="7">
        <f t="shared" si="15"/>
        <v>0.51557093425605538</v>
      </c>
      <c r="L1017" s="7">
        <f t="shared" si="18"/>
        <v>0.23529411764705882</v>
      </c>
      <c r="M1017" s="7">
        <f t="shared" si="19"/>
        <v>0.51557093425605538</v>
      </c>
      <c r="N1017" s="3" t="str">
        <f t="shared" si="20"/>
        <v>Ni de acuerdo ni en desacuerdo</v>
      </c>
      <c r="O1017" s="3">
        <f t="shared" ca="1" si="21"/>
        <v>6</v>
      </c>
      <c r="P1017" s="3" t="str">
        <f t="shared" ca="1" si="22"/>
        <v>determinó</v>
      </c>
      <c r="Q1017" s="3" t="str">
        <f ca="1">CONCATENATE("el ",ROUND(M1017*100,0),"% de los ",J902," ",P1017," como ",N1017)</f>
        <v>el 52% de los Beneficiaross determinó como Ni de acuerdo ni en desacuerdo</v>
      </c>
    </row>
    <row r="1018" spans="9:33" x14ac:dyDescent="0.25">
      <c r="I1018" s="3" t="str">
        <f t="shared" si="16"/>
        <v>x</v>
      </c>
      <c r="J1018" s="7">
        <f t="shared" si="17"/>
        <v>0.12110726643598616</v>
      </c>
      <c r="K1018" s="7">
        <f t="shared" si="15"/>
        <v>0.53287197231833905</v>
      </c>
      <c r="L1018" s="7">
        <f t="shared" si="18"/>
        <v>0.34602076124567471</v>
      </c>
      <c r="M1018" s="7">
        <f t="shared" si="19"/>
        <v>0.53287197231833905</v>
      </c>
      <c r="N1018" s="3" t="str">
        <f t="shared" si="20"/>
        <v>Ni de acuerdo ni en desacuerdo</v>
      </c>
      <c r="O1018" s="3">
        <f t="shared" ca="1" si="21"/>
        <v>2</v>
      </c>
      <c r="P1018" s="3" t="str">
        <f t="shared" ca="1" si="22"/>
        <v>calificó</v>
      </c>
      <c r="Q1018" s="3" t="str">
        <f ca="1">CONCATENATE("el ",ROUND(M1018*100,0),"% ",P1018," como ",N1018)</f>
        <v>el 53% calificó como Ni de acuerdo ni en desacuerdo</v>
      </c>
    </row>
    <row r="1019" spans="9:33" x14ac:dyDescent="0.25">
      <c r="I1019" s="3" t="str">
        <f t="shared" si="16"/>
        <v>x</v>
      </c>
      <c r="J1019" s="7">
        <f t="shared" si="17"/>
        <v>0.20761245674740486</v>
      </c>
      <c r="K1019" s="7">
        <f t="shared" si="15"/>
        <v>0.53633217993079585</v>
      </c>
      <c r="L1019" s="7">
        <f t="shared" si="18"/>
        <v>0.25605536332179929</v>
      </c>
      <c r="M1019" s="7">
        <f t="shared" si="19"/>
        <v>0.53633217993079585</v>
      </c>
      <c r="N1019" s="3" t="str">
        <f t="shared" si="20"/>
        <v>Ni de acuerdo ni en desacuerdo</v>
      </c>
      <c r="O1019" s="3">
        <f t="shared" ca="1" si="21"/>
        <v>7</v>
      </c>
      <c r="P1019" s="3" t="str">
        <f t="shared" ca="1" si="22"/>
        <v>mencionó</v>
      </c>
      <c r="Q1019" s="3" t="str">
        <f ca="1">CONCATENATE("el ",ROUND(M1019*100,0),"% de los ",J902," ",P1019," como ",N1019)</f>
        <v>el 54% de los Beneficiaross mencionó como Ni de acuerdo ni en desacuerdo</v>
      </c>
    </row>
    <row r="1020" spans="9:33" x14ac:dyDescent="0.25">
      <c r="I1020" s="3" t="str">
        <f t="shared" si="16"/>
        <v>x</v>
      </c>
      <c r="J1020" s="7">
        <f t="shared" si="17"/>
        <v>0.12802768166089964</v>
      </c>
      <c r="K1020" s="7">
        <f t="shared" si="15"/>
        <v>0.56401384083044981</v>
      </c>
      <c r="L1020" s="7">
        <f t="shared" si="18"/>
        <v>0.30795847750865057</v>
      </c>
      <c r="M1020" s="7">
        <f t="shared" si="19"/>
        <v>0.56401384083044981</v>
      </c>
      <c r="N1020" s="3" t="str">
        <f t="shared" si="20"/>
        <v>Ni de acuerdo ni en desacuerdo</v>
      </c>
      <c r="O1020" s="3">
        <f t="shared" ca="1" si="21"/>
        <v>9</v>
      </c>
      <c r="P1020" s="3" t="str">
        <f t="shared" ca="1" si="22"/>
        <v>percibió</v>
      </c>
      <c r="Q1020" s="3" t="str">
        <f ca="1">CONCATENATE("el ",ROUND(M1020*100,0),"% ",P1020," como ",N1020)</f>
        <v>el 56% percibió como Ni de acuerdo ni en desacuerdo</v>
      </c>
    </row>
    <row r="1021" spans="9:33" x14ac:dyDescent="0.25">
      <c r="I1021" s="3" t="str">
        <f t="shared" si="16"/>
        <v>x</v>
      </c>
      <c r="J1021" s="7">
        <f t="shared" si="17"/>
        <v>0.34256055363321797</v>
      </c>
      <c r="K1021" s="7">
        <f t="shared" si="15"/>
        <v>0.54325259515570934</v>
      </c>
      <c r="L1021" s="7">
        <f t="shared" si="18"/>
        <v>0.11418685121107267</v>
      </c>
      <c r="M1021" s="7">
        <f t="shared" si="19"/>
        <v>0.54325259515570934</v>
      </c>
      <c r="N1021" s="3" t="str">
        <f t="shared" si="20"/>
        <v>Ni de acuerdo ni en desacuerdo</v>
      </c>
      <c r="O1021" s="3">
        <f t="shared" ca="1" si="21"/>
        <v>3</v>
      </c>
      <c r="P1021" s="3" t="str">
        <f t="shared" ca="1" si="22"/>
        <v>consideró</v>
      </c>
      <c r="Q1021" s="3" t="str">
        <f ca="1">CONCATENATE("el ",ROUND(M1021*100,0),"% ",P1021," como ",N1021)</f>
        <v>el 54% consideró como Ni de acuerdo ni en desacuerdo</v>
      </c>
    </row>
    <row r="1022" spans="9:33" x14ac:dyDescent="0.25">
      <c r="I1022" s="3" t="str">
        <f t="shared" si="16"/>
        <v>x</v>
      </c>
      <c r="J1022" s="7">
        <f t="shared" si="17"/>
        <v>0.25605536332179929</v>
      </c>
      <c r="K1022" s="7">
        <f t="shared" si="15"/>
        <v>0.4982698961937716</v>
      </c>
      <c r="L1022" s="7">
        <f t="shared" si="18"/>
        <v>0.24567474048442908</v>
      </c>
      <c r="M1022" s="7">
        <f t="shared" si="19"/>
        <v>0.4982698961937716</v>
      </c>
      <c r="N1022" s="3" t="str">
        <f t="shared" si="20"/>
        <v>Ni de acuerdo ni en desacuerdo</v>
      </c>
      <c r="O1022" s="3">
        <f t="shared" ca="1" si="21"/>
        <v>2</v>
      </c>
      <c r="P1022" s="3" t="str">
        <f t="shared" ca="1" si="22"/>
        <v>calificó</v>
      </c>
      <c r="Q1022" s="3" t="str">
        <f ca="1">CONCATENATE("el ",ROUND(M1022*100,0),"% de los ",J902," ",P1022," como ",N1022)</f>
        <v>el 50% de los Beneficiaross calificó como Ni de acuerdo ni en desacuerdo</v>
      </c>
    </row>
    <row r="1023" spans="9:33" x14ac:dyDescent="0.25">
      <c r="I1023" s="3" t="str">
        <f t="shared" si="16"/>
        <v>x</v>
      </c>
      <c r="J1023" s="7">
        <f t="shared" si="17"/>
        <v>0.30103806228373703</v>
      </c>
      <c r="K1023" s="7">
        <f t="shared" si="15"/>
        <v>0.49480968858131485</v>
      </c>
      <c r="L1023" s="7">
        <f t="shared" si="18"/>
        <v>0.20415224913494809</v>
      </c>
      <c r="M1023" s="7">
        <f t="shared" si="19"/>
        <v>0.49480968858131485</v>
      </c>
      <c r="N1023" s="3" t="str">
        <f t="shared" si="20"/>
        <v>Ni de acuerdo ni en desacuerdo</v>
      </c>
      <c r="O1023" s="3">
        <f t="shared" ca="1" si="21"/>
        <v>10</v>
      </c>
      <c r="P1023" s="3" t="str">
        <f t="shared" ca="1" si="22"/>
        <v>Tuvo una percepción de</v>
      </c>
      <c r="Q1023" s="3" t="str">
        <f ca="1">CONCATENATE("el ",ROUND(M1023*100,0),"% ",P1023," como ",N1023)</f>
        <v>el 49% Tuvo una percepción de como Ni de acuerdo ni en desacuerdo</v>
      </c>
    </row>
    <row r="1024" spans="9:33" x14ac:dyDescent="0.25">
      <c r="I1024" s="3" t="str">
        <f t="shared" si="16"/>
        <v>x</v>
      </c>
      <c r="J1024" s="7">
        <f t="shared" si="17"/>
        <v>0.27335640138408301</v>
      </c>
      <c r="K1024" s="7">
        <f t="shared" si="15"/>
        <v>0.50865051903114189</v>
      </c>
      <c r="L1024" s="7">
        <f t="shared" si="18"/>
        <v>0.2179930795847751</v>
      </c>
      <c r="M1024" s="7">
        <f t="shared" si="19"/>
        <v>0.50865051903114189</v>
      </c>
      <c r="N1024" s="3" t="str">
        <f t="shared" si="20"/>
        <v>Ni de acuerdo ni en desacuerdo</v>
      </c>
      <c r="O1024" s="3">
        <f t="shared" ca="1" si="21"/>
        <v>1</v>
      </c>
      <c r="P1024" s="3" t="str">
        <f t="shared" ca="1" si="22"/>
        <v>valoró</v>
      </c>
      <c r="Q1024" s="3" t="str">
        <f ca="1">CONCATENATE("el ",ROUND(M1024*100,0),"% ",P1024," como ",N1024)</f>
        <v>el 51% valoró como Ni de acuerdo ni en desacuerdo</v>
      </c>
    </row>
    <row r="1100" spans="16:29" x14ac:dyDescent="0.25">
      <c r="P1100" s="3">
        <v>1</v>
      </c>
      <c r="Q1100" s="3" t="s">
        <v>378</v>
      </c>
      <c r="AB1100" s="3">
        <v>1</v>
      </c>
      <c r="AC1100" s="3" t="s">
        <v>378</v>
      </c>
    </row>
    <row r="1101" spans="16:29" x14ac:dyDescent="0.25">
      <c r="P1101" s="3">
        <v>2</v>
      </c>
      <c r="Q1101" s="3" t="s">
        <v>379</v>
      </c>
      <c r="AB1101" s="3">
        <v>2</v>
      </c>
      <c r="AC1101" s="3" t="s">
        <v>379</v>
      </c>
    </row>
    <row r="1102" spans="16:29" x14ac:dyDescent="0.25">
      <c r="P1102" s="3">
        <v>3</v>
      </c>
      <c r="Q1102" s="3" t="s">
        <v>380</v>
      </c>
      <c r="AB1102" s="3">
        <v>3</v>
      </c>
      <c r="AC1102" s="3" t="s">
        <v>380</v>
      </c>
    </row>
    <row r="1103" spans="16:29" x14ac:dyDescent="0.25">
      <c r="P1103" s="3">
        <v>4</v>
      </c>
      <c r="Q1103" s="3" t="s">
        <v>381</v>
      </c>
      <c r="AB1103" s="3">
        <v>4</v>
      </c>
      <c r="AC1103" s="3" t="s">
        <v>381</v>
      </c>
    </row>
    <row r="1104" spans="16:29" x14ac:dyDescent="0.25">
      <c r="P1104" s="3">
        <v>5</v>
      </c>
      <c r="Q1104" s="3" t="s">
        <v>382</v>
      </c>
      <c r="AB1104" s="3">
        <v>5</v>
      </c>
      <c r="AC1104" s="3" t="s">
        <v>382</v>
      </c>
    </row>
    <row r="1105" spans="16:29" x14ac:dyDescent="0.25">
      <c r="P1105" s="3">
        <v>6</v>
      </c>
      <c r="Q1105" s="3" t="s">
        <v>383</v>
      </c>
      <c r="AB1105" s="3">
        <v>6</v>
      </c>
      <c r="AC1105" s="3" t="s">
        <v>383</v>
      </c>
    </row>
    <row r="1106" spans="16:29" x14ac:dyDescent="0.25">
      <c r="P1106" s="3">
        <v>7</v>
      </c>
      <c r="Q1106" s="3" t="s">
        <v>384</v>
      </c>
      <c r="AB1106" s="3">
        <v>7</v>
      </c>
      <c r="AC1106" s="3" t="s">
        <v>384</v>
      </c>
    </row>
    <row r="1107" spans="16:29" x14ac:dyDescent="0.25">
      <c r="P1107" s="3">
        <v>8</v>
      </c>
      <c r="Q1107" s="3" t="s">
        <v>385</v>
      </c>
      <c r="AB1107" s="3">
        <v>8</v>
      </c>
      <c r="AC1107" s="3" t="s">
        <v>385</v>
      </c>
    </row>
    <row r="1108" spans="16:29" x14ac:dyDescent="0.25">
      <c r="P1108" s="3">
        <v>9</v>
      </c>
      <c r="Q1108" s="3" t="s">
        <v>386</v>
      </c>
      <c r="AB1108" s="3">
        <v>9</v>
      </c>
      <c r="AC1108" s="3" t="s">
        <v>386</v>
      </c>
    </row>
    <row r="1109" spans="16:29" x14ac:dyDescent="0.25">
      <c r="P1109" s="3">
        <v>10</v>
      </c>
      <c r="Q1109" s="3" t="s">
        <v>387</v>
      </c>
      <c r="AB1109" s="3">
        <v>10</v>
      </c>
      <c r="AC1109" s="3" t="s">
        <v>387</v>
      </c>
    </row>
    <row r="1110" spans="16:29" x14ac:dyDescent="0.25">
      <c r="AB1110" s="3">
        <v>1</v>
      </c>
      <c r="AC1110" s="3" t="s">
        <v>388</v>
      </c>
    </row>
    <row r="1111" spans="16:29" x14ac:dyDescent="0.25">
      <c r="AB1111" s="3">
        <v>2</v>
      </c>
      <c r="AC1111" s="3" t="s">
        <v>389</v>
      </c>
    </row>
    <row r="1112" spans="16:29" x14ac:dyDescent="0.25">
      <c r="AB1112" s="3">
        <v>3</v>
      </c>
      <c r="AC1112" s="3" t="s">
        <v>390</v>
      </c>
    </row>
    <row r="1113" spans="16:29" x14ac:dyDescent="0.25">
      <c r="AB1113" s="3">
        <v>4</v>
      </c>
      <c r="AC1113" s="3" t="s">
        <v>391</v>
      </c>
    </row>
    <row r="1114" spans="16:29" x14ac:dyDescent="0.25">
      <c r="AB1114" s="3">
        <v>5</v>
      </c>
      <c r="AC1114" s="3" t="s">
        <v>392</v>
      </c>
    </row>
    <row r="1115" spans="16:29" x14ac:dyDescent="0.25">
      <c r="AB1115" s="3">
        <v>6</v>
      </c>
      <c r="AC1115" s="3" t="s">
        <v>393</v>
      </c>
    </row>
    <row r="1116" spans="16:29" x14ac:dyDescent="0.25">
      <c r="AB1116" s="3">
        <v>7</v>
      </c>
      <c r="AC1116" s="3" t="s">
        <v>394</v>
      </c>
    </row>
    <row r="1120" spans="16:29" x14ac:dyDescent="0.25">
      <c r="AB1120" s="3">
        <v>1</v>
      </c>
      <c r="AC1120" s="3" t="str">
        <f>(V902)</f>
        <v>Beneficiaross</v>
      </c>
    </row>
    <row r="1121" spans="28:29" x14ac:dyDescent="0.25">
      <c r="AB1121" s="3">
        <v>2</v>
      </c>
      <c r="AC1121" s="3" t="s">
        <v>395</v>
      </c>
    </row>
  </sheetData>
  <sheetProtection formatCells="0" formatColumns="0" formatRows="0" insertColumns="0" insertRows="0" insertHyperlinks="0" deleteColumns="0" deleteRows="0" sort="0" autoFilter="0" pivotTables="0"/>
  <mergeCells count="18">
    <mergeCell ref="W17:W18"/>
    <mergeCell ref="X17:Y17"/>
    <mergeCell ref="Z17:Z18"/>
    <mergeCell ref="AA17:AA18"/>
    <mergeCell ref="U47:Z53"/>
    <mergeCell ref="K17:K18"/>
    <mergeCell ref="L17:M17"/>
    <mergeCell ref="N17:N18"/>
    <mergeCell ref="O17:O18"/>
    <mergeCell ref="I47:N53"/>
    <mergeCell ref="A1:E1"/>
    <mergeCell ref="A2:A3"/>
    <mergeCell ref="B2:C2"/>
    <mergeCell ref="B3"/>
    <mergeCell ref="C3"/>
    <mergeCell ref="D2:E2"/>
    <mergeCell ref="D3"/>
    <mergeCell ref="E3"/>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CB1062"/>
  <sheetViews>
    <sheetView workbookViewId="0">
      <selection activeCell="BX35" sqref="BX35"/>
    </sheetView>
  </sheetViews>
  <sheetFormatPr baseColWidth="10" defaultColWidth="9.140625" defaultRowHeight="15" x14ac:dyDescent="0.25"/>
  <cols>
    <col min="4" max="6" width="26" customWidth="1"/>
    <col min="13" max="15" width="26" customWidth="1"/>
    <col min="22" max="24" width="26" customWidth="1"/>
    <col min="31" max="33" width="26" customWidth="1"/>
    <col min="40" max="42" width="26" customWidth="1"/>
    <col min="49" max="51" width="26" customWidth="1"/>
    <col min="58" max="60" width="26" customWidth="1"/>
    <col min="67" max="69" width="26" customWidth="1"/>
    <col min="76" max="78" width="26" customWidth="1"/>
  </cols>
  <sheetData>
    <row r="3" spans="2:80" x14ac:dyDescent="0.25">
      <c r="B3" s="4"/>
      <c r="C3" s="4"/>
      <c r="D3" s="4"/>
      <c r="E3" s="4"/>
      <c r="F3" s="4"/>
      <c r="G3" s="4"/>
      <c r="H3" s="4"/>
      <c r="K3" s="4"/>
      <c r="L3" s="4"/>
      <c r="M3" s="4"/>
      <c r="N3" s="4"/>
      <c r="O3" s="4"/>
      <c r="P3" s="4"/>
      <c r="Q3" s="4"/>
      <c r="T3" s="4"/>
      <c r="U3" s="4"/>
      <c r="V3" s="4"/>
      <c r="W3" s="4"/>
      <c r="X3" s="4"/>
      <c r="Y3" s="4"/>
      <c r="Z3" s="4"/>
      <c r="AC3" s="4"/>
      <c r="AD3" s="4"/>
      <c r="AE3" s="4"/>
      <c r="AF3" s="4"/>
      <c r="AG3" s="4"/>
      <c r="AH3" s="4"/>
      <c r="AI3" s="4"/>
      <c r="AL3" s="4"/>
      <c r="AM3" s="4"/>
      <c r="AN3" s="4"/>
      <c r="AO3" s="4"/>
      <c r="AP3" s="4"/>
      <c r="AQ3" s="4"/>
      <c r="AR3" s="4"/>
      <c r="AU3" s="4"/>
      <c r="AV3" s="4"/>
      <c r="AW3" s="4"/>
      <c r="AX3" s="4"/>
      <c r="AY3" s="4"/>
      <c r="AZ3" s="4"/>
      <c r="BA3" s="4"/>
      <c r="BD3" s="4"/>
      <c r="BE3" s="4"/>
      <c r="BF3" s="4"/>
      <c r="BG3" s="4"/>
      <c r="BH3" s="4"/>
      <c r="BI3" s="4"/>
      <c r="BJ3" s="4"/>
      <c r="BM3" s="4"/>
      <c r="BN3" s="4"/>
      <c r="BO3" s="4"/>
      <c r="BP3" s="4"/>
      <c r="BQ3" s="4"/>
      <c r="BR3" s="4"/>
      <c r="BS3" s="4"/>
      <c r="BV3" s="4"/>
      <c r="BW3" s="4"/>
      <c r="BX3" s="4"/>
      <c r="BY3" s="4"/>
      <c r="BZ3" s="4"/>
      <c r="CA3" s="4"/>
      <c r="CB3" s="4"/>
    </row>
    <row r="4" spans="2:80" ht="15.75" x14ac:dyDescent="0.25">
      <c r="B4" s="4"/>
      <c r="D4" s="54" t="s">
        <v>396</v>
      </c>
      <c r="E4" s="55"/>
      <c r="F4" s="55"/>
      <c r="H4" s="4"/>
      <c r="K4" s="4"/>
      <c r="M4" s="54" t="s">
        <v>397</v>
      </c>
      <c r="N4" s="55"/>
      <c r="O4" s="55"/>
      <c r="Q4" s="4"/>
      <c r="T4" s="4"/>
      <c r="V4" s="54" t="s">
        <v>398</v>
      </c>
      <c r="W4" s="55"/>
      <c r="X4" s="55"/>
      <c r="Z4" s="4"/>
      <c r="AC4" s="4"/>
      <c r="AE4" s="54" t="s">
        <v>399</v>
      </c>
      <c r="AF4" s="55"/>
      <c r="AG4" s="55"/>
      <c r="AI4" s="4"/>
      <c r="AL4" s="4"/>
      <c r="AN4" s="54" t="s">
        <v>400</v>
      </c>
      <c r="AO4" s="55"/>
      <c r="AP4" s="55"/>
      <c r="AR4" s="4"/>
      <c r="AU4" s="4"/>
      <c r="AW4" s="54" t="s">
        <v>401</v>
      </c>
      <c r="AX4" s="55"/>
      <c r="AY4" s="55"/>
      <c r="BA4" s="4"/>
      <c r="BD4" s="4"/>
      <c r="BF4" s="54" t="s">
        <v>402</v>
      </c>
      <c r="BG4" s="55"/>
      <c r="BH4" s="55"/>
      <c r="BJ4" s="4"/>
      <c r="BM4" s="4"/>
      <c r="BO4" s="54" t="s">
        <v>403</v>
      </c>
      <c r="BP4" s="55"/>
      <c r="BQ4" s="55"/>
      <c r="BS4" s="4"/>
      <c r="BV4" s="4"/>
      <c r="BX4" s="54" t="s">
        <v>404</v>
      </c>
      <c r="BY4" s="55"/>
      <c r="BZ4" s="55"/>
      <c r="CB4" s="4"/>
    </row>
    <row r="5" spans="2:80" x14ac:dyDescent="0.25">
      <c r="B5" s="4"/>
      <c r="D5" s="3" t="s">
        <v>340</v>
      </c>
      <c r="H5" s="4"/>
      <c r="K5" s="4"/>
      <c r="M5" s="3" t="s">
        <v>341</v>
      </c>
      <c r="Q5" s="4"/>
      <c r="T5" s="4"/>
      <c r="V5" s="3" t="s">
        <v>342</v>
      </c>
      <c r="Z5" s="4"/>
      <c r="AC5" s="4"/>
      <c r="AE5" s="3" t="s">
        <v>343</v>
      </c>
      <c r="AI5" s="4"/>
      <c r="AL5" s="4"/>
      <c r="AN5" s="3" t="s">
        <v>414</v>
      </c>
      <c r="AR5" s="4"/>
      <c r="AU5" s="4"/>
      <c r="AW5" s="3" t="s">
        <v>415</v>
      </c>
      <c r="BA5" s="4"/>
      <c r="BD5" s="4"/>
      <c r="BF5" s="3" t="s">
        <v>416</v>
      </c>
      <c r="BJ5" s="4"/>
      <c r="BM5" s="4"/>
      <c r="BO5" s="3" t="s">
        <v>417</v>
      </c>
      <c r="BS5" s="4"/>
      <c r="BV5" s="4"/>
      <c r="BX5" s="3" t="s">
        <v>418</v>
      </c>
      <c r="CB5" s="4"/>
    </row>
    <row r="6" spans="2:80" x14ac:dyDescent="0.25">
      <c r="B6" s="4"/>
      <c r="D6" s="3" t="s">
        <v>364</v>
      </c>
      <c r="H6" s="4"/>
      <c r="K6" s="4"/>
      <c r="M6" s="3" t="s">
        <v>364</v>
      </c>
      <c r="Q6" s="4"/>
      <c r="T6" s="4"/>
      <c r="V6" s="3" t="s">
        <v>364</v>
      </c>
      <c r="Z6" s="4"/>
      <c r="AC6" s="4"/>
      <c r="AE6" s="3" t="s">
        <v>364</v>
      </c>
      <c r="AI6" s="4"/>
      <c r="AL6" s="4"/>
      <c r="AN6" s="3" t="s">
        <v>364</v>
      </c>
      <c r="AR6" s="4"/>
      <c r="AU6" s="4"/>
      <c r="AW6" s="3" t="s">
        <v>364</v>
      </c>
      <c r="BA6" s="4"/>
      <c r="BD6" s="4"/>
      <c r="BF6" s="3" t="s">
        <v>364</v>
      </c>
      <c r="BJ6" s="4"/>
      <c r="BM6" s="4"/>
      <c r="BO6" s="3" t="s">
        <v>364</v>
      </c>
      <c r="BS6" s="4"/>
      <c r="BV6" s="4"/>
      <c r="BX6" s="3" t="s">
        <v>364</v>
      </c>
      <c r="CB6" s="4"/>
    </row>
    <row r="7" spans="2:80" x14ac:dyDescent="0.25">
      <c r="B7" s="4"/>
      <c r="D7" s="6"/>
      <c r="E7" s="10" t="s">
        <v>345</v>
      </c>
      <c r="F7" s="10" t="s">
        <v>346</v>
      </c>
      <c r="H7" s="4"/>
      <c r="K7" s="4"/>
      <c r="M7" s="6"/>
      <c r="N7" s="10" t="s">
        <v>345</v>
      </c>
      <c r="O7" s="10" t="s">
        <v>346</v>
      </c>
      <c r="Q7" s="4"/>
      <c r="T7" s="4"/>
      <c r="V7" s="6"/>
      <c r="W7" s="10" t="s">
        <v>345</v>
      </c>
      <c r="X7" s="10" t="s">
        <v>346</v>
      </c>
      <c r="Z7" s="4"/>
      <c r="AC7" s="4"/>
      <c r="AE7" s="6"/>
      <c r="AF7" s="10" t="s">
        <v>345</v>
      </c>
      <c r="AG7" s="10" t="s">
        <v>346</v>
      </c>
      <c r="AI7" s="4"/>
      <c r="AL7" s="4"/>
      <c r="AN7" s="6"/>
      <c r="AO7" s="10" t="s">
        <v>345</v>
      </c>
      <c r="AP7" s="10" t="s">
        <v>346</v>
      </c>
      <c r="AR7" s="4"/>
      <c r="AU7" s="4"/>
      <c r="AW7" s="6"/>
      <c r="AX7" s="10" t="s">
        <v>345</v>
      </c>
      <c r="AY7" s="10" t="s">
        <v>346</v>
      </c>
      <c r="BA7" s="4"/>
      <c r="BD7" s="4"/>
      <c r="BF7" s="6"/>
      <c r="BG7" s="10" t="s">
        <v>345</v>
      </c>
      <c r="BH7" s="10" t="s">
        <v>346</v>
      </c>
      <c r="BJ7" s="4"/>
      <c r="BM7" s="4"/>
      <c r="BO7" s="6"/>
      <c r="BP7" s="10" t="s">
        <v>345</v>
      </c>
      <c r="BQ7" s="10" t="s">
        <v>346</v>
      </c>
      <c r="BS7" s="4"/>
      <c r="BV7" s="4"/>
      <c r="BX7" s="6"/>
      <c r="BY7" s="10" t="s">
        <v>345</v>
      </c>
      <c r="BZ7" s="10" t="s">
        <v>346</v>
      </c>
      <c r="CB7" s="4"/>
    </row>
    <row r="8" spans="2:80" x14ac:dyDescent="0.25">
      <c r="B8" s="4"/>
      <c r="D8" s="17" t="str">
        <f>('Satisfacción de los comités d'!A300)</f>
        <v>Totalmente en desacuerdo</v>
      </c>
      <c r="E8" s="9">
        <f>('Satisfacción de los comités d'!B300)</f>
        <v>3</v>
      </c>
      <c r="F8" s="13">
        <f>('Satisfacción de los comités d'!B306)</f>
        <v>1.0380622837370242E-2</v>
      </c>
      <c r="H8" s="4"/>
      <c r="K8" s="4"/>
      <c r="M8" s="17" t="str">
        <f>('Satisfacción de los comités d'!A300)</f>
        <v>Totalmente en desacuerdo</v>
      </c>
      <c r="N8" s="9">
        <f>('Satisfacción de los comités d'!C300)</f>
        <v>4</v>
      </c>
      <c r="O8" s="13">
        <f>('Satisfacción de los comités d'!C306)</f>
        <v>1.384083044982699E-2</v>
      </c>
      <c r="Q8" s="4"/>
      <c r="T8" s="4"/>
      <c r="V8" s="17" t="str">
        <f>('Satisfacción de los comités d'!A300)</f>
        <v>Totalmente en desacuerdo</v>
      </c>
      <c r="W8" s="9">
        <f>('Satisfacción de los comités d'!D300)</f>
        <v>2</v>
      </c>
      <c r="X8" s="13">
        <f>('Satisfacción de los comités d'!D306)</f>
        <v>6.920415224913495E-3</v>
      </c>
      <c r="Z8" s="4"/>
      <c r="AC8" s="4"/>
      <c r="AE8" s="17" t="str">
        <f>('Satisfacción de los comités d'!A300)</f>
        <v>Totalmente en desacuerdo</v>
      </c>
      <c r="AF8" s="9">
        <f>('Satisfacción de los comités d'!E300)</f>
        <v>5</v>
      </c>
      <c r="AG8" s="13">
        <f>('Satisfacción de los comités d'!E306)</f>
        <v>1.7301038062283738E-2</v>
      </c>
      <c r="AI8" s="4"/>
      <c r="AL8" s="4"/>
      <c r="AN8" s="17" t="str">
        <f>('Satisfacción de los comités d'!A300)</f>
        <v>Totalmente en desacuerdo</v>
      </c>
      <c r="AO8" s="9">
        <f>('Satisfacción de los comités d'!F300)</f>
        <v>2</v>
      </c>
      <c r="AP8" s="13">
        <f>('Satisfacción de los comités d'!F306)</f>
        <v>6.920415224913495E-3</v>
      </c>
      <c r="AR8" s="4"/>
      <c r="AU8" s="4"/>
      <c r="AW8" s="17" t="str">
        <f>('Satisfacción de los comités d'!A300)</f>
        <v>Totalmente en desacuerdo</v>
      </c>
      <c r="AX8" s="9">
        <f>('Satisfacción de los comités d'!G300)</f>
        <v>6</v>
      </c>
      <c r="AY8" s="13">
        <f>('Satisfacción de los comités d'!G306)</f>
        <v>2.0761245674740483E-2</v>
      </c>
      <c r="BA8" s="4"/>
      <c r="BD8" s="4"/>
      <c r="BF8" s="17" t="str">
        <f>('Satisfacción de los comités d'!A300)</f>
        <v>Totalmente en desacuerdo</v>
      </c>
      <c r="BG8" s="9">
        <f>('Satisfacción de los comités d'!H300)</f>
        <v>3</v>
      </c>
      <c r="BH8" s="13">
        <f>('Satisfacción de los comités d'!H306)</f>
        <v>1.0380622837370242E-2</v>
      </c>
      <c r="BJ8" s="4"/>
      <c r="BM8" s="4"/>
      <c r="BO8" s="17" t="str">
        <f>('Satisfacción de los comités d'!A300)</f>
        <v>Totalmente en desacuerdo</v>
      </c>
      <c r="BP8" s="9">
        <f>('Satisfacción de los comités d'!I300)</f>
        <v>4</v>
      </c>
      <c r="BQ8" s="13">
        <f>('Satisfacción de los comités d'!I306)</f>
        <v>1.384083044982699E-2</v>
      </c>
      <c r="BS8" s="4"/>
      <c r="BV8" s="4"/>
      <c r="BX8" s="17" t="str">
        <f>('Satisfacción de los comités d'!A300)</f>
        <v>Totalmente en desacuerdo</v>
      </c>
      <c r="BY8" s="9">
        <f>('Satisfacción de los comités d'!J300)</f>
        <v>5</v>
      </c>
      <c r="BZ8" s="13">
        <f>('Satisfacción de los comités d'!J306)</f>
        <v>1.7301038062283738E-2</v>
      </c>
      <c r="CB8" s="4"/>
    </row>
    <row r="9" spans="2:80" x14ac:dyDescent="0.25">
      <c r="B9" s="4"/>
      <c r="D9" s="17" t="str">
        <f>('Satisfacción de los comités d'!A301)</f>
        <v>En desacuerdo</v>
      </c>
      <c r="E9" s="9">
        <f>('Satisfacción de los comités d'!B301)</f>
        <v>72</v>
      </c>
      <c r="F9" s="13">
        <f>('Satisfacción de los comités d'!B307)</f>
        <v>0.2491349480968858</v>
      </c>
      <c r="H9" s="4"/>
      <c r="K9" s="4"/>
      <c r="M9" s="17" t="str">
        <f>('Satisfacción de los comités d'!A301)</f>
        <v>En desacuerdo</v>
      </c>
      <c r="N9" s="9">
        <f>('Satisfacción de los comités d'!C301)</f>
        <v>68</v>
      </c>
      <c r="O9" s="13">
        <f>('Satisfacción de los comités d'!C307)</f>
        <v>0.23529411764705882</v>
      </c>
      <c r="Q9" s="4"/>
      <c r="T9" s="4"/>
      <c r="V9" s="17" t="str">
        <f>('Satisfacción de los comités d'!A301)</f>
        <v>En desacuerdo</v>
      </c>
      <c r="W9" s="9">
        <f>('Satisfacción de los comités d'!D301)</f>
        <v>33</v>
      </c>
      <c r="X9" s="13">
        <f>('Satisfacción de los comités d'!D307)</f>
        <v>0.11418685121107267</v>
      </c>
      <c r="Z9" s="4"/>
      <c r="AC9" s="4"/>
      <c r="AE9" s="17" t="str">
        <f>('Satisfacción de los comités d'!A301)</f>
        <v>En desacuerdo</v>
      </c>
      <c r="AF9" s="9">
        <f>('Satisfacción de los comités d'!E301)</f>
        <v>55</v>
      </c>
      <c r="AG9" s="13">
        <f>('Satisfacción de los comités d'!E307)</f>
        <v>0.19031141868512111</v>
      </c>
      <c r="AI9" s="4"/>
      <c r="AL9" s="4"/>
      <c r="AN9" s="17" t="str">
        <f>('Satisfacción de los comités d'!A301)</f>
        <v>En desacuerdo</v>
      </c>
      <c r="AO9" s="9">
        <f>('Satisfacción de los comités d'!F301)</f>
        <v>35</v>
      </c>
      <c r="AP9" s="13">
        <f>('Satisfacción de los comités d'!F307)</f>
        <v>0.12110726643598616</v>
      </c>
      <c r="AR9" s="4"/>
      <c r="AU9" s="4"/>
      <c r="AW9" s="17" t="str">
        <f>('Satisfacción de los comités d'!A301)</f>
        <v>En desacuerdo</v>
      </c>
      <c r="AX9" s="9">
        <f>('Satisfacción de los comités d'!G301)</f>
        <v>93</v>
      </c>
      <c r="AY9" s="13">
        <f>('Satisfacción de los comités d'!G307)</f>
        <v>0.3217993079584775</v>
      </c>
      <c r="BA9" s="4"/>
      <c r="BD9" s="4"/>
      <c r="BF9" s="17" t="str">
        <f>('Satisfacción de los comités d'!A301)</f>
        <v>En desacuerdo</v>
      </c>
      <c r="BG9" s="9">
        <f>('Satisfacción de los comités d'!H301)</f>
        <v>71</v>
      </c>
      <c r="BH9" s="13">
        <f>('Satisfacción de los comités d'!H307)</f>
        <v>0.24567474048442905</v>
      </c>
      <c r="BJ9" s="4"/>
      <c r="BM9" s="4"/>
      <c r="BO9" s="17" t="str">
        <f>('Satisfacción de los comités d'!A301)</f>
        <v>En desacuerdo</v>
      </c>
      <c r="BP9" s="9">
        <f>('Satisfacción de los comités d'!I301)</f>
        <v>83</v>
      </c>
      <c r="BQ9" s="13">
        <f>('Satisfacción de los comités d'!I307)</f>
        <v>0.28719723183391005</v>
      </c>
      <c r="BS9" s="4"/>
      <c r="BV9" s="4"/>
      <c r="BX9" s="17" t="str">
        <f>('Satisfacción de los comités d'!A301)</f>
        <v>En desacuerdo</v>
      </c>
      <c r="BY9" s="9">
        <f>('Satisfacción de los comités d'!J301)</f>
        <v>74</v>
      </c>
      <c r="BZ9" s="13">
        <f>('Satisfacción de los comités d'!J307)</f>
        <v>0.25605536332179929</v>
      </c>
      <c r="CB9" s="4"/>
    </row>
    <row r="10" spans="2:80" x14ac:dyDescent="0.25">
      <c r="B10" s="4"/>
      <c r="D10" s="17" t="str">
        <f>('Satisfacción de los comités d'!A302)</f>
        <v>Ni de acuerdo ni en desacuerdo</v>
      </c>
      <c r="E10" s="9">
        <f>('Satisfacción de los comités d'!B302)</f>
        <v>152</v>
      </c>
      <c r="F10" s="13">
        <f>('Satisfacción de los comités d'!B308)</f>
        <v>0.52595155709342556</v>
      </c>
      <c r="H10" s="4"/>
      <c r="K10" s="4"/>
      <c r="M10" s="17" t="str">
        <f>('Satisfacción de los comités d'!A302)</f>
        <v>Ni de acuerdo ni en desacuerdo</v>
      </c>
      <c r="N10" s="9">
        <f>('Satisfacción de los comités d'!C302)</f>
        <v>149</v>
      </c>
      <c r="O10" s="13">
        <f>('Satisfacción de los comités d'!C308)</f>
        <v>0.51557093425605538</v>
      </c>
      <c r="Q10" s="4"/>
      <c r="T10" s="4"/>
      <c r="V10" s="17" t="str">
        <f>('Satisfacción de los comités d'!A302)</f>
        <v>Ni de acuerdo ni en desacuerdo</v>
      </c>
      <c r="W10" s="9">
        <f>('Satisfacción de los comités d'!D302)</f>
        <v>154</v>
      </c>
      <c r="X10" s="13">
        <f>('Satisfacción de los comités d'!D308)</f>
        <v>0.53287197231833905</v>
      </c>
      <c r="Z10" s="4"/>
      <c r="AC10" s="4"/>
      <c r="AE10" s="17" t="str">
        <f>('Satisfacción de los comités d'!A302)</f>
        <v>Ni de acuerdo ni en desacuerdo</v>
      </c>
      <c r="AF10" s="9">
        <f>('Satisfacción de los comités d'!E302)</f>
        <v>155</v>
      </c>
      <c r="AG10" s="13">
        <f>('Satisfacción de los comités d'!E308)</f>
        <v>0.53633217993079585</v>
      </c>
      <c r="AI10" s="4"/>
      <c r="AL10" s="4"/>
      <c r="AN10" s="17" t="str">
        <f>('Satisfacción de los comités d'!A302)</f>
        <v>Ni de acuerdo ni en desacuerdo</v>
      </c>
      <c r="AO10" s="9">
        <f>('Satisfacción de los comités d'!F302)</f>
        <v>163</v>
      </c>
      <c r="AP10" s="13">
        <f>('Satisfacción de los comités d'!F308)</f>
        <v>0.56401384083044981</v>
      </c>
      <c r="AR10" s="4"/>
      <c r="AU10" s="4"/>
      <c r="AW10" s="17" t="str">
        <f>('Satisfacción de los comités d'!A302)</f>
        <v>Ni de acuerdo ni en desacuerdo</v>
      </c>
      <c r="AX10" s="9">
        <f>('Satisfacción de los comités d'!G302)</f>
        <v>157</v>
      </c>
      <c r="AY10" s="13">
        <f>('Satisfacción de los comités d'!G308)</f>
        <v>0.54325259515570934</v>
      </c>
      <c r="BA10" s="4"/>
      <c r="BD10" s="4"/>
      <c r="BF10" s="17" t="str">
        <f>('Satisfacción de los comités d'!A302)</f>
        <v>Ni de acuerdo ni en desacuerdo</v>
      </c>
      <c r="BG10" s="9">
        <f>('Satisfacción de los comités d'!H302)</f>
        <v>144</v>
      </c>
      <c r="BH10" s="13">
        <f>('Satisfacción de los comités d'!H308)</f>
        <v>0.4982698961937716</v>
      </c>
      <c r="BJ10" s="4"/>
      <c r="BM10" s="4"/>
      <c r="BO10" s="17" t="str">
        <f>('Satisfacción de los comités d'!A302)</f>
        <v>Ni de acuerdo ni en desacuerdo</v>
      </c>
      <c r="BP10" s="9">
        <f>('Satisfacción de los comités d'!I302)</f>
        <v>143</v>
      </c>
      <c r="BQ10" s="13">
        <f>('Satisfacción de los comités d'!I308)</f>
        <v>0.49480968858131485</v>
      </c>
      <c r="BS10" s="4"/>
      <c r="BV10" s="4"/>
      <c r="BX10" s="17" t="str">
        <f>('Satisfacción de los comités d'!A302)</f>
        <v>Ni de acuerdo ni en desacuerdo</v>
      </c>
      <c r="BY10" s="9">
        <f>('Satisfacción de los comités d'!J302)</f>
        <v>147</v>
      </c>
      <c r="BZ10" s="13">
        <f>('Satisfacción de los comités d'!J308)</f>
        <v>0.50865051903114189</v>
      </c>
      <c r="CB10" s="4"/>
    </row>
    <row r="11" spans="2:80" x14ac:dyDescent="0.25">
      <c r="B11" s="4"/>
      <c r="D11" s="17" t="str">
        <f>('Satisfacción de los comités d'!A303)</f>
        <v>De acuerdo</v>
      </c>
      <c r="E11" s="9">
        <f>('Satisfacción de los comités d'!B303)</f>
        <v>58</v>
      </c>
      <c r="F11" s="13">
        <f>('Satisfacción de los comités d'!B309)</f>
        <v>0.20069204152249134</v>
      </c>
      <c r="H11" s="4"/>
      <c r="K11" s="4"/>
      <c r="M11" s="17" t="str">
        <f>('Satisfacción de los comités d'!A303)</f>
        <v>De acuerdo</v>
      </c>
      <c r="N11" s="9">
        <f>('Satisfacción de los comités d'!C303)</f>
        <v>61</v>
      </c>
      <c r="O11" s="13">
        <f>('Satisfacción de los comités d'!C309)</f>
        <v>0.21107266435986158</v>
      </c>
      <c r="Q11" s="4"/>
      <c r="T11" s="4"/>
      <c r="V11" s="17" t="str">
        <f>('Satisfacción de los comités d'!A303)</f>
        <v>De acuerdo</v>
      </c>
      <c r="W11" s="9">
        <f>('Satisfacción de los comités d'!D303)</f>
        <v>92</v>
      </c>
      <c r="X11" s="13">
        <f>('Satisfacción de los comités d'!D309)</f>
        <v>0.31833910034602075</v>
      </c>
      <c r="Z11" s="4"/>
      <c r="AC11" s="4"/>
      <c r="AE11" s="17" t="str">
        <f>('Satisfacción de los comités d'!A303)</f>
        <v>De acuerdo</v>
      </c>
      <c r="AF11" s="9">
        <f>('Satisfacción de los comités d'!E303)</f>
        <v>67</v>
      </c>
      <c r="AG11" s="13">
        <f>('Satisfacción de los comités d'!E309)</f>
        <v>0.23183391003460208</v>
      </c>
      <c r="AI11" s="4"/>
      <c r="AL11" s="4"/>
      <c r="AN11" s="17" t="str">
        <f>('Satisfacción de los comités d'!A303)</f>
        <v>De acuerdo</v>
      </c>
      <c r="AO11" s="9">
        <f>('Satisfacción de los comités d'!F303)</f>
        <v>79</v>
      </c>
      <c r="AP11" s="13">
        <f>('Satisfacción de los comités d'!F309)</f>
        <v>0.27335640138408307</v>
      </c>
      <c r="AR11" s="4"/>
      <c r="AU11" s="4"/>
      <c r="AW11" s="17" t="str">
        <f>('Satisfacción de los comités d'!A303)</f>
        <v>De acuerdo</v>
      </c>
      <c r="AX11" s="9">
        <f>('Satisfacción de los comités d'!G303)</f>
        <v>31</v>
      </c>
      <c r="AY11" s="13">
        <f>('Satisfacción de los comités d'!G309)</f>
        <v>0.10726643598615918</v>
      </c>
      <c r="BA11" s="4"/>
      <c r="BD11" s="4"/>
      <c r="BF11" s="17" t="str">
        <f>('Satisfacción de los comités d'!A303)</f>
        <v>De acuerdo</v>
      </c>
      <c r="BG11" s="9">
        <f>('Satisfacción de los comités d'!H303)</f>
        <v>63</v>
      </c>
      <c r="BH11" s="13">
        <f>('Satisfacción de los comités d'!H309)</f>
        <v>0.2179930795847751</v>
      </c>
      <c r="BJ11" s="4"/>
      <c r="BM11" s="4"/>
      <c r="BO11" s="17" t="str">
        <f>('Satisfacción de los comités d'!A303)</f>
        <v>De acuerdo</v>
      </c>
      <c r="BP11" s="9">
        <f>('Satisfacción de los comités d'!I303)</f>
        <v>55</v>
      </c>
      <c r="BQ11" s="13">
        <f>('Satisfacción de los comités d'!I309)</f>
        <v>0.19031141868512111</v>
      </c>
      <c r="BS11" s="4"/>
      <c r="BV11" s="4"/>
      <c r="BX11" s="17" t="str">
        <f>('Satisfacción de los comités d'!A303)</f>
        <v>De acuerdo</v>
      </c>
      <c r="BY11" s="9">
        <f>('Satisfacción de los comités d'!J303)</f>
        <v>56</v>
      </c>
      <c r="BZ11" s="13">
        <f>('Satisfacción de los comités d'!J309)</f>
        <v>0.19377162629757785</v>
      </c>
      <c r="CB11" s="4"/>
    </row>
    <row r="12" spans="2:80" x14ac:dyDescent="0.25">
      <c r="B12" s="4"/>
      <c r="D12" s="17" t="str">
        <f>('Satisfacción de los comités d'!A304)</f>
        <v>Totalmente de acuerdo</v>
      </c>
      <c r="E12" s="9">
        <f>('Satisfacción de los comités d'!B304)</f>
        <v>4</v>
      </c>
      <c r="F12" s="13">
        <f>('Satisfacción de los comités d'!B310)</f>
        <v>1.384083044982699E-2</v>
      </c>
      <c r="H12" s="4"/>
      <c r="K12" s="4"/>
      <c r="M12" s="17" t="str">
        <f>('Satisfacción de los comités d'!A304)</f>
        <v>Totalmente de acuerdo</v>
      </c>
      <c r="N12" s="9">
        <f>('Satisfacción de los comités d'!C304)</f>
        <v>7</v>
      </c>
      <c r="O12" s="13">
        <f>('Satisfacción de los comités d'!C310)</f>
        <v>2.4221453287197232E-2</v>
      </c>
      <c r="Q12" s="4"/>
      <c r="T12" s="4"/>
      <c r="V12" s="17" t="str">
        <f>('Satisfacción de los comités d'!A304)</f>
        <v>Totalmente de acuerdo</v>
      </c>
      <c r="W12" s="9">
        <f>('Satisfacción de los comités d'!D304)</f>
        <v>8</v>
      </c>
      <c r="X12" s="13">
        <f>('Satisfacción de los comités d'!D310)</f>
        <v>2.768166089965398E-2</v>
      </c>
      <c r="Z12" s="4"/>
      <c r="AC12" s="4"/>
      <c r="AE12" s="17" t="str">
        <f>('Satisfacción de los comités d'!A304)</f>
        <v>Totalmente de acuerdo</v>
      </c>
      <c r="AF12" s="9">
        <f>('Satisfacción de los comités d'!E304)</f>
        <v>7</v>
      </c>
      <c r="AG12" s="13">
        <f>('Satisfacción de los comités d'!E310)</f>
        <v>2.4221453287197232E-2</v>
      </c>
      <c r="AI12" s="4"/>
      <c r="AL12" s="4"/>
      <c r="AN12" s="17" t="str">
        <f>('Satisfacción de los comités d'!A304)</f>
        <v>Totalmente de acuerdo</v>
      </c>
      <c r="AO12" s="9">
        <f>('Satisfacción de los comités d'!F304)</f>
        <v>10</v>
      </c>
      <c r="AP12" s="13">
        <f>('Satisfacción de los comités d'!F310)</f>
        <v>3.4602076124567477E-2</v>
      </c>
      <c r="AR12" s="4"/>
      <c r="AU12" s="4"/>
      <c r="AW12" s="17" t="str">
        <f>('Satisfacción de los comités d'!A304)</f>
        <v>Totalmente de acuerdo</v>
      </c>
      <c r="AX12" s="9">
        <f>('Satisfacción de los comités d'!G304)</f>
        <v>2</v>
      </c>
      <c r="AY12" s="13">
        <f>('Satisfacción de los comités d'!G310)</f>
        <v>6.920415224913495E-3</v>
      </c>
      <c r="BA12" s="4"/>
      <c r="BD12" s="4"/>
      <c r="BF12" s="17" t="str">
        <f>('Satisfacción de los comités d'!A304)</f>
        <v>Totalmente de acuerdo</v>
      </c>
      <c r="BG12" s="9">
        <f>('Satisfacción de los comités d'!H304)</f>
        <v>8</v>
      </c>
      <c r="BH12" s="13">
        <f>('Satisfacción de los comités d'!H310)</f>
        <v>2.768166089965398E-2</v>
      </c>
      <c r="BJ12" s="4"/>
      <c r="BM12" s="4"/>
      <c r="BO12" s="17" t="str">
        <f>('Satisfacción de los comités d'!A304)</f>
        <v>Totalmente de acuerdo</v>
      </c>
      <c r="BP12" s="9">
        <f>('Satisfacción de los comités d'!I304)</f>
        <v>4</v>
      </c>
      <c r="BQ12" s="13">
        <f>('Satisfacción de los comités d'!I310)</f>
        <v>1.384083044982699E-2</v>
      </c>
      <c r="BS12" s="4"/>
      <c r="BV12" s="4"/>
      <c r="BX12" s="17" t="str">
        <f>('Satisfacción de los comités d'!A304)</f>
        <v>Totalmente de acuerdo</v>
      </c>
      <c r="BY12" s="9">
        <f>('Satisfacción de los comités d'!J304)</f>
        <v>7</v>
      </c>
      <c r="BZ12" s="13">
        <f>('Satisfacción de los comités d'!J310)</f>
        <v>2.4221453287197232E-2</v>
      </c>
      <c r="CB12" s="4"/>
    </row>
    <row r="13" spans="2:80" x14ac:dyDescent="0.25">
      <c r="B13" s="4"/>
      <c r="D13" s="20" t="str">
        <f>('Satisfacción de los comités d'!A305)</f>
        <v>Total</v>
      </c>
      <c r="E13" s="10">
        <f>('Satisfacción de los comités d'!B305)</f>
        <v>289</v>
      </c>
      <c r="F13" s="14">
        <f>('Satisfacción de los comités d'!B311)</f>
        <v>0.99999999999999989</v>
      </c>
      <c r="H13" s="4"/>
      <c r="K13" s="4"/>
      <c r="M13" s="20" t="str">
        <f>('Satisfacción de los comités d'!A305)</f>
        <v>Total</v>
      </c>
      <c r="N13" s="10">
        <f>('Satisfacción de los comités d'!C305)</f>
        <v>289</v>
      </c>
      <c r="O13" s="14">
        <f>('Satisfacción de los comités d'!C311)</f>
        <v>1</v>
      </c>
      <c r="Q13" s="4"/>
      <c r="T13" s="4"/>
      <c r="V13" s="20" t="str">
        <f>('Satisfacción de los comités d'!A305)</f>
        <v>Total</v>
      </c>
      <c r="W13" s="10">
        <f>('Satisfacción de los comités d'!D305)</f>
        <v>289</v>
      </c>
      <c r="X13" s="14">
        <f>('Satisfacción de los comités d'!D311)</f>
        <v>0.99999999999999989</v>
      </c>
      <c r="Z13" s="4"/>
      <c r="AC13" s="4"/>
      <c r="AE13" s="20" t="str">
        <f>('Satisfacción de los comités d'!A305)</f>
        <v>Total</v>
      </c>
      <c r="AF13" s="10">
        <f>('Satisfacción de los comités d'!E305)</f>
        <v>289</v>
      </c>
      <c r="AG13" s="14">
        <f>('Satisfacción de los comités d'!E311)</f>
        <v>1</v>
      </c>
      <c r="AI13" s="4"/>
      <c r="AL13" s="4"/>
      <c r="AN13" s="20" t="str">
        <f>('Satisfacción de los comités d'!A305)</f>
        <v>Total</v>
      </c>
      <c r="AO13" s="10">
        <f>('Satisfacción de los comités d'!F305)</f>
        <v>289</v>
      </c>
      <c r="AP13" s="14">
        <f>('Satisfacción de los comités d'!F311)</f>
        <v>0.99999999999999989</v>
      </c>
      <c r="AR13" s="4"/>
      <c r="AU13" s="4"/>
      <c r="AW13" s="20" t="str">
        <f>('Satisfacción de los comités d'!A305)</f>
        <v>Total</v>
      </c>
      <c r="AX13" s="10">
        <f>('Satisfacción de los comités d'!G305)</f>
        <v>289</v>
      </c>
      <c r="AY13" s="14">
        <f>('Satisfacción de los comités d'!G311)</f>
        <v>1</v>
      </c>
      <c r="BA13" s="4"/>
      <c r="BD13" s="4"/>
      <c r="BF13" s="20" t="str">
        <f>('Satisfacción de los comités d'!A305)</f>
        <v>Total</v>
      </c>
      <c r="BG13" s="10">
        <f>('Satisfacción de los comités d'!H305)</f>
        <v>289</v>
      </c>
      <c r="BH13" s="14">
        <f>('Satisfacción de los comités d'!H311)</f>
        <v>1</v>
      </c>
      <c r="BJ13" s="4"/>
      <c r="BM13" s="4"/>
      <c r="BO13" s="20" t="str">
        <f>('Satisfacción de los comités d'!A305)</f>
        <v>Total</v>
      </c>
      <c r="BP13" s="10">
        <f>('Satisfacción de los comités d'!I305)</f>
        <v>289</v>
      </c>
      <c r="BQ13" s="14">
        <f>('Satisfacción de los comités d'!I311)</f>
        <v>1</v>
      </c>
      <c r="BS13" s="4"/>
      <c r="BV13" s="4"/>
      <c r="BX13" s="20" t="str">
        <f>('Satisfacción de los comités d'!A305)</f>
        <v>Total</v>
      </c>
      <c r="BY13" s="10">
        <f>('Satisfacción de los comités d'!J305)</f>
        <v>289</v>
      </c>
      <c r="BZ13" s="14">
        <f>('Satisfacción de los comités d'!J311)</f>
        <v>1</v>
      </c>
      <c r="CB13" s="4"/>
    </row>
    <row r="14" spans="2:80" x14ac:dyDescent="0.25">
      <c r="B14" s="4"/>
      <c r="D14" s="3" t="s">
        <v>353</v>
      </c>
      <c r="H14" s="4"/>
      <c r="K14" s="4"/>
      <c r="M14" s="3" t="s">
        <v>353</v>
      </c>
      <c r="Q14" s="4"/>
      <c r="T14" s="4"/>
      <c r="V14" s="3" t="s">
        <v>353</v>
      </c>
      <c r="Z14" s="4"/>
      <c r="AC14" s="4"/>
      <c r="AE14" s="3" t="s">
        <v>353</v>
      </c>
      <c r="AI14" s="4"/>
      <c r="AL14" s="4"/>
      <c r="AN14" s="3" t="s">
        <v>353</v>
      </c>
      <c r="AR14" s="4"/>
      <c r="AU14" s="4"/>
      <c r="AW14" s="3" t="s">
        <v>353</v>
      </c>
      <c r="BA14" s="4"/>
      <c r="BD14" s="4"/>
      <c r="BF14" s="3" t="s">
        <v>353</v>
      </c>
      <c r="BJ14" s="4"/>
      <c r="BM14" s="4"/>
      <c r="BO14" s="3" t="s">
        <v>353</v>
      </c>
      <c r="BS14" s="4"/>
      <c r="BV14" s="4"/>
      <c r="BX14" s="3" t="s">
        <v>353</v>
      </c>
      <c r="CB14" s="4"/>
    </row>
    <row r="15" spans="2:80" x14ac:dyDescent="0.25">
      <c r="B15" s="4"/>
      <c r="D15" s="3" t="s">
        <v>352</v>
      </c>
      <c r="H15" s="4"/>
      <c r="K15" s="4"/>
      <c r="M15" s="3" t="s">
        <v>352</v>
      </c>
      <c r="Q15" s="4"/>
      <c r="T15" s="4"/>
      <c r="V15" s="3" t="s">
        <v>352</v>
      </c>
      <c r="Z15" s="4"/>
      <c r="AC15" s="4"/>
      <c r="AE15" s="3" t="s">
        <v>352</v>
      </c>
      <c r="AI15" s="4"/>
      <c r="AL15" s="4"/>
      <c r="AN15" s="3" t="s">
        <v>352</v>
      </c>
      <c r="AR15" s="4"/>
      <c r="AU15" s="4"/>
      <c r="AW15" s="3" t="s">
        <v>352</v>
      </c>
      <c r="BA15" s="4"/>
      <c r="BD15" s="4"/>
      <c r="BF15" s="3" t="s">
        <v>352</v>
      </c>
      <c r="BJ15" s="4"/>
      <c r="BM15" s="4"/>
      <c r="BO15" s="3" t="s">
        <v>352</v>
      </c>
      <c r="BS15" s="4"/>
      <c r="BV15" s="4"/>
      <c r="BX15" s="3" t="s">
        <v>352</v>
      </c>
      <c r="CB15" s="4"/>
    </row>
    <row r="16" spans="2:80" x14ac:dyDescent="0.25">
      <c r="B16" s="4"/>
      <c r="H16" s="4"/>
      <c r="K16" s="4"/>
      <c r="Q16" s="4"/>
      <c r="T16" s="4"/>
      <c r="Z16" s="4"/>
      <c r="AC16" s="4"/>
      <c r="AI16" s="4"/>
      <c r="AL16" s="4"/>
      <c r="AR16" s="4"/>
      <c r="AU16" s="4"/>
      <c r="BA16" s="4"/>
      <c r="BD16" s="4"/>
      <c r="BJ16" s="4"/>
      <c r="BM16" s="4"/>
      <c r="BS16" s="4"/>
      <c r="BV16" s="4"/>
      <c r="CB16" s="4"/>
    </row>
    <row r="17" spans="2:80" x14ac:dyDescent="0.25">
      <c r="B17" s="4"/>
      <c r="H17" s="4"/>
      <c r="K17" s="4"/>
      <c r="Q17" s="4"/>
      <c r="T17" s="4"/>
      <c r="Z17" s="4"/>
      <c r="AC17" s="4"/>
      <c r="AI17" s="4"/>
      <c r="AL17" s="4"/>
      <c r="AR17" s="4"/>
      <c r="AU17" s="4"/>
      <c r="BA17" s="4"/>
      <c r="BD17" s="4"/>
      <c r="BJ17" s="4"/>
      <c r="BM17" s="4"/>
      <c r="BS17" s="4"/>
      <c r="BV17" s="4"/>
      <c r="CB17" s="4"/>
    </row>
    <row r="18" spans="2:80" x14ac:dyDescent="0.25">
      <c r="B18" s="4"/>
      <c r="H18" s="4"/>
      <c r="K18" s="4"/>
      <c r="Q18" s="4"/>
      <c r="T18" s="4"/>
      <c r="Z18" s="4"/>
      <c r="AC18" s="4"/>
      <c r="AI18" s="4"/>
      <c r="AL18" s="4"/>
      <c r="AR18" s="4"/>
      <c r="AU18" s="4"/>
      <c r="BA18" s="4"/>
      <c r="BD18" s="4"/>
      <c r="BJ18" s="4"/>
      <c r="BM18" s="4"/>
      <c r="BS18" s="4"/>
      <c r="BV18" s="4"/>
      <c r="CB18" s="4"/>
    </row>
    <row r="19" spans="2:80" x14ac:dyDescent="0.25">
      <c r="B19" s="4"/>
      <c r="H19" s="4"/>
      <c r="K19" s="4"/>
      <c r="Q19" s="4"/>
      <c r="T19" s="4"/>
      <c r="Z19" s="4"/>
      <c r="AC19" s="4"/>
      <c r="AI19" s="4"/>
      <c r="AL19" s="4"/>
      <c r="AR19" s="4"/>
      <c r="AU19" s="4"/>
      <c r="BA19" s="4"/>
      <c r="BD19" s="4"/>
      <c r="BJ19" s="4"/>
      <c r="BM19" s="4"/>
      <c r="BS19" s="4"/>
      <c r="BV19" s="4"/>
      <c r="CB19" s="4"/>
    </row>
    <row r="20" spans="2:80" x14ac:dyDescent="0.25">
      <c r="B20" s="4"/>
      <c r="H20" s="4"/>
      <c r="K20" s="4"/>
      <c r="Q20" s="4"/>
      <c r="T20" s="4"/>
      <c r="Z20" s="4"/>
      <c r="AC20" s="4"/>
      <c r="AI20" s="4"/>
      <c r="AL20" s="4"/>
      <c r="AR20" s="4"/>
      <c r="AU20" s="4"/>
      <c r="BA20" s="4"/>
      <c r="BD20" s="4"/>
      <c r="BJ20" s="4"/>
      <c r="BM20" s="4"/>
      <c r="BS20" s="4"/>
      <c r="BV20" s="4"/>
      <c r="CB20" s="4"/>
    </row>
    <row r="21" spans="2:80" x14ac:dyDescent="0.25">
      <c r="B21" s="4"/>
      <c r="H21" s="4"/>
      <c r="K21" s="4"/>
      <c r="Q21" s="4"/>
      <c r="T21" s="4"/>
      <c r="Z21" s="4"/>
      <c r="AC21" s="4"/>
      <c r="AI21" s="4"/>
      <c r="AL21" s="4"/>
      <c r="AR21" s="4"/>
      <c r="AU21" s="4"/>
      <c r="BA21" s="4"/>
      <c r="BD21" s="4"/>
      <c r="BJ21" s="4"/>
      <c r="BM21" s="4"/>
      <c r="BS21" s="4"/>
      <c r="BV21" s="4"/>
      <c r="CB21" s="4"/>
    </row>
    <row r="22" spans="2:80" x14ac:dyDescent="0.25">
      <c r="B22" s="4"/>
      <c r="H22" s="4"/>
      <c r="K22" s="4"/>
      <c r="Q22" s="4"/>
      <c r="T22" s="4"/>
      <c r="Z22" s="4"/>
      <c r="AC22" s="4"/>
      <c r="AI22" s="4"/>
      <c r="AL22" s="4"/>
      <c r="AR22" s="4"/>
      <c r="AU22" s="4"/>
      <c r="BA22" s="4"/>
      <c r="BD22" s="4"/>
      <c r="BJ22" s="4"/>
      <c r="BM22" s="4"/>
      <c r="BS22" s="4"/>
      <c r="BV22" s="4"/>
      <c r="CB22" s="4"/>
    </row>
    <row r="23" spans="2:80" x14ac:dyDescent="0.25">
      <c r="B23" s="4"/>
      <c r="H23" s="4"/>
      <c r="K23" s="4"/>
      <c r="Q23" s="4"/>
      <c r="T23" s="4"/>
      <c r="Z23" s="4"/>
      <c r="AC23" s="4"/>
      <c r="AI23" s="4"/>
      <c r="AL23" s="4"/>
      <c r="AR23" s="4"/>
      <c r="AU23" s="4"/>
      <c r="BA23" s="4"/>
      <c r="BD23" s="4"/>
      <c r="BJ23" s="4"/>
      <c r="BM23" s="4"/>
      <c r="BS23" s="4"/>
      <c r="BV23" s="4"/>
      <c r="CB23" s="4"/>
    </row>
    <row r="24" spans="2:80" x14ac:dyDescent="0.25">
      <c r="B24" s="4"/>
      <c r="H24" s="4"/>
      <c r="K24" s="4"/>
      <c r="Q24" s="4"/>
      <c r="T24" s="4"/>
      <c r="Z24" s="4"/>
      <c r="AC24" s="4"/>
      <c r="AI24" s="4"/>
      <c r="AL24" s="4"/>
      <c r="AR24" s="4"/>
      <c r="AU24" s="4"/>
      <c r="BA24" s="4"/>
      <c r="BD24" s="4"/>
      <c r="BJ24" s="4"/>
      <c r="BM24" s="4"/>
      <c r="BS24" s="4"/>
      <c r="BV24" s="4"/>
      <c r="CB24" s="4"/>
    </row>
    <row r="25" spans="2:80" x14ac:dyDescent="0.25">
      <c r="B25" s="4"/>
      <c r="H25" s="4"/>
      <c r="K25" s="4"/>
      <c r="Q25" s="4"/>
      <c r="T25" s="4"/>
      <c r="Z25" s="4"/>
      <c r="AC25" s="4"/>
      <c r="AI25" s="4"/>
      <c r="AL25" s="4"/>
      <c r="AR25" s="4"/>
      <c r="AU25" s="4"/>
      <c r="BA25" s="4"/>
      <c r="BD25" s="4"/>
      <c r="BJ25" s="4"/>
      <c r="BM25" s="4"/>
      <c r="BS25" s="4"/>
      <c r="BV25" s="4"/>
      <c r="CB25" s="4"/>
    </row>
    <row r="26" spans="2:80" x14ac:dyDescent="0.25">
      <c r="B26" s="4"/>
      <c r="H26" s="4"/>
      <c r="K26" s="4"/>
      <c r="Q26" s="4"/>
      <c r="T26" s="4"/>
      <c r="Z26" s="4"/>
      <c r="AC26" s="4"/>
      <c r="AI26" s="4"/>
      <c r="AL26" s="4"/>
      <c r="AR26" s="4"/>
      <c r="AU26" s="4"/>
      <c r="BA26" s="4"/>
      <c r="BD26" s="4"/>
      <c r="BJ26" s="4"/>
      <c r="BM26" s="4"/>
      <c r="BS26" s="4"/>
      <c r="BV26" s="4"/>
      <c r="CB26" s="4"/>
    </row>
    <row r="27" spans="2:80" x14ac:dyDescent="0.25">
      <c r="B27" s="4"/>
      <c r="H27" s="4"/>
      <c r="K27" s="4"/>
      <c r="Q27" s="4"/>
      <c r="T27" s="4"/>
      <c r="Z27" s="4"/>
      <c r="AC27" s="4"/>
      <c r="AI27" s="4"/>
      <c r="AL27" s="4"/>
      <c r="AR27" s="4"/>
      <c r="AU27" s="4"/>
      <c r="BA27" s="4"/>
      <c r="BD27" s="4"/>
      <c r="BJ27" s="4"/>
      <c r="BM27" s="4"/>
      <c r="BS27" s="4"/>
      <c r="BV27" s="4"/>
      <c r="CB27" s="4"/>
    </row>
    <row r="28" spans="2:80" x14ac:dyDescent="0.25">
      <c r="B28" s="4"/>
      <c r="H28" s="4"/>
      <c r="K28" s="4"/>
      <c r="Q28" s="4"/>
      <c r="T28" s="4"/>
      <c r="Z28" s="4"/>
      <c r="AC28" s="4"/>
      <c r="AI28" s="4"/>
      <c r="AL28" s="4"/>
      <c r="AR28" s="4"/>
      <c r="AU28" s="4"/>
      <c r="BA28" s="4"/>
      <c r="BD28" s="4"/>
      <c r="BJ28" s="4"/>
      <c r="BM28" s="4"/>
      <c r="BS28" s="4"/>
      <c r="BV28" s="4"/>
      <c r="CB28" s="4"/>
    </row>
    <row r="29" spans="2:80" x14ac:dyDescent="0.25">
      <c r="B29" s="4"/>
      <c r="H29" s="4"/>
      <c r="K29" s="4"/>
      <c r="Q29" s="4"/>
      <c r="T29" s="4"/>
      <c r="Z29" s="4"/>
      <c r="AC29" s="4"/>
      <c r="AI29" s="4"/>
      <c r="AL29" s="4"/>
      <c r="AR29" s="4"/>
      <c r="AU29" s="4"/>
      <c r="BA29" s="4"/>
      <c r="BD29" s="4"/>
      <c r="BJ29" s="4"/>
      <c r="BM29" s="4"/>
      <c r="BS29" s="4"/>
      <c r="BV29" s="4"/>
      <c r="CB29" s="4"/>
    </row>
    <row r="30" spans="2:80" x14ac:dyDescent="0.25">
      <c r="B30" s="4"/>
      <c r="H30" s="4"/>
      <c r="K30" s="4"/>
      <c r="Q30" s="4"/>
      <c r="T30" s="4"/>
      <c r="Z30" s="4"/>
      <c r="AC30" s="4"/>
      <c r="AI30" s="4"/>
      <c r="AL30" s="4"/>
      <c r="AR30" s="4"/>
      <c r="AU30" s="4"/>
      <c r="BA30" s="4"/>
      <c r="BD30" s="4"/>
      <c r="BJ30" s="4"/>
      <c r="BM30" s="4"/>
      <c r="BS30" s="4"/>
      <c r="BV30" s="4"/>
      <c r="CB30" s="4"/>
    </row>
    <row r="31" spans="2:80" x14ac:dyDescent="0.25">
      <c r="B31" s="4"/>
      <c r="H31" s="4"/>
      <c r="K31" s="4"/>
      <c r="Q31" s="4"/>
      <c r="T31" s="4"/>
      <c r="Z31" s="4"/>
      <c r="AC31" s="4"/>
      <c r="AI31" s="4"/>
      <c r="AL31" s="4"/>
      <c r="AR31" s="4"/>
      <c r="AU31" s="4"/>
      <c r="BA31" s="4"/>
      <c r="BD31" s="4"/>
      <c r="BJ31" s="4"/>
      <c r="BM31" s="4"/>
      <c r="BS31" s="4"/>
      <c r="BV31" s="4"/>
      <c r="CB31" s="4"/>
    </row>
    <row r="32" spans="2:80" x14ac:dyDescent="0.25">
      <c r="B32" s="4"/>
      <c r="H32" s="4"/>
      <c r="K32" s="4"/>
      <c r="Q32" s="4"/>
      <c r="T32" s="4"/>
      <c r="Z32" s="4"/>
      <c r="AC32" s="4"/>
      <c r="AI32" s="4"/>
      <c r="AL32" s="4"/>
      <c r="AR32" s="4"/>
      <c r="AU32" s="4"/>
      <c r="BA32" s="4"/>
      <c r="BD32" s="4"/>
      <c r="BJ32" s="4"/>
      <c r="BM32" s="4"/>
      <c r="BS32" s="4"/>
      <c r="BV32" s="4"/>
      <c r="CB32" s="4"/>
    </row>
    <row r="33" spans="2:80" x14ac:dyDescent="0.25">
      <c r="B33" s="4"/>
      <c r="D33" s="3" t="s">
        <v>428</v>
      </c>
      <c r="H33" s="4"/>
      <c r="K33" s="4"/>
      <c r="M33" s="3" t="s">
        <v>429</v>
      </c>
      <c r="Q33" s="4"/>
      <c r="T33" s="4"/>
      <c r="V33" s="3" t="s">
        <v>430</v>
      </c>
      <c r="Z33" s="4"/>
      <c r="AC33" s="4"/>
      <c r="AE33" s="3" t="s">
        <v>431</v>
      </c>
      <c r="AI33" s="4"/>
      <c r="AL33" s="4"/>
      <c r="AN33" s="3" t="s">
        <v>432</v>
      </c>
      <c r="AR33" s="4"/>
      <c r="AU33" s="4"/>
      <c r="AW33" s="3" t="s">
        <v>433</v>
      </c>
      <c r="BA33" s="4"/>
      <c r="BD33" s="4"/>
      <c r="BF33" s="3" t="s">
        <v>434</v>
      </c>
      <c r="BJ33" s="4"/>
      <c r="BM33" s="4"/>
      <c r="BO33" s="3" t="s">
        <v>435</v>
      </c>
      <c r="BS33" s="4"/>
      <c r="BV33" s="4"/>
      <c r="BX33" s="3" t="s">
        <v>436</v>
      </c>
      <c r="CB33" s="4"/>
    </row>
    <row r="34" spans="2:80" x14ac:dyDescent="0.25">
      <c r="B34" s="4"/>
      <c r="D34" s="3" t="s">
        <v>364</v>
      </c>
      <c r="H34" s="4"/>
      <c r="K34" s="4"/>
      <c r="M34" s="3" t="s">
        <v>364</v>
      </c>
      <c r="Q34" s="4"/>
      <c r="T34" s="4"/>
      <c r="V34" s="3" t="s">
        <v>364</v>
      </c>
      <c r="Z34" s="4"/>
      <c r="AC34" s="4"/>
      <c r="AE34" s="3" t="s">
        <v>364</v>
      </c>
      <c r="AI34" s="4"/>
      <c r="AL34" s="4"/>
      <c r="AN34" s="3" t="s">
        <v>364</v>
      </c>
      <c r="AR34" s="4"/>
      <c r="AU34" s="4"/>
      <c r="AW34" s="3" t="s">
        <v>364</v>
      </c>
      <c r="BA34" s="4"/>
      <c r="BD34" s="4"/>
      <c r="BF34" s="3" t="s">
        <v>364</v>
      </c>
      <c r="BJ34" s="4"/>
      <c r="BM34" s="4"/>
      <c r="BO34" s="3" t="s">
        <v>364</v>
      </c>
      <c r="BS34" s="4"/>
      <c r="BV34" s="4"/>
      <c r="BX34" s="3" t="s">
        <v>364</v>
      </c>
      <c r="CB34" s="4"/>
    </row>
    <row r="35" spans="2:80" x14ac:dyDescent="0.25">
      <c r="B35" s="4"/>
      <c r="D35" s="52" t="str">
        <f>CONCATENATE("En ","la ",D5," y ",D33," se observa los resultados  del  ",D4," el cual aborda ",E1062,",en donde se demuestra que el ",ROUND(F8*100,0),"%"," de los ",D1045," tienen una percepción de ",G1046,", el ",ROUND(F9*100,0),"%"," ",G1047,", un ",ROUND(F10*100,0),"%"," ",G1048,",",IF(E1049&gt;0,CONCATENATE(" ademas el ",ROUND(F11*100,0),"%"," ",G1049,)," "),IF(E1049&gt;0,CONCATENATE(" y ",ROUND(F12*100,0),"%",", ",G1050,)," "),"en tal sentido la mayoría de los ",D1045," es decir el ",ROUND(E1053*100,0),"%"," tienen una percepción con una inclinación a un valor ",D1056,","," para ",E1062,".")</f>
        <v>En la Tabla 1 y Figura. 1 se observa los resultados  del  Item 1 el cual aborda x,en donde se demuestra que el 1% de los Beneficiaross tienen una percepción de Ni de acuerdo ni en desacuerdo, el 25% En desacuerdo, un 53% De acuerdo, ademas el 20% Totalmente de acuerdo y 1%, Totalmente en desacuerdoen tal sentido la mayoría de los Beneficiaross es decir el 79% tienen una percepción con una inclinación a un valor Bajo, para x.</v>
      </c>
      <c r="E35" s="53"/>
      <c r="F35" s="53"/>
      <c r="H35" s="4"/>
      <c r="K35" s="4"/>
      <c r="M35" s="52" t="str">
        <f>CONCATENATE("En ","la ",M5," y ",M33," se observa los resultados  del  ",M4," el cual aborda ",N1062,",en donde se demuestra que el ",ROUND(O8*100,0),"%"," de los ",M1045," tienen una percepción de ",P1046,", el ",ROUND(O9*100,0),"%"," ",P1047,", un ",ROUND(O10*100,0),"%"," ",P1048,",",IF(N1049&gt;0,CONCATENATE(" ademas el ",ROUND(O11*100,0),"%"," ",P1049,)," "),IF(N1049&gt;0,CONCATENATE(" y ",ROUND(O12*100,0),"%",", ",P1050,)," "),"en tal sentido la mayoría de los ",M1045," es decir el ",ROUND(N1053*100,0),"%"," tienen una percepción con una inclinación a un valor ",M1056,","," para ",N1062,".")</f>
        <v>En la Tabla 2 y Figura. 2 se observa los resultados  del  Item 2 el cual aborda x,en donde se demuestra que el 1% de los Beneficiaross tienen una percepción de Ni de acuerdo ni en desacuerdo, el 24% En desacuerdo, un 52% De acuerdo, ademas el 21% Totalmente de acuerdo y 2%, Totalmente en desacuerdoen tal sentido la mayoría de los Beneficiaross es decir el 76% tienen una percepción con una inclinación a un valor Bajo, para x.</v>
      </c>
      <c r="N35" s="53"/>
      <c r="O35" s="53"/>
      <c r="Q35" s="4"/>
      <c r="T35" s="4"/>
      <c r="V35" s="52" t="str">
        <f>CONCATENATE("En ","la ",V5," y ",V33," se observa los resultados  del  ",V4," el cual aborda ",W1062,",en donde se demuestra que el ",ROUND(X8*100,0),"%"," de los ",V1045," tienen una percepción de ",Y1046,", el ",ROUND(X9*100,0),"%"," ",Y1047,", un ",ROUND(X10*100,0),"%"," ",Y1048,",",IF(W1049&gt;0,CONCATENATE(" ademas el ",ROUND(X11*100,0),"%"," ",Y1049,)," "),IF(W1049&gt;0,CONCATENATE(" y ",ROUND(X12*100,0),"%",", ",Y1050,)," "),"en tal sentido la mayoría de los ",V1045," es decir el ",ROUND(W1053*100,0),"%"," tienen una percepción con una inclinación a un valor ",V1056,","," para ",W1062,".")</f>
        <v>En la Tabla 3 y Figura. 3 se observa los resultados  del  Item 3 el cual aborda x,en donde se demuestra que el 1% de los Beneficiaross tienen una percepción de Ni de acuerdo ni en desacuerdo, el 11% De acuerdo, un 53% En desacuerdo, ademas el 32% Totalmente de acuerdo y 3%, Totalmente en desacuerdoen tal sentido la mayoría de los Beneficiaross es decir el 88% tienen una percepción con una inclinación a un valor Bajo, para x.</v>
      </c>
      <c r="W35" s="53"/>
      <c r="X35" s="53"/>
      <c r="Z35" s="4"/>
      <c r="AC35" s="4"/>
      <c r="AE35" s="52" t="str">
        <f>CONCATENATE("En ","la ",AE5," y ",AE33," se observa los resultados  del  ",AE4," el cual aborda ",AF1062,",en donde se demuestra que el ",ROUND(AG8*100,0),"%"," de los ",AE1045," tienen una percepción de ",AH1046,", el ",ROUND(AG9*100,0),"%"," ",AH1047,", un ",ROUND(AG10*100,0),"%"," ",AH1048,",",IF(AF1049&gt;0,CONCATENATE(" ademas el ",ROUND(AG11*100,0),"%"," ",AH1049,)," "),IF(AF1049&gt;0,CONCATENATE(" y ",ROUND(AG12*100,0),"%",", ",AH1050,)," "),"en tal sentido la mayoría de los ",AE1045," es decir el ",ROUND(AF1053*100,0),"%"," tienen una percepción con una inclinación a un valor ",AE1056,","," para ",AF1062,".")</f>
        <v>En la Tabla 4 y Figura. 4 se observa los resultados  del  Item 4 el cual aborda x,en donde se demuestra que el 2% de los Beneficiaross tienen una percepción de Ni de acuerdo ni en desacuerdo, el 19% De acuerdo, un 54% En desacuerdo, ademas el 23% Totalmente de acuerdo y 2%, Totalmente en desacuerdoen tal sentido la mayoría de los Beneficiaross es decir el 79% tienen una percepción con una inclinación a un valor Bajo, para x.</v>
      </c>
      <c r="AF35" s="53"/>
      <c r="AG35" s="53"/>
      <c r="AI35" s="4"/>
      <c r="AL35" s="4"/>
      <c r="AN35" s="52" t="str">
        <f>CONCATENATE("En ","la ",AN5," y ",AN33," se observa los resultados  del  ",AN4," el cual aborda ",AO1062,",en donde se demuestra que el ",ROUND(AP8*100,0),"%"," de los ",AN1045," tienen una percepción de ",AQ1046,", el ",ROUND(AP9*100,0),"%"," ",AQ1047,", un ",ROUND(AP10*100,0),"%"," ",AQ1048,",",IF(AO1049&gt;0,CONCATENATE(" ademas el ",ROUND(AP11*100,0),"%"," ",AQ1049,)," "),IF(AO1049&gt;0,CONCATENATE(" y ",ROUND(AP12*100,0),"%",", ",AQ1050,)," "),"en tal sentido la mayoría de los ",AN1045," es decir el ",ROUND(AO1053*100,0),"%"," tienen una percepción con una inclinación a un valor ",AN1056,","," para ",AO1062,".")</f>
        <v>En la Tabla 5 y Figura. 5 se observa los resultados  del  Item 5 el cual aborda x,en donde se demuestra que el 1% de los Beneficiaross tienen una percepción de Ni de acuerdo ni en desacuerdo, el 12% De acuerdo, un 56% En desacuerdo, ademas el 27% Totalmente de acuerdo y 3%, Totalmente en desacuerdoen tal sentido la mayoría de los Beneficiaross es decir el 87% tienen una percepción con una inclinación a un valor Bajo, para x.</v>
      </c>
      <c r="AO35" s="53"/>
      <c r="AP35" s="53"/>
      <c r="AR35" s="4"/>
      <c r="AU35" s="4"/>
      <c r="AW35" s="52" t="str">
        <f>CONCATENATE("En ","la ",AW5," y ",AW33," se observa los resultados  del  ",AW4," el cual aborda ",AX1062,",en donde se demuestra que el ",ROUND(AY8*100,0),"%"," de los ",AW1045," tienen una percepción de ",AZ1046,", el ",ROUND(AY9*100,0),"%"," ",AZ1047,", un ",ROUND(AY10*100,0),"%"," ",AZ1048,",",IF(AX1049&gt;0,CONCATENATE(" ademas el ",ROUND(AY11*100,0),"%"," ",AZ1049,)," "),IF(AX1049&gt;0,CONCATENATE(" y ",ROUND(AY12*100,0),"%",", ",AZ1050,)," "),"en tal sentido la mayoría de los ",AW1045," es decir el ",ROUND(AX1053*100,0),"%"," tienen una percepción con una inclinación a un valor ",AW1056,","," para ",AX1062,".")</f>
        <v>En la Tabla 6 y Figura. 6 se observa los resultados  del  Item 6 el cual aborda x,en donde se demuestra que el 2% de los Beneficiaross tienen una percepción de Ni de acuerdo ni en desacuerdo, el 32% En desacuerdo, un 54% De acuerdo, ademas el 11% Totalmente en desacuerdo y 1%, Totalmente de acuerdoen tal sentido la mayoría de los Beneficiaross es decir el 89% tienen una percepción con una inclinación a un valor Bajo, para x.</v>
      </c>
      <c r="AX35" s="53"/>
      <c r="AY35" s="53"/>
      <c r="BA35" s="4"/>
      <c r="BD35" s="4"/>
      <c r="BF35" s="52" t="str">
        <f>CONCATENATE("En ","la ",BF5," y ",BF33," se observa los resultados  del  ",BF4," el cual aborda ",BG1062,",en donde se demuestra que el ",ROUND(BH8*100,0),"%"," de los ",BF1045," tienen una percepción de ",BI1046,", el ",ROUND(BH9*100,0),"%"," ",BI1047,", un ",ROUND(BH10*100,0),"%"," ",BI1048,",",IF(BG1049&gt;0,CONCATENATE(" ademas el ",ROUND(BH11*100,0),"%"," ",BI1049,)," "),IF(BG1049&gt;0,CONCATENATE(" y ",ROUND(BH12*100,0),"%",", ",BI1050,)," "),"en tal sentido la mayoría de los ",BF1045," es decir el ",ROUND(BG1053*100,0),"%"," tienen una percepción con una inclinación a un valor ",BF1056,","," para ",BG1062,".")</f>
        <v>En la Tabla 7 y Figura. 7 se observa los resultados  del  Item 7 el cual aborda x,en donde se demuestra que el 1% de los Beneficiaross tienen una percepción de Ni de acuerdo ni en desacuerdo, el 25% En desacuerdo, un 50% De acuerdo, ademas el 22% Totalmente de acuerdo y 3%, Totalmente en desacuerdoen tal sentido la mayoría de los Beneficiaross es decir el 75% tienen una percepción con una inclinación a un valor Bajo, para x.</v>
      </c>
      <c r="BG35" s="53"/>
      <c r="BH35" s="53"/>
      <c r="BJ35" s="4"/>
      <c r="BM35" s="4"/>
      <c r="BO35" s="52" t="str">
        <f>CONCATENATE("En ","la ",BO5," y ",BO33," se observa los resultados  del  ",BO4," el cual aborda ",BP1062,",en donde se demuestra que el ",ROUND(BQ8*100,0),"%"," de los ",BO1045," tienen una percepción de ",BR1046,", el ",ROUND(BQ9*100,0),"%"," ",BR1047,", un ",ROUND(BQ10*100,0),"%"," ",BR1048,",",IF(BP1049&gt;0,CONCATENATE(" ademas el ",ROUND(BQ11*100,0),"%"," ",BR1049,)," "),IF(BP1049&gt;0,CONCATENATE(" y ",ROUND(BQ12*100,0),"%",", ",BR1050,)," "),"en tal sentido la mayoría de los ",BO1045," es decir el ",ROUND(BP1053*100,0),"%"," tienen una percepción con una inclinación a un valor ",BO1056,","," para ",BP1062,".")</f>
        <v>En la Tabla 8 y Figura. 8 se observa los resultados  del  Item 8 el cual aborda x,en donde se demuestra que el 1% de los Beneficiaross tienen una percepción de Ni de acuerdo ni en desacuerdo, el 29% En desacuerdo, un 49% De acuerdo, ademas el 19% Totalmente en desacuerdo y 1%, Totalmente en desacuerdoen tal sentido la mayoría de los Beneficiaross es decir el 80% tienen una percepción con una inclinación a un valor Bajo, para x.</v>
      </c>
      <c r="BP35" s="53"/>
      <c r="BQ35" s="53"/>
      <c r="BS35" s="4"/>
      <c r="BV35" s="4"/>
      <c r="BX35" s="52" t="str">
        <f>CONCATENATE("En ","la ",BX5," y ",BX33," se observa los resultados  del  ",BX4," el cual aborda ",BY1062,",en donde se demuestra que el ",ROUND(BZ8*100,0),"%"," de los ",BX1045," tienen una percepción de ",CA1046,", el ",ROUND(BZ9*100,0),"%"," ",CA1047,", un ",ROUND(BZ10*100,0),"%"," ",CA1048,",",IF(BY1049&gt;0,CONCATENATE(" ademas el ",ROUND(BZ11*100,0),"%"," ",CA1049,)," "),IF(BY1049&gt;0,CONCATENATE(" y ",ROUND(BZ12*100,0),"%",", ",CA1050,)," "),"en tal sentido la mayoría de los ",BX1045," es decir el ",ROUND(BY1053*100,0),"%"," tienen una percepción con una inclinación a un valor ",BX1056,","," para ",BY1062,".")</f>
        <v>En la Tabla 9 y Figura. 9 se observa los resultados  del  Item 9 el cual aborda x,en donde se demuestra que el 2% de los Beneficiaross tienen una percepción de Ni de acuerdo ni en desacuerdo, el 26% En desacuerdo, un 51% De acuerdo, ademas el 19% Totalmente de acuerdo y 2%, Totalmente en desacuerdoen tal sentido la mayoría de los Beneficiaross es decir el 78% tienen una percepción con una inclinación a un valor Bajo, para x.</v>
      </c>
      <c r="BY35" s="53"/>
      <c r="BZ35" s="53"/>
      <c r="CB35" s="4"/>
    </row>
    <row r="36" spans="2:80" x14ac:dyDescent="0.25">
      <c r="B36" s="4"/>
      <c r="D36" s="53"/>
      <c r="E36" s="53"/>
      <c r="F36" s="53"/>
      <c r="H36" s="4"/>
      <c r="K36" s="4"/>
      <c r="M36" s="53"/>
      <c r="N36" s="53"/>
      <c r="O36" s="53"/>
      <c r="Q36" s="4"/>
      <c r="T36" s="4"/>
      <c r="V36" s="53"/>
      <c r="W36" s="53"/>
      <c r="X36" s="53"/>
      <c r="Z36" s="4"/>
      <c r="AC36" s="4"/>
      <c r="AE36" s="53"/>
      <c r="AF36" s="53"/>
      <c r="AG36" s="53"/>
      <c r="AI36" s="4"/>
      <c r="AL36" s="4"/>
      <c r="AN36" s="53"/>
      <c r="AO36" s="53"/>
      <c r="AP36" s="53"/>
      <c r="AR36" s="4"/>
      <c r="AU36" s="4"/>
      <c r="AW36" s="53"/>
      <c r="AX36" s="53"/>
      <c r="AY36" s="53"/>
      <c r="BA36" s="4"/>
      <c r="BD36" s="4"/>
      <c r="BF36" s="53"/>
      <c r="BG36" s="53"/>
      <c r="BH36" s="53"/>
      <c r="BJ36" s="4"/>
      <c r="BM36" s="4"/>
      <c r="BO36" s="53"/>
      <c r="BP36" s="53"/>
      <c r="BQ36" s="53"/>
      <c r="BS36" s="4"/>
      <c r="BV36" s="4"/>
      <c r="BX36" s="53"/>
      <c r="BY36" s="53"/>
      <c r="BZ36" s="53"/>
      <c r="CB36" s="4"/>
    </row>
    <row r="37" spans="2:80" x14ac:dyDescent="0.25">
      <c r="B37" s="4"/>
      <c r="D37" s="53"/>
      <c r="E37" s="53"/>
      <c r="F37" s="53"/>
      <c r="H37" s="4"/>
      <c r="K37" s="4"/>
      <c r="M37" s="53"/>
      <c r="N37" s="53"/>
      <c r="O37" s="53"/>
      <c r="Q37" s="4"/>
      <c r="T37" s="4"/>
      <c r="V37" s="53"/>
      <c r="W37" s="53"/>
      <c r="X37" s="53"/>
      <c r="Z37" s="4"/>
      <c r="AC37" s="4"/>
      <c r="AE37" s="53"/>
      <c r="AF37" s="53"/>
      <c r="AG37" s="53"/>
      <c r="AI37" s="4"/>
      <c r="AL37" s="4"/>
      <c r="AN37" s="53"/>
      <c r="AO37" s="53"/>
      <c r="AP37" s="53"/>
      <c r="AR37" s="4"/>
      <c r="AU37" s="4"/>
      <c r="AW37" s="53"/>
      <c r="AX37" s="53"/>
      <c r="AY37" s="53"/>
      <c r="BA37" s="4"/>
      <c r="BD37" s="4"/>
      <c r="BF37" s="53"/>
      <c r="BG37" s="53"/>
      <c r="BH37" s="53"/>
      <c r="BJ37" s="4"/>
      <c r="BM37" s="4"/>
      <c r="BO37" s="53"/>
      <c r="BP37" s="53"/>
      <c r="BQ37" s="53"/>
      <c r="BS37" s="4"/>
      <c r="BV37" s="4"/>
      <c r="BX37" s="53"/>
      <c r="BY37" s="53"/>
      <c r="BZ37" s="53"/>
      <c r="CB37" s="4"/>
    </row>
    <row r="38" spans="2:80" x14ac:dyDescent="0.25">
      <c r="B38" s="4"/>
      <c r="D38" s="53"/>
      <c r="E38" s="53"/>
      <c r="F38" s="53"/>
      <c r="H38" s="4"/>
      <c r="K38" s="4"/>
      <c r="M38" s="53"/>
      <c r="N38" s="53"/>
      <c r="O38" s="53"/>
      <c r="Q38" s="4"/>
      <c r="T38" s="4"/>
      <c r="V38" s="53"/>
      <c r="W38" s="53"/>
      <c r="X38" s="53"/>
      <c r="Z38" s="4"/>
      <c r="AC38" s="4"/>
      <c r="AE38" s="53"/>
      <c r="AF38" s="53"/>
      <c r="AG38" s="53"/>
      <c r="AI38" s="4"/>
      <c r="AL38" s="4"/>
      <c r="AN38" s="53"/>
      <c r="AO38" s="53"/>
      <c r="AP38" s="53"/>
      <c r="AR38" s="4"/>
      <c r="AU38" s="4"/>
      <c r="AW38" s="53"/>
      <c r="AX38" s="53"/>
      <c r="AY38" s="53"/>
      <c r="BA38" s="4"/>
      <c r="BD38" s="4"/>
      <c r="BF38" s="53"/>
      <c r="BG38" s="53"/>
      <c r="BH38" s="53"/>
      <c r="BJ38" s="4"/>
      <c r="BM38" s="4"/>
      <c r="BO38" s="53"/>
      <c r="BP38" s="53"/>
      <c r="BQ38" s="53"/>
      <c r="BS38" s="4"/>
      <c r="BV38" s="4"/>
      <c r="BX38" s="53"/>
      <c r="BY38" s="53"/>
      <c r="BZ38" s="53"/>
      <c r="CB38" s="4"/>
    </row>
    <row r="39" spans="2:80" x14ac:dyDescent="0.25">
      <c r="B39" s="4"/>
      <c r="D39" s="53"/>
      <c r="E39" s="53"/>
      <c r="F39" s="53"/>
      <c r="H39" s="4"/>
      <c r="K39" s="4"/>
      <c r="M39" s="53"/>
      <c r="N39" s="53"/>
      <c r="O39" s="53"/>
      <c r="Q39" s="4"/>
      <c r="T39" s="4"/>
      <c r="V39" s="53"/>
      <c r="W39" s="53"/>
      <c r="X39" s="53"/>
      <c r="Z39" s="4"/>
      <c r="AC39" s="4"/>
      <c r="AE39" s="53"/>
      <c r="AF39" s="53"/>
      <c r="AG39" s="53"/>
      <c r="AI39" s="4"/>
      <c r="AL39" s="4"/>
      <c r="AN39" s="53"/>
      <c r="AO39" s="53"/>
      <c r="AP39" s="53"/>
      <c r="AR39" s="4"/>
      <c r="AU39" s="4"/>
      <c r="AW39" s="53"/>
      <c r="AX39" s="53"/>
      <c r="AY39" s="53"/>
      <c r="BA39" s="4"/>
      <c r="BD39" s="4"/>
      <c r="BF39" s="53"/>
      <c r="BG39" s="53"/>
      <c r="BH39" s="53"/>
      <c r="BJ39" s="4"/>
      <c r="BM39" s="4"/>
      <c r="BO39" s="53"/>
      <c r="BP39" s="53"/>
      <c r="BQ39" s="53"/>
      <c r="BS39" s="4"/>
      <c r="BV39" s="4"/>
      <c r="BX39" s="53"/>
      <c r="BY39" s="53"/>
      <c r="BZ39" s="53"/>
      <c r="CB39" s="4"/>
    </row>
    <row r="40" spans="2:80" x14ac:dyDescent="0.25">
      <c r="D40" s="53"/>
      <c r="E40" s="53"/>
      <c r="F40" s="53"/>
      <c r="M40" s="53"/>
      <c r="N40" s="53"/>
      <c r="O40" s="53"/>
      <c r="V40" s="53"/>
      <c r="W40" s="53"/>
      <c r="X40" s="53"/>
      <c r="AE40" s="53"/>
      <c r="AF40" s="53"/>
      <c r="AG40" s="53"/>
      <c r="AN40" s="53"/>
      <c r="AO40" s="53"/>
      <c r="AP40" s="53"/>
      <c r="AW40" s="53"/>
      <c r="AX40" s="53"/>
      <c r="AY40" s="53"/>
      <c r="BF40" s="53"/>
      <c r="BG40" s="53"/>
      <c r="BH40" s="53"/>
      <c r="BO40" s="53"/>
      <c r="BP40" s="53"/>
      <c r="BQ40" s="53"/>
      <c r="BX40" s="53"/>
      <c r="BY40" s="53"/>
      <c r="BZ40" s="53"/>
    </row>
    <row r="41" spans="2:80" x14ac:dyDescent="0.25">
      <c r="D41" s="53"/>
      <c r="E41" s="53"/>
      <c r="F41" s="53"/>
      <c r="M41" s="53"/>
      <c r="N41" s="53"/>
      <c r="O41" s="53"/>
      <c r="V41" s="53"/>
      <c r="W41" s="53"/>
      <c r="X41" s="53"/>
      <c r="AE41" s="53"/>
      <c r="AF41" s="53"/>
      <c r="AG41" s="53"/>
      <c r="AN41" s="53"/>
      <c r="AO41" s="53"/>
      <c r="AP41" s="53"/>
      <c r="AW41" s="53"/>
      <c r="AX41" s="53"/>
      <c r="AY41" s="53"/>
      <c r="BF41" s="53"/>
      <c r="BG41" s="53"/>
      <c r="BH41" s="53"/>
      <c r="BO41" s="53"/>
      <c r="BP41" s="53"/>
      <c r="BQ41" s="53"/>
      <c r="BX41" s="53"/>
      <c r="BY41" s="53"/>
      <c r="BZ41" s="53"/>
    </row>
    <row r="42" spans="2:80" x14ac:dyDescent="0.25">
      <c r="D42" s="53"/>
      <c r="E42" s="53"/>
      <c r="F42" s="53"/>
      <c r="M42" s="53"/>
      <c r="N42" s="53"/>
      <c r="O42" s="53"/>
      <c r="V42" s="53"/>
      <c r="W42" s="53"/>
      <c r="X42" s="53"/>
      <c r="AE42" s="53"/>
      <c r="AF42" s="53"/>
      <c r="AG42" s="53"/>
      <c r="AN42" s="53"/>
      <c r="AO42" s="53"/>
      <c r="AP42" s="53"/>
      <c r="AW42" s="53"/>
      <c r="AX42" s="53"/>
      <c r="AY42" s="53"/>
      <c r="BF42" s="53"/>
      <c r="BG42" s="53"/>
      <c r="BH42" s="53"/>
      <c r="BO42" s="53"/>
      <c r="BP42" s="53"/>
      <c r="BQ42" s="53"/>
      <c r="BX42" s="53"/>
      <c r="BY42" s="53"/>
      <c r="BZ42" s="53"/>
    </row>
    <row r="43" spans="2:80" x14ac:dyDescent="0.25">
      <c r="D43" s="53"/>
      <c r="E43" s="53"/>
      <c r="F43" s="53"/>
      <c r="M43" s="53"/>
      <c r="N43" s="53"/>
      <c r="O43" s="53"/>
      <c r="V43" s="53"/>
      <c r="W43" s="53"/>
      <c r="X43" s="53"/>
      <c r="AE43" s="53"/>
      <c r="AF43" s="53"/>
      <c r="AG43" s="53"/>
      <c r="AN43" s="53"/>
      <c r="AO43" s="53"/>
      <c r="AP43" s="53"/>
      <c r="AW43" s="53"/>
      <c r="AX43" s="53"/>
      <c r="AY43" s="53"/>
      <c r="BF43" s="53"/>
      <c r="BG43" s="53"/>
      <c r="BH43" s="53"/>
      <c r="BO43" s="53"/>
      <c r="BP43" s="53"/>
      <c r="BQ43" s="53"/>
      <c r="BX43" s="53"/>
      <c r="BY43" s="53"/>
      <c r="BZ43" s="53"/>
    </row>
    <row r="1045" spans="3:79" x14ac:dyDescent="0.25">
      <c r="D1045" s="21" t="s">
        <v>360</v>
      </c>
      <c r="E1045" s="21" t="s">
        <v>364</v>
      </c>
      <c r="M1045" s="21" t="s">
        <v>360</v>
      </c>
      <c r="N1045" s="21" t="s">
        <v>364</v>
      </c>
      <c r="V1045" s="21" t="s">
        <v>360</v>
      </c>
      <c r="W1045" s="21" t="s">
        <v>364</v>
      </c>
      <c r="AE1045" s="21" t="s">
        <v>360</v>
      </c>
      <c r="AF1045" s="21" t="s">
        <v>364</v>
      </c>
      <c r="AN1045" s="21" t="s">
        <v>360</v>
      </c>
      <c r="AO1045" s="21" t="s">
        <v>364</v>
      </c>
      <c r="AW1045" s="21" t="s">
        <v>360</v>
      </c>
      <c r="AX1045" s="21" t="s">
        <v>364</v>
      </c>
      <c r="BF1045" s="21" t="s">
        <v>360</v>
      </c>
      <c r="BG1045" s="21" t="s">
        <v>364</v>
      </c>
      <c r="BO1045" s="21" t="s">
        <v>360</v>
      </c>
      <c r="BP1045" s="21" t="s">
        <v>364</v>
      </c>
      <c r="BX1045" s="21" t="s">
        <v>360</v>
      </c>
      <c r="BY1045" s="21" t="s">
        <v>364</v>
      </c>
    </row>
    <row r="1046" spans="3:79" x14ac:dyDescent="0.25">
      <c r="C1046" s="21">
        <v>1</v>
      </c>
      <c r="D1046" s="21" t="str">
        <f>IF(E1046=F8,D8,IF(E1046=F9,D9,IF(E1046=F10,D10,IF(E1046=F11,D11,IF(E1046=F12,D12,"ALGO ESTA MAL")))))</f>
        <v>Ni de acuerdo ni en desacuerdo</v>
      </c>
      <c r="E1046" s="22">
        <f>LARGE($F$8:$F$12,C1046)</f>
        <v>0.52595155709342556</v>
      </c>
      <c r="F1046" s="22">
        <f>IF(E1046&gt;0.1%,E1046,"Algo Esta Mal")</f>
        <v>0.52595155709342556</v>
      </c>
      <c r="G1046" s="21" t="str">
        <f>IF(F1046=E1046,D1046," ")</f>
        <v>Ni de acuerdo ni en desacuerdo</v>
      </c>
      <c r="L1046" s="21">
        <v>1</v>
      </c>
      <c r="M1046" s="21" t="str">
        <f>IF(N1046=O8,M8,IF(N1046=O9,M9,IF(N1046=O10,M10,IF(N1046=O11,M11,IF(N1046=O12,M12,"ALGO ESTA MAL")))))</f>
        <v>Ni de acuerdo ni en desacuerdo</v>
      </c>
      <c r="N1046" s="22">
        <f>LARGE($O$8:$O$12,L1046)</f>
        <v>0.51557093425605538</v>
      </c>
      <c r="O1046" s="22">
        <f>IF(N1046&gt;0.1%,N1046,"Algo Esta Mal")</f>
        <v>0.51557093425605538</v>
      </c>
      <c r="P1046" s="21" t="str">
        <f>IF(O1046=N1046,M1046," ")</f>
        <v>Ni de acuerdo ni en desacuerdo</v>
      </c>
      <c r="U1046" s="21">
        <v>1</v>
      </c>
      <c r="V1046" s="21" t="str">
        <f>IF(W1046=X8,V8,IF(W1046=X9,V9,IF(W1046=X10,V10,IF(W1046=X11,V11,IF(W1046=X12,V12,"ALGO ESTA MAL")))))</f>
        <v>Ni de acuerdo ni en desacuerdo</v>
      </c>
      <c r="W1046" s="22">
        <f>LARGE($X$8:$X$12,U1046)</f>
        <v>0.53287197231833905</v>
      </c>
      <c r="X1046" s="22">
        <f>IF(W1046&gt;0.1%,W1046,"Algo Esta Mal")</f>
        <v>0.53287197231833905</v>
      </c>
      <c r="Y1046" s="21" t="str">
        <f>IF(X1046=W1046,V1046," ")</f>
        <v>Ni de acuerdo ni en desacuerdo</v>
      </c>
      <c r="AD1046" s="21">
        <v>1</v>
      </c>
      <c r="AE1046" s="21" t="str">
        <f>IF(AF1046=AG8,AE8,IF(AF1046=AG9,AE9,IF(AF1046=AG10,AE10,IF(AF1046=AG11,AE11,IF(AF1046=AG12,AE12,"ALGO ESTA MAL")))))</f>
        <v>Ni de acuerdo ni en desacuerdo</v>
      </c>
      <c r="AF1046" s="22">
        <f>LARGE($AG$8:$AG$12,AD1046)</f>
        <v>0.53633217993079585</v>
      </c>
      <c r="AG1046" s="22">
        <f>IF(AF1046&gt;0.1%,AF1046,"Algo Esta Mal")</f>
        <v>0.53633217993079585</v>
      </c>
      <c r="AH1046" s="21" t="str">
        <f>IF(AG1046=AF1046,AE1046," ")</f>
        <v>Ni de acuerdo ni en desacuerdo</v>
      </c>
      <c r="AM1046" s="21">
        <v>1</v>
      </c>
      <c r="AN1046" s="21" t="str">
        <f>IF(AO1046=AP8,AN8,IF(AO1046=AP9,AN9,IF(AO1046=AP10,AN10,IF(AO1046=AP11,AN11,IF(AO1046=AP12,AN12,"ALGO ESTA MAL")))))</f>
        <v>Ni de acuerdo ni en desacuerdo</v>
      </c>
      <c r="AO1046" s="22">
        <f>LARGE($AP$8:$AP$12,AM1046)</f>
        <v>0.56401384083044981</v>
      </c>
      <c r="AP1046" s="22">
        <f>IF(AO1046&gt;0.1%,AO1046,"Algo Esta Mal")</f>
        <v>0.56401384083044981</v>
      </c>
      <c r="AQ1046" s="21" t="str">
        <f>IF(AP1046=AO1046,AN1046," ")</f>
        <v>Ni de acuerdo ni en desacuerdo</v>
      </c>
      <c r="AV1046" s="21">
        <v>1</v>
      </c>
      <c r="AW1046" s="21" t="str">
        <f>IF(AX1046=AY8,AW8,IF(AX1046=AY9,AW9,IF(AX1046=AY10,AW10,IF(AX1046=AY11,AW11,IF(AX1046=AY12,AW12,"ALGO ESTA MAL")))))</f>
        <v>Ni de acuerdo ni en desacuerdo</v>
      </c>
      <c r="AX1046" s="22">
        <f>LARGE($AY$8:$AY$12,AV1046)</f>
        <v>0.54325259515570934</v>
      </c>
      <c r="AY1046" s="22">
        <f>IF(AX1046&gt;0.1%,AX1046,"Algo Esta Mal")</f>
        <v>0.54325259515570934</v>
      </c>
      <c r="AZ1046" s="21" t="str">
        <f>IF(AY1046=AX1046,AW1046," ")</f>
        <v>Ni de acuerdo ni en desacuerdo</v>
      </c>
      <c r="BE1046" s="21">
        <v>1</v>
      </c>
      <c r="BF1046" s="21" t="str">
        <f>IF(BG1046=BH8,BF8,IF(BG1046=BH9,BF9,IF(BG1046=BH10,BF10,IF(BG1046=BH11,BF11,IF(BG1046=BH12,BF12,"ALGO ESTA MAL")))))</f>
        <v>Ni de acuerdo ni en desacuerdo</v>
      </c>
      <c r="BG1046" s="22">
        <f>LARGE($BH$8:$BH$12,BE1046)</f>
        <v>0.4982698961937716</v>
      </c>
      <c r="BH1046" s="22">
        <f>IF(BG1046&gt;0.1%,BG1046,"Algo Esta Mal")</f>
        <v>0.4982698961937716</v>
      </c>
      <c r="BI1046" s="21" t="str">
        <f>IF(BH1046=BG1046,BF1046," ")</f>
        <v>Ni de acuerdo ni en desacuerdo</v>
      </c>
      <c r="BN1046" s="21">
        <v>1</v>
      </c>
      <c r="BO1046" s="21" t="str">
        <f>IF(BP1046=BQ8,BO8,IF(BP1046=BQ9,BO9,IF(BP1046=BQ10,BO10,IF(BP1046=BQ11,BO11,IF(BP1046=BQ12,BO12,"ALGO ESTA MAL")))))</f>
        <v>Ni de acuerdo ni en desacuerdo</v>
      </c>
      <c r="BP1046" s="22">
        <f>LARGE($BQ$8:$BQ$12,BN1046)</f>
        <v>0.49480968858131485</v>
      </c>
      <c r="BQ1046" s="22">
        <f>IF(BP1046&gt;0.1%,BP1046,"Algo Esta Mal")</f>
        <v>0.49480968858131485</v>
      </c>
      <c r="BR1046" s="21" t="str">
        <f>IF(BQ1046=BP1046,BO1046," ")</f>
        <v>Ni de acuerdo ni en desacuerdo</v>
      </c>
      <c r="BW1046" s="21">
        <v>1</v>
      </c>
      <c r="BX1046" s="21" t="str">
        <f>IF(BY1046=BZ8,BX8,IF(BY1046=BZ9,BX9,IF(BY1046=BZ10,BX10,IF(BY1046=BZ11,BX11,IF(BY1046=BZ12,BX12,"ALGO ESTA MAL")))))</f>
        <v>Ni de acuerdo ni en desacuerdo</v>
      </c>
      <c r="BY1046" s="22">
        <f>LARGE($BZ$8:$BZ$12,BW1046)</f>
        <v>0.50865051903114189</v>
      </c>
      <c r="BZ1046" s="22">
        <f>IF(BY1046&gt;0.1%,BY1046,"Algo Esta Mal")</f>
        <v>0.50865051903114189</v>
      </c>
      <c r="CA1046" s="21" t="str">
        <f>IF(BZ1046=BY1046,BX1046," ")</f>
        <v>Ni de acuerdo ni en desacuerdo</v>
      </c>
    </row>
    <row r="1047" spans="3:79" x14ac:dyDescent="0.25">
      <c r="C1047" s="21">
        <v>2</v>
      </c>
      <c r="D1047" s="21" t="str">
        <f>IF(E1047=F8,D8,IF(E1047=F9,D9,IF(E1047=F10,D10,IF(E1047=F11,D11,IF(E1047=F12,D12,"ALGO ESTA MAL")))))</f>
        <v>En desacuerdo</v>
      </c>
      <c r="E1047" s="22">
        <f>LARGE($F$8:$F$12,C1047)</f>
        <v>0.2491349480968858</v>
      </c>
      <c r="F1047" s="22">
        <f>IF(E1047&gt;0.1%,E1047,"Algo Esta Mal")</f>
        <v>0.2491349480968858</v>
      </c>
      <c r="G1047" s="21" t="str">
        <f>IF(F1047=E1047,D1047," ")</f>
        <v>En desacuerdo</v>
      </c>
      <c r="L1047" s="21">
        <v>2</v>
      </c>
      <c r="M1047" s="21" t="str">
        <f>IF(N1047=O8,M8,IF(N1047=O9,M9,IF(N1047=O10,M10,IF(N1047=O11,M11,IF(N1047=O12,M12,"ALGO ESTA MAL")))))</f>
        <v>En desacuerdo</v>
      </c>
      <c r="N1047" s="22">
        <f>LARGE($O$8:$O$12,L1047)</f>
        <v>0.23529411764705882</v>
      </c>
      <c r="O1047" s="22">
        <f>IF(N1047&gt;0.1%,N1047,"Algo Esta Mal")</f>
        <v>0.23529411764705882</v>
      </c>
      <c r="P1047" s="21" t="str">
        <f>IF(O1047=N1047,M1047," ")</f>
        <v>En desacuerdo</v>
      </c>
      <c r="U1047" s="21">
        <v>2</v>
      </c>
      <c r="V1047" s="21" t="str">
        <f>IF(W1047=X8,V8,IF(W1047=X9,V9,IF(W1047=X10,V10,IF(W1047=X11,V11,IF(W1047=X12,V12,"ALGO ESTA MAL")))))</f>
        <v>De acuerdo</v>
      </c>
      <c r="W1047" s="22">
        <f>LARGE($X$8:$X$12,U1047)</f>
        <v>0.31833910034602075</v>
      </c>
      <c r="X1047" s="22">
        <f>IF(W1047&gt;0.1%,W1047,"Algo Esta Mal")</f>
        <v>0.31833910034602075</v>
      </c>
      <c r="Y1047" s="21" t="str">
        <f>IF(X1047=W1047,V1047," ")</f>
        <v>De acuerdo</v>
      </c>
      <c r="AD1047" s="21">
        <v>2</v>
      </c>
      <c r="AE1047" s="21" t="str">
        <f>IF(AF1047=AG8,AE8,IF(AF1047=AG9,AE9,IF(AF1047=AG10,AE10,IF(AF1047=AG11,AE11,IF(AF1047=AG12,AE12,"ALGO ESTA MAL")))))</f>
        <v>De acuerdo</v>
      </c>
      <c r="AF1047" s="22">
        <f>LARGE($AG$8:$AG$12,AD1047)</f>
        <v>0.23183391003460208</v>
      </c>
      <c r="AG1047" s="22">
        <f>IF(AF1047&gt;0.1%,AF1047,"Algo Esta Mal")</f>
        <v>0.23183391003460208</v>
      </c>
      <c r="AH1047" s="21" t="str">
        <f>IF(AG1047=AF1047,AE1047," ")</f>
        <v>De acuerdo</v>
      </c>
      <c r="AM1047" s="21">
        <v>2</v>
      </c>
      <c r="AN1047" s="21" t="str">
        <f>IF(AO1047=AP8,AN8,IF(AO1047=AP9,AN9,IF(AO1047=AP10,AN10,IF(AO1047=AP11,AN11,IF(AO1047=AP12,AN12,"ALGO ESTA MAL")))))</f>
        <v>De acuerdo</v>
      </c>
      <c r="AO1047" s="22">
        <f>LARGE($AP$8:$AP$12,AM1047)</f>
        <v>0.27335640138408307</v>
      </c>
      <c r="AP1047" s="22">
        <f>IF(AO1047&gt;0.1%,AO1047,"Algo Esta Mal")</f>
        <v>0.27335640138408307</v>
      </c>
      <c r="AQ1047" s="21" t="str">
        <f>IF(AP1047=AO1047,AN1047," ")</f>
        <v>De acuerdo</v>
      </c>
      <c r="AV1047" s="21">
        <v>2</v>
      </c>
      <c r="AW1047" s="21" t="str">
        <f>IF(AX1047=AY8,AW8,IF(AX1047=AY9,AW9,IF(AX1047=AY10,AW10,IF(AX1047=AY11,AW11,IF(AX1047=AY12,AW12,"ALGO ESTA MAL")))))</f>
        <v>En desacuerdo</v>
      </c>
      <c r="AX1047" s="22">
        <f>LARGE($AY$8:$AY$12,AV1047)</f>
        <v>0.3217993079584775</v>
      </c>
      <c r="AY1047" s="22">
        <f>IF(AX1047&gt;0.1%,AX1047,"Algo Esta Mal")</f>
        <v>0.3217993079584775</v>
      </c>
      <c r="AZ1047" s="21" t="str">
        <f>IF(AY1047=AX1047,AW1047," ")</f>
        <v>En desacuerdo</v>
      </c>
      <c r="BE1047" s="21">
        <v>2</v>
      </c>
      <c r="BF1047" s="21" t="str">
        <f>IF(BG1047=BH8,BF8,IF(BG1047=BH9,BF9,IF(BG1047=BH10,BF10,IF(BG1047=BH11,BF11,IF(BG1047=BH12,BF12,"ALGO ESTA MAL")))))</f>
        <v>En desacuerdo</v>
      </c>
      <c r="BG1047" s="22">
        <f>LARGE($BH$8:$BH$12,BE1047)</f>
        <v>0.24567474048442905</v>
      </c>
      <c r="BH1047" s="22">
        <f>IF(BG1047&gt;0.1%,BG1047,"Algo Esta Mal")</f>
        <v>0.24567474048442905</v>
      </c>
      <c r="BI1047" s="21" t="str">
        <f>IF(BH1047=BG1047,BF1047," ")</f>
        <v>En desacuerdo</v>
      </c>
      <c r="BN1047" s="21">
        <v>2</v>
      </c>
      <c r="BO1047" s="21" t="str">
        <f>IF(BP1047=BQ8,BO8,IF(BP1047=BQ9,BO9,IF(BP1047=BQ10,BO10,IF(BP1047=BQ11,BO11,IF(BP1047=BQ12,BO12,"ALGO ESTA MAL")))))</f>
        <v>En desacuerdo</v>
      </c>
      <c r="BP1047" s="22">
        <f>LARGE($BQ$8:$BQ$12,BN1047)</f>
        <v>0.28719723183391005</v>
      </c>
      <c r="BQ1047" s="22">
        <f>IF(BP1047&gt;0.1%,BP1047,"Algo Esta Mal")</f>
        <v>0.28719723183391005</v>
      </c>
      <c r="BR1047" s="21" t="str">
        <f>IF(BQ1047=BP1047,BO1047," ")</f>
        <v>En desacuerdo</v>
      </c>
      <c r="BW1047" s="21">
        <v>2</v>
      </c>
      <c r="BX1047" s="21" t="str">
        <f>IF(BY1047=BZ8,BX8,IF(BY1047=BZ9,BX9,IF(BY1047=BZ10,BX10,IF(BY1047=BZ11,BX11,IF(BY1047=BZ12,BX12,"ALGO ESTA MAL")))))</f>
        <v>En desacuerdo</v>
      </c>
      <c r="BY1047" s="22">
        <f>LARGE($BZ$8:$BZ$12,BW1047)</f>
        <v>0.25605536332179929</v>
      </c>
      <c r="BZ1047" s="22">
        <f>IF(BY1047&gt;0.1%,BY1047,"Algo Esta Mal")</f>
        <v>0.25605536332179929</v>
      </c>
      <c r="CA1047" s="21" t="str">
        <f>IF(BZ1047=BY1047,BX1047," ")</f>
        <v>En desacuerdo</v>
      </c>
    </row>
    <row r="1048" spans="3:79" x14ac:dyDescent="0.25">
      <c r="C1048" s="21">
        <v>3</v>
      </c>
      <c r="D1048" s="21" t="str">
        <f>IF(E1048=F8,D8,IF(E1048=F9,D9,IF(E1048=F10,D10,IF(E1048=F11,D11,IF(E1048=F12,D12,"ALGO ESTA MAL")))))</f>
        <v>De acuerdo</v>
      </c>
      <c r="E1048" s="22">
        <f>LARGE($F$8:$F$12,C1048)</f>
        <v>0.20069204152249134</v>
      </c>
      <c r="F1048" s="22">
        <f>IF(E1048&gt;0.1%,E1048,"Algo Esta Mal")</f>
        <v>0.20069204152249134</v>
      </c>
      <c r="G1048" s="21" t="str">
        <f>IF(F1048=E1048,D1048," ")</f>
        <v>De acuerdo</v>
      </c>
      <c r="L1048" s="21">
        <v>3</v>
      </c>
      <c r="M1048" s="21" t="str">
        <f>IF(N1048=O8,M8,IF(N1048=O9,M9,IF(N1048=O10,M10,IF(N1048=O11,M11,IF(N1048=O12,M12,"ALGO ESTA MAL")))))</f>
        <v>De acuerdo</v>
      </c>
      <c r="N1048" s="22">
        <f>LARGE($O$8:$O$12,L1048)</f>
        <v>0.21107266435986158</v>
      </c>
      <c r="O1048" s="22">
        <f>IF(N1048&gt;0.1%,N1048,"Algo Esta Mal")</f>
        <v>0.21107266435986158</v>
      </c>
      <c r="P1048" s="21" t="str">
        <f>IF(O1048=N1048,M1048," ")</f>
        <v>De acuerdo</v>
      </c>
      <c r="U1048" s="21">
        <v>3</v>
      </c>
      <c r="V1048" s="21" t="str">
        <f>IF(W1048=X8,V8,IF(W1048=X9,V9,IF(W1048=X10,V10,IF(W1048=X11,V11,IF(W1048=X12,V12,"ALGO ESTA MAL")))))</f>
        <v>En desacuerdo</v>
      </c>
      <c r="W1048" s="22">
        <f>LARGE($X$8:$X$12,U1048)</f>
        <v>0.11418685121107267</v>
      </c>
      <c r="X1048" s="22">
        <f>IF(W1048&gt;0.1%,W1048,"Algo Esta Mal")</f>
        <v>0.11418685121107267</v>
      </c>
      <c r="Y1048" s="21" t="str">
        <f>IF(X1048=W1048,V1048," ")</f>
        <v>En desacuerdo</v>
      </c>
      <c r="AD1048" s="21">
        <v>3</v>
      </c>
      <c r="AE1048" s="21" t="str">
        <f>IF(AF1048=AG8,AE8,IF(AF1048=AG9,AE9,IF(AF1048=AG10,AE10,IF(AF1048=AG11,AE11,IF(AF1048=AG12,AE12,"ALGO ESTA MAL")))))</f>
        <v>En desacuerdo</v>
      </c>
      <c r="AF1048" s="22">
        <f>LARGE($AG$8:$AG$12,AD1048)</f>
        <v>0.19031141868512111</v>
      </c>
      <c r="AG1048" s="22">
        <f>IF(AF1048&gt;0.1%,AF1048,"Algo Esta Mal")</f>
        <v>0.19031141868512111</v>
      </c>
      <c r="AH1048" s="21" t="str">
        <f>IF(AG1048=AF1048,AE1048," ")</f>
        <v>En desacuerdo</v>
      </c>
      <c r="AM1048" s="21">
        <v>3</v>
      </c>
      <c r="AN1048" s="21" t="str">
        <f>IF(AO1048=AP8,AN8,IF(AO1048=AP9,AN9,IF(AO1048=AP10,AN10,IF(AO1048=AP11,AN11,IF(AO1048=AP12,AN12,"ALGO ESTA MAL")))))</f>
        <v>En desacuerdo</v>
      </c>
      <c r="AO1048" s="22">
        <f>LARGE($AP$8:$AP$12,AM1048)</f>
        <v>0.12110726643598616</v>
      </c>
      <c r="AP1048" s="22">
        <f>IF(AO1048&gt;0.1%,AO1048,"Algo Esta Mal")</f>
        <v>0.12110726643598616</v>
      </c>
      <c r="AQ1048" s="21" t="str">
        <f>IF(AP1048=AO1048,AN1048," ")</f>
        <v>En desacuerdo</v>
      </c>
      <c r="AV1048" s="21">
        <v>3</v>
      </c>
      <c r="AW1048" s="21" t="str">
        <f>IF(AX1048=AY8,AW8,IF(AX1048=AY9,AW9,IF(AX1048=AY10,AW10,IF(AX1048=AY11,AW11,IF(AX1048=AY12,AW12,"ALGO ESTA MAL")))))</f>
        <v>De acuerdo</v>
      </c>
      <c r="AX1048" s="22">
        <f>LARGE($AY$8:$AY$12,AV1048)</f>
        <v>0.10726643598615918</v>
      </c>
      <c r="AY1048" s="22">
        <f>IF(AX1048&gt;0.1%,AX1048,"Algo Esta Mal")</f>
        <v>0.10726643598615918</v>
      </c>
      <c r="AZ1048" s="21" t="str">
        <f>IF(AY1048=AX1048,AW1048," ")</f>
        <v>De acuerdo</v>
      </c>
      <c r="BE1048" s="21">
        <v>3</v>
      </c>
      <c r="BF1048" s="21" t="str">
        <f>IF(BG1048=BH8,BF8,IF(BG1048=BH9,BF9,IF(BG1048=BH10,BF10,IF(BG1048=BH11,BF11,IF(BG1048=BH12,BF12,"ALGO ESTA MAL")))))</f>
        <v>De acuerdo</v>
      </c>
      <c r="BG1048" s="22">
        <f>LARGE($BH$8:$BH$12,BE1048)</f>
        <v>0.2179930795847751</v>
      </c>
      <c r="BH1048" s="22">
        <f>IF(BG1048&gt;0.1%,BG1048,"Algo Esta Mal")</f>
        <v>0.2179930795847751</v>
      </c>
      <c r="BI1048" s="21" t="str">
        <f>IF(BH1048=BG1048,BF1048," ")</f>
        <v>De acuerdo</v>
      </c>
      <c r="BN1048" s="21">
        <v>3</v>
      </c>
      <c r="BO1048" s="21" t="str">
        <f>IF(BP1048=BQ8,BO8,IF(BP1048=BQ9,BO9,IF(BP1048=BQ10,BO10,IF(BP1048=BQ11,BO11,IF(BP1048=BQ12,BO12,"ALGO ESTA MAL")))))</f>
        <v>De acuerdo</v>
      </c>
      <c r="BP1048" s="22">
        <f>LARGE($BQ$8:$BQ$12,BN1048)</f>
        <v>0.19031141868512111</v>
      </c>
      <c r="BQ1048" s="22">
        <f>IF(BP1048&gt;0.1%,BP1048,"Algo Esta Mal")</f>
        <v>0.19031141868512111</v>
      </c>
      <c r="BR1048" s="21" t="str">
        <f>IF(BQ1048=BP1048,BO1048," ")</f>
        <v>De acuerdo</v>
      </c>
      <c r="BW1048" s="21">
        <v>3</v>
      </c>
      <c r="BX1048" s="21" t="str">
        <f>IF(BY1048=BZ8,BX8,IF(BY1048=BZ9,BX9,IF(BY1048=BZ10,BX10,IF(BY1048=BZ11,BX11,IF(BY1048=BZ12,BX12,"ALGO ESTA MAL")))))</f>
        <v>De acuerdo</v>
      </c>
      <c r="BY1048" s="22">
        <f>LARGE($BZ$8:$BZ$12,BW1048)</f>
        <v>0.19377162629757785</v>
      </c>
      <c r="BZ1048" s="22">
        <f>IF(BY1048&gt;0.1%,BY1048,"Algo Esta Mal")</f>
        <v>0.19377162629757785</v>
      </c>
      <c r="CA1048" s="21" t="str">
        <f>IF(BZ1048=BY1048,BX1048," ")</f>
        <v>De acuerdo</v>
      </c>
    </row>
    <row r="1049" spans="3:79" x14ac:dyDescent="0.25">
      <c r="C1049" s="21">
        <v>4</v>
      </c>
      <c r="D1049" s="21" t="str">
        <f>IF(E1049=F8,D8,IF(E1049=F9,D9,IF(E1049=F10,D10,IF(E1049=F11,D11,IF(E1049=F12,D12,"ALGO ESTA MAL")))))</f>
        <v>Totalmente de acuerdo</v>
      </c>
      <c r="E1049" s="22">
        <f>LARGE($F$8:$F$12,C1049)</f>
        <v>1.384083044982699E-2</v>
      </c>
      <c r="F1049" s="22">
        <f>IF(E1049&gt;0.1%,E1049,"Algo Esta Mal")</f>
        <v>1.384083044982699E-2</v>
      </c>
      <c r="G1049" s="21" t="str">
        <f>IF(F1049=E1049,D1049," ")</f>
        <v>Totalmente de acuerdo</v>
      </c>
      <c r="L1049" s="21">
        <v>4</v>
      </c>
      <c r="M1049" s="21" t="str">
        <f>IF(N1049=O8,M8,IF(N1049=O9,M9,IF(N1049=O10,M10,IF(N1049=O11,M11,IF(N1049=O12,M12,"ALGO ESTA MAL")))))</f>
        <v>Totalmente de acuerdo</v>
      </c>
      <c r="N1049" s="22">
        <f>LARGE($O$8:$O$12,L1049)</f>
        <v>2.4221453287197232E-2</v>
      </c>
      <c r="O1049" s="22">
        <f>IF(N1049&gt;0.1%,N1049,"Algo Esta Mal")</f>
        <v>2.4221453287197232E-2</v>
      </c>
      <c r="P1049" s="21" t="str">
        <f>IF(O1049=N1049,M1049," ")</f>
        <v>Totalmente de acuerdo</v>
      </c>
      <c r="U1049" s="21">
        <v>4</v>
      </c>
      <c r="V1049" s="21" t="str">
        <f>IF(W1049=X8,V8,IF(W1049=X9,V9,IF(W1049=X10,V10,IF(W1049=X11,V11,IF(W1049=X12,V12,"ALGO ESTA MAL")))))</f>
        <v>Totalmente de acuerdo</v>
      </c>
      <c r="W1049" s="22">
        <f>LARGE($X$8:$X$12,U1049)</f>
        <v>2.768166089965398E-2</v>
      </c>
      <c r="X1049" s="22">
        <f>IF(W1049&gt;0.1%,W1049,"Algo Esta Mal")</f>
        <v>2.768166089965398E-2</v>
      </c>
      <c r="Y1049" s="21" t="str">
        <f>IF(X1049=W1049,V1049," ")</f>
        <v>Totalmente de acuerdo</v>
      </c>
      <c r="AD1049" s="21">
        <v>4</v>
      </c>
      <c r="AE1049" s="21" t="str">
        <f>IF(AF1049=AG8,AE8,IF(AF1049=AG9,AE9,IF(AF1049=AG10,AE10,IF(AF1049=AG11,AE11,IF(AF1049=AG12,AE12,"ALGO ESTA MAL")))))</f>
        <v>Totalmente de acuerdo</v>
      </c>
      <c r="AF1049" s="22">
        <f>LARGE($AG$8:$AG$12,AD1049)</f>
        <v>2.4221453287197232E-2</v>
      </c>
      <c r="AG1049" s="22">
        <f>IF(AF1049&gt;0.1%,AF1049,"Algo Esta Mal")</f>
        <v>2.4221453287197232E-2</v>
      </c>
      <c r="AH1049" s="21" t="str">
        <f>IF(AG1049=AF1049,AE1049," ")</f>
        <v>Totalmente de acuerdo</v>
      </c>
      <c r="AM1049" s="21">
        <v>4</v>
      </c>
      <c r="AN1049" s="21" t="str">
        <f>IF(AO1049=AP8,AN8,IF(AO1049=AP9,AN9,IF(AO1049=AP10,AN10,IF(AO1049=AP11,AN11,IF(AO1049=AP12,AN12,"ALGO ESTA MAL")))))</f>
        <v>Totalmente de acuerdo</v>
      </c>
      <c r="AO1049" s="22">
        <f>LARGE($AP$8:$AP$12,AM1049)</f>
        <v>3.4602076124567477E-2</v>
      </c>
      <c r="AP1049" s="22">
        <f>IF(AO1049&gt;0.1%,AO1049,"Algo Esta Mal")</f>
        <v>3.4602076124567477E-2</v>
      </c>
      <c r="AQ1049" s="21" t="str">
        <f>IF(AP1049=AO1049,AN1049," ")</f>
        <v>Totalmente de acuerdo</v>
      </c>
      <c r="AV1049" s="21">
        <v>4</v>
      </c>
      <c r="AW1049" s="21" t="str">
        <f>IF(AX1049=AY8,AW8,IF(AX1049=AY9,AW9,IF(AX1049=AY10,AW10,IF(AX1049=AY11,AW11,IF(AX1049=AY12,AW12,"ALGO ESTA MAL")))))</f>
        <v>Totalmente en desacuerdo</v>
      </c>
      <c r="AX1049" s="22">
        <f>LARGE($AY$8:$AY$12,AV1049)</f>
        <v>2.0761245674740483E-2</v>
      </c>
      <c r="AY1049" s="22">
        <f>IF(AX1049&gt;0.1%,AX1049,"Algo Esta Mal")</f>
        <v>2.0761245674740483E-2</v>
      </c>
      <c r="AZ1049" s="21" t="str">
        <f>IF(AY1049=AX1049,AW1049," ")</f>
        <v>Totalmente en desacuerdo</v>
      </c>
      <c r="BE1049" s="21">
        <v>4</v>
      </c>
      <c r="BF1049" s="21" t="str">
        <f>IF(BG1049=BH8,BF8,IF(BG1049=BH9,BF9,IF(BG1049=BH10,BF10,IF(BG1049=BH11,BF11,IF(BG1049=BH12,BF12,"ALGO ESTA MAL")))))</f>
        <v>Totalmente de acuerdo</v>
      </c>
      <c r="BG1049" s="22">
        <f>LARGE($BH$8:$BH$12,BE1049)</f>
        <v>2.768166089965398E-2</v>
      </c>
      <c r="BH1049" s="22">
        <f>IF(BG1049&gt;0.1%,BG1049,"Algo Esta Mal")</f>
        <v>2.768166089965398E-2</v>
      </c>
      <c r="BI1049" s="21" t="str">
        <f>IF(BH1049=BG1049,BF1049," ")</f>
        <v>Totalmente de acuerdo</v>
      </c>
      <c r="BN1049" s="21">
        <v>4</v>
      </c>
      <c r="BO1049" s="21" t="str">
        <f>IF(BP1049=BQ8,BO8,IF(BP1049=BQ9,BO9,IF(BP1049=BQ10,BO10,IF(BP1049=BQ11,BO11,IF(BP1049=BQ12,BO12,"ALGO ESTA MAL")))))</f>
        <v>Totalmente en desacuerdo</v>
      </c>
      <c r="BP1049" s="22">
        <f>LARGE($BQ$8:$BQ$12,BN1049)</f>
        <v>1.384083044982699E-2</v>
      </c>
      <c r="BQ1049" s="22">
        <f>IF(BP1049&gt;0.1%,BP1049,"Algo Esta Mal")</f>
        <v>1.384083044982699E-2</v>
      </c>
      <c r="BR1049" s="21" t="str">
        <f>IF(BQ1049=BP1049,BO1049," ")</f>
        <v>Totalmente en desacuerdo</v>
      </c>
      <c r="BW1049" s="21">
        <v>4</v>
      </c>
      <c r="BX1049" s="21" t="str">
        <f>IF(BY1049=BZ8,BX8,IF(BY1049=BZ9,BX9,IF(BY1049=BZ10,BX10,IF(BY1049=BZ11,BX11,IF(BY1049=BZ12,BX12,"ALGO ESTA MAL")))))</f>
        <v>Totalmente de acuerdo</v>
      </c>
      <c r="BY1049" s="22">
        <f>LARGE($BZ$8:$BZ$12,BW1049)</f>
        <v>2.4221453287197232E-2</v>
      </c>
      <c r="BZ1049" s="22">
        <f>IF(BY1049&gt;0.1%,BY1049,"Algo Esta Mal")</f>
        <v>2.4221453287197232E-2</v>
      </c>
      <c r="CA1049" s="21" t="str">
        <f>IF(BZ1049=BY1049,BX1049," ")</f>
        <v>Totalmente de acuerdo</v>
      </c>
    </row>
    <row r="1050" spans="3:79" x14ac:dyDescent="0.25">
      <c r="C1050" s="21">
        <v>5</v>
      </c>
      <c r="D1050" s="21" t="str">
        <f>IF(E1050=F8,D8,IF(E1050=F9,D9,IF(E1050=F10,D10,IF(E1050=F11,D11,IF(E1050=F12,D12,"ALGO ESTA MAL")))))</f>
        <v>Totalmente en desacuerdo</v>
      </c>
      <c r="E1050" s="22">
        <f>LARGE($F$8:$F$12,C1050)</f>
        <v>1.0380622837370242E-2</v>
      </c>
      <c r="F1050" s="22">
        <f>IF(E1050&gt;0.1%,E1050,"Algo Esta Mal")</f>
        <v>1.0380622837370242E-2</v>
      </c>
      <c r="G1050" s="21" t="str">
        <f>IF(F1050=E1050,D1050," ")</f>
        <v>Totalmente en desacuerdo</v>
      </c>
      <c r="L1050" s="21">
        <v>5</v>
      </c>
      <c r="M1050" s="21" t="str">
        <f>IF(N1050=O8,M8,IF(N1050=O9,M9,IF(N1050=O10,M10,IF(N1050=O11,M11,IF(N1050=O12,M12,"ALGO ESTA MAL")))))</f>
        <v>Totalmente en desacuerdo</v>
      </c>
      <c r="N1050" s="22">
        <f>LARGE($O$8:$O$12,L1050)</f>
        <v>1.384083044982699E-2</v>
      </c>
      <c r="O1050" s="22">
        <f>IF(N1050&gt;0.1%,N1050,"Algo Esta Mal")</f>
        <v>1.384083044982699E-2</v>
      </c>
      <c r="P1050" s="21" t="str">
        <f>IF(O1050=N1050,M1050," ")</f>
        <v>Totalmente en desacuerdo</v>
      </c>
      <c r="U1050" s="21">
        <v>5</v>
      </c>
      <c r="V1050" s="21" t="str">
        <f>IF(W1050=X8,V8,IF(W1050=X9,V9,IF(W1050=X10,V10,IF(W1050=X11,V11,IF(W1050=X12,V12,"ALGO ESTA MAL")))))</f>
        <v>Totalmente en desacuerdo</v>
      </c>
      <c r="W1050" s="22">
        <f>LARGE($X$8:$X$12,U1050)</f>
        <v>6.920415224913495E-3</v>
      </c>
      <c r="X1050" s="22">
        <f>IF(W1050&gt;0.1%,W1050,"Algo Esta Mal")</f>
        <v>6.920415224913495E-3</v>
      </c>
      <c r="Y1050" s="21" t="str">
        <f>IF(X1050=W1050,V1050," ")</f>
        <v>Totalmente en desacuerdo</v>
      </c>
      <c r="AD1050" s="21">
        <v>5</v>
      </c>
      <c r="AE1050" s="21" t="str">
        <f>IF(AF1050=AG8,AE8,IF(AF1050=AG9,AE9,IF(AF1050=AG10,AE10,IF(AF1050=AG11,AE11,IF(AF1050=AG12,AE12,"ALGO ESTA MAL")))))</f>
        <v>Totalmente en desacuerdo</v>
      </c>
      <c r="AF1050" s="22">
        <f>LARGE($AG$8:$AG$12,AD1050)</f>
        <v>1.7301038062283738E-2</v>
      </c>
      <c r="AG1050" s="22">
        <f>IF(AF1050&gt;0.1%,AF1050,"Algo Esta Mal")</f>
        <v>1.7301038062283738E-2</v>
      </c>
      <c r="AH1050" s="21" t="str">
        <f>IF(AG1050=AF1050,AE1050," ")</f>
        <v>Totalmente en desacuerdo</v>
      </c>
      <c r="AM1050" s="21">
        <v>5</v>
      </c>
      <c r="AN1050" s="21" t="str">
        <f>IF(AO1050=AP8,AN8,IF(AO1050=AP9,AN9,IF(AO1050=AP10,AN10,IF(AO1050=AP11,AN11,IF(AO1050=AP12,AN12,"ALGO ESTA MAL")))))</f>
        <v>Totalmente en desacuerdo</v>
      </c>
      <c r="AO1050" s="22">
        <f>LARGE($AP$8:$AP$12,AM1050)</f>
        <v>6.920415224913495E-3</v>
      </c>
      <c r="AP1050" s="22">
        <f>IF(AO1050&gt;0.1%,AO1050,"Algo Esta Mal")</f>
        <v>6.920415224913495E-3</v>
      </c>
      <c r="AQ1050" s="21" t="str">
        <f>IF(AP1050=AO1050,AN1050," ")</f>
        <v>Totalmente en desacuerdo</v>
      </c>
      <c r="AV1050" s="21">
        <v>5</v>
      </c>
      <c r="AW1050" s="21" t="str">
        <f>IF(AX1050=AY8,AW8,IF(AX1050=AY9,AW9,IF(AX1050=AY10,AW10,IF(AX1050=AY11,AW11,IF(AX1050=AY12,AW12,"ALGO ESTA MAL")))))</f>
        <v>Totalmente de acuerdo</v>
      </c>
      <c r="AX1050" s="22">
        <f>LARGE($AY$8:$AY$12,AV1050)</f>
        <v>6.920415224913495E-3</v>
      </c>
      <c r="AY1050" s="22">
        <f>IF(AX1050&gt;0.1%,AX1050,"Algo Esta Mal")</f>
        <v>6.920415224913495E-3</v>
      </c>
      <c r="AZ1050" s="21" t="str">
        <f>IF(AY1050=AX1050,AW1050," ")</f>
        <v>Totalmente de acuerdo</v>
      </c>
      <c r="BE1050" s="21">
        <v>5</v>
      </c>
      <c r="BF1050" s="21" t="str">
        <f>IF(BG1050=BH8,BF8,IF(BG1050=BH9,BF9,IF(BG1050=BH10,BF10,IF(BG1050=BH11,BF11,IF(BG1050=BH12,BF12,"ALGO ESTA MAL")))))</f>
        <v>Totalmente en desacuerdo</v>
      </c>
      <c r="BG1050" s="22">
        <f>LARGE($BH$8:$BH$12,BE1050)</f>
        <v>1.0380622837370242E-2</v>
      </c>
      <c r="BH1050" s="22">
        <f>IF(BG1050&gt;0.1%,BG1050,"Algo Esta Mal")</f>
        <v>1.0380622837370242E-2</v>
      </c>
      <c r="BI1050" s="21" t="str">
        <f>IF(BH1050=BG1050,BF1050," ")</f>
        <v>Totalmente en desacuerdo</v>
      </c>
      <c r="BN1050" s="21">
        <v>5</v>
      </c>
      <c r="BO1050" s="21" t="str">
        <f>IF(BP1050=BQ8,BO8,IF(BP1050=BQ9,BO9,IF(BP1050=BQ10,BO10,IF(BP1050=BQ11,BO11,IF(BP1050=BQ12,BO12,"ALGO ESTA MAL")))))</f>
        <v>Totalmente en desacuerdo</v>
      </c>
      <c r="BP1050" s="22">
        <f>LARGE($BQ$8:$BQ$12,BN1050)</f>
        <v>1.384083044982699E-2</v>
      </c>
      <c r="BQ1050" s="22">
        <f>IF(BP1050&gt;0.1%,BP1050,"Algo Esta Mal")</f>
        <v>1.384083044982699E-2</v>
      </c>
      <c r="BR1050" s="21" t="str">
        <f>IF(BQ1050=BP1050,BO1050," ")</f>
        <v>Totalmente en desacuerdo</v>
      </c>
      <c r="BW1050" s="21">
        <v>5</v>
      </c>
      <c r="BX1050" s="21" t="str">
        <f>IF(BY1050=BZ8,BX8,IF(BY1050=BZ9,BX9,IF(BY1050=BZ10,BX10,IF(BY1050=BZ11,BX11,IF(BY1050=BZ12,BX12,"ALGO ESTA MAL")))))</f>
        <v>Totalmente en desacuerdo</v>
      </c>
      <c r="BY1050" s="22">
        <f>LARGE($BZ$8:$BZ$12,BW1050)</f>
        <v>1.7301038062283738E-2</v>
      </c>
      <c r="BZ1050" s="22">
        <f>IF(BY1050&gt;0.1%,BY1050,"Algo Esta Mal")</f>
        <v>1.7301038062283738E-2</v>
      </c>
      <c r="CA1050" s="21" t="str">
        <f>IF(BZ1050=BY1050,BX1050," ")</f>
        <v>Totalmente en desacuerdo</v>
      </c>
    </row>
    <row r="1052" spans="3:79" x14ac:dyDescent="0.25">
      <c r="D1052" s="21" t="s">
        <v>446</v>
      </c>
      <c r="M1052" s="21" t="s">
        <v>446</v>
      </c>
      <c r="V1052" s="21" t="s">
        <v>446</v>
      </c>
      <c r="AE1052" s="21" t="s">
        <v>446</v>
      </c>
      <c r="AN1052" s="21" t="s">
        <v>446</v>
      </c>
      <c r="AW1052" s="21" t="s">
        <v>446</v>
      </c>
      <c r="BF1052" s="21" t="s">
        <v>446</v>
      </c>
      <c r="BO1052" s="21" t="s">
        <v>446</v>
      </c>
      <c r="BX1052" s="21" t="s">
        <v>446</v>
      </c>
    </row>
    <row r="1053" spans="3:79" x14ac:dyDescent="0.25">
      <c r="D1053" s="22">
        <f>SUM(F8:F10)</f>
        <v>0.78546712802768159</v>
      </c>
      <c r="E1053" s="22">
        <f>MAX(D1053:D1054)</f>
        <v>0.78546712802768159</v>
      </c>
      <c r="M1053" s="22">
        <f>SUM(O8:O10)</f>
        <v>0.76470588235294112</v>
      </c>
      <c r="N1053" s="22">
        <f>MAX(M1053:M1054)</f>
        <v>0.76470588235294112</v>
      </c>
      <c r="V1053" s="22">
        <f>SUM(X8:X10)</f>
        <v>0.65397923875432518</v>
      </c>
      <c r="W1053" s="22">
        <f>MAX(V1053:V1054)</f>
        <v>0.87889273356401376</v>
      </c>
      <c r="AE1053" s="22">
        <f>SUM(AG8:AG10)</f>
        <v>0.74394463667820077</v>
      </c>
      <c r="AF1053" s="22">
        <f>MAX(AE1053:AE1054)</f>
        <v>0.79238754325259519</v>
      </c>
      <c r="AN1053" s="22">
        <f>SUM(AP8:AP10)</f>
        <v>0.69204152249134943</v>
      </c>
      <c r="AO1053" s="22">
        <f>MAX(AN1053:AN1054)</f>
        <v>0.87197231833910027</v>
      </c>
      <c r="AW1053" s="22">
        <f>SUM(AY8:AY10)</f>
        <v>0.88581314878892736</v>
      </c>
      <c r="AX1053" s="22">
        <f>MAX(AW1053:AW1054)</f>
        <v>0.88581314878892736</v>
      </c>
      <c r="BF1053" s="22">
        <f>SUM(BH8:BH10)</f>
        <v>0.75432525951557095</v>
      </c>
      <c r="BG1053" s="22">
        <f>MAX(BF1053:BF1054)</f>
        <v>0.75432525951557095</v>
      </c>
      <c r="BO1053" s="22">
        <f>SUM(BQ8:BQ10)</f>
        <v>0.79584775086505188</v>
      </c>
      <c r="BP1053" s="22">
        <f>MAX(BO1053:BO1054)</f>
        <v>0.79584775086505188</v>
      </c>
      <c r="BX1053" s="22">
        <f>SUM(BZ8:BZ10)</f>
        <v>0.7820069204152249</v>
      </c>
      <c r="BY1053" s="22">
        <f>MAX(BX1053:BX1054)</f>
        <v>0.7820069204152249</v>
      </c>
    </row>
    <row r="1054" spans="3:79" x14ac:dyDescent="0.25">
      <c r="D1054" s="22">
        <f>SUM(F10:F12)</f>
        <v>0.74048442906574385</v>
      </c>
      <c r="M1054" s="22">
        <f>SUM(O10:O12)</f>
        <v>0.75086505190311426</v>
      </c>
      <c r="V1054" s="22">
        <f>SUM(X10:X12)</f>
        <v>0.87889273356401376</v>
      </c>
      <c r="AE1054" s="22">
        <f>SUM(AG10:AG12)</f>
        <v>0.79238754325259519</v>
      </c>
      <c r="AN1054" s="22">
        <f>SUM(AP10:AP12)</f>
        <v>0.87197231833910027</v>
      </c>
      <c r="AW1054" s="22">
        <f>SUM(AY10:AY12)</f>
        <v>0.65743944636678198</v>
      </c>
      <c r="BF1054" s="22">
        <f>SUM(BH10:BH12)</f>
        <v>0.74394463667820065</v>
      </c>
      <c r="BO1054" s="22">
        <f>SUM(BQ10:BQ12)</f>
        <v>0.69896193771626292</v>
      </c>
      <c r="BX1054" s="22">
        <f>SUM(BZ10:BZ12)</f>
        <v>0.72664359861591699</v>
      </c>
    </row>
    <row r="1056" spans="3:79" x14ac:dyDescent="0.25">
      <c r="D1056" s="21" t="s">
        <v>349</v>
      </c>
      <c r="E1056" s="22">
        <f>SUM(F8:F9)</f>
        <v>0.25951557093425603</v>
      </c>
      <c r="M1056" s="21" t="s">
        <v>349</v>
      </c>
      <c r="N1056" s="22">
        <f>SUM(O8:O9)</f>
        <v>0.2491349480968858</v>
      </c>
      <c r="V1056" s="21" t="s">
        <v>349</v>
      </c>
      <c r="W1056" s="22">
        <f>SUM(X8:X9)</f>
        <v>0.12110726643598616</v>
      </c>
      <c r="AE1056" s="21" t="s">
        <v>349</v>
      </c>
      <c r="AF1056" s="22">
        <f>SUM(AG8:AG9)</f>
        <v>0.20761245674740486</v>
      </c>
      <c r="AN1056" s="21" t="s">
        <v>349</v>
      </c>
      <c r="AO1056" s="22">
        <f>SUM(AP8:AP9)</f>
        <v>0.12802768166089964</v>
      </c>
      <c r="AW1056" s="21" t="s">
        <v>349</v>
      </c>
      <c r="AX1056" s="22">
        <f>SUM(AY8:AY9)</f>
        <v>0.34256055363321797</v>
      </c>
      <c r="BF1056" s="21" t="s">
        <v>349</v>
      </c>
      <c r="BG1056" s="22">
        <f>SUM(BH8:BH9)</f>
        <v>0.25605536332179929</v>
      </c>
      <c r="BO1056" s="21" t="s">
        <v>349</v>
      </c>
      <c r="BP1056" s="22">
        <f>SUM(BQ8:BQ9)</f>
        <v>0.30103806228373703</v>
      </c>
      <c r="BX1056" s="21" t="s">
        <v>349</v>
      </c>
      <c r="BY1056" s="22">
        <f>SUM(BZ8:BZ9)</f>
        <v>0.27335640138408301</v>
      </c>
    </row>
    <row r="1057" spans="4:77" x14ac:dyDescent="0.25">
      <c r="D1057" s="21" t="s">
        <v>457</v>
      </c>
      <c r="E1057" s="22">
        <f>SUM(F10)</f>
        <v>0.52595155709342556</v>
      </c>
      <c r="M1057" s="21" t="s">
        <v>457</v>
      </c>
      <c r="N1057" s="22">
        <f>SUM(O10)</f>
        <v>0.51557093425605538</v>
      </c>
      <c r="V1057" s="21" t="s">
        <v>457</v>
      </c>
      <c r="W1057" s="22">
        <f>SUM(X10)</f>
        <v>0.53287197231833905</v>
      </c>
      <c r="AE1057" s="21" t="s">
        <v>457</v>
      </c>
      <c r="AF1057" s="22">
        <f>SUM(AG10)</f>
        <v>0.53633217993079585</v>
      </c>
      <c r="AN1057" s="21" t="s">
        <v>457</v>
      </c>
      <c r="AO1057" s="22">
        <f>SUM(AP10)</f>
        <v>0.56401384083044981</v>
      </c>
      <c r="AW1057" s="21" t="s">
        <v>457</v>
      </c>
      <c r="AX1057" s="22">
        <f>SUM(AY10)</f>
        <v>0.54325259515570934</v>
      </c>
      <c r="BF1057" s="21" t="s">
        <v>457</v>
      </c>
      <c r="BG1057" s="22">
        <f>SUM(BH10)</f>
        <v>0.4982698961937716</v>
      </c>
      <c r="BO1057" s="21" t="s">
        <v>457</v>
      </c>
      <c r="BP1057" s="22">
        <f>SUM(BQ10)</f>
        <v>0.49480968858131485</v>
      </c>
      <c r="BX1057" s="21" t="s">
        <v>457</v>
      </c>
      <c r="BY1057" s="22">
        <f>SUM(BZ10)</f>
        <v>0.50865051903114189</v>
      </c>
    </row>
    <row r="1058" spans="4:77" x14ac:dyDescent="0.25">
      <c r="D1058" s="21" t="s">
        <v>351</v>
      </c>
      <c r="E1058" s="22">
        <f>SUM(F11:F12)</f>
        <v>0.21453287197231832</v>
      </c>
      <c r="M1058" s="21" t="s">
        <v>351</v>
      </c>
      <c r="N1058" s="22">
        <f>SUM(O11:O12)</f>
        <v>0.23529411764705882</v>
      </c>
      <c r="V1058" s="21" t="s">
        <v>351</v>
      </c>
      <c r="W1058" s="22">
        <f>SUM(X11:X12)</f>
        <v>0.34602076124567471</v>
      </c>
      <c r="AE1058" s="21" t="s">
        <v>351</v>
      </c>
      <c r="AF1058" s="22">
        <f>SUM(AG11:AG12)</f>
        <v>0.25605536332179929</v>
      </c>
      <c r="AN1058" s="21" t="s">
        <v>351</v>
      </c>
      <c r="AO1058" s="22">
        <f>SUM(AP11:AP12)</f>
        <v>0.30795847750865057</v>
      </c>
      <c r="AW1058" s="21" t="s">
        <v>351</v>
      </c>
      <c r="AX1058" s="22">
        <f>SUM(AY11:AY12)</f>
        <v>0.11418685121107267</v>
      </c>
      <c r="BF1058" s="21" t="s">
        <v>351</v>
      </c>
      <c r="BG1058" s="22">
        <f>SUM(BH11:BH12)</f>
        <v>0.24567474048442908</v>
      </c>
      <c r="BO1058" s="21" t="s">
        <v>351</v>
      </c>
      <c r="BP1058" s="22">
        <f>SUM(BQ11:BQ12)</f>
        <v>0.20415224913494809</v>
      </c>
      <c r="BX1058" s="21" t="s">
        <v>351</v>
      </c>
      <c r="BY1058" s="22">
        <f>SUM(BZ11:BZ12)</f>
        <v>0.2179930795847751</v>
      </c>
    </row>
    <row r="1060" spans="4:77" x14ac:dyDescent="0.25">
      <c r="E1060" s="21" t="str">
        <f>IF(E1056&gt;=51%,D1056,IF(E1057&gt;=51%,D1057,IF(E1058&gt;=51%,D1058,IF(SUM(E1056:E1057)&gt;SUM(E1057:E1058),D1056,IF(SUM(E1056:E1057)&lt;SUM(E1057:E1058),D1058,"Algo esta Mal")))))</f>
        <v>Medio</v>
      </c>
      <c r="N1060" s="21" t="str">
        <f>IF(N1056&gt;=51%,M1056,IF(N1057&gt;=51%,M1057,IF(N1058&gt;=51%,M1058,IF(SUM(N1056:N1057)&gt;SUM(N1057:N1058),M1056,IF(SUM(N1056:N1057)&lt;SUM(N1057:N1058),M1058,"Algo esta Mal")))))</f>
        <v>Medio</v>
      </c>
      <c r="W1060" s="21" t="str">
        <f>IF(W1056&gt;=51%,V1056,IF(W1057&gt;=51%,V1057,IF(W1058&gt;=51%,V1058,IF(SUM(W1056:W1057)&gt;SUM(W1057:W1058),V1056,IF(SUM(W1056:W1057)&lt;SUM(W1057:W1058),V1058,"Algo esta Mal")))))</f>
        <v>Medio</v>
      </c>
      <c r="AF1060" s="21" t="str">
        <f>IF(AF1056&gt;=51%,AE1056,IF(AF1057&gt;=51%,AE1057,IF(AF1058&gt;=51%,AE1058,IF(SUM(AF1056:AF1057)&gt;SUM(AF1057:AF1058),AE1056,IF(SUM(AF1056:AF1057)&lt;SUM(AF1057:AF1058),AE1058,"Algo esta Mal")))))</f>
        <v>Medio</v>
      </c>
      <c r="AO1060" s="21" t="str">
        <f>IF(AO1056&gt;=51%,AN1056,IF(AO1057&gt;=51%,AN1057,IF(AO1058&gt;=51%,AN1058,IF(SUM(AO1056:AO1057)&gt;SUM(AO1057:AO1058),AN1056,IF(SUM(AO1056:AO1057)&lt;SUM(AO1057:AO1058),AN1058,"Algo esta Mal")))))</f>
        <v>Medio</v>
      </c>
      <c r="AX1060" s="21" t="str">
        <f>IF(AX1056&gt;=51%,AW1056,IF(AX1057&gt;=51%,AW1057,IF(AX1058&gt;=51%,AW1058,IF(SUM(AX1056:AX1057)&gt;SUM(AX1057:AX1058),AW1056,IF(SUM(AX1056:AX1057)&lt;SUM(AX1057:AX1058),AW1058,"Algo esta Mal")))))</f>
        <v>Medio</v>
      </c>
      <c r="BG1060" s="21" t="str">
        <f>IF(BG1056&gt;=51%,BF1056,IF(BG1057&gt;=51%,BF1057,IF(BG1058&gt;=51%,BF1058,IF(SUM(BG1056:BG1057)&gt;SUM(BG1057:BG1058),BF1056,IF(SUM(BG1056:BG1057)&lt;SUM(BG1057:BG1058),BF1058,"Algo esta Mal")))))</f>
        <v>Bajo</v>
      </c>
      <c r="BP1060" s="21" t="str">
        <f>IF(BP1056&gt;=51%,BO1056,IF(BP1057&gt;=51%,BO1057,IF(BP1058&gt;=51%,BO1058,IF(SUM(BP1056:BP1057)&gt;SUM(BP1057:BP1058),BO1056,IF(SUM(BP1056:BP1057)&lt;SUM(BP1057:BP1058),BO1058,"Algo esta Mal")))))</f>
        <v>Bajo</v>
      </c>
      <c r="BY1060" s="21" t="str">
        <f>IF(BY1056&gt;=51%,BX1056,IF(BY1057&gt;=51%,BX1057,IF(BY1058&gt;=51%,BX1058,IF(SUM(BY1056:BY1057)&gt;SUM(BY1057:BY1058),BX1056,IF(SUM(BY1056:BY1057)&lt;SUM(BY1057:BY1058),BX1058,"Algo esta Mal")))))</f>
        <v>Bajo</v>
      </c>
    </row>
    <row r="1062" spans="4:77" x14ac:dyDescent="0.25">
      <c r="E1062" s="21" t="s">
        <v>364</v>
      </c>
      <c r="N1062" s="21" t="s">
        <v>364</v>
      </c>
      <c r="W1062" s="21" t="s">
        <v>364</v>
      </c>
      <c r="AF1062" s="21" t="s">
        <v>364</v>
      </c>
      <c r="AO1062" s="21" t="s">
        <v>364</v>
      </c>
      <c r="AX1062" s="21" t="s">
        <v>364</v>
      </c>
      <c r="BG1062" s="21" t="s">
        <v>364</v>
      </c>
      <c r="BP1062" s="21" t="s">
        <v>364</v>
      </c>
      <c r="BY1062" s="21" t="s">
        <v>364</v>
      </c>
    </row>
  </sheetData>
  <sheetProtection formatCells="0" formatColumns="0" formatRows="0" insertColumns="0" insertRows="0" insertHyperlinks="0" deleteColumns="0" deleteRows="0" sort="0" autoFilter="0" pivotTables="0"/>
  <mergeCells count="18">
    <mergeCell ref="BF4:BH4"/>
    <mergeCell ref="BF35:BH43"/>
    <mergeCell ref="BO4:BQ4"/>
    <mergeCell ref="BO35:BQ43"/>
    <mergeCell ref="BX4:BZ4"/>
    <mergeCell ref="BX35:BZ43"/>
    <mergeCell ref="AE4:AG4"/>
    <mergeCell ref="AE35:AG43"/>
    <mergeCell ref="AN4:AP4"/>
    <mergeCell ref="AN35:AP43"/>
    <mergeCell ref="AW4:AY4"/>
    <mergeCell ref="AW35:AY43"/>
    <mergeCell ref="D4:F4"/>
    <mergeCell ref="D35:F43"/>
    <mergeCell ref="M4:O4"/>
    <mergeCell ref="M35:O43"/>
    <mergeCell ref="V4:X4"/>
    <mergeCell ref="V35:X43"/>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3:Z1076"/>
  <sheetViews>
    <sheetView workbookViewId="0">
      <selection activeCell="M36" sqref="M36"/>
    </sheetView>
  </sheetViews>
  <sheetFormatPr baseColWidth="10" defaultColWidth="9.140625" defaultRowHeight="15" x14ac:dyDescent="0.25"/>
  <cols>
    <col min="4" max="6" width="26" customWidth="1"/>
    <col min="13" max="15" width="26" customWidth="1"/>
  </cols>
  <sheetData>
    <row r="3" spans="2:17" x14ac:dyDescent="0.25">
      <c r="B3" s="4"/>
      <c r="C3" s="4"/>
      <c r="D3" s="4"/>
      <c r="E3" s="4"/>
      <c r="F3" s="4"/>
      <c r="G3" s="4"/>
      <c r="H3" s="4"/>
      <c r="K3" s="18"/>
      <c r="L3" s="18"/>
      <c r="M3" s="18"/>
      <c r="N3" s="18"/>
      <c r="O3" s="18"/>
      <c r="P3" s="18"/>
      <c r="Q3" s="18"/>
    </row>
    <row r="4" spans="2:17" ht="15.75" x14ac:dyDescent="0.25">
      <c r="B4" s="4"/>
      <c r="D4" s="54" t="s">
        <v>447</v>
      </c>
      <c r="E4" s="55"/>
      <c r="F4" s="55"/>
      <c r="H4" s="4"/>
      <c r="K4" s="18"/>
      <c r="M4" s="54" t="s">
        <v>450</v>
      </c>
      <c r="N4" s="55"/>
      <c r="O4" s="55"/>
      <c r="Q4" s="18"/>
    </row>
    <row r="5" spans="2:17" x14ac:dyDescent="0.25">
      <c r="B5" s="4"/>
      <c r="D5" s="3" t="s">
        <v>340</v>
      </c>
      <c r="H5" s="4"/>
      <c r="K5" s="18"/>
      <c r="M5" s="3" t="s">
        <v>341</v>
      </c>
      <c r="Q5" s="18"/>
    </row>
    <row r="6" spans="2:17" x14ac:dyDescent="0.25">
      <c r="B6" s="4"/>
      <c r="D6" s="3" t="s">
        <v>455</v>
      </c>
      <c r="H6" s="4"/>
      <c r="K6" s="18"/>
      <c r="M6" s="3" t="s">
        <v>456</v>
      </c>
      <c r="Q6" s="18"/>
    </row>
    <row r="7" spans="2:17" x14ac:dyDescent="0.25">
      <c r="B7" s="4"/>
      <c r="D7" s="6"/>
      <c r="E7" s="10" t="s">
        <v>345</v>
      </c>
      <c r="F7" s="10" t="s">
        <v>346</v>
      </c>
      <c r="H7" s="4"/>
      <c r="K7" s="18"/>
      <c r="M7" s="6"/>
      <c r="N7" s="10" t="s">
        <v>345</v>
      </c>
      <c r="O7" s="10" t="s">
        <v>346</v>
      </c>
      <c r="Q7" s="18"/>
    </row>
    <row r="8" spans="2:17" x14ac:dyDescent="0.25">
      <c r="B8" s="4"/>
      <c r="D8" s="17" t="str">
        <f>('Satisfacción de los comités d'!A300)</f>
        <v>Totalmente en desacuerdo</v>
      </c>
      <c r="E8" s="9">
        <f>COUNTIF('Satisfacción de los comités d'!B5:J293,1)</f>
        <v>34</v>
      </c>
      <c r="F8" s="13">
        <f>(E8/E13)</f>
        <v>1.3071895424836602E-2</v>
      </c>
      <c r="H8" s="4"/>
      <c r="K8" s="18"/>
      <c r="M8" s="17" t="str">
        <f>('Satisfacción de los comités d'!A300)</f>
        <v>Totalmente en desacuerdo</v>
      </c>
      <c r="N8" s="9">
        <f>COUNTIF('Satisfacción de los comités d'!B5:J293,1)</f>
        <v>34</v>
      </c>
      <c r="O8" s="13">
        <f>(N8/N13)</f>
        <v>1.3071895424836602E-2</v>
      </c>
      <c r="Q8" s="18"/>
    </row>
    <row r="9" spans="2:17" x14ac:dyDescent="0.25">
      <c r="B9" s="4"/>
      <c r="D9" s="17" t="str">
        <f>('Satisfacción de los comités d'!A301)</f>
        <v>En desacuerdo</v>
      </c>
      <c r="E9" s="9">
        <f>COUNTIF('Satisfacción de los comités d'!B5:J293,2)</f>
        <v>584</v>
      </c>
      <c r="F9" s="13">
        <f>(E9/E13)</f>
        <v>0.2245290272971934</v>
      </c>
      <c r="H9" s="4"/>
      <c r="K9" s="18"/>
      <c r="M9" s="17" t="str">
        <f>('Satisfacción de los comités d'!A301)</f>
        <v>En desacuerdo</v>
      </c>
      <c r="N9" s="9">
        <f>COUNTIF('Satisfacción de los comités d'!B5:J293,2)</f>
        <v>584</v>
      </c>
      <c r="O9" s="13">
        <f>(N9/N13)</f>
        <v>0.2245290272971934</v>
      </c>
      <c r="Q9" s="18"/>
    </row>
    <row r="10" spans="2:17" x14ac:dyDescent="0.25">
      <c r="B10" s="4"/>
      <c r="D10" s="17" t="str">
        <f>('Satisfacción de los comités d'!A302)</f>
        <v>Ni de acuerdo ni en desacuerdo</v>
      </c>
      <c r="E10" s="9">
        <f>COUNTIF('Satisfacción de los comités d'!B5:J293,3)</f>
        <v>1364</v>
      </c>
      <c r="F10" s="13">
        <f>(E10/E13)</f>
        <v>0.52441368704344482</v>
      </c>
      <c r="H10" s="4"/>
      <c r="K10" s="18"/>
      <c r="M10" s="17" t="str">
        <f>('Satisfacción de los comités d'!A302)</f>
        <v>Ni de acuerdo ni en desacuerdo</v>
      </c>
      <c r="N10" s="9">
        <f>COUNTIF('Satisfacción de los comités d'!B5:J293,3)</f>
        <v>1364</v>
      </c>
      <c r="O10" s="13">
        <f>(N10/N13)</f>
        <v>0.52441368704344482</v>
      </c>
      <c r="Q10" s="18"/>
    </row>
    <row r="11" spans="2:17" x14ac:dyDescent="0.25">
      <c r="B11" s="4"/>
      <c r="D11" s="17" t="str">
        <f>('Satisfacción de los comités d'!A303)</f>
        <v>De acuerdo</v>
      </c>
      <c r="E11" s="9">
        <f>COUNTIF('Satisfacción de los comités d'!B5:J293,4)</f>
        <v>562</v>
      </c>
      <c r="F11" s="13">
        <f>(E11/E13)</f>
        <v>0.21607074202229912</v>
      </c>
      <c r="H11" s="4"/>
      <c r="K11" s="18"/>
      <c r="M11" s="17" t="str">
        <f>('Satisfacción de los comités d'!A303)</f>
        <v>De acuerdo</v>
      </c>
      <c r="N11" s="9">
        <f>COUNTIF('Satisfacción de los comités d'!B5:J293,4)</f>
        <v>562</v>
      </c>
      <c r="O11" s="13">
        <f>(N11/N13)</f>
        <v>0.21607074202229912</v>
      </c>
      <c r="Q11" s="18"/>
    </row>
    <row r="12" spans="2:17" x14ac:dyDescent="0.25">
      <c r="B12" s="4"/>
      <c r="D12" s="17" t="str">
        <f>('Satisfacción de los comités d'!A304)</f>
        <v>Totalmente de acuerdo</v>
      </c>
      <c r="E12" s="9">
        <f>COUNTIF('Satisfacción de los comités d'!B5:J293,5)</f>
        <v>57</v>
      </c>
      <c r="F12" s="13">
        <f>(E12/E13)</f>
        <v>2.1914648212226068E-2</v>
      </c>
      <c r="H12" s="4"/>
      <c r="K12" s="18"/>
      <c r="M12" s="17" t="str">
        <f>('Satisfacción de los comités d'!A304)</f>
        <v>Totalmente de acuerdo</v>
      </c>
      <c r="N12" s="9">
        <f>COUNTIF('Satisfacción de los comités d'!B5:J293,5)</f>
        <v>57</v>
      </c>
      <c r="O12" s="13">
        <f>(N12/N13)</f>
        <v>2.1914648212226068E-2</v>
      </c>
      <c r="Q12" s="18"/>
    </row>
    <row r="13" spans="2:17" x14ac:dyDescent="0.25">
      <c r="B13" s="4"/>
      <c r="D13" s="20" t="str">
        <f>('Satisfacción de los comités d'!A305)</f>
        <v>Total</v>
      </c>
      <c r="E13" s="10">
        <f>SUM(E8:E12)</f>
        <v>2601</v>
      </c>
      <c r="F13" s="14">
        <f>SUM(F8:F12)</f>
        <v>1</v>
      </c>
      <c r="H13" s="4"/>
      <c r="K13" s="18"/>
      <c r="M13" s="20" t="str">
        <f>('Satisfacción de los comités d'!A305)</f>
        <v>Total</v>
      </c>
      <c r="N13" s="10">
        <f>SUM(N8:N12)</f>
        <v>2601</v>
      </c>
      <c r="O13" s="14">
        <f>SUM(O8:O12)</f>
        <v>1</v>
      </c>
      <c r="Q13" s="18"/>
    </row>
    <row r="14" spans="2:17" x14ac:dyDescent="0.25">
      <c r="B14" s="4"/>
      <c r="D14" s="3" t="s">
        <v>353</v>
      </c>
      <c r="H14" s="4"/>
      <c r="K14" s="18"/>
      <c r="M14" s="3" t="s">
        <v>353</v>
      </c>
      <c r="Q14" s="18"/>
    </row>
    <row r="15" spans="2:17" x14ac:dyDescent="0.25">
      <c r="B15" s="4"/>
      <c r="D15" s="3" t="s">
        <v>352</v>
      </c>
      <c r="H15" s="4"/>
      <c r="K15" s="18"/>
      <c r="M15" s="3" t="s">
        <v>352</v>
      </c>
      <c r="Q15" s="18"/>
    </row>
    <row r="16" spans="2:17" x14ac:dyDescent="0.25">
      <c r="B16" s="4"/>
      <c r="H16" s="4"/>
      <c r="K16" s="18"/>
      <c r="Q16" s="18"/>
    </row>
    <row r="17" spans="2:17" x14ac:dyDescent="0.25">
      <c r="B17" s="4"/>
      <c r="H17" s="4"/>
      <c r="K17" s="18"/>
      <c r="Q17" s="18"/>
    </row>
    <row r="18" spans="2:17" x14ac:dyDescent="0.25">
      <c r="B18" s="4"/>
      <c r="H18" s="4"/>
      <c r="K18" s="18"/>
      <c r="Q18" s="18"/>
    </row>
    <row r="19" spans="2:17" x14ac:dyDescent="0.25">
      <c r="B19" s="4"/>
      <c r="H19" s="4"/>
      <c r="K19" s="18"/>
      <c r="Q19" s="18"/>
    </row>
    <row r="20" spans="2:17" x14ac:dyDescent="0.25">
      <c r="B20" s="4"/>
      <c r="H20" s="4"/>
      <c r="K20" s="18"/>
      <c r="Q20" s="18"/>
    </row>
    <row r="21" spans="2:17" x14ac:dyDescent="0.25">
      <c r="B21" s="4"/>
      <c r="H21" s="4"/>
      <c r="K21" s="18"/>
      <c r="Q21" s="18"/>
    </row>
    <row r="22" spans="2:17" x14ac:dyDescent="0.25">
      <c r="B22" s="4"/>
      <c r="H22" s="4"/>
      <c r="K22" s="18"/>
      <c r="Q22" s="18"/>
    </row>
    <row r="23" spans="2:17" x14ac:dyDescent="0.25">
      <c r="B23" s="4"/>
      <c r="H23" s="4"/>
      <c r="K23" s="18"/>
      <c r="Q23" s="18"/>
    </row>
    <row r="24" spans="2:17" x14ac:dyDescent="0.25">
      <c r="B24" s="4"/>
      <c r="H24" s="4"/>
      <c r="K24" s="18"/>
      <c r="Q24" s="18"/>
    </row>
    <row r="25" spans="2:17" x14ac:dyDescent="0.25">
      <c r="B25" s="4"/>
      <c r="H25" s="4"/>
      <c r="K25" s="18"/>
      <c r="Q25" s="18"/>
    </row>
    <row r="26" spans="2:17" x14ac:dyDescent="0.25">
      <c r="B26" s="4"/>
      <c r="H26" s="4"/>
      <c r="K26" s="18"/>
      <c r="Q26" s="18"/>
    </row>
    <row r="27" spans="2:17" x14ac:dyDescent="0.25">
      <c r="B27" s="4"/>
      <c r="H27" s="4"/>
      <c r="K27" s="18"/>
      <c r="Q27" s="18"/>
    </row>
    <row r="28" spans="2:17" x14ac:dyDescent="0.25">
      <c r="B28" s="4"/>
      <c r="H28" s="4"/>
      <c r="K28" s="18"/>
      <c r="Q28" s="18"/>
    </row>
    <row r="29" spans="2:17" x14ac:dyDescent="0.25">
      <c r="B29" s="4"/>
      <c r="H29" s="4"/>
      <c r="K29" s="18"/>
      <c r="Q29" s="18"/>
    </row>
    <row r="30" spans="2:17" x14ac:dyDescent="0.25">
      <c r="B30" s="4"/>
      <c r="H30" s="4"/>
      <c r="K30" s="18"/>
      <c r="Q30" s="18"/>
    </row>
    <row r="31" spans="2:17" x14ac:dyDescent="0.25">
      <c r="B31" s="4"/>
      <c r="H31" s="4"/>
      <c r="K31" s="18"/>
      <c r="Q31" s="18"/>
    </row>
    <row r="32" spans="2:17" x14ac:dyDescent="0.25">
      <c r="B32" s="4"/>
      <c r="H32" s="4"/>
      <c r="K32" s="18"/>
      <c r="Q32" s="18"/>
    </row>
    <row r="33" spans="2:21" x14ac:dyDescent="0.25">
      <c r="B33" s="4"/>
      <c r="D33" s="3" t="s">
        <v>354</v>
      </c>
      <c r="H33" s="4"/>
      <c r="K33" s="18"/>
      <c r="M33" s="3" t="s">
        <v>355</v>
      </c>
      <c r="Q33" s="18"/>
    </row>
    <row r="34" spans="2:21" x14ac:dyDescent="0.25">
      <c r="B34" s="4"/>
      <c r="D34" s="3" t="s">
        <v>455</v>
      </c>
      <c r="H34" s="4"/>
      <c r="K34" s="18"/>
      <c r="M34" s="3" t="s">
        <v>456</v>
      </c>
      <c r="Q34" s="18"/>
    </row>
    <row r="35" spans="2:21" x14ac:dyDescent="0.25">
      <c r="B35" s="4"/>
      <c r="H35" s="4"/>
      <c r="K35" s="18"/>
      <c r="Q35" s="18"/>
    </row>
    <row r="36" spans="2:21" x14ac:dyDescent="0.25">
      <c r="B36" s="4"/>
      <c r="D36" s="52" t="str">
        <f ca="1">CONCATENATE("En la ",D5," y ",D33," se puede observar que la variable ",E1001," en base a su dimensión ",E1002," es calificado como ",E1008," ya que el ",ROUND(D1006*100,0),"% de los resultados lo califican como ",D1005,", el ",ROUND(E1006*100,0),"% ",E1005," y el ",ROUND(F1006*100,0),"% lo califico como ",F1005," estos resultados son originados debido a que, ",D1011," ",E1011,",","asi mismo ",D1012," ",E1012,", también ",D1013," ",E1013,", así ",D1014," ",E1014,", también ",D1015," ",E1015,", también ",D1016," ",E1016,", sin embargo ",D1017," ",E1017,", no obstante ",D1018," ",E1018, ", ","asi mismo ",D1019," ",E1019,","," por todas estas razones, es que la variable ",E1001," basado en su dimensión ",E1002," y calificado por los ",E1003," es considerado como ",E1008,".")</f>
        <v>En la Tabla 1 y Figura.1 se puede observar que la variable Satisfacción de los comités del Programa Vaso de Leche en base a su dimensión Satisfacción del servicio es calificado como Medio ya que el 24% de los resultados lo califican como Totalmente en desacuerdo y En desacuerdo, el 52% Ni de acuerdo ni en desacuerdo y el 24% lo califico como De acuerdo y Totalmente de acuerdo estos resultados son originados debido a que, el 53% determinó como Ni de acuerdo ni en desacuerdo x,asi mismo el 52% de los Beneficiaross determinó como Ni de acuerdo ni en desacuerdo x, también el 53% calificó como Ni de acuerdo ni en desacuerdo x, así el 54% de los Beneficiaross mencionó como Ni de acuerdo ni en desacuerdo x, también el 56% percibió como Ni de acuerdo ni en desacuerdo x, también el 54% consideró como Ni de acuerdo ni en desacuerdo x, sin embargo el 50% de los Beneficiaross calificó como Ni de acuerdo ni en desacuerdo x, no obstante el 49% Tuvo una percepción de como Ni de acuerdo ni en desacuerdo x, asi mismo el 51% valoró como Ni de acuerdo ni en desacuerdo x, por todas estas razones, es que la variable Satisfacción de los comités del Programa Vaso de Leche basado en su dimensión Satisfacción del servicio y calificado por los Beneficiaross es considerado como Medio.</v>
      </c>
      <c r="E36" s="56"/>
      <c r="F36" s="56"/>
      <c r="G36" s="23"/>
      <c r="H36" s="24"/>
      <c r="I36" s="23"/>
      <c r="J36" s="23"/>
      <c r="K36" s="18"/>
      <c r="L36" s="23"/>
      <c r="M36" s="52" t="str">
        <f ca="1">CONCATENATE("En la ",M5," y ",M33," se puede observar que la variable ",N1001," tiene una calificación de ",N1008,","," ello debido a que el ",ROUND(N1006*100,0),"% de los resultados estan en las categorias de ",M1005," mientras que el ",ROUND(N1006*100,0),"% ",N1005," y el ",ROUND(O1006*100,0),"% ",O1005," en tal sentido se puede observar que la mayoria de los resultados es decir el ",ROUND(P1007*100,0),"% tiene una calificación inclinada para un valor ",N1008," estos resultados se originaron debido a que ",X1016,", finalmente dentro de las dimensiones evaluadas la que cuenta con mayor deficiencia es la dimensión ",L1076,)</f>
        <v>En la Tabla 2 y Figura.2 se puede observar que la variable Satisfacción de los comités del Programa Vaso de Leche tiene una calificación de Medio, ello debido a que el 52% de los resultados estan en las categorias de Totalmente en desacuerdo y En desacuerdo mientras que el 52% Ni de acuerdo ni en desacuerdo y el 24% De acuerdo y Totalmente de acuerdo en tal sentido se puede observar que la mayoria de los resultados es decir el 76% tiene una calificación inclinada para un valor Medio estos resultados se originaron debido a que el 52% de los Beneficiaross determinó a la dimensión Satisfacción del servicio como Ni de acuerdo ni en desacuerdo, finalmente dentro de las dimensiones evaluadas la que cuenta con mayor deficiencia es la dimensión Satisfacción del servicio</v>
      </c>
      <c r="N36" s="56"/>
      <c r="O36" s="56"/>
      <c r="P36" s="23"/>
      <c r="Q36" s="25"/>
      <c r="R36" s="23"/>
      <c r="S36" s="23"/>
      <c r="T36" s="23"/>
      <c r="U36" s="23"/>
    </row>
    <row r="37" spans="2:21" x14ac:dyDescent="0.25">
      <c r="B37" s="4"/>
      <c r="D37" s="53"/>
      <c r="E37" s="53"/>
      <c r="F37" s="53"/>
      <c r="H37" s="4"/>
      <c r="K37" s="18"/>
      <c r="M37" s="53"/>
      <c r="N37" s="53"/>
      <c r="O37" s="53"/>
      <c r="Q37" s="18"/>
    </row>
    <row r="38" spans="2:21" x14ac:dyDescent="0.25">
      <c r="B38" s="4"/>
      <c r="D38" s="53"/>
      <c r="E38" s="53"/>
      <c r="F38" s="53"/>
      <c r="H38" s="4"/>
      <c r="K38" s="18"/>
      <c r="M38" s="53"/>
      <c r="N38" s="53"/>
      <c r="O38" s="53"/>
      <c r="Q38" s="18"/>
    </row>
    <row r="39" spans="2:21" x14ac:dyDescent="0.25">
      <c r="B39" s="4"/>
      <c r="D39" s="53"/>
      <c r="E39" s="53"/>
      <c r="F39" s="53"/>
      <c r="H39" s="4"/>
      <c r="K39" s="18"/>
      <c r="M39" s="53"/>
      <c r="N39" s="53"/>
      <c r="O39" s="53"/>
      <c r="Q39" s="18"/>
    </row>
    <row r="40" spans="2:21" x14ac:dyDescent="0.25">
      <c r="D40" s="53"/>
      <c r="E40" s="53"/>
      <c r="F40" s="53"/>
      <c r="M40" s="53"/>
      <c r="N40" s="53"/>
      <c r="O40" s="53"/>
    </row>
    <row r="41" spans="2:21" x14ac:dyDescent="0.25">
      <c r="D41" s="53"/>
      <c r="E41" s="53"/>
      <c r="F41" s="53"/>
      <c r="M41" s="53"/>
      <c r="N41" s="53"/>
      <c r="O41" s="53"/>
    </row>
    <row r="42" spans="2:21" x14ac:dyDescent="0.25">
      <c r="D42" s="53"/>
      <c r="E42" s="53"/>
      <c r="F42" s="53"/>
      <c r="M42" s="53"/>
      <c r="N42" s="53"/>
      <c r="O42" s="53"/>
    </row>
    <row r="43" spans="2:21" x14ac:dyDescent="0.25">
      <c r="D43" s="53"/>
      <c r="E43" s="53"/>
      <c r="F43" s="53"/>
      <c r="M43" s="53"/>
      <c r="N43" s="53"/>
      <c r="O43" s="53"/>
    </row>
    <row r="44" spans="2:21" x14ac:dyDescent="0.25">
      <c r="D44" s="53"/>
      <c r="E44" s="53"/>
      <c r="F44" s="53"/>
      <c r="M44" s="53"/>
      <c r="N44" s="53"/>
      <c r="O44" s="53"/>
    </row>
    <row r="45" spans="2:21" x14ac:dyDescent="0.25">
      <c r="D45" s="53"/>
      <c r="E45" s="53"/>
      <c r="F45" s="53"/>
      <c r="M45" s="53"/>
      <c r="N45" s="53"/>
      <c r="O45" s="53"/>
    </row>
    <row r="46" spans="2:21" x14ac:dyDescent="0.25">
      <c r="D46" s="53"/>
      <c r="E46" s="53"/>
      <c r="F46" s="53"/>
      <c r="M46" s="53"/>
      <c r="N46" s="53"/>
      <c r="O46" s="53"/>
    </row>
    <row r="47" spans="2:21" x14ac:dyDescent="0.25">
      <c r="D47" s="53"/>
      <c r="E47" s="53"/>
      <c r="F47" s="53"/>
      <c r="M47" s="53"/>
      <c r="N47" s="53"/>
      <c r="O47" s="53"/>
    </row>
    <row r="1001" spans="3:16" x14ac:dyDescent="0.25">
      <c r="D1001" s="3" t="s">
        <v>333</v>
      </c>
      <c r="E1001" s="3" t="str">
        <f>(M6)</f>
        <v>Satisfacción de los comités del Programa Vaso de Leche</v>
      </c>
      <c r="M1001" s="3" t="s">
        <v>333</v>
      </c>
      <c r="N1001" s="3" t="str">
        <f>(M6)</f>
        <v>Satisfacción de los comités del Programa Vaso de Leche</v>
      </c>
    </row>
    <row r="1002" spans="3:16" x14ac:dyDescent="0.25">
      <c r="D1002" s="3" t="s">
        <v>359</v>
      </c>
      <c r="E1002" s="3" t="str">
        <f>(D6)</f>
        <v>Satisfacción del servicio</v>
      </c>
      <c r="M1002" s="3" t="s">
        <v>359</v>
      </c>
      <c r="N1002" s="3" t="str">
        <f>(M6)</f>
        <v>Satisfacción de los comités del Programa Vaso de Leche</v>
      </c>
    </row>
    <row r="1003" spans="3:16" x14ac:dyDescent="0.25">
      <c r="D1003" s="3" t="s">
        <v>451</v>
      </c>
      <c r="E1003" s="3" t="s">
        <v>360</v>
      </c>
      <c r="M1003" s="3" t="s">
        <v>451</v>
      </c>
      <c r="N1003" s="3" t="s">
        <v>360</v>
      </c>
    </row>
    <row r="1004" spans="3:16" x14ac:dyDescent="0.25">
      <c r="C1004" s="3" t="s">
        <v>366</v>
      </c>
      <c r="D1004" s="3" t="s">
        <v>349</v>
      </c>
      <c r="E1004" s="3" t="s">
        <v>457</v>
      </c>
      <c r="F1004" s="3" t="s">
        <v>351</v>
      </c>
      <c r="L1004" s="3" t="s">
        <v>366</v>
      </c>
      <c r="M1004" s="3" t="s">
        <v>349</v>
      </c>
      <c r="N1004" s="3" t="s">
        <v>457</v>
      </c>
      <c r="O1004" s="3" t="s">
        <v>351</v>
      </c>
    </row>
    <row r="1005" spans="3:16" x14ac:dyDescent="0.25">
      <c r="C1005" s="3" t="s">
        <v>344</v>
      </c>
      <c r="D1005" s="3" t="str">
        <f>CONCATENATE(D8," y ",D9)</f>
        <v>Totalmente en desacuerdo y En desacuerdo</v>
      </c>
      <c r="E1005" s="3" t="str">
        <f>D10</f>
        <v>Ni de acuerdo ni en desacuerdo</v>
      </c>
      <c r="F1005" s="3" t="str">
        <f>CONCATENATE(D11," y ",D12)</f>
        <v>De acuerdo y Totalmente de acuerdo</v>
      </c>
      <c r="L1005" s="3" t="s">
        <v>344</v>
      </c>
      <c r="M1005" s="3" t="str">
        <f>CONCATENATE(M8," y ",M9)</f>
        <v>Totalmente en desacuerdo y En desacuerdo</v>
      </c>
      <c r="N1005" s="3" t="str">
        <f>M10</f>
        <v>Ni de acuerdo ni en desacuerdo</v>
      </c>
      <c r="O1005" s="3" t="str">
        <f>CONCATENATE(M11," y ",M12)</f>
        <v>De acuerdo y Totalmente de acuerdo</v>
      </c>
    </row>
    <row r="1006" spans="3:16" x14ac:dyDescent="0.25">
      <c r="D1006" s="7">
        <f>SUM(F8:F9)</f>
        <v>0.23760092272203001</v>
      </c>
      <c r="E1006" s="7">
        <f>F10</f>
        <v>0.52441368704344482</v>
      </c>
      <c r="F1006" s="7">
        <f>SUM(F11:F12)</f>
        <v>0.2379853902345252</v>
      </c>
      <c r="M1006" s="7">
        <f>SUM(O8:O9)</f>
        <v>0.23760092272203001</v>
      </c>
      <c r="N1006" s="7">
        <f>O10</f>
        <v>0.52441368704344482</v>
      </c>
      <c r="O1006" s="7">
        <f>SUM(O11:O12)</f>
        <v>0.2379853902345252</v>
      </c>
    </row>
    <row r="1007" spans="3:16" x14ac:dyDescent="0.25">
      <c r="C1007" s="3" t="s">
        <v>452</v>
      </c>
      <c r="D1007" s="7">
        <f>SUM(D1006:E1006)</f>
        <v>0.76201460976547486</v>
      </c>
      <c r="E1007" s="7">
        <f>SUM(E1006:F1006)</f>
        <v>0.76239907727797007</v>
      </c>
      <c r="F1007" s="7">
        <f>(D1007-E1007)</f>
        <v>-3.8446751249521238E-4</v>
      </c>
      <c r="L1007" s="3" t="s">
        <v>452</v>
      </c>
      <c r="M1007" s="7">
        <f>SUM(M1006:N1006)</f>
        <v>0.76201460976547486</v>
      </c>
      <c r="N1007" s="7">
        <f>SUM(N1006:O1006)</f>
        <v>0.76239907727797007</v>
      </c>
      <c r="O1007" s="7">
        <f>(M1007-N1007)</f>
        <v>-3.8446751249521238E-4</v>
      </c>
      <c r="P1007" s="7">
        <f>MAX(M1007:N1007)</f>
        <v>0.76239907727797007</v>
      </c>
    </row>
    <row r="1008" spans="3:16" x14ac:dyDescent="0.25">
      <c r="D1008" s="3" t="s">
        <v>453</v>
      </c>
      <c r="E1008" t="str">
        <f>IF(AND(F1007&gt;=-5%,F1007&lt;=5%),E1004,IF(F1007&gt;=6%,D1004,IF(F1007&lt;=-5%,F1004,E1004)))</f>
        <v>Medio</v>
      </c>
      <c r="M1008" s="3" t="s">
        <v>453</v>
      </c>
      <c r="N1008" t="str">
        <f>IF(AND(O1007&gt;=-5%,O1007&lt;=5%),N1004,IF(O1007&gt;=6%,M1004,IF(O1007&lt;=-5%,O1004,N1004)))</f>
        <v>Medio</v>
      </c>
    </row>
    <row r="1011" spans="4:26" x14ac:dyDescent="0.25">
      <c r="D1011" s="3" t="str">
        <f ca="1">'Por Valoracion (3) Dimension 2'!Q1016</f>
        <v>el 53% determinó como Ni de acuerdo ni en desacuerdo</v>
      </c>
      <c r="E1011" s="3" t="str">
        <f>'Por Valoracion (3) Dimension 2'!I1016</f>
        <v>x</v>
      </c>
    </row>
    <row r="1012" spans="4:26" x14ac:dyDescent="0.25">
      <c r="D1012" s="3" t="str">
        <f ca="1">'Por Valoracion (3) Dimension 2'!Q1017</f>
        <v>el 52% de los Beneficiaross determinó como Ni de acuerdo ni en desacuerdo</v>
      </c>
      <c r="E1012" s="3" t="str">
        <f>'Por Valoracion (3) Dimension 2'!I1017</f>
        <v>x</v>
      </c>
    </row>
    <row r="1013" spans="4:26" x14ac:dyDescent="0.25">
      <c r="D1013" s="3" t="str">
        <f ca="1">'Por Valoracion (3) Dimension 2'!Q1018</f>
        <v>el 53% calificó como Ni de acuerdo ni en desacuerdo</v>
      </c>
      <c r="E1013" s="3" t="str">
        <f>'Por Valoracion (3) Dimension 2'!I1018</f>
        <v>x</v>
      </c>
    </row>
    <row r="1014" spans="4:26" x14ac:dyDescent="0.25">
      <c r="D1014" s="3" t="str">
        <f ca="1">'Por Valoracion (3) Dimension 2'!Q1019</f>
        <v>el 54% de los Beneficiaross mencionó como Ni de acuerdo ni en desacuerdo</v>
      </c>
      <c r="E1014" s="3" t="str">
        <f>'Por Valoracion (3) Dimension 2'!I1019</f>
        <v>x</v>
      </c>
    </row>
    <row r="1015" spans="4:26" x14ac:dyDescent="0.25">
      <c r="D1015" s="3" t="str">
        <f ca="1">'Por Valoracion (3) Dimension 2'!Q1020</f>
        <v>el 56% percibió como Ni de acuerdo ni en desacuerdo</v>
      </c>
      <c r="E1015" s="3" t="str">
        <f>'Por Valoracion (3) Dimension 2'!I1020</f>
        <v>x</v>
      </c>
      <c r="L1015" s="3" t="s">
        <v>370</v>
      </c>
      <c r="M1015" s="3" t="str">
        <f>M1005</f>
        <v>Totalmente en desacuerdo y En desacuerdo</v>
      </c>
      <c r="N1015" s="3" t="str">
        <f>N1005</f>
        <v>Ni de acuerdo ni en desacuerdo</v>
      </c>
      <c r="O1015" s="3" t="str">
        <f>O1005</f>
        <v>De acuerdo y Totalmente de acuerdo</v>
      </c>
      <c r="P1015" s="3" t="s">
        <v>454</v>
      </c>
      <c r="Q1015" s="3" t="s">
        <v>371</v>
      </c>
      <c r="R1015" s="3" t="s">
        <v>372</v>
      </c>
      <c r="S1015" s="3" t="s">
        <v>373</v>
      </c>
      <c r="T1015" s="3" t="s">
        <v>374</v>
      </c>
      <c r="U1015" s="3" t="s">
        <v>375</v>
      </c>
      <c r="V1015" s="3" t="s">
        <v>376</v>
      </c>
      <c r="W1015" s="3" t="s">
        <v>377</v>
      </c>
      <c r="X1015" s="3" t="s">
        <v>369</v>
      </c>
      <c r="Y1015" s="3"/>
      <c r="Z1015" s="3"/>
    </row>
    <row r="1016" spans="4:26" x14ac:dyDescent="0.25">
      <c r="D1016" s="3" t="str">
        <f ca="1">'Por Valoracion (3) Dimension 2'!Q1021</f>
        <v>el 54% consideró como Ni de acuerdo ni en desacuerdo</v>
      </c>
      <c r="E1016" s="3" t="str">
        <f>'Por Valoracion (3) Dimension 2'!I1021</f>
        <v>x</v>
      </c>
      <c r="L1016" s="3" t="str">
        <f>(D6)</f>
        <v>Satisfacción del servicio</v>
      </c>
      <c r="M1016" s="7">
        <f>(D1006)</f>
        <v>0.23760092272203001</v>
      </c>
      <c r="N1016" s="7">
        <f>(E1006)</f>
        <v>0.52441368704344482</v>
      </c>
      <c r="O1016" s="7">
        <f>(F1006)</f>
        <v>0.2379853902345252</v>
      </c>
      <c r="P1016" s="7">
        <f>MAX(M1016:O1016)</f>
        <v>0.52441368704344482</v>
      </c>
      <c r="Q1016" s="3" t="str">
        <f>IF(P1016=M1016,$M$1015,IF(P1016=N1016,$N$1015,IF(P1016=O1016,$O$1015,"algo esta mal")))</f>
        <v>Ni de acuerdo ni en desacuerdo</v>
      </c>
      <c r="R1016" s="3">
        <f ca="1" xml:space="preserve"> RANDBETWEEN(1,10)</f>
        <v>6</v>
      </c>
      <c r="S1016" s="3" t="str">
        <f ca="1">IF(R1016='Por Valoracion (3) Dimension 2'!$AB$1100,'Por Valoracion (3) Dimension 2'!$AC$1100,IF(R1016='Por Valoracion (3) Dimension 2'!$AB$1101,'Por Valoracion (3) Dimension 2'!$AC$1101,IF(R1016='Por Valoracion (3) Dimension 2'!$AB$1102,'Por Valoracion (3) Dimension 2'!$AC$1102,IF(R1016='Por Valoracion (3) Dimension 2'!$AB$1103,'Por Valoracion (3) Dimension 2'!$AC$1103,IF(R1016='Por Valoracion (3) Dimension 2'!$AB$1104,'Por Valoracion (3) Dimension 2'!$AC$1104,IF(R1016='Por Valoracion (3) Dimension 2'!$AB$1105,'Por Valoracion (3) Dimension 2'!$AC$1105,IF(R1016='Por Valoracion (3) Dimension 2'!$AB$1106,'Por Valoracion (3) Dimension 2'!$AC$1106,IF(R1016='Por Valoracion (3) Dimension 2'!$AB$1107,'Por Valoracion (3) Dimension 2'!$AC$1107,IF(R1016='Por Valoracion (3) Dimension 2'!$AB$1108,'Por Valoracion (3) Dimension 2'!$AC$1108,IF(R1016='Por Valoracion (3) Dimension 2'!$AB$1109,'Por Valoracion (3) Dimension 2'!$AC$1109, A4000))))))))))</f>
        <v>determinó</v>
      </c>
      <c r="T1016" s="3">
        <f ca="1" xml:space="preserve"> RANDBETWEEN(1,7)</f>
        <v>2</v>
      </c>
      <c r="U1016" s="3" t="str">
        <f ca="1">IF(T1016='Por Valoracion (3) Dimension 2'!$AB$1110,'Por Valoracion (3) Dimension 2'!$AC$1110,IF(T1016='Por Valoracion (3) Dimension 2'!$AB$1111,'Por Valoracion (3) Dimension 2'!$AC$1111,IF(T1016='Por Valoracion (3) Dimension 2'!$AB$1112,'Por Valoracion (3) Dimension 2'!$AC$1112,IF(T1016='Por Valoracion (3) Dimension 2'!$AB$1113,'Por Valoracion (3) Dimension 2'!$AC$1113,IF(T1016='Por Valoracion (3) Dimension 2'!$AB$1114,'Por Valoracion (3) Dimension 2'!$AC$1114,IF(T1016='Por Valoracion (3) Dimension 2'!$AB$1115,'Por Valoracion (3) Dimension 2'!$AC$1115,IF(T1016='Por Valoracion (3) Dimension 2'!$AB$1116,'Por Valoracion (3) Dimension 2'!$AC$1116,IF(T1016='Por Valoracion (3) Dimension 2'!$AB$1117,'Por Valoracion (3) Dimension 2'!$AC$1117,IF(T1016='Por Valoracion (3) Dimension 2'!$AB$1118,'Por Valoracion (3) Dimension 2'!$AC$1118,IF(T1016='Por Valoracion (3) Dimension 2'!$AB$1119,'Por Valoracion (3) Dimension 2'!$AC$1119, A4000))))))))))</f>
        <v xml:space="preserve">por otro lado </v>
      </c>
      <c r="V1016" s="3">
        <f ca="1" xml:space="preserve"> RANDBETWEEN(1,2)</f>
        <v>1</v>
      </c>
      <c r="W1016" s="3" t="str">
        <f ca="1">IF(V1016='Por Valoracion (3) Dimension 2'!$AB$1120,'Por Valoracion (3) Dimension 2'!$AC$1120,IF(V1016='Por Valoracion (3) Dimension 2'!$AB$1121,'Por Valoracion (3) Dimension 2'!$AC$1121,A4000))</f>
        <v>Beneficiaross</v>
      </c>
      <c r="X1016" s="3" t="str">
        <f ca="1">CONCATENATE("el ",ROUND(P1016*100,0),"% de los ",W1016," ",S1016," a la dimensión ",L1016," como ",Q1016)</f>
        <v>el 52% de los Beneficiaross determinó a la dimensión Satisfacción del servicio como Ni de acuerdo ni en desacuerdo</v>
      </c>
    </row>
    <row r="1017" spans="4:26" x14ac:dyDescent="0.25">
      <c r="D1017" s="3" t="str">
        <f ca="1">'Por Valoracion (3) Dimension 2'!Q1022</f>
        <v>el 50% de los Beneficiaross calificó como Ni de acuerdo ni en desacuerdo</v>
      </c>
      <c r="E1017" s="3" t="str">
        <f>'Por Valoracion (3) Dimension 2'!I1022</f>
        <v>x</v>
      </c>
    </row>
    <row r="1018" spans="4:26" x14ac:dyDescent="0.25">
      <c r="D1018" s="3" t="str">
        <f ca="1">'Por Valoracion (3) Dimension 2'!Q1023</f>
        <v>el 49% Tuvo una percepción de como Ni de acuerdo ni en desacuerdo</v>
      </c>
      <c r="E1018" s="3" t="str">
        <f>'Por Valoracion (3) Dimension 2'!I1023</f>
        <v>x</v>
      </c>
    </row>
    <row r="1019" spans="4:26" x14ac:dyDescent="0.25">
      <c r="D1019" s="3" t="str">
        <f ca="1">'Por Valoracion (3) Dimension 2'!Q1024</f>
        <v>el 51% valoró como Ni de acuerdo ni en desacuerdo</v>
      </c>
      <c r="E1019" s="3" t="str">
        <f>'Por Valoracion (3) Dimension 2'!I1024</f>
        <v>x</v>
      </c>
    </row>
    <row r="1076" spans="12:13" x14ac:dyDescent="0.25">
      <c r="L1076" s="3" t="str">
        <f>IF(M1076=M1016,L1016)</f>
        <v>Satisfacción del servicio</v>
      </c>
      <c r="M1076" s="7">
        <f>MAX(M1016:M1016)</f>
        <v>0.23760092272203001</v>
      </c>
    </row>
  </sheetData>
  <sheetProtection formatCells="0" formatColumns="0" formatRows="0" insertColumns="0" insertRows="0" insertHyperlinks="0" deleteColumns="0" deleteRows="0" sort="0" autoFilter="0" pivotTables="0"/>
  <mergeCells count="4">
    <mergeCell ref="D4:F4"/>
    <mergeCell ref="D36:F47"/>
    <mergeCell ref="M4:O4"/>
    <mergeCell ref="M36:O4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B308"/>
  <sheetViews>
    <sheetView workbookViewId="0">
      <selection activeCell="BZ12" sqref="BZ12"/>
    </sheetView>
  </sheetViews>
  <sheetFormatPr baseColWidth="10" defaultColWidth="9.140625" defaultRowHeight="15" x14ac:dyDescent="0.25"/>
  <cols>
    <col min="3" max="3" width="20" customWidth="1"/>
    <col min="4" max="5" width="12" customWidth="1"/>
    <col min="7" max="7" width="20" customWidth="1"/>
    <col min="8" max="13" width="10" customWidth="1"/>
    <col min="15" max="15" width="23" customWidth="1"/>
    <col min="16" max="16" width="15" customWidth="1"/>
    <col min="17" max="18" width="20" customWidth="1"/>
    <col min="20" max="21" width="22" customWidth="1"/>
    <col min="22" max="22" width="15" customWidth="1"/>
    <col min="23" max="23" width="20" customWidth="1"/>
    <col min="30" max="30" width="20" customWidth="1"/>
    <col min="31" max="32" width="12" customWidth="1"/>
    <col min="34" max="34" width="20" customWidth="1"/>
    <col min="35" max="40" width="10" customWidth="1"/>
    <col min="42" max="42" width="23" customWidth="1"/>
    <col min="43" max="43" width="15" customWidth="1"/>
    <col min="44" max="45" width="20" customWidth="1"/>
    <col min="47" max="48" width="22" customWidth="1"/>
    <col min="49" max="49" width="15" customWidth="1"/>
    <col min="50" max="50" width="20" customWidth="1"/>
    <col min="57" max="57" width="20" customWidth="1"/>
    <col min="58" max="59" width="12" customWidth="1"/>
    <col min="61" max="61" width="20" customWidth="1"/>
    <col min="62" max="67" width="10" customWidth="1"/>
    <col min="69" max="69" width="23" customWidth="1"/>
    <col min="70" max="70" width="15" customWidth="1"/>
    <col min="71" max="72" width="20" customWidth="1"/>
    <col min="74" max="75" width="22" customWidth="1"/>
    <col min="76" max="76" width="15" customWidth="1"/>
    <col min="77" max="77" width="20" customWidth="1"/>
  </cols>
  <sheetData>
    <row r="1" spans="1:80" x14ac:dyDescent="0.25">
      <c r="A1" s="26"/>
      <c r="B1" s="26"/>
      <c r="C1" s="26"/>
      <c r="D1" s="26"/>
      <c r="E1" s="26"/>
      <c r="F1" s="26"/>
      <c r="G1" s="26"/>
      <c r="H1" s="26"/>
      <c r="I1" s="26"/>
      <c r="J1" s="26"/>
      <c r="K1" s="26"/>
      <c r="L1" s="26"/>
      <c r="M1" s="26"/>
      <c r="N1" s="26"/>
      <c r="O1" s="26"/>
      <c r="P1" s="26"/>
      <c r="Q1" s="26"/>
      <c r="R1" s="26"/>
      <c r="S1" s="26"/>
      <c r="T1" s="26"/>
      <c r="U1" s="26"/>
      <c r="V1" s="26"/>
      <c r="W1" s="26"/>
      <c r="X1" s="26"/>
      <c r="Y1" s="26"/>
      <c r="Z1" s="26"/>
      <c r="AB1" s="34"/>
      <c r="AC1" s="34"/>
      <c r="AD1" s="34"/>
      <c r="AE1" s="34"/>
      <c r="AF1" s="34"/>
      <c r="AG1" s="34"/>
      <c r="AH1" s="34"/>
      <c r="AI1" s="34"/>
      <c r="AJ1" s="34"/>
      <c r="AK1" s="34"/>
      <c r="AL1" s="34"/>
      <c r="AM1" s="34"/>
      <c r="AN1" s="34"/>
      <c r="AO1" s="34"/>
      <c r="AP1" s="34"/>
      <c r="AQ1" s="34"/>
      <c r="AR1" s="34"/>
      <c r="AS1" s="34"/>
      <c r="AT1" s="34"/>
      <c r="AU1" s="34"/>
      <c r="AV1" s="34"/>
      <c r="AW1" s="34"/>
      <c r="AX1" s="34"/>
      <c r="AY1" s="34"/>
      <c r="AZ1" s="34"/>
      <c r="BA1" s="34"/>
      <c r="BC1" s="35"/>
      <c r="BD1" s="35"/>
      <c r="BE1" s="35"/>
      <c r="BF1" s="35"/>
      <c r="BG1" s="35"/>
      <c r="BH1" s="35"/>
      <c r="BI1" s="35"/>
      <c r="BJ1" s="35"/>
      <c r="BK1" s="35"/>
      <c r="BL1" s="35"/>
      <c r="BM1" s="35"/>
      <c r="BN1" s="35"/>
      <c r="BO1" s="35"/>
      <c r="BP1" s="35"/>
      <c r="BQ1" s="35"/>
      <c r="BR1" s="35"/>
      <c r="BS1" s="35"/>
      <c r="BT1" s="35"/>
      <c r="BU1" s="35"/>
      <c r="BV1" s="35"/>
      <c r="BW1" s="35"/>
      <c r="BX1" s="35"/>
      <c r="BY1" s="35"/>
      <c r="BZ1" s="35"/>
      <c r="CA1" s="35"/>
      <c r="CB1" s="35"/>
    </row>
    <row r="2" spans="1:80" ht="30" x14ac:dyDescent="0.25">
      <c r="A2" s="26"/>
      <c r="D2" s="28" t="s">
        <v>458</v>
      </c>
      <c r="E2" s="28" t="s">
        <v>459</v>
      </c>
      <c r="Z2" s="26"/>
      <c r="AB2" s="34"/>
      <c r="AE2" s="28" t="s">
        <v>460</v>
      </c>
      <c r="AF2" s="28" t="s">
        <v>459</v>
      </c>
      <c r="BA2" s="34"/>
      <c r="BC2" s="35"/>
      <c r="BF2" s="28" t="s">
        <v>461</v>
      </c>
      <c r="BG2" s="28" t="s">
        <v>459</v>
      </c>
      <c r="CB2" s="35"/>
    </row>
    <row r="3" spans="1:80" x14ac:dyDescent="0.25">
      <c r="A3" s="26"/>
      <c r="D3" s="28" t="str">
        <f>'Por Valoracion (3) Dimension'!B2</f>
        <v>Planificación</v>
      </c>
      <c r="E3" s="28" t="str">
        <f>'Por Valoracion (3) Dimension 2'!B2</f>
        <v>Satisfacción del servicio</v>
      </c>
      <c r="Z3" s="26"/>
      <c r="AB3" s="34"/>
      <c r="AE3" s="28" t="str">
        <f>'Por Valoracion (3) Dimension'!D2</f>
        <v>Transparencia</v>
      </c>
      <c r="AF3" s="28" t="str">
        <f>'Por Valoracion (3) Dimension 2'!B2</f>
        <v>Satisfacción del servicio</v>
      </c>
      <c r="BA3" s="34"/>
      <c r="BC3" s="35"/>
      <c r="BF3" s="28" t="str">
        <f>'Por Valoracion (3) Dimension'!F2</f>
        <v>Cumplimiento normativo</v>
      </c>
      <c r="BG3" s="28" t="str">
        <f>'Por Valoracion (3) Dimension 2'!B2</f>
        <v>Satisfacción del servicio</v>
      </c>
      <c r="CB3" s="35"/>
    </row>
    <row r="4" spans="1:80" x14ac:dyDescent="0.25">
      <c r="A4" s="26"/>
      <c r="C4" s="53" t="str">
        <f>('Gestión de abastecimiento'!A5)</f>
        <v>Beneficiaros 1</v>
      </c>
      <c r="D4" s="27">
        <f>'Por Valoracion (3) Dimension'!B4</f>
        <v>24</v>
      </c>
      <c r="E4" s="27">
        <f>'Por Valoracion (3) Dimension 2'!B4</f>
        <v>31</v>
      </c>
      <c r="G4" s="3" t="s">
        <v>340</v>
      </c>
      <c r="Z4" s="26"/>
      <c r="AB4" s="34"/>
      <c r="AD4" s="53" t="str">
        <f>('Gestión de abastecimiento'!A5)</f>
        <v>Beneficiaros 1</v>
      </c>
      <c r="AE4" s="27">
        <f>'Por Valoracion (3) Dimension'!D4</f>
        <v>23</v>
      </c>
      <c r="AF4" s="27">
        <f>'Por Valoracion (3) Dimension 2'!B4</f>
        <v>31</v>
      </c>
      <c r="AH4" s="3" t="s">
        <v>341</v>
      </c>
      <c r="BA4" s="34"/>
      <c r="BC4" s="35"/>
      <c r="BE4" s="53" t="str">
        <f>('Gestión de abastecimiento'!A5)</f>
        <v>Beneficiaros 1</v>
      </c>
      <c r="BF4" s="27">
        <f>'Por Valoracion (3) Dimension'!F4</f>
        <v>23</v>
      </c>
      <c r="BG4" s="27">
        <f>'Por Valoracion (3) Dimension 2'!B4</f>
        <v>31</v>
      </c>
      <c r="BI4" s="3" t="s">
        <v>342</v>
      </c>
      <c r="CB4" s="35"/>
    </row>
    <row r="5" spans="1:80" x14ac:dyDescent="0.25">
      <c r="A5" s="26"/>
      <c r="C5" s="53" t="str">
        <f>('Gestión de abastecimiento'!A6)</f>
        <v>Beneficiaros 2</v>
      </c>
      <c r="D5" s="27">
        <f>'Por Valoracion (3) Dimension'!B5</f>
        <v>15</v>
      </c>
      <c r="E5" s="27">
        <f>'Por Valoracion (3) Dimension 2'!B5</f>
        <v>20</v>
      </c>
      <c r="G5" s="57" t="s">
        <v>462</v>
      </c>
      <c r="H5" s="58"/>
      <c r="I5" s="58"/>
      <c r="J5" s="58"/>
      <c r="K5" s="58"/>
      <c r="L5" s="58"/>
      <c r="M5" s="58"/>
      <c r="Z5" s="26"/>
      <c r="AB5" s="34"/>
      <c r="AD5" s="53" t="str">
        <f>('Gestión de abastecimiento'!A6)</f>
        <v>Beneficiaros 2</v>
      </c>
      <c r="AE5" s="27">
        <f>'Por Valoracion (3) Dimension'!D5</f>
        <v>13</v>
      </c>
      <c r="AF5" s="27">
        <f>'Por Valoracion (3) Dimension 2'!B5</f>
        <v>20</v>
      </c>
      <c r="AH5" s="57" t="s">
        <v>462</v>
      </c>
      <c r="AI5" s="58"/>
      <c r="AJ5" s="58"/>
      <c r="AK5" s="58"/>
      <c r="AL5" s="58"/>
      <c r="AM5" s="58"/>
      <c r="AN5" s="58"/>
      <c r="BA5" s="34"/>
      <c r="BC5" s="35"/>
      <c r="BE5" s="53" t="str">
        <f>('Gestión de abastecimiento'!A6)</f>
        <v>Beneficiaros 2</v>
      </c>
      <c r="BF5" s="27">
        <f>'Por Valoracion (3) Dimension'!F5</f>
        <v>13</v>
      </c>
      <c r="BG5" s="27">
        <f>'Por Valoracion (3) Dimension 2'!B5</f>
        <v>20</v>
      </c>
      <c r="BI5" s="57" t="s">
        <v>462</v>
      </c>
      <c r="BJ5" s="58"/>
      <c r="BK5" s="58"/>
      <c r="BL5" s="58"/>
      <c r="BM5" s="58"/>
      <c r="BN5" s="58"/>
      <c r="BO5" s="58"/>
      <c r="CB5" s="35"/>
    </row>
    <row r="6" spans="1:80" x14ac:dyDescent="0.25">
      <c r="A6" s="26"/>
      <c r="C6" s="53" t="str">
        <f>('Gestión de abastecimiento'!A7)</f>
        <v>Beneficiaros 3</v>
      </c>
      <c r="D6" s="27">
        <f>'Por Valoracion (3) Dimension'!B6</f>
        <v>18</v>
      </c>
      <c r="E6" s="27">
        <f>'Por Valoracion (3) Dimension 2'!B6</f>
        <v>26</v>
      </c>
      <c r="G6" s="53"/>
      <c r="H6" s="59" t="s">
        <v>463</v>
      </c>
      <c r="I6" s="53"/>
      <c r="J6" s="53"/>
      <c r="K6" s="59" t="s">
        <v>464</v>
      </c>
      <c r="L6" s="53"/>
      <c r="M6" s="53"/>
      <c r="Z6" s="26"/>
      <c r="AB6" s="34"/>
      <c r="AD6" s="53" t="str">
        <f>('Gestión de abastecimiento'!A7)</f>
        <v>Beneficiaros 3</v>
      </c>
      <c r="AE6" s="27">
        <f>'Por Valoracion (3) Dimension'!D6</f>
        <v>18</v>
      </c>
      <c r="AF6" s="27">
        <f>'Por Valoracion (3) Dimension 2'!B6</f>
        <v>26</v>
      </c>
      <c r="AH6" s="53"/>
      <c r="AI6" s="59" t="s">
        <v>463</v>
      </c>
      <c r="AJ6" s="53"/>
      <c r="AK6" s="53"/>
      <c r="AL6" s="59" t="s">
        <v>464</v>
      </c>
      <c r="AM6" s="53"/>
      <c r="AN6" s="53"/>
      <c r="BA6" s="34"/>
      <c r="BC6" s="35"/>
      <c r="BE6" s="53" t="str">
        <f>('Gestión de abastecimiento'!A7)</f>
        <v>Beneficiaros 3</v>
      </c>
      <c r="BF6" s="27">
        <f>'Por Valoracion (3) Dimension'!F6</f>
        <v>18</v>
      </c>
      <c r="BG6" s="27">
        <f>'Por Valoracion (3) Dimension 2'!B6</f>
        <v>26</v>
      </c>
      <c r="BI6" s="53"/>
      <c r="BJ6" s="59" t="s">
        <v>463</v>
      </c>
      <c r="BK6" s="53"/>
      <c r="BL6" s="53"/>
      <c r="BM6" s="59" t="s">
        <v>464</v>
      </c>
      <c r="BN6" s="53"/>
      <c r="BO6" s="53"/>
      <c r="CB6" s="35"/>
    </row>
    <row r="7" spans="1:80" x14ac:dyDescent="0.25">
      <c r="A7" s="26"/>
      <c r="C7" s="53" t="str">
        <f>('Gestión de abastecimiento'!A8)</f>
        <v>Beneficiaros 4</v>
      </c>
      <c r="D7" s="27">
        <f>'Por Valoracion (3) Dimension'!B7</f>
        <v>24</v>
      </c>
      <c r="E7" s="27">
        <f>'Por Valoracion (3) Dimension 2'!B7</f>
        <v>35</v>
      </c>
      <c r="G7" s="58"/>
      <c r="H7" s="31" t="s">
        <v>465</v>
      </c>
      <c r="I7" s="31" t="s">
        <v>466</v>
      </c>
      <c r="J7" s="31" t="s">
        <v>467</v>
      </c>
      <c r="K7" s="31" t="s">
        <v>465</v>
      </c>
      <c r="L7" s="33" t="s">
        <v>466</v>
      </c>
      <c r="M7" s="31" t="s">
        <v>467</v>
      </c>
      <c r="Z7" s="26"/>
      <c r="AB7" s="34"/>
      <c r="AD7" s="53" t="str">
        <f>('Gestión de abastecimiento'!A8)</f>
        <v>Beneficiaros 4</v>
      </c>
      <c r="AE7" s="27">
        <f>'Por Valoracion (3) Dimension'!D7</f>
        <v>24</v>
      </c>
      <c r="AF7" s="27">
        <f>'Por Valoracion (3) Dimension 2'!B7</f>
        <v>35</v>
      </c>
      <c r="AH7" s="58"/>
      <c r="AI7" s="31" t="s">
        <v>465</v>
      </c>
      <c r="AJ7" s="31" t="s">
        <v>466</v>
      </c>
      <c r="AK7" s="31" t="s">
        <v>467</v>
      </c>
      <c r="AL7" s="31" t="s">
        <v>465</v>
      </c>
      <c r="AM7" s="33" t="s">
        <v>466</v>
      </c>
      <c r="AN7" s="31" t="s">
        <v>467</v>
      </c>
      <c r="BA7" s="34"/>
      <c r="BC7" s="35"/>
      <c r="BE7" s="53" t="str">
        <f>('Gestión de abastecimiento'!A8)</f>
        <v>Beneficiaros 4</v>
      </c>
      <c r="BF7" s="27">
        <f>'Por Valoracion (3) Dimension'!F7</f>
        <v>24</v>
      </c>
      <c r="BG7" s="27">
        <f>'Por Valoracion (3) Dimension 2'!B7</f>
        <v>35</v>
      </c>
      <c r="BI7" s="58"/>
      <c r="BJ7" s="31" t="s">
        <v>465</v>
      </c>
      <c r="BK7" s="31" t="s">
        <v>466</v>
      </c>
      <c r="BL7" s="31" t="s">
        <v>467</v>
      </c>
      <c r="BM7" s="31" t="s">
        <v>465</v>
      </c>
      <c r="BN7" s="33" t="s">
        <v>466</v>
      </c>
      <c r="BO7" s="31" t="s">
        <v>467</v>
      </c>
      <c r="CB7" s="35"/>
    </row>
    <row r="8" spans="1:80" x14ac:dyDescent="0.25">
      <c r="A8" s="26"/>
      <c r="C8" s="53" t="str">
        <f>('Gestión de abastecimiento'!A9)</f>
        <v>Beneficiaros 5</v>
      </c>
      <c r="D8" s="27">
        <f>'Por Valoracion (3) Dimension'!B8</f>
        <v>23</v>
      </c>
      <c r="E8" s="27">
        <f>'Por Valoracion (3) Dimension 2'!B8</f>
        <v>35</v>
      </c>
      <c r="G8" s="29" t="str">
        <f>D3</f>
        <v>Planificación</v>
      </c>
      <c r="H8" s="32"/>
      <c r="I8" s="32"/>
      <c r="J8" s="32"/>
      <c r="K8" s="32"/>
      <c r="L8" s="32"/>
      <c r="M8" s="32"/>
      <c r="Z8" s="26"/>
      <c r="AB8" s="34"/>
      <c r="AD8" s="53" t="str">
        <f>('Gestión de abastecimiento'!A9)</f>
        <v>Beneficiaros 5</v>
      </c>
      <c r="AE8" s="27">
        <f>'Por Valoracion (3) Dimension'!D8</f>
        <v>24</v>
      </c>
      <c r="AF8" s="27">
        <f>'Por Valoracion (3) Dimension 2'!B8</f>
        <v>35</v>
      </c>
      <c r="AH8" s="29" t="str">
        <f>AE3</f>
        <v>Transparencia</v>
      </c>
      <c r="AI8" s="32"/>
      <c r="AJ8" s="32"/>
      <c r="AK8" s="32"/>
      <c r="AL8" s="32"/>
      <c r="AM8" s="32"/>
      <c r="AN8" s="32"/>
      <c r="BA8" s="34"/>
      <c r="BC8" s="35"/>
      <c r="BE8" s="53" t="str">
        <f>('Gestión de abastecimiento'!A9)</f>
        <v>Beneficiaros 5</v>
      </c>
      <c r="BF8" s="27">
        <f>'Por Valoracion (3) Dimension'!F8</f>
        <v>23</v>
      </c>
      <c r="BG8" s="27">
        <f>'Por Valoracion (3) Dimension 2'!B8</f>
        <v>35</v>
      </c>
      <c r="BI8" s="29" t="str">
        <f>BF3</f>
        <v>Cumplimiento normativo</v>
      </c>
      <c r="BJ8" s="32"/>
      <c r="BK8" s="32"/>
      <c r="BL8" s="32"/>
      <c r="BM8" s="32"/>
      <c r="BN8" s="32"/>
      <c r="BO8" s="32"/>
      <c r="CB8" s="35"/>
    </row>
    <row r="9" spans="1:80" x14ac:dyDescent="0.25">
      <c r="A9" s="26"/>
      <c r="C9" s="53" t="str">
        <f>('Gestión de abastecimiento'!A10)</f>
        <v>Beneficiaros 6</v>
      </c>
      <c r="D9" s="27">
        <f>'Por Valoracion (3) Dimension'!B9</f>
        <v>17</v>
      </c>
      <c r="E9" s="27">
        <f>'Por Valoracion (3) Dimension 2'!B9</f>
        <v>27</v>
      </c>
      <c r="G9" s="30" t="str">
        <f>E3</f>
        <v>Satisfacción del servicio</v>
      </c>
      <c r="H9" s="5"/>
      <c r="I9" s="5"/>
      <c r="J9" s="5"/>
      <c r="K9" s="5"/>
      <c r="L9" s="5"/>
      <c r="M9" s="5"/>
      <c r="Z9" s="26"/>
      <c r="AB9" s="34"/>
      <c r="AD9" s="53" t="str">
        <f>('Gestión de abastecimiento'!A10)</f>
        <v>Beneficiaros 6</v>
      </c>
      <c r="AE9" s="27">
        <f>'Por Valoracion (3) Dimension'!D9</f>
        <v>18</v>
      </c>
      <c r="AF9" s="27">
        <f>'Por Valoracion (3) Dimension 2'!B9</f>
        <v>27</v>
      </c>
      <c r="AH9" s="30" t="str">
        <f>AF3</f>
        <v>Satisfacción del servicio</v>
      </c>
      <c r="AI9" s="31">
        <f t="shared" ref="AI9:AN9" si="0">H9</f>
        <v>0</v>
      </c>
      <c r="AJ9" s="33">
        <f t="shared" si="0"/>
        <v>0</v>
      </c>
      <c r="AK9" s="31">
        <f t="shared" si="0"/>
        <v>0</v>
      </c>
      <c r="AL9" s="31">
        <f t="shared" si="0"/>
        <v>0</v>
      </c>
      <c r="AM9" s="31">
        <f t="shared" si="0"/>
        <v>0</v>
      </c>
      <c r="AN9" s="33">
        <f t="shared" si="0"/>
        <v>0</v>
      </c>
      <c r="BA9" s="34"/>
      <c r="BC9" s="35"/>
      <c r="BE9" s="53" t="str">
        <f>('Gestión de abastecimiento'!A10)</f>
        <v>Beneficiaros 6</v>
      </c>
      <c r="BF9" s="27">
        <f>'Por Valoracion (3) Dimension'!F9</f>
        <v>18</v>
      </c>
      <c r="BG9" s="27">
        <f>'Por Valoracion (3) Dimension 2'!B9</f>
        <v>27</v>
      </c>
      <c r="BI9" s="30" t="str">
        <f>BG3</f>
        <v>Satisfacción del servicio</v>
      </c>
      <c r="BJ9" s="31">
        <f t="shared" ref="BJ9:BO9" si="1">H9</f>
        <v>0</v>
      </c>
      <c r="BK9" s="33">
        <f t="shared" si="1"/>
        <v>0</v>
      </c>
      <c r="BL9" s="31">
        <f t="shared" si="1"/>
        <v>0</v>
      </c>
      <c r="BM9" s="31">
        <f t="shared" si="1"/>
        <v>0</v>
      </c>
      <c r="BN9" s="31">
        <f t="shared" si="1"/>
        <v>0</v>
      </c>
      <c r="BO9" s="33">
        <f t="shared" si="1"/>
        <v>0</v>
      </c>
      <c r="CB9" s="35"/>
    </row>
    <row r="10" spans="1:80" x14ac:dyDescent="0.25">
      <c r="A10" s="26"/>
      <c r="C10" s="53" t="str">
        <f>('Gestión de abastecimiento'!A11)</f>
        <v>Beneficiaros 7</v>
      </c>
      <c r="D10" s="27">
        <f>'Por Valoracion (3) Dimension'!B10</f>
        <v>22</v>
      </c>
      <c r="E10" s="27">
        <f>'Por Valoracion (3) Dimension 2'!B10</f>
        <v>32</v>
      </c>
      <c r="G10" s="59" t="s">
        <v>468</v>
      </c>
      <c r="H10" s="53"/>
      <c r="I10" s="53"/>
      <c r="J10" s="53"/>
      <c r="K10" s="53"/>
      <c r="L10" s="53"/>
      <c r="M10" s="53"/>
      <c r="O10" s="3" t="s">
        <v>340</v>
      </c>
      <c r="T10" s="3" t="s">
        <v>340</v>
      </c>
      <c r="Z10" s="26"/>
      <c r="AB10" s="34"/>
      <c r="AD10" s="53" t="str">
        <f>('Gestión de abastecimiento'!A11)</f>
        <v>Beneficiaros 7</v>
      </c>
      <c r="AE10" s="27">
        <f>'Por Valoracion (3) Dimension'!D10</f>
        <v>21</v>
      </c>
      <c r="AF10" s="27">
        <f>'Por Valoracion (3) Dimension 2'!B10</f>
        <v>32</v>
      </c>
      <c r="AH10" s="59" t="s">
        <v>468</v>
      </c>
      <c r="AI10" s="53"/>
      <c r="AJ10" s="53"/>
      <c r="AK10" s="53"/>
      <c r="AL10" s="53"/>
      <c r="AM10" s="53"/>
      <c r="AN10" s="53"/>
      <c r="AP10" s="3" t="s">
        <v>341</v>
      </c>
      <c r="AU10" s="3" t="s">
        <v>341</v>
      </c>
      <c r="BA10" s="34"/>
      <c r="BC10" s="35"/>
      <c r="BE10" s="53" t="str">
        <f>('Gestión de abastecimiento'!A11)</f>
        <v>Beneficiaros 7</v>
      </c>
      <c r="BF10" s="27">
        <f>'Por Valoracion (3) Dimension'!F10</f>
        <v>23</v>
      </c>
      <c r="BG10" s="27">
        <f>'Por Valoracion (3) Dimension 2'!B10</f>
        <v>32</v>
      </c>
      <c r="BI10" s="59" t="s">
        <v>468</v>
      </c>
      <c r="BJ10" s="53"/>
      <c r="BK10" s="53"/>
      <c r="BL10" s="53"/>
      <c r="BM10" s="53"/>
      <c r="BN10" s="53"/>
      <c r="BO10" s="53"/>
      <c r="BQ10" s="3" t="s">
        <v>342</v>
      </c>
      <c r="BV10" s="3" t="s">
        <v>342</v>
      </c>
      <c r="CB10" s="35"/>
    </row>
    <row r="11" spans="1:80" x14ac:dyDescent="0.25">
      <c r="A11" s="26"/>
      <c r="C11" s="53" t="str">
        <f>('Gestión de abastecimiento'!A12)</f>
        <v>Beneficiaros 8</v>
      </c>
      <c r="D11" s="27">
        <f>'Por Valoracion (3) Dimension'!B11</f>
        <v>13</v>
      </c>
      <c r="E11" s="27">
        <f>'Por Valoracion (3) Dimension 2'!B11</f>
        <v>18</v>
      </c>
      <c r="O11" s="57" t="s">
        <v>469</v>
      </c>
      <c r="P11" s="58"/>
      <c r="Q11" s="58"/>
      <c r="R11" s="58"/>
      <c r="T11" s="57" t="s">
        <v>469</v>
      </c>
      <c r="U11" s="58"/>
      <c r="V11" s="58"/>
      <c r="W11" s="58"/>
      <c r="X11" s="58"/>
      <c r="Z11" s="26"/>
      <c r="AB11" s="34"/>
      <c r="AD11" s="53" t="str">
        <f>('Gestión de abastecimiento'!A12)</f>
        <v>Beneficiaros 8</v>
      </c>
      <c r="AE11" s="27">
        <f>'Por Valoracion (3) Dimension'!D11</f>
        <v>12</v>
      </c>
      <c r="AF11" s="27">
        <f>'Por Valoracion (3) Dimension 2'!B11</f>
        <v>18</v>
      </c>
      <c r="AP11" s="57" t="s">
        <v>469</v>
      </c>
      <c r="AQ11" s="58"/>
      <c r="AR11" s="58"/>
      <c r="AS11" s="58"/>
      <c r="AU11" s="57" t="s">
        <v>469</v>
      </c>
      <c r="AV11" s="58"/>
      <c r="AW11" s="58"/>
      <c r="AX11" s="58"/>
      <c r="AY11" s="58"/>
      <c r="BA11" s="34"/>
      <c r="BC11" s="35"/>
      <c r="BE11" s="53" t="str">
        <f>('Gestión de abastecimiento'!A12)</f>
        <v>Beneficiaros 8</v>
      </c>
      <c r="BF11" s="27">
        <f>'Por Valoracion (3) Dimension'!F11</f>
        <v>12</v>
      </c>
      <c r="BG11" s="27">
        <f>'Por Valoracion (3) Dimension 2'!B11</f>
        <v>18</v>
      </c>
      <c r="BQ11" s="57" t="s">
        <v>469</v>
      </c>
      <c r="BR11" s="58"/>
      <c r="BS11" s="58"/>
      <c r="BT11" s="58"/>
      <c r="BV11" s="57" t="s">
        <v>469</v>
      </c>
      <c r="BW11" s="58"/>
      <c r="BX11" s="58"/>
      <c r="BY11" s="58"/>
      <c r="BZ11" s="58"/>
      <c r="CB11" s="35"/>
    </row>
    <row r="12" spans="1:80" x14ac:dyDescent="0.25">
      <c r="A12" s="26"/>
      <c r="C12" s="53" t="str">
        <f>('Gestión de abastecimiento'!A13)</f>
        <v>Beneficiaros 9</v>
      </c>
      <c r="D12" s="27">
        <f>'Por Valoracion (3) Dimension'!B12</f>
        <v>15</v>
      </c>
      <c r="E12" s="27">
        <f>'Por Valoracion (3) Dimension 2'!B12</f>
        <v>21</v>
      </c>
      <c r="G12" s="52" t="str">
        <f>CONCATENATE("en la ",G4," y basándose en la prueba de ",F298," se puede observar que, ","con una probabilidad de error de ",D299,"% para la ",D297," ",D298," y ",E299,"% para la ",E297," ",E298,", ",G298,H298, " por tal motivo se procederá a utilizar ",I298,".")</f>
        <v>en la Tabla 1 y basándose en la prueba de Kolmogorov-Smirnova se puede observar que, con una probabilidad de error de 0% para la  Dimensión  Planificación y 0% para la  Dimensión  Satisfacción del servicio, la distribución de sus valores no son diferentes a la distribución normal es decir los datos si se encuentran normalmente distribuidos por tal motivo se procederá a utilizar la prueba paramétrica de correlación de Pearson.</v>
      </c>
      <c r="H12" s="53"/>
      <c r="I12" s="53"/>
      <c r="J12" s="53"/>
      <c r="K12" s="53"/>
      <c r="L12" s="53"/>
      <c r="M12" s="53"/>
      <c r="O12" s="58"/>
      <c r="P12" s="58"/>
      <c r="Q12" s="30" t="str">
        <f>D3</f>
        <v>Planificación</v>
      </c>
      <c r="R12" s="30" t="str">
        <f>E3</f>
        <v>Satisfacción del servicio</v>
      </c>
      <c r="T12" s="58"/>
      <c r="U12" s="58"/>
      <c r="V12" s="58"/>
      <c r="W12" s="30" t="str">
        <f>D3</f>
        <v>Planificación</v>
      </c>
      <c r="X12" s="30" t="str">
        <f>E3</f>
        <v>Satisfacción del servicio</v>
      </c>
      <c r="Z12" s="26"/>
      <c r="AB12" s="34"/>
      <c r="AD12" s="53" t="str">
        <f>('Gestión de abastecimiento'!A13)</f>
        <v>Beneficiaros 9</v>
      </c>
      <c r="AE12" s="27">
        <f>'Por Valoracion (3) Dimension'!D12</f>
        <v>15</v>
      </c>
      <c r="AF12" s="27">
        <f>'Por Valoracion (3) Dimension 2'!B12</f>
        <v>21</v>
      </c>
      <c r="AH12" s="52" t="str">
        <f>CONCATENATE("en la ",AH4," y basándose en la prueba de ",AG298," se puede observar que, ","con una probabilidad de error de ",AE299,"% para la ",AE297," ",AE298," y ",AF299,"% para la ",AF297," ",AF298,", ",AH298,AI298, " por tal motivo se procederá a utilizar ",AJ298,".")</f>
        <v>en la Tabla 2 y basándose en la prueba de Kolmogorov-Smirnova se puede observar que, con una probabilidad de error de 0% para la  Dimensión  Transparencia y 0% para la  Dimensión  Satisfacción del servicio, la distribución de sus valores no son diferentes a la distribución normal es decir los datos si se encuentran normalmente distribuidos por tal motivo se procederá a utilizar la prueba paramétrica de correlación de Pearson.</v>
      </c>
      <c r="AI12" s="53"/>
      <c r="AJ12" s="53"/>
      <c r="AK12" s="53"/>
      <c r="AL12" s="53"/>
      <c r="AM12" s="53"/>
      <c r="AN12" s="53"/>
      <c r="AP12" s="58"/>
      <c r="AQ12" s="58"/>
      <c r="AR12" s="30" t="str">
        <f>AE3</f>
        <v>Transparencia</v>
      </c>
      <c r="AS12" s="30" t="str">
        <f>AF3</f>
        <v>Satisfacción del servicio</v>
      </c>
      <c r="AU12" s="58"/>
      <c r="AV12" s="58"/>
      <c r="AW12" s="58"/>
      <c r="AX12" s="30" t="str">
        <f>AE3</f>
        <v>Transparencia</v>
      </c>
      <c r="AY12" s="30" t="str">
        <f>AF3</f>
        <v>Satisfacción del servicio</v>
      </c>
      <c r="BA12" s="34"/>
      <c r="BC12" s="35"/>
      <c r="BE12" s="53" t="str">
        <f>('Gestión de abastecimiento'!A13)</f>
        <v>Beneficiaros 9</v>
      </c>
      <c r="BF12" s="27">
        <f>'Por Valoracion (3) Dimension'!F12</f>
        <v>15</v>
      </c>
      <c r="BG12" s="27">
        <f>'Por Valoracion (3) Dimension 2'!B12</f>
        <v>21</v>
      </c>
      <c r="BI12" s="52" t="str">
        <f>CONCATENATE("en la ",BI4," y basándose en la prueba de ",BH298," se puede observar que, ","con una probabilidad de error de ",BF299,"% para la ",BF297," ",BF298," y ",BG299,"% para la ",BG297," ",BG298,", ",BI298,BJ298, " por tal motivo se procederá a utilizar ",BK298,".")</f>
        <v>en la Tabla 3 y basándose en la prueba de Kolmogorov-Smirnova se puede observar que, con una probabilidad de error de 0% para la  Dimensión  Cumplimiento normativo y 0% para la  Dimensión  Satisfacción del servicio, la distribución de sus valores no son diferentes a la distribución normal es decir los datos si se encuentran normalmente distribuidos por tal motivo se procederá a utilizar la prueba paramétrica de correlación de Pearson.</v>
      </c>
      <c r="BJ12" s="53"/>
      <c r="BK12" s="53"/>
      <c r="BL12" s="53"/>
      <c r="BM12" s="53"/>
      <c r="BN12" s="53"/>
      <c r="BO12" s="53"/>
      <c r="BQ12" s="58"/>
      <c r="BR12" s="58"/>
      <c r="BS12" s="30" t="str">
        <f>BF3</f>
        <v>Cumplimiento normativo</v>
      </c>
      <c r="BT12" s="30" t="str">
        <f>BG3</f>
        <v>Satisfacción del servicio</v>
      </c>
      <c r="BV12" s="58"/>
      <c r="BW12" s="58"/>
      <c r="BX12" s="58"/>
      <c r="BY12" s="30" t="str">
        <f>BF3</f>
        <v>Cumplimiento normativo</v>
      </c>
      <c r="BZ12" s="30" t="str">
        <f>BG3</f>
        <v>Satisfacción del servicio</v>
      </c>
      <c r="CB12" s="35"/>
    </row>
    <row r="13" spans="1:80" ht="25.5" x14ac:dyDescent="0.25">
      <c r="A13" s="26"/>
      <c r="C13" s="53" t="str">
        <f>('Gestión de abastecimiento'!A14)</f>
        <v>Beneficiaros 10</v>
      </c>
      <c r="D13" s="27">
        <f>'Por Valoracion (3) Dimension'!B13</f>
        <v>24</v>
      </c>
      <c r="E13" s="27">
        <f>'Por Valoracion (3) Dimension 2'!B13</f>
        <v>33</v>
      </c>
      <c r="G13" s="53"/>
      <c r="H13" s="53"/>
      <c r="I13" s="53"/>
      <c r="J13" s="53"/>
      <c r="K13" s="53"/>
      <c r="L13" s="53"/>
      <c r="M13" s="53"/>
      <c r="O13" s="59" t="str">
        <f>D3</f>
        <v>Planificación</v>
      </c>
      <c r="P13" s="32" t="s">
        <v>470</v>
      </c>
      <c r="T13" s="60" t="s">
        <v>471</v>
      </c>
      <c r="U13" s="59" t="str">
        <f>D3</f>
        <v>Planificación</v>
      </c>
      <c r="V13" s="32" t="s">
        <v>472</v>
      </c>
      <c r="Z13" s="26"/>
      <c r="AB13" s="34"/>
      <c r="AD13" s="53" t="str">
        <f>('Gestión de abastecimiento'!A14)</f>
        <v>Beneficiaros 10</v>
      </c>
      <c r="AE13" s="27">
        <f>'Por Valoracion (3) Dimension'!D13</f>
        <v>23</v>
      </c>
      <c r="AF13" s="27">
        <f>'Por Valoracion (3) Dimension 2'!B13</f>
        <v>33</v>
      </c>
      <c r="AH13" s="53"/>
      <c r="AI13" s="53"/>
      <c r="AJ13" s="53"/>
      <c r="AK13" s="53"/>
      <c r="AL13" s="53"/>
      <c r="AM13" s="53"/>
      <c r="AN13" s="53"/>
      <c r="AP13" s="59" t="str">
        <f>AE3</f>
        <v>Transparencia</v>
      </c>
      <c r="AQ13" s="32" t="s">
        <v>470</v>
      </c>
      <c r="AU13" s="60" t="s">
        <v>471</v>
      </c>
      <c r="AV13" s="59" t="str">
        <f>AE3</f>
        <v>Transparencia</v>
      </c>
      <c r="AW13" s="32" t="s">
        <v>472</v>
      </c>
      <c r="BA13" s="34"/>
      <c r="BC13" s="35"/>
      <c r="BE13" s="53" t="str">
        <f>('Gestión de abastecimiento'!A14)</f>
        <v>Beneficiaros 10</v>
      </c>
      <c r="BF13" s="27">
        <f>'Por Valoracion (3) Dimension'!F13</f>
        <v>23</v>
      </c>
      <c r="BG13" s="27">
        <f>'Por Valoracion (3) Dimension 2'!B13</f>
        <v>33</v>
      </c>
      <c r="BI13" s="53"/>
      <c r="BJ13" s="53"/>
      <c r="BK13" s="53"/>
      <c r="BL13" s="53"/>
      <c r="BM13" s="53"/>
      <c r="BN13" s="53"/>
      <c r="BO13" s="53"/>
      <c r="BQ13" s="59" t="str">
        <f>BF3</f>
        <v>Cumplimiento normativo</v>
      </c>
      <c r="BR13" s="32" t="s">
        <v>470</v>
      </c>
      <c r="BV13" s="60" t="s">
        <v>471</v>
      </c>
      <c r="BW13" s="59" t="str">
        <f>BF3</f>
        <v>Cumplimiento normativo</v>
      </c>
      <c r="BX13" s="32" t="s">
        <v>472</v>
      </c>
      <c r="CB13" s="35"/>
    </row>
    <row r="14" spans="1:80" x14ac:dyDescent="0.25">
      <c r="A14" s="26"/>
      <c r="C14" s="53" t="str">
        <f>('Gestión de abastecimiento'!A15)</f>
        <v>Beneficiaros 11</v>
      </c>
      <c r="D14" s="27">
        <f>'Por Valoracion (3) Dimension'!B14</f>
        <v>16</v>
      </c>
      <c r="E14" s="27">
        <f>'Por Valoracion (3) Dimension 2'!B14</f>
        <v>24</v>
      </c>
      <c r="G14" s="53"/>
      <c r="H14" s="53"/>
      <c r="I14" s="53"/>
      <c r="J14" s="53"/>
      <c r="K14" s="53"/>
      <c r="L14" s="53"/>
      <c r="M14" s="53"/>
      <c r="O14" s="53"/>
      <c r="P14" s="32" t="s">
        <v>473</v>
      </c>
      <c r="T14" s="53"/>
      <c r="U14" s="53"/>
      <c r="V14" s="32" t="s">
        <v>473</v>
      </c>
      <c r="Z14" s="26"/>
      <c r="AB14" s="34"/>
      <c r="AD14" s="53" t="str">
        <f>('Gestión de abastecimiento'!A15)</f>
        <v>Beneficiaros 11</v>
      </c>
      <c r="AE14" s="27">
        <f>'Por Valoracion (3) Dimension'!D14</f>
        <v>17</v>
      </c>
      <c r="AF14" s="27">
        <f>'Por Valoracion (3) Dimension 2'!B14</f>
        <v>24</v>
      </c>
      <c r="AH14" s="53"/>
      <c r="AI14" s="53"/>
      <c r="AJ14" s="53"/>
      <c r="AK14" s="53"/>
      <c r="AL14" s="53"/>
      <c r="AM14" s="53"/>
      <c r="AN14" s="53"/>
      <c r="AP14" s="53"/>
      <c r="AQ14" s="32" t="s">
        <v>473</v>
      </c>
      <c r="AU14" s="53"/>
      <c r="AV14" s="53"/>
      <c r="AW14" s="32" t="s">
        <v>473</v>
      </c>
      <c r="BA14" s="34"/>
      <c r="BC14" s="35"/>
      <c r="BE14" s="53" t="str">
        <f>('Gestión de abastecimiento'!A15)</f>
        <v>Beneficiaros 11</v>
      </c>
      <c r="BF14" s="27">
        <f>'Por Valoracion (3) Dimension'!F14</f>
        <v>15</v>
      </c>
      <c r="BG14" s="27">
        <f>'Por Valoracion (3) Dimension 2'!B14</f>
        <v>24</v>
      </c>
      <c r="BI14" s="53"/>
      <c r="BJ14" s="53"/>
      <c r="BK14" s="53"/>
      <c r="BL14" s="53"/>
      <c r="BM14" s="53"/>
      <c r="BN14" s="53"/>
      <c r="BO14" s="53"/>
      <c r="BQ14" s="53"/>
      <c r="BR14" s="32" t="s">
        <v>473</v>
      </c>
      <c r="BV14" s="53"/>
      <c r="BW14" s="53"/>
      <c r="BX14" s="32" t="s">
        <v>473</v>
      </c>
      <c r="CB14" s="35"/>
    </row>
    <row r="15" spans="1:80" x14ac:dyDescent="0.25">
      <c r="A15" s="26"/>
      <c r="C15" s="53" t="str">
        <f>('Gestión de abastecimiento'!A16)</f>
        <v>Beneficiaros 12</v>
      </c>
      <c r="D15" s="27">
        <f>'Por Valoracion (3) Dimension'!B15</f>
        <v>22</v>
      </c>
      <c r="E15" s="27">
        <f>'Por Valoracion (3) Dimension 2'!B15</f>
        <v>34</v>
      </c>
      <c r="G15" s="53"/>
      <c r="H15" s="53"/>
      <c r="I15" s="53"/>
      <c r="J15" s="53"/>
      <c r="K15" s="53"/>
      <c r="L15" s="53"/>
      <c r="M15" s="53"/>
      <c r="O15" s="53"/>
      <c r="P15" s="32" t="s">
        <v>474</v>
      </c>
      <c r="T15" s="53"/>
      <c r="U15" s="53"/>
      <c r="V15" s="32" t="s">
        <v>474</v>
      </c>
      <c r="Z15" s="26"/>
      <c r="AB15" s="34"/>
      <c r="AD15" s="53" t="str">
        <f>('Gestión de abastecimiento'!A16)</f>
        <v>Beneficiaros 12</v>
      </c>
      <c r="AE15" s="27">
        <f>'Por Valoracion (3) Dimension'!D15</f>
        <v>22</v>
      </c>
      <c r="AF15" s="27">
        <f>'Por Valoracion (3) Dimension 2'!B15</f>
        <v>34</v>
      </c>
      <c r="AH15" s="53"/>
      <c r="AI15" s="53"/>
      <c r="AJ15" s="53"/>
      <c r="AK15" s="53"/>
      <c r="AL15" s="53"/>
      <c r="AM15" s="53"/>
      <c r="AN15" s="53"/>
      <c r="AP15" s="53"/>
      <c r="AQ15" s="32" t="s">
        <v>474</v>
      </c>
      <c r="AU15" s="53"/>
      <c r="AV15" s="53"/>
      <c r="AW15" s="32" t="s">
        <v>474</v>
      </c>
      <c r="BA15" s="34"/>
      <c r="BC15" s="35"/>
      <c r="BE15" s="53" t="str">
        <f>('Gestión de abastecimiento'!A16)</f>
        <v>Beneficiaros 12</v>
      </c>
      <c r="BF15" s="27">
        <f>'Por Valoracion (3) Dimension'!F15</f>
        <v>21</v>
      </c>
      <c r="BG15" s="27">
        <f>'Por Valoracion (3) Dimension 2'!B15</f>
        <v>34</v>
      </c>
      <c r="BI15" s="53"/>
      <c r="BJ15" s="53"/>
      <c r="BK15" s="53"/>
      <c r="BL15" s="53"/>
      <c r="BM15" s="53"/>
      <c r="BN15" s="53"/>
      <c r="BO15" s="53"/>
      <c r="BQ15" s="53"/>
      <c r="BR15" s="32" t="s">
        <v>474</v>
      </c>
      <c r="BV15" s="53"/>
      <c r="BW15" s="53"/>
      <c r="BX15" s="32" t="s">
        <v>474</v>
      </c>
      <c r="CB15" s="35"/>
    </row>
    <row r="16" spans="1:80" ht="25.5" x14ac:dyDescent="0.25">
      <c r="A16" s="26"/>
      <c r="C16" s="53" t="str">
        <f>('Gestión de abastecimiento'!A17)</f>
        <v>Beneficiaros 13</v>
      </c>
      <c r="D16" s="27">
        <f>'Por Valoracion (3) Dimension'!B16</f>
        <v>13</v>
      </c>
      <c r="E16" s="27">
        <f>'Por Valoracion (3) Dimension 2'!B16</f>
        <v>22</v>
      </c>
      <c r="G16" s="53"/>
      <c r="H16" s="53"/>
      <c r="I16" s="53"/>
      <c r="J16" s="53"/>
      <c r="K16" s="53"/>
      <c r="L16" s="53"/>
      <c r="M16" s="53"/>
      <c r="O16" s="59" t="str">
        <f>E3</f>
        <v>Satisfacción del servicio</v>
      </c>
      <c r="P16" s="32" t="s">
        <v>470</v>
      </c>
      <c r="T16" s="53"/>
      <c r="U16" s="59" t="str">
        <f>E3</f>
        <v>Satisfacción del servicio</v>
      </c>
      <c r="V16" s="32" t="s">
        <v>472</v>
      </c>
      <c r="Z16" s="26"/>
      <c r="AB16" s="34"/>
      <c r="AD16" s="53" t="str">
        <f>('Gestión de abastecimiento'!A17)</f>
        <v>Beneficiaros 13</v>
      </c>
      <c r="AE16" s="27">
        <f>'Por Valoracion (3) Dimension'!D16</f>
        <v>16</v>
      </c>
      <c r="AF16" s="27">
        <f>'Por Valoracion (3) Dimension 2'!B16</f>
        <v>22</v>
      </c>
      <c r="AH16" s="53"/>
      <c r="AI16" s="53"/>
      <c r="AJ16" s="53"/>
      <c r="AK16" s="53"/>
      <c r="AL16" s="53"/>
      <c r="AM16" s="53"/>
      <c r="AN16" s="53"/>
      <c r="AP16" s="59" t="str">
        <f>AF3</f>
        <v>Satisfacción del servicio</v>
      </c>
      <c r="AQ16" s="32" t="s">
        <v>470</v>
      </c>
      <c r="AU16" s="53"/>
      <c r="AV16" s="59" t="str">
        <f>AF3</f>
        <v>Satisfacción del servicio</v>
      </c>
      <c r="AW16" s="32" t="s">
        <v>472</v>
      </c>
      <c r="BA16" s="34"/>
      <c r="BC16" s="35"/>
      <c r="BE16" s="53" t="str">
        <f>('Gestión de abastecimiento'!A17)</f>
        <v>Beneficiaros 13</v>
      </c>
      <c r="BF16" s="27">
        <f>'Por Valoracion (3) Dimension'!F16</f>
        <v>16</v>
      </c>
      <c r="BG16" s="27">
        <f>'Por Valoracion (3) Dimension 2'!B16</f>
        <v>22</v>
      </c>
      <c r="BI16" s="53"/>
      <c r="BJ16" s="53"/>
      <c r="BK16" s="53"/>
      <c r="BL16" s="53"/>
      <c r="BM16" s="53"/>
      <c r="BN16" s="53"/>
      <c r="BO16" s="53"/>
      <c r="BQ16" s="59" t="str">
        <f>BG3</f>
        <v>Satisfacción del servicio</v>
      </c>
      <c r="BR16" s="32" t="s">
        <v>470</v>
      </c>
      <c r="BV16" s="53"/>
      <c r="BW16" s="59" t="str">
        <f>BG3</f>
        <v>Satisfacción del servicio</v>
      </c>
      <c r="BX16" s="32" t="s">
        <v>472</v>
      </c>
      <c r="CB16" s="35"/>
    </row>
    <row r="17" spans="1:80" x14ac:dyDescent="0.25">
      <c r="A17" s="26"/>
      <c r="C17" s="53" t="str">
        <f>('Gestión de abastecimiento'!A18)</f>
        <v>Beneficiaros 14</v>
      </c>
      <c r="D17" s="27">
        <f>'Por Valoracion (3) Dimension'!B17</f>
        <v>17</v>
      </c>
      <c r="E17" s="27">
        <f>'Por Valoracion (3) Dimension 2'!B17</f>
        <v>27</v>
      </c>
      <c r="G17" s="53"/>
      <c r="H17" s="53"/>
      <c r="I17" s="53"/>
      <c r="J17" s="53"/>
      <c r="K17" s="53"/>
      <c r="L17" s="53"/>
      <c r="M17" s="53"/>
      <c r="O17" s="53"/>
      <c r="P17" s="32" t="s">
        <v>473</v>
      </c>
      <c r="T17" s="53"/>
      <c r="U17" s="53"/>
      <c r="V17" s="32" t="s">
        <v>473</v>
      </c>
      <c r="Z17" s="26"/>
      <c r="AB17" s="34"/>
      <c r="AD17" s="53" t="str">
        <f>('Gestión de abastecimiento'!A18)</f>
        <v>Beneficiaros 14</v>
      </c>
      <c r="AE17" s="27">
        <f>'Por Valoracion (3) Dimension'!D17</f>
        <v>18</v>
      </c>
      <c r="AF17" s="27">
        <f>'Por Valoracion (3) Dimension 2'!B17</f>
        <v>27</v>
      </c>
      <c r="AH17" s="53"/>
      <c r="AI17" s="53"/>
      <c r="AJ17" s="53"/>
      <c r="AK17" s="53"/>
      <c r="AL17" s="53"/>
      <c r="AM17" s="53"/>
      <c r="AN17" s="53"/>
      <c r="AP17" s="53"/>
      <c r="AQ17" s="32" t="s">
        <v>473</v>
      </c>
      <c r="AU17" s="53"/>
      <c r="AV17" s="53"/>
      <c r="AW17" s="32" t="s">
        <v>473</v>
      </c>
      <c r="BA17" s="34"/>
      <c r="BC17" s="35"/>
      <c r="BE17" s="53" t="str">
        <f>('Gestión de abastecimiento'!A18)</f>
        <v>Beneficiaros 14</v>
      </c>
      <c r="BF17" s="27">
        <f>'Por Valoracion (3) Dimension'!F17</f>
        <v>16</v>
      </c>
      <c r="BG17" s="27">
        <f>'Por Valoracion (3) Dimension 2'!B17</f>
        <v>27</v>
      </c>
      <c r="BI17" s="53"/>
      <c r="BJ17" s="53"/>
      <c r="BK17" s="53"/>
      <c r="BL17" s="53"/>
      <c r="BM17" s="53"/>
      <c r="BN17" s="53"/>
      <c r="BO17" s="53"/>
      <c r="BQ17" s="53"/>
      <c r="BR17" s="32" t="s">
        <v>473</v>
      </c>
      <c r="BV17" s="53"/>
      <c r="BW17" s="53"/>
      <c r="BX17" s="32" t="s">
        <v>473</v>
      </c>
      <c r="CB17" s="35"/>
    </row>
    <row r="18" spans="1:80" x14ac:dyDescent="0.25">
      <c r="A18" s="26"/>
      <c r="C18" s="53" t="str">
        <f>('Gestión de abastecimiento'!A19)</f>
        <v>Beneficiaros 15</v>
      </c>
      <c r="D18" s="27">
        <f>'Por Valoracion (3) Dimension'!B18</f>
        <v>19</v>
      </c>
      <c r="E18" s="27">
        <f>'Por Valoracion (3) Dimension 2'!B18</f>
        <v>26</v>
      </c>
      <c r="O18" s="58"/>
      <c r="P18" s="31" t="s">
        <v>474</v>
      </c>
      <c r="Q18" s="5"/>
      <c r="R18" s="5"/>
      <c r="T18" s="58"/>
      <c r="U18" s="58"/>
      <c r="V18" s="31" t="s">
        <v>474</v>
      </c>
      <c r="W18" s="5"/>
      <c r="X18" s="5"/>
      <c r="Z18" s="26"/>
      <c r="AB18" s="34"/>
      <c r="AD18" s="53" t="str">
        <f>('Gestión de abastecimiento'!A19)</f>
        <v>Beneficiaros 15</v>
      </c>
      <c r="AE18" s="27">
        <f>'Por Valoracion (3) Dimension'!D18</f>
        <v>18</v>
      </c>
      <c r="AF18" s="27">
        <f>'Por Valoracion (3) Dimension 2'!B18</f>
        <v>26</v>
      </c>
      <c r="AP18" s="58"/>
      <c r="AQ18" s="31" t="s">
        <v>474</v>
      </c>
      <c r="AR18" s="5"/>
      <c r="AS18" s="5"/>
      <c r="AU18" s="58"/>
      <c r="AV18" s="58"/>
      <c r="AW18" s="31" t="s">
        <v>474</v>
      </c>
      <c r="AX18" s="5"/>
      <c r="AY18" s="5"/>
      <c r="BA18" s="34"/>
      <c r="BC18" s="35"/>
      <c r="BE18" s="53" t="str">
        <f>('Gestión de abastecimiento'!A19)</f>
        <v>Beneficiaros 15</v>
      </c>
      <c r="BF18" s="27">
        <f>'Por Valoracion (3) Dimension'!F18</f>
        <v>19</v>
      </c>
      <c r="BG18" s="27">
        <f>'Por Valoracion (3) Dimension 2'!B18</f>
        <v>26</v>
      </c>
      <c r="BQ18" s="58"/>
      <c r="BR18" s="31" t="s">
        <v>474</v>
      </c>
      <c r="BS18" s="5"/>
      <c r="BT18" s="5"/>
      <c r="BV18" s="58"/>
      <c r="BW18" s="58"/>
      <c r="BX18" s="31" t="s">
        <v>474</v>
      </c>
      <c r="BY18" s="5"/>
      <c r="BZ18" s="5"/>
      <c r="CB18" s="35"/>
    </row>
    <row r="19" spans="1:80" x14ac:dyDescent="0.25">
      <c r="A19" s="26"/>
      <c r="C19" s="53" t="str">
        <f>('Gestión de abastecimiento'!A20)</f>
        <v>Beneficiaros 16</v>
      </c>
      <c r="D19" s="27">
        <f>'Por Valoracion (3) Dimension'!B19</f>
        <v>18</v>
      </c>
      <c r="E19" s="27">
        <f>'Por Valoracion (3) Dimension 2'!B19</f>
        <v>27</v>
      </c>
      <c r="O19" s="59" t="s">
        <v>475</v>
      </c>
      <c r="P19" s="53"/>
      <c r="Q19" s="53"/>
      <c r="R19" s="53"/>
      <c r="T19" s="59" t="s">
        <v>475</v>
      </c>
      <c r="U19" s="53"/>
      <c r="V19" s="53"/>
      <c r="W19" s="53"/>
      <c r="X19" s="53"/>
      <c r="Z19" s="26"/>
      <c r="AB19" s="34"/>
      <c r="AD19" s="53" t="str">
        <f>('Gestión de abastecimiento'!A20)</f>
        <v>Beneficiaros 16</v>
      </c>
      <c r="AE19" s="27">
        <f>'Por Valoracion (3) Dimension'!D19</f>
        <v>18</v>
      </c>
      <c r="AF19" s="27">
        <f>'Por Valoracion (3) Dimension 2'!B19</f>
        <v>27</v>
      </c>
      <c r="AP19" s="59" t="s">
        <v>475</v>
      </c>
      <c r="AQ19" s="53"/>
      <c r="AR19" s="53"/>
      <c r="AS19" s="53"/>
      <c r="AU19" s="59" t="s">
        <v>475</v>
      </c>
      <c r="AV19" s="53"/>
      <c r="AW19" s="53"/>
      <c r="AX19" s="53"/>
      <c r="AY19" s="53"/>
      <c r="BA19" s="34"/>
      <c r="BC19" s="35"/>
      <c r="BE19" s="53" t="str">
        <f>('Gestión de abastecimiento'!A20)</f>
        <v>Beneficiaros 16</v>
      </c>
      <c r="BF19" s="27">
        <f>'Por Valoracion (3) Dimension'!F19</f>
        <v>18</v>
      </c>
      <c r="BG19" s="27">
        <f>'Por Valoracion (3) Dimension 2'!B19</f>
        <v>27</v>
      </c>
      <c r="BQ19" s="59" t="s">
        <v>475</v>
      </c>
      <c r="BR19" s="53"/>
      <c r="BS19" s="53"/>
      <c r="BT19" s="53"/>
      <c r="BV19" s="59" t="s">
        <v>475</v>
      </c>
      <c r="BW19" s="53"/>
      <c r="BX19" s="53"/>
      <c r="BY19" s="53"/>
      <c r="BZ19" s="53"/>
      <c r="CB19" s="35"/>
    </row>
    <row r="20" spans="1:80" x14ac:dyDescent="0.25">
      <c r="A20" s="26"/>
      <c r="C20" s="53" t="str">
        <f>('Gestión de abastecimiento'!A21)</f>
        <v>Beneficiaros 17</v>
      </c>
      <c r="D20" s="27">
        <f>'Por Valoracion (3) Dimension'!B20</f>
        <v>18</v>
      </c>
      <c r="E20" s="27">
        <f>'Por Valoracion (3) Dimension 2'!B20</f>
        <v>26</v>
      </c>
      <c r="Z20" s="26"/>
      <c r="AB20" s="34"/>
      <c r="AD20" s="53" t="str">
        <f>('Gestión de abastecimiento'!A21)</f>
        <v>Beneficiaros 17</v>
      </c>
      <c r="AE20" s="27">
        <f>'Por Valoracion (3) Dimension'!D20</f>
        <v>19</v>
      </c>
      <c r="AF20" s="27">
        <f>'Por Valoracion (3) Dimension 2'!B20</f>
        <v>26</v>
      </c>
      <c r="BA20" s="34"/>
      <c r="BC20" s="35"/>
      <c r="BE20" s="53" t="str">
        <f>('Gestión de abastecimiento'!A21)</f>
        <v>Beneficiaros 17</v>
      </c>
      <c r="BF20" s="27">
        <f>'Por Valoracion (3) Dimension'!F20</f>
        <v>18</v>
      </c>
      <c r="BG20" s="27">
        <f>'Por Valoracion (3) Dimension 2'!B20</f>
        <v>26</v>
      </c>
      <c r="CB20" s="35"/>
    </row>
    <row r="21" spans="1:80" x14ac:dyDescent="0.25">
      <c r="A21" s="26"/>
      <c r="C21" s="53" t="str">
        <f>('Gestión de abastecimiento'!A22)</f>
        <v>Beneficiaros 18</v>
      </c>
      <c r="D21" s="27">
        <f>'Por Valoracion (3) Dimension'!B21</f>
        <v>16</v>
      </c>
      <c r="E21" s="27">
        <f>'Por Valoracion (3) Dimension 2'!B21</f>
        <v>22</v>
      </c>
      <c r="Z21" s="26"/>
      <c r="AB21" s="34"/>
      <c r="AD21" s="53" t="str">
        <f>('Gestión de abastecimiento'!A22)</f>
        <v>Beneficiaros 18</v>
      </c>
      <c r="AE21" s="27">
        <f>'Por Valoracion (3) Dimension'!D21</f>
        <v>16</v>
      </c>
      <c r="AF21" s="27">
        <f>'Por Valoracion (3) Dimension 2'!B21</f>
        <v>22</v>
      </c>
      <c r="BA21" s="34"/>
      <c r="BC21" s="35"/>
      <c r="BE21" s="53" t="str">
        <f>('Gestión de abastecimiento'!A22)</f>
        <v>Beneficiaros 18</v>
      </c>
      <c r="BF21" s="27">
        <f>'Por Valoracion (3) Dimension'!F21</f>
        <v>16</v>
      </c>
      <c r="BG21" s="27">
        <f>'Por Valoracion (3) Dimension 2'!B21</f>
        <v>22</v>
      </c>
      <c r="CB21" s="35"/>
    </row>
    <row r="22" spans="1:80" x14ac:dyDescent="0.25">
      <c r="A22" s="26"/>
      <c r="C22" s="53" t="str">
        <f>('Gestión de abastecimiento'!A23)</f>
        <v>Beneficiaros 19</v>
      </c>
      <c r="D22" s="27">
        <f>'Por Valoracion (3) Dimension'!B22</f>
        <v>14</v>
      </c>
      <c r="E22" s="27">
        <f>'Por Valoracion (3) Dimension 2'!B22</f>
        <v>20</v>
      </c>
      <c r="Z22" s="26"/>
      <c r="AB22" s="34"/>
      <c r="AD22" s="53" t="str">
        <f>('Gestión de abastecimiento'!A23)</f>
        <v>Beneficiaros 19</v>
      </c>
      <c r="AE22" s="27">
        <f>'Por Valoracion (3) Dimension'!D22</f>
        <v>14</v>
      </c>
      <c r="AF22" s="27">
        <f>'Por Valoracion (3) Dimension 2'!B22</f>
        <v>20</v>
      </c>
      <c r="BA22" s="34"/>
      <c r="BC22" s="35"/>
      <c r="BE22" s="53" t="str">
        <f>('Gestión de abastecimiento'!A23)</f>
        <v>Beneficiaros 19</v>
      </c>
      <c r="BF22" s="27">
        <f>'Por Valoracion (3) Dimension'!F22</f>
        <v>13</v>
      </c>
      <c r="BG22" s="27">
        <f>'Por Valoracion (3) Dimension 2'!B22</f>
        <v>20</v>
      </c>
      <c r="CB22" s="35"/>
    </row>
    <row r="23" spans="1:80" x14ac:dyDescent="0.25">
      <c r="A23" s="26"/>
      <c r="C23" s="53" t="str">
        <f>('Gestión de abastecimiento'!A24)</f>
        <v>Beneficiaros 20</v>
      </c>
      <c r="D23" s="27">
        <f>'Por Valoracion (3) Dimension'!B23</f>
        <v>24</v>
      </c>
      <c r="E23" s="27">
        <f>'Por Valoracion (3) Dimension 2'!B23</f>
        <v>36</v>
      </c>
      <c r="Z23" s="26"/>
      <c r="AB23" s="34"/>
      <c r="AD23" s="53" t="str">
        <f>('Gestión de abastecimiento'!A24)</f>
        <v>Beneficiaros 20</v>
      </c>
      <c r="AE23" s="27">
        <f>'Por Valoracion (3) Dimension'!D23</f>
        <v>24</v>
      </c>
      <c r="AF23" s="27">
        <f>'Por Valoracion (3) Dimension 2'!B23</f>
        <v>36</v>
      </c>
      <c r="BA23" s="34"/>
      <c r="BC23" s="35"/>
      <c r="BE23" s="53" t="str">
        <f>('Gestión de abastecimiento'!A24)</f>
        <v>Beneficiaros 20</v>
      </c>
      <c r="BF23" s="27">
        <f>'Por Valoracion (3) Dimension'!F23</f>
        <v>23</v>
      </c>
      <c r="BG23" s="27">
        <f>'Por Valoracion (3) Dimension 2'!B23</f>
        <v>36</v>
      </c>
      <c r="CB23" s="35"/>
    </row>
    <row r="24" spans="1:80" x14ac:dyDescent="0.25">
      <c r="A24" s="26"/>
      <c r="C24" s="53" t="str">
        <f>('Gestión de abastecimiento'!A25)</f>
        <v>Beneficiaros 21</v>
      </c>
      <c r="D24" s="27">
        <f>'Por Valoracion (3) Dimension'!B24</f>
        <v>13</v>
      </c>
      <c r="E24" s="27">
        <f>'Por Valoracion (3) Dimension 2'!B24</f>
        <v>19</v>
      </c>
      <c r="Z24" s="26"/>
      <c r="AB24" s="34"/>
      <c r="AD24" s="53" t="str">
        <f>('Gestión de abastecimiento'!A25)</f>
        <v>Beneficiaros 21</v>
      </c>
      <c r="AE24" s="27">
        <f>'Por Valoracion (3) Dimension'!D24</f>
        <v>12</v>
      </c>
      <c r="AF24" s="27">
        <f>'Por Valoracion (3) Dimension 2'!B24</f>
        <v>19</v>
      </c>
      <c r="BA24" s="34"/>
      <c r="BC24" s="35"/>
      <c r="BE24" s="53" t="str">
        <f>('Gestión de abastecimiento'!A25)</f>
        <v>Beneficiaros 21</v>
      </c>
      <c r="BF24" s="27">
        <f>'Por Valoracion (3) Dimension'!F24</f>
        <v>12</v>
      </c>
      <c r="BG24" s="27">
        <f>'Por Valoracion (3) Dimension 2'!B24</f>
        <v>19</v>
      </c>
      <c r="CB24" s="35"/>
    </row>
    <row r="25" spans="1:80" x14ac:dyDescent="0.25">
      <c r="A25" s="26"/>
      <c r="C25" s="53" t="str">
        <f>('Gestión de abastecimiento'!A26)</f>
        <v>Beneficiaros 22</v>
      </c>
      <c r="D25" s="27">
        <f>'Por Valoracion (3) Dimension'!B25</f>
        <v>16</v>
      </c>
      <c r="E25" s="27">
        <f>'Por Valoracion (3) Dimension 2'!B25</f>
        <v>23</v>
      </c>
      <c r="Z25" s="26"/>
      <c r="AB25" s="34"/>
      <c r="AD25" s="53" t="str">
        <f>('Gestión de abastecimiento'!A26)</f>
        <v>Beneficiaros 22</v>
      </c>
      <c r="AE25" s="27">
        <f>'Por Valoracion (3) Dimension'!D25</f>
        <v>13</v>
      </c>
      <c r="AF25" s="27">
        <f>'Por Valoracion (3) Dimension 2'!B25</f>
        <v>23</v>
      </c>
      <c r="BA25" s="34"/>
      <c r="BC25" s="35"/>
      <c r="BE25" s="53" t="str">
        <f>('Gestión de abastecimiento'!A26)</f>
        <v>Beneficiaros 22</v>
      </c>
      <c r="BF25" s="27">
        <f>'Por Valoracion (3) Dimension'!F25</f>
        <v>13</v>
      </c>
      <c r="BG25" s="27">
        <f>'Por Valoracion (3) Dimension 2'!B25</f>
        <v>23</v>
      </c>
      <c r="CB25" s="35"/>
    </row>
    <row r="26" spans="1:80" x14ac:dyDescent="0.25">
      <c r="A26" s="26"/>
      <c r="C26" s="53" t="str">
        <f>('Gestión de abastecimiento'!A27)</f>
        <v>Beneficiaros 23</v>
      </c>
      <c r="D26" s="27">
        <f>'Por Valoracion (3) Dimension'!B26</f>
        <v>18</v>
      </c>
      <c r="E26" s="27">
        <f>'Por Valoracion (3) Dimension 2'!B26</f>
        <v>25</v>
      </c>
      <c r="Z26" s="26"/>
      <c r="AB26" s="34"/>
      <c r="AD26" s="53" t="str">
        <f>('Gestión de abastecimiento'!A27)</f>
        <v>Beneficiaros 23</v>
      </c>
      <c r="AE26" s="27">
        <f>'Por Valoracion (3) Dimension'!D26</f>
        <v>17</v>
      </c>
      <c r="AF26" s="27">
        <f>'Por Valoracion (3) Dimension 2'!B26</f>
        <v>25</v>
      </c>
      <c r="BA26" s="34"/>
      <c r="BC26" s="35"/>
      <c r="BE26" s="53" t="str">
        <f>('Gestión de abastecimiento'!A27)</f>
        <v>Beneficiaros 23</v>
      </c>
      <c r="BF26" s="27">
        <f>'Por Valoracion (3) Dimension'!F26</f>
        <v>16</v>
      </c>
      <c r="BG26" s="27">
        <f>'Por Valoracion (3) Dimension 2'!B26</f>
        <v>25</v>
      </c>
      <c r="CB26" s="35"/>
    </row>
    <row r="27" spans="1:80" x14ac:dyDescent="0.25">
      <c r="A27" s="26"/>
      <c r="C27" s="53" t="str">
        <f>('Gestión de abastecimiento'!A28)</f>
        <v>Beneficiaros 24</v>
      </c>
      <c r="D27" s="27">
        <f>'Por Valoracion (3) Dimension'!B27</f>
        <v>26</v>
      </c>
      <c r="E27" s="27">
        <f>'Por Valoracion (3) Dimension 2'!B27</f>
        <v>39</v>
      </c>
      <c r="Z27" s="26"/>
      <c r="AB27" s="34"/>
      <c r="AD27" s="53" t="str">
        <f>('Gestión de abastecimiento'!A28)</f>
        <v>Beneficiaros 24</v>
      </c>
      <c r="AE27" s="27">
        <f>'Por Valoracion (3) Dimension'!D27</f>
        <v>25</v>
      </c>
      <c r="AF27" s="27">
        <f>'Por Valoracion (3) Dimension 2'!B27</f>
        <v>39</v>
      </c>
      <c r="BA27" s="34"/>
      <c r="BC27" s="35"/>
      <c r="BE27" s="53" t="str">
        <f>('Gestión de abastecimiento'!A28)</f>
        <v>Beneficiaros 24</v>
      </c>
      <c r="BF27" s="27">
        <f>'Por Valoracion (3) Dimension'!F27</f>
        <v>24</v>
      </c>
      <c r="BG27" s="27">
        <f>'Por Valoracion (3) Dimension 2'!B27</f>
        <v>39</v>
      </c>
      <c r="CB27" s="35"/>
    </row>
    <row r="28" spans="1:80" x14ac:dyDescent="0.25">
      <c r="A28" s="26"/>
      <c r="C28" s="53" t="str">
        <f>('Gestión de abastecimiento'!A29)</f>
        <v>Beneficiaros 25</v>
      </c>
      <c r="D28" s="27">
        <f>'Por Valoracion (3) Dimension'!B28</f>
        <v>12</v>
      </c>
      <c r="E28" s="27">
        <f>'Por Valoracion (3) Dimension 2'!B28</f>
        <v>18</v>
      </c>
      <c r="Z28" s="26"/>
      <c r="AB28" s="34"/>
      <c r="AD28" s="53" t="str">
        <f>('Gestión de abastecimiento'!A29)</f>
        <v>Beneficiaros 25</v>
      </c>
      <c r="AE28" s="27">
        <f>'Por Valoracion (3) Dimension'!D28</f>
        <v>13</v>
      </c>
      <c r="AF28" s="27">
        <f>'Por Valoracion (3) Dimension 2'!B28</f>
        <v>18</v>
      </c>
      <c r="BA28" s="34"/>
      <c r="BC28" s="35"/>
      <c r="BE28" s="53" t="str">
        <f>('Gestión de abastecimiento'!A29)</f>
        <v>Beneficiaros 25</v>
      </c>
      <c r="BF28" s="27">
        <f>'Por Valoracion (3) Dimension'!F28</f>
        <v>12</v>
      </c>
      <c r="BG28" s="27">
        <f>'Por Valoracion (3) Dimension 2'!B28</f>
        <v>18</v>
      </c>
      <c r="CB28" s="35"/>
    </row>
    <row r="29" spans="1:80" x14ac:dyDescent="0.25">
      <c r="A29" s="26"/>
      <c r="C29" s="53" t="str">
        <f>('Gestión de abastecimiento'!A30)</f>
        <v>Beneficiaros 26</v>
      </c>
      <c r="D29" s="27">
        <f>'Por Valoracion (3) Dimension'!B29</f>
        <v>13</v>
      </c>
      <c r="E29" s="27">
        <f>'Por Valoracion (3) Dimension 2'!B29</f>
        <v>20</v>
      </c>
      <c r="Z29" s="26"/>
      <c r="AB29" s="34"/>
      <c r="AD29" s="53" t="str">
        <f>('Gestión de abastecimiento'!A30)</f>
        <v>Beneficiaros 26</v>
      </c>
      <c r="AE29" s="27">
        <f>'Por Valoracion (3) Dimension'!D29</f>
        <v>12</v>
      </c>
      <c r="AF29" s="27">
        <f>'Por Valoracion (3) Dimension 2'!B29</f>
        <v>20</v>
      </c>
      <c r="BA29" s="34"/>
      <c r="BC29" s="35"/>
      <c r="BE29" s="53" t="str">
        <f>('Gestión de abastecimiento'!A30)</f>
        <v>Beneficiaros 26</v>
      </c>
      <c r="BF29" s="27">
        <f>'Por Valoracion (3) Dimension'!F29</f>
        <v>11</v>
      </c>
      <c r="BG29" s="27">
        <f>'Por Valoracion (3) Dimension 2'!B29</f>
        <v>20</v>
      </c>
      <c r="CB29" s="35"/>
    </row>
    <row r="30" spans="1:80" x14ac:dyDescent="0.25">
      <c r="A30" s="26"/>
      <c r="C30" s="53" t="str">
        <f>('Gestión de abastecimiento'!A31)</f>
        <v>Beneficiaros 27</v>
      </c>
      <c r="D30" s="27">
        <f>'Por Valoracion (3) Dimension'!B30</f>
        <v>17</v>
      </c>
      <c r="E30" s="27">
        <f>'Por Valoracion (3) Dimension 2'!B30</f>
        <v>26</v>
      </c>
      <c r="Z30" s="26"/>
      <c r="AB30" s="34"/>
      <c r="AD30" s="53" t="str">
        <f>('Gestión de abastecimiento'!A31)</f>
        <v>Beneficiaros 27</v>
      </c>
      <c r="AE30" s="27">
        <f>'Por Valoracion (3) Dimension'!D30</f>
        <v>16</v>
      </c>
      <c r="AF30" s="27">
        <f>'Por Valoracion (3) Dimension 2'!B30</f>
        <v>26</v>
      </c>
      <c r="BA30" s="34"/>
      <c r="BC30" s="35"/>
      <c r="BE30" s="53" t="str">
        <f>('Gestión de abastecimiento'!A31)</f>
        <v>Beneficiaros 27</v>
      </c>
      <c r="BF30" s="27">
        <f>'Por Valoracion (3) Dimension'!F30</f>
        <v>16</v>
      </c>
      <c r="BG30" s="27">
        <f>'Por Valoracion (3) Dimension 2'!B30</f>
        <v>26</v>
      </c>
      <c r="CB30" s="35"/>
    </row>
    <row r="31" spans="1:80" x14ac:dyDescent="0.25">
      <c r="A31" s="26"/>
      <c r="C31" s="53" t="str">
        <f>('Gestión de abastecimiento'!A32)</f>
        <v>Beneficiaros 28</v>
      </c>
      <c r="D31" s="27">
        <f>'Por Valoracion (3) Dimension'!B31</f>
        <v>21</v>
      </c>
      <c r="E31" s="27">
        <f>'Por Valoracion (3) Dimension 2'!B31</f>
        <v>31</v>
      </c>
      <c r="Z31" s="26"/>
      <c r="AB31" s="34"/>
      <c r="AD31" s="53" t="str">
        <f>('Gestión de abastecimiento'!A32)</f>
        <v>Beneficiaros 28</v>
      </c>
      <c r="AE31" s="27">
        <f>'Por Valoracion (3) Dimension'!D31</f>
        <v>24</v>
      </c>
      <c r="AF31" s="27">
        <f>'Por Valoracion (3) Dimension 2'!B31</f>
        <v>31</v>
      </c>
      <c r="BA31" s="34"/>
      <c r="BC31" s="35"/>
      <c r="BE31" s="53" t="str">
        <f>('Gestión de abastecimiento'!A32)</f>
        <v>Beneficiaros 28</v>
      </c>
      <c r="BF31" s="27">
        <f>'Por Valoracion (3) Dimension'!F31</f>
        <v>20</v>
      </c>
      <c r="BG31" s="27">
        <f>'Por Valoracion (3) Dimension 2'!B31</f>
        <v>31</v>
      </c>
      <c r="CB31" s="35"/>
    </row>
    <row r="32" spans="1:80" x14ac:dyDescent="0.25">
      <c r="A32" s="26"/>
      <c r="C32" s="53" t="str">
        <f>('Gestión de abastecimiento'!A33)</f>
        <v>Beneficiaros 29</v>
      </c>
      <c r="D32" s="27">
        <f>'Por Valoracion (3) Dimension'!B32</f>
        <v>24</v>
      </c>
      <c r="E32" s="27">
        <f>'Por Valoracion (3) Dimension 2'!B32</f>
        <v>35</v>
      </c>
      <c r="Z32" s="26"/>
      <c r="AB32" s="34"/>
      <c r="AD32" s="53" t="str">
        <f>('Gestión de abastecimiento'!A33)</f>
        <v>Beneficiaros 29</v>
      </c>
      <c r="AE32" s="27">
        <f>'Por Valoracion (3) Dimension'!D32</f>
        <v>22</v>
      </c>
      <c r="AF32" s="27">
        <f>'Por Valoracion (3) Dimension 2'!B32</f>
        <v>35</v>
      </c>
      <c r="BA32" s="34"/>
      <c r="BC32" s="35"/>
      <c r="BE32" s="53" t="str">
        <f>('Gestión de abastecimiento'!A33)</f>
        <v>Beneficiaros 29</v>
      </c>
      <c r="BF32" s="27">
        <f>'Por Valoracion (3) Dimension'!F32</f>
        <v>24</v>
      </c>
      <c r="BG32" s="27">
        <f>'Por Valoracion (3) Dimension 2'!B32</f>
        <v>35</v>
      </c>
      <c r="CB32" s="35"/>
    </row>
    <row r="33" spans="1:80" x14ac:dyDescent="0.25">
      <c r="A33" s="26"/>
      <c r="C33" s="53" t="str">
        <f>('Gestión de abastecimiento'!A34)</f>
        <v>Beneficiaros 30</v>
      </c>
      <c r="D33" s="27">
        <f>'Por Valoracion (3) Dimension'!B33</f>
        <v>18</v>
      </c>
      <c r="E33" s="27">
        <f>'Por Valoracion (3) Dimension 2'!B33</f>
        <v>27</v>
      </c>
      <c r="Z33" s="26"/>
      <c r="AB33" s="34"/>
      <c r="AD33" s="53" t="str">
        <f>('Gestión de abastecimiento'!A34)</f>
        <v>Beneficiaros 30</v>
      </c>
      <c r="AE33" s="27">
        <f>'Por Valoracion (3) Dimension'!D33</f>
        <v>17</v>
      </c>
      <c r="AF33" s="27">
        <f>'Por Valoracion (3) Dimension 2'!B33</f>
        <v>27</v>
      </c>
      <c r="BA33" s="34"/>
      <c r="BC33" s="35"/>
      <c r="BE33" s="53" t="str">
        <f>('Gestión de abastecimiento'!A34)</f>
        <v>Beneficiaros 30</v>
      </c>
      <c r="BF33" s="27">
        <f>'Por Valoracion (3) Dimension'!F33</f>
        <v>17</v>
      </c>
      <c r="BG33" s="27">
        <f>'Por Valoracion (3) Dimension 2'!B33</f>
        <v>27</v>
      </c>
      <c r="CB33" s="35"/>
    </row>
    <row r="34" spans="1:80" x14ac:dyDescent="0.25">
      <c r="A34" s="26"/>
      <c r="C34" s="53" t="str">
        <f>('Gestión de abastecimiento'!A35)</f>
        <v>Beneficiaros 31</v>
      </c>
      <c r="D34" s="27">
        <f>'Por Valoracion (3) Dimension'!B34</f>
        <v>24</v>
      </c>
      <c r="E34" s="27">
        <f>'Por Valoracion (3) Dimension 2'!B34</f>
        <v>39</v>
      </c>
      <c r="Z34" s="26"/>
      <c r="AB34" s="34"/>
      <c r="AD34" s="53" t="str">
        <f>('Gestión de abastecimiento'!A35)</f>
        <v>Beneficiaros 31</v>
      </c>
      <c r="AE34" s="27">
        <f>'Por Valoracion (3) Dimension'!D34</f>
        <v>24</v>
      </c>
      <c r="AF34" s="27">
        <f>'Por Valoracion (3) Dimension 2'!B34</f>
        <v>39</v>
      </c>
      <c r="BA34" s="34"/>
      <c r="BC34" s="35"/>
      <c r="BE34" s="53" t="str">
        <f>('Gestión de abastecimiento'!A35)</f>
        <v>Beneficiaros 31</v>
      </c>
      <c r="BF34" s="27">
        <f>'Por Valoracion (3) Dimension'!F34</f>
        <v>25</v>
      </c>
      <c r="BG34" s="27">
        <f>'Por Valoracion (3) Dimension 2'!B34</f>
        <v>39</v>
      </c>
      <c r="CB34" s="35"/>
    </row>
    <row r="35" spans="1:80" x14ac:dyDescent="0.25">
      <c r="A35" s="26"/>
      <c r="C35" s="53" t="str">
        <f>('Gestión de abastecimiento'!A36)</f>
        <v>Beneficiaros 32</v>
      </c>
      <c r="D35" s="27">
        <f>'Por Valoracion (3) Dimension'!B35</f>
        <v>27</v>
      </c>
      <c r="E35" s="27">
        <f>'Por Valoracion (3) Dimension 2'!B35</f>
        <v>38</v>
      </c>
      <c r="Z35" s="26"/>
      <c r="AB35" s="34"/>
      <c r="AD35" s="53" t="str">
        <f>('Gestión de abastecimiento'!A36)</f>
        <v>Beneficiaros 32</v>
      </c>
      <c r="AE35" s="27">
        <f>'Por Valoracion (3) Dimension'!D35</f>
        <v>25</v>
      </c>
      <c r="AF35" s="27">
        <f>'Por Valoracion (3) Dimension 2'!B35</f>
        <v>38</v>
      </c>
      <c r="BA35" s="34"/>
      <c r="BC35" s="35"/>
      <c r="BE35" s="53" t="str">
        <f>('Gestión de abastecimiento'!A36)</f>
        <v>Beneficiaros 32</v>
      </c>
      <c r="BF35" s="27">
        <f>'Por Valoracion (3) Dimension'!F35</f>
        <v>25</v>
      </c>
      <c r="BG35" s="27">
        <f>'Por Valoracion (3) Dimension 2'!B35</f>
        <v>38</v>
      </c>
      <c r="CB35" s="35"/>
    </row>
    <row r="36" spans="1:80" x14ac:dyDescent="0.25">
      <c r="A36" s="26"/>
      <c r="C36" s="53" t="str">
        <f>('Gestión de abastecimiento'!A37)</f>
        <v>Beneficiaros 33</v>
      </c>
      <c r="D36" s="27">
        <f>'Por Valoracion (3) Dimension'!B36</f>
        <v>15</v>
      </c>
      <c r="E36" s="27">
        <f>'Por Valoracion (3) Dimension 2'!B36</f>
        <v>21</v>
      </c>
      <c r="Z36" s="26"/>
      <c r="AB36" s="34"/>
      <c r="AD36" s="53" t="str">
        <f>('Gestión de abastecimiento'!A37)</f>
        <v>Beneficiaros 33</v>
      </c>
      <c r="AE36" s="27">
        <f>'Por Valoracion (3) Dimension'!D36</f>
        <v>15</v>
      </c>
      <c r="AF36" s="27">
        <f>'Por Valoracion (3) Dimension 2'!B36</f>
        <v>21</v>
      </c>
      <c r="BA36" s="34"/>
      <c r="BC36" s="35"/>
      <c r="BE36" s="53" t="str">
        <f>('Gestión de abastecimiento'!A37)</f>
        <v>Beneficiaros 33</v>
      </c>
      <c r="BF36" s="27">
        <f>'Por Valoracion (3) Dimension'!F36</f>
        <v>15</v>
      </c>
      <c r="BG36" s="27">
        <f>'Por Valoracion (3) Dimension 2'!B36</f>
        <v>21</v>
      </c>
      <c r="CB36" s="35"/>
    </row>
    <row r="37" spans="1:80" x14ac:dyDescent="0.25">
      <c r="A37" s="26"/>
      <c r="C37" s="53" t="str">
        <f>('Gestión de abastecimiento'!A38)</f>
        <v>Beneficiaros 34</v>
      </c>
      <c r="D37" s="27">
        <f>'Por Valoracion (3) Dimension'!B37</f>
        <v>14</v>
      </c>
      <c r="E37" s="27">
        <f>'Por Valoracion (3) Dimension 2'!B37</f>
        <v>25</v>
      </c>
      <c r="Z37" s="26"/>
      <c r="AB37" s="34"/>
      <c r="AD37" s="53" t="str">
        <f>('Gestión de abastecimiento'!A38)</f>
        <v>Beneficiaros 34</v>
      </c>
      <c r="AE37" s="27">
        <f>'Por Valoracion (3) Dimension'!D37</f>
        <v>16</v>
      </c>
      <c r="AF37" s="27">
        <f>'Por Valoracion (3) Dimension 2'!B37</f>
        <v>25</v>
      </c>
      <c r="BA37" s="34"/>
      <c r="BC37" s="35"/>
      <c r="BE37" s="53" t="str">
        <f>('Gestión de abastecimiento'!A38)</f>
        <v>Beneficiaros 34</v>
      </c>
      <c r="BF37" s="27">
        <f>'Por Valoracion (3) Dimension'!F37</f>
        <v>16</v>
      </c>
      <c r="BG37" s="27">
        <f>'Por Valoracion (3) Dimension 2'!B37</f>
        <v>25</v>
      </c>
      <c r="CB37" s="35"/>
    </row>
    <row r="38" spans="1:80" x14ac:dyDescent="0.25">
      <c r="A38" s="26"/>
      <c r="C38" s="53" t="str">
        <f>('Gestión de abastecimiento'!A39)</f>
        <v>Beneficiaros 35</v>
      </c>
      <c r="D38" s="27">
        <f>'Por Valoracion (3) Dimension'!B38</f>
        <v>18</v>
      </c>
      <c r="E38" s="27">
        <f>'Por Valoracion (3) Dimension 2'!B38</f>
        <v>27</v>
      </c>
      <c r="Z38" s="26"/>
      <c r="AB38" s="34"/>
      <c r="AD38" s="53" t="str">
        <f>('Gestión de abastecimiento'!A39)</f>
        <v>Beneficiaros 35</v>
      </c>
      <c r="AE38" s="27">
        <f>'Por Valoracion (3) Dimension'!D38</f>
        <v>19</v>
      </c>
      <c r="AF38" s="27">
        <f>'Por Valoracion (3) Dimension 2'!B38</f>
        <v>27</v>
      </c>
      <c r="BA38" s="34"/>
      <c r="BC38" s="35"/>
      <c r="BE38" s="53" t="str">
        <f>('Gestión de abastecimiento'!A39)</f>
        <v>Beneficiaros 35</v>
      </c>
      <c r="BF38" s="27">
        <f>'Por Valoracion (3) Dimension'!F38</f>
        <v>18</v>
      </c>
      <c r="BG38" s="27">
        <f>'Por Valoracion (3) Dimension 2'!B38</f>
        <v>27</v>
      </c>
      <c r="CB38" s="35"/>
    </row>
    <row r="39" spans="1:80" x14ac:dyDescent="0.25">
      <c r="A39" s="26"/>
      <c r="C39" s="53" t="str">
        <f>('Gestión de abastecimiento'!A40)</f>
        <v>Beneficiaros 36</v>
      </c>
      <c r="D39" s="27">
        <f>'Por Valoracion (3) Dimension'!B39</f>
        <v>19</v>
      </c>
      <c r="E39" s="27">
        <f>'Por Valoracion (3) Dimension 2'!B39</f>
        <v>27</v>
      </c>
      <c r="Z39" s="26"/>
      <c r="AB39" s="34"/>
      <c r="AD39" s="53" t="str">
        <f>('Gestión de abastecimiento'!A40)</f>
        <v>Beneficiaros 36</v>
      </c>
      <c r="AE39" s="27">
        <f>'Por Valoracion (3) Dimension'!D39</f>
        <v>18</v>
      </c>
      <c r="AF39" s="27">
        <f>'Por Valoracion (3) Dimension 2'!B39</f>
        <v>27</v>
      </c>
      <c r="BA39" s="34"/>
      <c r="BC39" s="35"/>
      <c r="BE39" s="53" t="str">
        <f>('Gestión de abastecimiento'!A40)</f>
        <v>Beneficiaros 36</v>
      </c>
      <c r="BF39" s="27">
        <f>'Por Valoracion (3) Dimension'!F39</f>
        <v>18</v>
      </c>
      <c r="BG39" s="27">
        <f>'Por Valoracion (3) Dimension 2'!B39</f>
        <v>27</v>
      </c>
      <c r="CB39" s="35"/>
    </row>
    <row r="40" spans="1:80" x14ac:dyDescent="0.25">
      <c r="A40" s="26"/>
      <c r="C40" s="53" t="str">
        <f>('Gestión de abastecimiento'!A41)</f>
        <v>Beneficiaros 37</v>
      </c>
      <c r="D40" s="27">
        <f>'Por Valoracion (3) Dimension'!B40</f>
        <v>12</v>
      </c>
      <c r="E40" s="27">
        <f>'Por Valoracion (3) Dimension 2'!B40</f>
        <v>17</v>
      </c>
      <c r="Z40" s="26"/>
      <c r="AB40" s="34"/>
      <c r="AD40" s="53" t="str">
        <f>('Gestión de abastecimiento'!A41)</f>
        <v>Beneficiaros 37</v>
      </c>
      <c r="AE40" s="27">
        <f>'Por Valoracion (3) Dimension'!D40</f>
        <v>12</v>
      </c>
      <c r="AF40" s="27">
        <f>'Por Valoracion (3) Dimension 2'!B40</f>
        <v>17</v>
      </c>
      <c r="BA40" s="34"/>
      <c r="BC40" s="35"/>
      <c r="BE40" s="53" t="str">
        <f>('Gestión de abastecimiento'!A41)</f>
        <v>Beneficiaros 37</v>
      </c>
      <c r="BF40" s="27">
        <f>'Por Valoracion (3) Dimension'!F40</f>
        <v>11</v>
      </c>
      <c r="BG40" s="27">
        <f>'Por Valoracion (3) Dimension 2'!B40</f>
        <v>17</v>
      </c>
      <c r="CB40" s="35"/>
    </row>
    <row r="41" spans="1:80" x14ac:dyDescent="0.25">
      <c r="A41" s="26"/>
      <c r="C41" s="53" t="str">
        <f>('Gestión de abastecimiento'!A42)</f>
        <v>Beneficiaros 38</v>
      </c>
      <c r="D41" s="27">
        <f>'Por Valoracion (3) Dimension'!B41</f>
        <v>19</v>
      </c>
      <c r="E41" s="27">
        <f>'Por Valoracion (3) Dimension 2'!B41</f>
        <v>28</v>
      </c>
      <c r="Z41" s="26"/>
      <c r="AB41" s="34"/>
      <c r="AD41" s="53" t="str">
        <f>('Gestión de abastecimiento'!A42)</f>
        <v>Beneficiaros 38</v>
      </c>
      <c r="AE41" s="27">
        <f>'Por Valoracion (3) Dimension'!D41</f>
        <v>19</v>
      </c>
      <c r="AF41" s="27">
        <f>'Por Valoracion (3) Dimension 2'!B41</f>
        <v>28</v>
      </c>
      <c r="BA41" s="34"/>
      <c r="BC41" s="35"/>
      <c r="BE41" s="53" t="str">
        <f>('Gestión de abastecimiento'!A42)</f>
        <v>Beneficiaros 38</v>
      </c>
      <c r="BF41" s="27">
        <f>'Por Valoracion (3) Dimension'!F41</f>
        <v>18</v>
      </c>
      <c r="BG41" s="27">
        <f>'Por Valoracion (3) Dimension 2'!B41</f>
        <v>28</v>
      </c>
      <c r="CB41" s="35"/>
    </row>
    <row r="42" spans="1:80" x14ac:dyDescent="0.25">
      <c r="A42" s="26"/>
      <c r="C42" s="53" t="str">
        <f>('Gestión de abastecimiento'!A43)</f>
        <v>Beneficiaros 39</v>
      </c>
      <c r="D42" s="27">
        <f>'Por Valoracion (3) Dimension'!B42</f>
        <v>23</v>
      </c>
      <c r="E42" s="27">
        <f>'Por Valoracion (3) Dimension 2'!B42</f>
        <v>30</v>
      </c>
      <c r="Z42" s="26"/>
      <c r="AB42" s="34"/>
      <c r="AD42" s="53" t="str">
        <f>('Gestión de abastecimiento'!A43)</f>
        <v>Beneficiaros 39</v>
      </c>
      <c r="AE42" s="27">
        <f>'Por Valoracion (3) Dimension'!D42</f>
        <v>20</v>
      </c>
      <c r="AF42" s="27">
        <f>'Por Valoracion (3) Dimension 2'!B42</f>
        <v>30</v>
      </c>
      <c r="BA42" s="34"/>
      <c r="BC42" s="35"/>
      <c r="BE42" s="53" t="str">
        <f>('Gestión de abastecimiento'!A43)</f>
        <v>Beneficiaros 39</v>
      </c>
      <c r="BF42" s="27">
        <f>'Por Valoracion (3) Dimension'!F42</f>
        <v>22</v>
      </c>
      <c r="BG42" s="27">
        <f>'Por Valoracion (3) Dimension 2'!B42</f>
        <v>30</v>
      </c>
      <c r="CB42" s="35"/>
    </row>
    <row r="43" spans="1:80" x14ac:dyDescent="0.25">
      <c r="A43" s="26"/>
      <c r="C43" s="53" t="str">
        <f>('Gestión de abastecimiento'!A44)</f>
        <v>Beneficiaros 40</v>
      </c>
      <c r="D43" s="27">
        <f>'Por Valoracion (3) Dimension'!B43</f>
        <v>25</v>
      </c>
      <c r="E43" s="27">
        <f>'Por Valoracion (3) Dimension 2'!B43</f>
        <v>36</v>
      </c>
      <c r="Z43" s="26"/>
      <c r="AB43" s="34"/>
      <c r="AD43" s="53" t="str">
        <f>('Gestión de abastecimiento'!A44)</f>
        <v>Beneficiaros 40</v>
      </c>
      <c r="AE43" s="27">
        <f>'Por Valoracion (3) Dimension'!D43</f>
        <v>24</v>
      </c>
      <c r="AF43" s="27">
        <f>'Por Valoracion (3) Dimension 2'!B43</f>
        <v>36</v>
      </c>
      <c r="BA43" s="34"/>
      <c r="BC43" s="35"/>
      <c r="BE43" s="53" t="str">
        <f>('Gestión de abastecimiento'!A44)</f>
        <v>Beneficiaros 40</v>
      </c>
      <c r="BF43" s="27">
        <f>'Por Valoracion (3) Dimension'!F43</f>
        <v>24</v>
      </c>
      <c r="BG43" s="27">
        <f>'Por Valoracion (3) Dimension 2'!B43</f>
        <v>36</v>
      </c>
      <c r="CB43" s="35"/>
    </row>
    <row r="44" spans="1:80" x14ac:dyDescent="0.25">
      <c r="A44" s="26"/>
      <c r="C44" s="53" t="str">
        <f>('Gestión de abastecimiento'!A45)</f>
        <v>Beneficiaros 41</v>
      </c>
      <c r="D44" s="27">
        <f>'Por Valoracion (3) Dimension'!B44</f>
        <v>19</v>
      </c>
      <c r="E44" s="27">
        <f>'Por Valoracion (3) Dimension 2'!B44</f>
        <v>28</v>
      </c>
      <c r="Z44" s="26"/>
      <c r="AB44" s="34"/>
      <c r="AD44" s="53" t="str">
        <f>('Gestión de abastecimiento'!A45)</f>
        <v>Beneficiaros 41</v>
      </c>
      <c r="AE44" s="27">
        <f>'Por Valoracion (3) Dimension'!D44</f>
        <v>20</v>
      </c>
      <c r="AF44" s="27">
        <f>'Por Valoracion (3) Dimension 2'!B44</f>
        <v>28</v>
      </c>
      <c r="BA44" s="34"/>
      <c r="BC44" s="35"/>
      <c r="BE44" s="53" t="str">
        <f>('Gestión de abastecimiento'!A45)</f>
        <v>Beneficiaros 41</v>
      </c>
      <c r="BF44" s="27">
        <f>'Por Valoracion (3) Dimension'!F44</f>
        <v>18</v>
      </c>
      <c r="BG44" s="27">
        <f>'Por Valoracion (3) Dimension 2'!B44</f>
        <v>28</v>
      </c>
      <c r="CB44" s="35"/>
    </row>
    <row r="45" spans="1:80" x14ac:dyDescent="0.25">
      <c r="A45" s="26"/>
      <c r="C45" s="53" t="str">
        <f>('Gestión de abastecimiento'!A46)</f>
        <v>Beneficiaros 42</v>
      </c>
      <c r="D45" s="27">
        <f>'Por Valoracion (3) Dimension'!B45</f>
        <v>30</v>
      </c>
      <c r="E45" s="27">
        <f>'Por Valoracion (3) Dimension 2'!B45</f>
        <v>44</v>
      </c>
      <c r="Z45" s="26"/>
      <c r="AB45" s="34"/>
      <c r="AD45" s="53" t="str">
        <f>('Gestión de abastecimiento'!A46)</f>
        <v>Beneficiaros 42</v>
      </c>
      <c r="AE45" s="27">
        <f>'Por Valoracion (3) Dimension'!D45</f>
        <v>30</v>
      </c>
      <c r="AF45" s="27">
        <f>'Por Valoracion (3) Dimension 2'!B45</f>
        <v>44</v>
      </c>
      <c r="BA45" s="34"/>
      <c r="BC45" s="35"/>
      <c r="BE45" s="53" t="str">
        <f>('Gestión de abastecimiento'!A46)</f>
        <v>Beneficiaros 42</v>
      </c>
      <c r="BF45" s="27">
        <f>'Por Valoracion (3) Dimension'!F45</f>
        <v>30</v>
      </c>
      <c r="BG45" s="27">
        <f>'Por Valoracion (3) Dimension 2'!B45</f>
        <v>44</v>
      </c>
      <c r="CB45" s="35"/>
    </row>
    <row r="46" spans="1:80" x14ac:dyDescent="0.25">
      <c r="A46" s="26"/>
      <c r="C46" s="53" t="str">
        <f>('Gestión de abastecimiento'!A47)</f>
        <v>Beneficiaros 43</v>
      </c>
      <c r="D46" s="27">
        <f>'Por Valoracion (3) Dimension'!B46</f>
        <v>13</v>
      </c>
      <c r="E46" s="27">
        <f>'Por Valoracion (3) Dimension 2'!B46</f>
        <v>18</v>
      </c>
      <c r="Z46" s="26"/>
      <c r="AB46" s="34"/>
      <c r="AD46" s="53" t="str">
        <f>('Gestión de abastecimiento'!A47)</f>
        <v>Beneficiaros 43</v>
      </c>
      <c r="AE46" s="27">
        <f>'Por Valoracion (3) Dimension'!D46</f>
        <v>13</v>
      </c>
      <c r="AF46" s="27">
        <f>'Por Valoracion (3) Dimension 2'!B46</f>
        <v>18</v>
      </c>
      <c r="BA46" s="34"/>
      <c r="BC46" s="35"/>
      <c r="BE46" s="53" t="str">
        <f>('Gestión de abastecimiento'!A47)</f>
        <v>Beneficiaros 43</v>
      </c>
      <c r="BF46" s="27">
        <f>'Por Valoracion (3) Dimension'!F46</f>
        <v>12</v>
      </c>
      <c r="BG46" s="27">
        <f>'Por Valoracion (3) Dimension 2'!B46</f>
        <v>18</v>
      </c>
      <c r="CB46" s="35"/>
    </row>
    <row r="47" spans="1:80" x14ac:dyDescent="0.25">
      <c r="A47" s="26"/>
      <c r="C47" s="53" t="str">
        <f>('Gestión de abastecimiento'!A48)</f>
        <v>Beneficiaros 44</v>
      </c>
      <c r="D47" s="27">
        <f>'Por Valoracion (3) Dimension'!B47</f>
        <v>24</v>
      </c>
      <c r="E47" s="27">
        <f>'Por Valoracion (3) Dimension 2'!B47</f>
        <v>35</v>
      </c>
      <c r="Z47" s="26"/>
      <c r="AB47" s="34"/>
      <c r="AD47" s="53" t="str">
        <f>('Gestión de abastecimiento'!A48)</f>
        <v>Beneficiaros 44</v>
      </c>
      <c r="AE47" s="27">
        <f>'Por Valoracion (3) Dimension'!D47</f>
        <v>23</v>
      </c>
      <c r="AF47" s="27">
        <f>'Por Valoracion (3) Dimension 2'!B47</f>
        <v>35</v>
      </c>
      <c r="BA47" s="34"/>
      <c r="BC47" s="35"/>
      <c r="BE47" s="53" t="str">
        <f>('Gestión de abastecimiento'!A48)</f>
        <v>Beneficiaros 44</v>
      </c>
      <c r="BF47" s="27">
        <f>'Por Valoracion (3) Dimension'!F47</f>
        <v>23</v>
      </c>
      <c r="BG47" s="27">
        <f>'Por Valoracion (3) Dimension 2'!B47</f>
        <v>35</v>
      </c>
      <c r="CB47" s="35"/>
    </row>
    <row r="48" spans="1:80" x14ac:dyDescent="0.25">
      <c r="A48" s="26"/>
      <c r="C48" s="53" t="str">
        <f>('Gestión de abastecimiento'!A49)</f>
        <v>Beneficiaros 45</v>
      </c>
      <c r="D48" s="27">
        <f>'Por Valoracion (3) Dimension'!B48</f>
        <v>24</v>
      </c>
      <c r="E48" s="27">
        <f>'Por Valoracion (3) Dimension 2'!B48</f>
        <v>37</v>
      </c>
      <c r="Z48" s="26"/>
      <c r="AB48" s="34"/>
      <c r="AD48" s="53" t="str">
        <f>('Gestión de abastecimiento'!A49)</f>
        <v>Beneficiaros 45</v>
      </c>
      <c r="AE48" s="27">
        <f>'Por Valoracion (3) Dimension'!D48</f>
        <v>24</v>
      </c>
      <c r="AF48" s="27">
        <f>'Por Valoracion (3) Dimension 2'!B48</f>
        <v>37</v>
      </c>
      <c r="BA48" s="34"/>
      <c r="BC48" s="35"/>
      <c r="BE48" s="53" t="str">
        <f>('Gestión de abastecimiento'!A49)</f>
        <v>Beneficiaros 45</v>
      </c>
      <c r="BF48" s="27">
        <f>'Por Valoracion (3) Dimension'!F48</f>
        <v>26</v>
      </c>
      <c r="BG48" s="27">
        <f>'Por Valoracion (3) Dimension 2'!B48</f>
        <v>37</v>
      </c>
      <c r="CB48" s="35"/>
    </row>
    <row r="49" spans="1:80" x14ac:dyDescent="0.25">
      <c r="A49" s="26"/>
      <c r="C49" s="53" t="str">
        <f>('Gestión de abastecimiento'!A50)</f>
        <v>Beneficiaros 46</v>
      </c>
      <c r="D49" s="27">
        <f>'Por Valoracion (3) Dimension'!B49</f>
        <v>15</v>
      </c>
      <c r="E49" s="27">
        <f>'Por Valoracion (3) Dimension 2'!B49</f>
        <v>22</v>
      </c>
      <c r="Z49" s="26"/>
      <c r="AB49" s="34"/>
      <c r="AD49" s="53" t="str">
        <f>('Gestión de abastecimiento'!A50)</f>
        <v>Beneficiaros 46</v>
      </c>
      <c r="AE49" s="27">
        <f>'Por Valoracion (3) Dimension'!D49</f>
        <v>15</v>
      </c>
      <c r="AF49" s="27">
        <f>'Por Valoracion (3) Dimension 2'!B49</f>
        <v>22</v>
      </c>
      <c r="BA49" s="34"/>
      <c r="BC49" s="35"/>
      <c r="BE49" s="53" t="str">
        <f>('Gestión de abastecimiento'!A50)</f>
        <v>Beneficiaros 46</v>
      </c>
      <c r="BF49" s="27">
        <f>'Por Valoracion (3) Dimension'!F49</f>
        <v>14</v>
      </c>
      <c r="BG49" s="27">
        <f>'Por Valoracion (3) Dimension 2'!B49</f>
        <v>22</v>
      </c>
      <c r="CB49" s="35"/>
    </row>
    <row r="50" spans="1:80" x14ac:dyDescent="0.25">
      <c r="A50" s="26"/>
      <c r="C50" s="53" t="str">
        <f>('Gestión de abastecimiento'!A51)</f>
        <v>Beneficiaros 47</v>
      </c>
      <c r="D50" s="27">
        <f>'Por Valoracion (3) Dimension'!B50</f>
        <v>18</v>
      </c>
      <c r="E50" s="27">
        <f>'Por Valoracion (3) Dimension 2'!B50</f>
        <v>25</v>
      </c>
      <c r="Z50" s="26"/>
      <c r="AB50" s="34"/>
      <c r="AD50" s="53" t="str">
        <f>('Gestión de abastecimiento'!A51)</f>
        <v>Beneficiaros 47</v>
      </c>
      <c r="AE50" s="27">
        <f>'Por Valoracion (3) Dimension'!D50</f>
        <v>17</v>
      </c>
      <c r="AF50" s="27">
        <f>'Por Valoracion (3) Dimension 2'!B50</f>
        <v>25</v>
      </c>
      <c r="BA50" s="34"/>
      <c r="BC50" s="35"/>
      <c r="BE50" s="53" t="str">
        <f>('Gestión de abastecimiento'!A51)</f>
        <v>Beneficiaros 47</v>
      </c>
      <c r="BF50" s="27">
        <f>'Por Valoracion (3) Dimension'!F50</f>
        <v>18</v>
      </c>
      <c r="BG50" s="27">
        <f>'Por Valoracion (3) Dimension 2'!B50</f>
        <v>25</v>
      </c>
      <c r="CB50" s="35"/>
    </row>
    <row r="51" spans="1:80" x14ac:dyDescent="0.25">
      <c r="A51" s="26"/>
      <c r="C51" s="53" t="str">
        <f>('Gestión de abastecimiento'!A52)</f>
        <v>Beneficiaros 48</v>
      </c>
      <c r="D51" s="27">
        <f>'Por Valoracion (3) Dimension'!B51</f>
        <v>20</v>
      </c>
      <c r="E51" s="27">
        <f>'Por Valoracion (3) Dimension 2'!B51</f>
        <v>28</v>
      </c>
      <c r="Z51" s="26"/>
      <c r="AB51" s="34"/>
      <c r="AD51" s="53" t="str">
        <f>('Gestión de abastecimiento'!A52)</f>
        <v>Beneficiaros 48</v>
      </c>
      <c r="AE51" s="27">
        <f>'Por Valoracion (3) Dimension'!D51</f>
        <v>18</v>
      </c>
      <c r="AF51" s="27">
        <f>'Por Valoracion (3) Dimension 2'!B51</f>
        <v>28</v>
      </c>
      <c r="BA51" s="34"/>
      <c r="BC51" s="35"/>
      <c r="BE51" s="53" t="str">
        <f>('Gestión de abastecimiento'!A52)</f>
        <v>Beneficiaros 48</v>
      </c>
      <c r="BF51" s="27">
        <f>'Por Valoracion (3) Dimension'!F51</f>
        <v>18</v>
      </c>
      <c r="BG51" s="27">
        <f>'Por Valoracion (3) Dimension 2'!B51</f>
        <v>28</v>
      </c>
      <c r="CB51" s="35"/>
    </row>
    <row r="52" spans="1:80" x14ac:dyDescent="0.25">
      <c r="A52" s="26"/>
      <c r="C52" s="53" t="str">
        <f>('Gestión de abastecimiento'!A53)</f>
        <v>Beneficiaros 49</v>
      </c>
      <c r="D52" s="27">
        <f>'Por Valoracion (3) Dimension'!B52</f>
        <v>17</v>
      </c>
      <c r="E52" s="27">
        <f>'Por Valoracion (3) Dimension 2'!B52</f>
        <v>25</v>
      </c>
      <c r="Z52" s="26"/>
      <c r="AB52" s="34"/>
      <c r="AD52" s="53" t="str">
        <f>('Gestión de abastecimiento'!A53)</f>
        <v>Beneficiaros 49</v>
      </c>
      <c r="AE52" s="27">
        <f>'Por Valoracion (3) Dimension'!D52</f>
        <v>17</v>
      </c>
      <c r="AF52" s="27">
        <f>'Por Valoracion (3) Dimension 2'!B52</f>
        <v>25</v>
      </c>
      <c r="BA52" s="34"/>
      <c r="BC52" s="35"/>
      <c r="BE52" s="53" t="str">
        <f>('Gestión de abastecimiento'!A53)</f>
        <v>Beneficiaros 49</v>
      </c>
      <c r="BF52" s="27">
        <f>'Por Valoracion (3) Dimension'!F52</f>
        <v>18</v>
      </c>
      <c r="BG52" s="27">
        <f>'Por Valoracion (3) Dimension 2'!B52</f>
        <v>25</v>
      </c>
      <c r="CB52" s="35"/>
    </row>
    <row r="53" spans="1:80" x14ac:dyDescent="0.25">
      <c r="A53" s="26"/>
      <c r="C53" s="53" t="str">
        <f>('Gestión de abastecimiento'!A54)</f>
        <v>Beneficiaros 50</v>
      </c>
      <c r="D53" s="27">
        <f>'Por Valoracion (3) Dimension'!B53</f>
        <v>12</v>
      </c>
      <c r="E53" s="27">
        <f>'Por Valoracion (3) Dimension 2'!B53</f>
        <v>18</v>
      </c>
      <c r="Z53" s="26"/>
      <c r="AB53" s="34"/>
      <c r="AD53" s="53" t="str">
        <f>('Gestión de abastecimiento'!A54)</f>
        <v>Beneficiaros 50</v>
      </c>
      <c r="AE53" s="27">
        <f>'Por Valoracion (3) Dimension'!D53</f>
        <v>12</v>
      </c>
      <c r="AF53" s="27">
        <f>'Por Valoracion (3) Dimension 2'!B53</f>
        <v>18</v>
      </c>
      <c r="BA53" s="34"/>
      <c r="BC53" s="35"/>
      <c r="BE53" s="53" t="str">
        <f>('Gestión de abastecimiento'!A54)</f>
        <v>Beneficiaros 50</v>
      </c>
      <c r="BF53" s="27">
        <f>'Por Valoracion (3) Dimension'!F53</f>
        <v>12</v>
      </c>
      <c r="BG53" s="27">
        <f>'Por Valoracion (3) Dimension 2'!B53</f>
        <v>18</v>
      </c>
      <c r="CB53" s="35"/>
    </row>
    <row r="54" spans="1:80" x14ac:dyDescent="0.25">
      <c r="A54" s="26"/>
      <c r="C54" s="53" t="str">
        <f>('Gestión de abastecimiento'!A55)</f>
        <v>Beneficiaros 51</v>
      </c>
      <c r="D54" s="27">
        <f>'Por Valoracion (3) Dimension'!B54</f>
        <v>16</v>
      </c>
      <c r="E54" s="27">
        <f>'Por Valoracion (3) Dimension 2'!B54</f>
        <v>23</v>
      </c>
      <c r="Z54" s="26"/>
      <c r="AB54" s="34"/>
      <c r="AD54" s="53" t="str">
        <f>('Gestión de abastecimiento'!A55)</f>
        <v>Beneficiaros 51</v>
      </c>
      <c r="AE54" s="27">
        <f>'Por Valoracion (3) Dimension'!D54</f>
        <v>14</v>
      </c>
      <c r="AF54" s="27">
        <f>'Por Valoracion (3) Dimension 2'!B54</f>
        <v>23</v>
      </c>
      <c r="BA54" s="34"/>
      <c r="BC54" s="35"/>
      <c r="BE54" s="53" t="str">
        <f>('Gestión de abastecimiento'!A55)</f>
        <v>Beneficiaros 51</v>
      </c>
      <c r="BF54" s="27">
        <f>'Por Valoracion (3) Dimension'!F54</f>
        <v>13</v>
      </c>
      <c r="BG54" s="27">
        <f>'Por Valoracion (3) Dimension 2'!B54</f>
        <v>23</v>
      </c>
      <c r="CB54" s="35"/>
    </row>
    <row r="55" spans="1:80" x14ac:dyDescent="0.25">
      <c r="A55" s="26"/>
      <c r="C55" s="53" t="str">
        <f>('Gestión de abastecimiento'!A56)</f>
        <v>Beneficiaros 52</v>
      </c>
      <c r="D55" s="27">
        <f>'Por Valoracion (3) Dimension'!B55</f>
        <v>23</v>
      </c>
      <c r="E55" s="27">
        <f>'Por Valoracion (3) Dimension 2'!B55</f>
        <v>36</v>
      </c>
      <c r="Z55" s="26"/>
      <c r="AB55" s="34"/>
      <c r="AD55" s="53" t="str">
        <f>('Gestión de abastecimiento'!A56)</f>
        <v>Beneficiaros 52</v>
      </c>
      <c r="AE55" s="27">
        <f>'Por Valoracion (3) Dimension'!D55</f>
        <v>24</v>
      </c>
      <c r="AF55" s="27">
        <f>'Por Valoracion (3) Dimension 2'!B55</f>
        <v>36</v>
      </c>
      <c r="BA55" s="34"/>
      <c r="BC55" s="35"/>
      <c r="BE55" s="53" t="str">
        <f>('Gestión de abastecimiento'!A56)</f>
        <v>Beneficiaros 52</v>
      </c>
      <c r="BF55" s="27">
        <f>'Por Valoracion (3) Dimension'!F55</f>
        <v>24</v>
      </c>
      <c r="BG55" s="27">
        <f>'Por Valoracion (3) Dimension 2'!B55</f>
        <v>36</v>
      </c>
      <c r="CB55" s="35"/>
    </row>
    <row r="56" spans="1:80" x14ac:dyDescent="0.25">
      <c r="A56" s="26"/>
      <c r="C56" s="53" t="str">
        <f>('Gestión de abastecimiento'!A57)</f>
        <v>Beneficiaros 53</v>
      </c>
      <c r="D56" s="27">
        <f>'Por Valoracion (3) Dimension'!B56</f>
        <v>18</v>
      </c>
      <c r="E56" s="27">
        <f>'Por Valoracion (3) Dimension 2'!B56</f>
        <v>27</v>
      </c>
      <c r="Z56" s="26"/>
      <c r="AB56" s="34"/>
      <c r="AD56" s="53" t="str">
        <f>('Gestión de abastecimiento'!A57)</f>
        <v>Beneficiaros 53</v>
      </c>
      <c r="AE56" s="27">
        <f>'Por Valoracion (3) Dimension'!D56</f>
        <v>18</v>
      </c>
      <c r="AF56" s="27">
        <f>'Por Valoracion (3) Dimension 2'!B56</f>
        <v>27</v>
      </c>
      <c r="BA56" s="34"/>
      <c r="BC56" s="35"/>
      <c r="BE56" s="53" t="str">
        <f>('Gestión de abastecimiento'!A57)</f>
        <v>Beneficiaros 53</v>
      </c>
      <c r="BF56" s="27">
        <f>'Por Valoracion (3) Dimension'!F56</f>
        <v>18</v>
      </c>
      <c r="BG56" s="27">
        <f>'Por Valoracion (3) Dimension 2'!B56</f>
        <v>27</v>
      </c>
      <c r="CB56" s="35"/>
    </row>
    <row r="57" spans="1:80" x14ac:dyDescent="0.25">
      <c r="A57" s="26"/>
      <c r="C57" s="53" t="str">
        <f>('Gestión de abastecimiento'!A58)</f>
        <v>Beneficiaros 54</v>
      </c>
      <c r="D57" s="27">
        <f>'Por Valoracion (3) Dimension'!B57</f>
        <v>23</v>
      </c>
      <c r="E57" s="27">
        <f>'Por Valoracion (3) Dimension 2'!B57</f>
        <v>36</v>
      </c>
      <c r="Z57" s="26"/>
      <c r="AB57" s="34"/>
      <c r="AD57" s="53" t="str">
        <f>('Gestión de abastecimiento'!A58)</f>
        <v>Beneficiaros 54</v>
      </c>
      <c r="AE57" s="27">
        <f>'Por Valoracion (3) Dimension'!D57</f>
        <v>24</v>
      </c>
      <c r="AF57" s="27">
        <f>'Por Valoracion (3) Dimension 2'!B57</f>
        <v>36</v>
      </c>
      <c r="BA57" s="34"/>
      <c r="BC57" s="35"/>
      <c r="BE57" s="53" t="str">
        <f>('Gestión de abastecimiento'!A58)</f>
        <v>Beneficiaros 54</v>
      </c>
      <c r="BF57" s="27">
        <f>'Por Valoracion (3) Dimension'!F57</f>
        <v>24</v>
      </c>
      <c r="BG57" s="27">
        <f>'Por Valoracion (3) Dimension 2'!B57</f>
        <v>36</v>
      </c>
      <c r="CB57" s="35"/>
    </row>
    <row r="58" spans="1:80" x14ac:dyDescent="0.25">
      <c r="A58" s="26"/>
      <c r="C58" s="53" t="str">
        <f>('Gestión de abastecimiento'!A59)</f>
        <v>Beneficiaros 55</v>
      </c>
      <c r="D58" s="27">
        <f>'Por Valoracion (3) Dimension'!B58</f>
        <v>17</v>
      </c>
      <c r="E58" s="27">
        <f>'Por Valoracion (3) Dimension 2'!B58</f>
        <v>26</v>
      </c>
      <c r="Z58" s="26"/>
      <c r="AB58" s="34"/>
      <c r="AD58" s="53" t="str">
        <f>('Gestión de abastecimiento'!A59)</f>
        <v>Beneficiaros 55</v>
      </c>
      <c r="AE58" s="27">
        <f>'Por Valoracion (3) Dimension'!D58</f>
        <v>18</v>
      </c>
      <c r="AF58" s="27">
        <f>'Por Valoracion (3) Dimension 2'!B58</f>
        <v>26</v>
      </c>
      <c r="BA58" s="34"/>
      <c r="BC58" s="35"/>
      <c r="BE58" s="53" t="str">
        <f>('Gestión de abastecimiento'!A59)</f>
        <v>Beneficiaros 55</v>
      </c>
      <c r="BF58" s="27">
        <f>'Por Valoracion (3) Dimension'!F58</f>
        <v>17</v>
      </c>
      <c r="BG58" s="27">
        <f>'Por Valoracion (3) Dimension 2'!B58</f>
        <v>26</v>
      </c>
      <c r="CB58" s="35"/>
    </row>
    <row r="59" spans="1:80" x14ac:dyDescent="0.25">
      <c r="A59" s="26"/>
      <c r="C59" s="53" t="str">
        <f>('Gestión de abastecimiento'!A60)</f>
        <v>Beneficiaros 56</v>
      </c>
      <c r="D59" s="27">
        <f>'Por Valoracion (3) Dimension'!B59</f>
        <v>12</v>
      </c>
      <c r="E59" s="27">
        <f>'Por Valoracion (3) Dimension 2'!B59</f>
        <v>18</v>
      </c>
      <c r="Z59" s="26"/>
      <c r="AB59" s="34"/>
      <c r="AD59" s="53" t="str">
        <f>('Gestión de abastecimiento'!A60)</f>
        <v>Beneficiaros 56</v>
      </c>
      <c r="AE59" s="27">
        <f>'Por Valoracion (3) Dimension'!D59</f>
        <v>12</v>
      </c>
      <c r="AF59" s="27">
        <f>'Por Valoracion (3) Dimension 2'!B59</f>
        <v>18</v>
      </c>
      <c r="BA59" s="34"/>
      <c r="BC59" s="35"/>
      <c r="BE59" s="53" t="str">
        <f>('Gestión de abastecimiento'!A60)</f>
        <v>Beneficiaros 56</v>
      </c>
      <c r="BF59" s="27">
        <f>'Por Valoracion (3) Dimension'!F59</f>
        <v>12</v>
      </c>
      <c r="BG59" s="27">
        <f>'Por Valoracion (3) Dimension 2'!B59</f>
        <v>18</v>
      </c>
      <c r="CB59" s="35"/>
    </row>
    <row r="60" spans="1:80" x14ac:dyDescent="0.25">
      <c r="A60" s="26"/>
      <c r="C60" s="53" t="str">
        <f>('Gestión de abastecimiento'!A61)</f>
        <v>Beneficiaros 57</v>
      </c>
      <c r="D60" s="27">
        <f>'Por Valoracion (3) Dimension'!B60</f>
        <v>18</v>
      </c>
      <c r="E60" s="27">
        <f>'Por Valoracion (3) Dimension 2'!B60</f>
        <v>25</v>
      </c>
      <c r="Z60" s="26"/>
      <c r="AB60" s="34"/>
      <c r="AD60" s="53" t="str">
        <f>('Gestión de abastecimiento'!A61)</f>
        <v>Beneficiaros 57</v>
      </c>
      <c r="AE60" s="27">
        <f>'Por Valoracion (3) Dimension'!D60</f>
        <v>16</v>
      </c>
      <c r="AF60" s="27">
        <f>'Por Valoracion (3) Dimension 2'!B60</f>
        <v>25</v>
      </c>
      <c r="BA60" s="34"/>
      <c r="BC60" s="35"/>
      <c r="BE60" s="53" t="str">
        <f>('Gestión de abastecimiento'!A61)</f>
        <v>Beneficiaros 57</v>
      </c>
      <c r="BF60" s="27">
        <f>'Por Valoracion (3) Dimension'!F60</f>
        <v>14</v>
      </c>
      <c r="BG60" s="27">
        <f>'Por Valoracion (3) Dimension 2'!B60</f>
        <v>25</v>
      </c>
      <c r="CB60" s="35"/>
    </row>
    <row r="61" spans="1:80" x14ac:dyDescent="0.25">
      <c r="A61" s="26"/>
      <c r="C61" s="53" t="str">
        <f>('Gestión de abastecimiento'!A62)</f>
        <v>Beneficiaros 58</v>
      </c>
      <c r="D61" s="27">
        <f>'Por Valoracion (3) Dimension'!B61</f>
        <v>20</v>
      </c>
      <c r="E61" s="27">
        <f>'Por Valoracion (3) Dimension 2'!B61</f>
        <v>34</v>
      </c>
      <c r="Z61" s="26"/>
      <c r="AB61" s="34"/>
      <c r="AD61" s="53" t="str">
        <f>('Gestión de abastecimiento'!A62)</f>
        <v>Beneficiaros 58</v>
      </c>
      <c r="AE61" s="27">
        <f>'Por Valoracion (3) Dimension'!D61</f>
        <v>22</v>
      </c>
      <c r="AF61" s="27">
        <f>'Por Valoracion (3) Dimension 2'!B61</f>
        <v>34</v>
      </c>
      <c r="BA61" s="34"/>
      <c r="BC61" s="35"/>
      <c r="BE61" s="53" t="str">
        <f>('Gestión de abastecimiento'!A62)</f>
        <v>Beneficiaros 58</v>
      </c>
      <c r="BF61" s="27">
        <f>'Por Valoracion (3) Dimension'!F61</f>
        <v>21</v>
      </c>
      <c r="BG61" s="27">
        <f>'Por Valoracion (3) Dimension 2'!B61</f>
        <v>34</v>
      </c>
      <c r="CB61" s="35"/>
    </row>
    <row r="62" spans="1:80" x14ac:dyDescent="0.25">
      <c r="A62" s="26"/>
      <c r="C62" s="53" t="str">
        <f>('Gestión de abastecimiento'!A63)</f>
        <v>Beneficiaros 59</v>
      </c>
      <c r="D62" s="27">
        <f>'Por Valoracion (3) Dimension'!B62</f>
        <v>18</v>
      </c>
      <c r="E62" s="27">
        <f>'Por Valoracion (3) Dimension 2'!B62</f>
        <v>28</v>
      </c>
      <c r="Z62" s="26"/>
      <c r="AB62" s="34"/>
      <c r="AD62" s="53" t="str">
        <f>('Gestión de abastecimiento'!A63)</f>
        <v>Beneficiaros 59</v>
      </c>
      <c r="AE62" s="27">
        <f>'Por Valoracion (3) Dimension'!D62</f>
        <v>18</v>
      </c>
      <c r="AF62" s="27">
        <f>'Por Valoracion (3) Dimension 2'!B62</f>
        <v>28</v>
      </c>
      <c r="BA62" s="34"/>
      <c r="BC62" s="35"/>
      <c r="BE62" s="53" t="str">
        <f>('Gestión de abastecimiento'!A63)</f>
        <v>Beneficiaros 59</v>
      </c>
      <c r="BF62" s="27">
        <f>'Por Valoracion (3) Dimension'!F62</f>
        <v>18</v>
      </c>
      <c r="BG62" s="27">
        <f>'Por Valoracion (3) Dimension 2'!B62</f>
        <v>28</v>
      </c>
      <c r="CB62" s="35"/>
    </row>
    <row r="63" spans="1:80" x14ac:dyDescent="0.25">
      <c r="A63" s="26"/>
      <c r="C63" s="53" t="str">
        <f>('Gestión de abastecimiento'!A64)</f>
        <v>Beneficiaros 60</v>
      </c>
      <c r="D63" s="27">
        <f>'Por Valoracion (3) Dimension'!B63</f>
        <v>16</v>
      </c>
      <c r="E63" s="27">
        <f>'Por Valoracion (3) Dimension 2'!B63</f>
        <v>24</v>
      </c>
      <c r="Z63" s="26"/>
      <c r="AB63" s="34"/>
      <c r="AD63" s="53" t="str">
        <f>('Gestión de abastecimiento'!A64)</f>
        <v>Beneficiaros 60</v>
      </c>
      <c r="AE63" s="27">
        <f>'Por Valoracion (3) Dimension'!D63</f>
        <v>15</v>
      </c>
      <c r="AF63" s="27">
        <f>'Por Valoracion (3) Dimension 2'!B63</f>
        <v>24</v>
      </c>
      <c r="BA63" s="34"/>
      <c r="BC63" s="35"/>
      <c r="BE63" s="53" t="str">
        <f>('Gestión de abastecimiento'!A64)</f>
        <v>Beneficiaros 60</v>
      </c>
      <c r="BF63" s="27">
        <f>'Por Valoracion (3) Dimension'!F63</f>
        <v>15</v>
      </c>
      <c r="BG63" s="27">
        <f>'Por Valoracion (3) Dimension 2'!B63</f>
        <v>24</v>
      </c>
      <c r="CB63" s="35"/>
    </row>
    <row r="64" spans="1:80" x14ac:dyDescent="0.25">
      <c r="A64" s="26"/>
      <c r="C64" s="53" t="str">
        <f>('Gestión de abastecimiento'!A65)</f>
        <v>Beneficiaros 61</v>
      </c>
      <c r="D64" s="27">
        <f>'Por Valoracion (3) Dimension'!B64</f>
        <v>18</v>
      </c>
      <c r="E64" s="27">
        <f>'Por Valoracion (3) Dimension 2'!B64</f>
        <v>29</v>
      </c>
      <c r="Z64" s="26"/>
      <c r="AB64" s="34"/>
      <c r="AD64" s="53" t="str">
        <f>('Gestión de abastecimiento'!A65)</f>
        <v>Beneficiaros 61</v>
      </c>
      <c r="AE64" s="27">
        <f>'Por Valoracion (3) Dimension'!D64</f>
        <v>18</v>
      </c>
      <c r="AF64" s="27">
        <f>'Por Valoracion (3) Dimension 2'!B64</f>
        <v>29</v>
      </c>
      <c r="BA64" s="34"/>
      <c r="BC64" s="35"/>
      <c r="BE64" s="53" t="str">
        <f>('Gestión de abastecimiento'!A65)</f>
        <v>Beneficiaros 61</v>
      </c>
      <c r="BF64" s="27">
        <f>'Por Valoracion (3) Dimension'!F64</f>
        <v>18</v>
      </c>
      <c r="BG64" s="27">
        <f>'Por Valoracion (3) Dimension 2'!B64</f>
        <v>29</v>
      </c>
      <c r="CB64" s="35"/>
    </row>
    <row r="65" spans="1:80" x14ac:dyDescent="0.25">
      <c r="A65" s="26"/>
      <c r="C65" s="53" t="str">
        <f>('Gestión de abastecimiento'!A66)</f>
        <v>Beneficiaros 62</v>
      </c>
      <c r="D65" s="27">
        <f>'Por Valoracion (3) Dimension'!B65</f>
        <v>18</v>
      </c>
      <c r="E65" s="27">
        <f>'Por Valoracion (3) Dimension 2'!B65</f>
        <v>26</v>
      </c>
      <c r="Z65" s="26"/>
      <c r="AB65" s="34"/>
      <c r="AD65" s="53" t="str">
        <f>('Gestión de abastecimiento'!A66)</f>
        <v>Beneficiaros 62</v>
      </c>
      <c r="AE65" s="27">
        <f>'Por Valoracion (3) Dimension'!D65</f>
        <v>18</v>
      </c>
      <c r="AF65" s="27">
        <f>'Por Valoracion (3) Dimension 2'!B65</f>
        <v>26</v>
      </c>
      <c r="BA65" s="34"/>
      <c r="BC65" s="35"/>
      <c r="BE65" s="53" t="str">
        <f>('Gestión de abastecimiento'!A66)</f>
        <v>Beneficiaros 62</v>
      </c>
      <c r="BF65" s="27">
        <f>'Por Valoracion (3) Dimension'!F65</f>
        <v>18</v>
      </c>
      <c r="BG65" s="27">
        <f>'Por Valoracion (3) Dimension 2'!B65</f>
        <v>26</v>
      </c>
      <c r="CB65" s="35"/>
    </row>
    <row r="66" spans="1:80" x14ac:dyDescent="0.25">
      <c r="A66" s="26"/>
      <c r="C66" s="53" t="str">
        <f>('Gestión de abastecimiento'!A67)</f>
        <v>Beneficiaros 63</v>
      </c>
      <c r="D66" s="27">
        <f>'Por Valoracion (3) Dimension'!B66</f>
        <v>20</v>
      </c>
      <c r="E66" s="27">
        <f>'Por Valoracion (3) Dimension 2'!B66</f>
        <v>27</v>
      </c>
      <c r="Z66" s="26"/>
      <c r="AB66" s="34"/>
      <c r="AD66" s="53" t="str">
        <f>('Gestión de abastecimiento'!A67)</f>
        <v>Beneficiaros 63</v>
      </c>
      <c r="AE66" s="27">
        <f>'Por Valoracion (3) Dimension'!D66</f>
        <v>20</v>
      </c>
      <c r="AF66" s="27">
        <f>'Por Valoracion (3) Dimension 2'!B66</f>
        <v>27</v>
      </c>
      <c r="BA66" s="34"/>
      <c r="BC66" s="35"/>
      <c r="BE66" s="53" t="str">
        <f>('Gestión de abastecimiento'!A67)</f>
        <v>Beneficiaros 63</v>
      </c>
      <c r="BF66" s="27">
        <f>'Por Valoracion (3) Dimension'!F66</f>
        <v>18</v>
      </c>
      <c r="BG66" s="27">
        <f>'Por Valoracion (3) Dimension 2'!B66</f>
        <v>27</v>
      </c>
      <c r="CB66" s="35"/>
    </row>
    <row r="67" spans="1:80" x14ac:dyDescent="0.25">
      <c r="A67" s="26"/>
      <c r="C67" s="53" t="str">
        <f>('Gestión de abastecimiento'!A68)</f>
        <v>Beneficiaros 64</v>
      </c>
      <c r="D67" s="27">
        <f>'Por Valoracion (3) Dimension'!B67</f>
        <v>13</v>
      </c>
      <c r="E67" s="27">
        <f>'Por Valoracion (3) Dimension 2'!B67</f>
        <v>21</v>
      </c>
      <c r="Z67" s="26"/>
      <c r="AB67" s="34"/>
      <c r="AD67" s="53" t="str">
        <f>('Gestión de abastecimiento'!A68)</f>
        <v>Beneficiaros 64</v>
      </c>
      <c r="AE67" s="27">
        <f>'Por Valoracion (3) Dimension'!D67</f>
        <v>12</v>
      </c>
      <c r="AF67" s="27">
        <f>'Por Valoracion (3) Dimension 2'!B67</f>
        <v>21</v>
      </c>
      <c r="BA67" s="34"/>
      <c r="BC67" s="35"/>
      <c r="BE67" s="53" t="str">
        <f>('Gestión de abastecimiento'!A68)</f>
        <v>Beneficiaros 64</v>
      </c>
      <c r="BF67" s="27">
        <f>'Por Valoracion (3) Dimension'!F67</f>
        <v>12</v>
      </c>
      <c r="BG67" s="27">
        <f>'Por Valoracion (3) Dimension 2'!B67</f>
        <v>21</v>
      </c>
      <c r="CB67" s="35"/>
    </row>
    <row r="68" spans="1:80" x14ac:dyDescent="0.25">
      <c r="A68" s="26"/>
      <c r="C68" s="53" t="str">
        <f>('Gestión de abastecimiento'!A69)</f>
        <v>Beneficiaros 65</v>
      </c>
      <c r="D68" s="27">
        <f>'Por Valoracion (3) Dimension'!B68</f>
        <v>29</v>
      </c>
      <c r="E68" s="27">
        <f>'Por Valoracion (3) Dimension 2'!B68</f>
        <v>45</v>
      </c>
      <c r="Z68" s="26"/>
      <c r="AB68" s="34"/>
      <c r="AD68" s="53" t="str">
        <f>('Gestión de abastecimiento'!A69)</f>
        <v>Beneficiaros 65</v>
      </c>
      <c r="AE68" s="27">
        <f>'Por Valoracion (3) Dimension'!D68</f>
        <v>30</v>
      </c>
      <c r="AF68" s="27">
        <f>'Por Valoracion (3) Dimension 2'!B68</f>
        <v>45</v>
      </c>
      <c r="BA68" s="34"/>
      <c r="BC68" s="35"/>
      <c r="BE68" s="53" t="str">
        <f>('Gestión de abastecimiento'!A69)</f>
        <v>Beneficiaros 65</v>
      </c>
      <c r="BF68" s="27">
        <f>'Por Valoracion (3) Dimension'!F68</f>
        <v>30</v>
      </c>
      <c r="BG68" s="27">
        <f>'Por Valoracion (3) Dimension 2'!B68</f>
        <v>45</v>
      </c>
      <c r="CB68" s="35"/>
    </row>
    <row r="69" spans="1:80" x14ac:dyDescent="0.25">
      <c r="A69" s="26"/>
      <c r="C69" s="53" t="str">
        <f>('Gestión de abastecimiento'!A70)</f>
        <v>Beneficiaros 66</v>
      </c>
      <c r="D69" s="27">
        <f>'Por Valoracion (3) Dimension'!B69</f>
        <v>16</v>
      </c>
      <c r="E69" s="27">
        <f>'Por Valoracion (3) Dimension 2'!B69</f>
        <v>21</v>
      </c>
      <c r="Z69" s="26"/>
      <c r="AB69" s="34"/>
      <c r="AD69" s="53" t="str">
        <f>('Gestión de abastecimiento'!A70)</f>
        <v>Beneficiaros 66</v>
      </c>
      <c r="AE69" s="27">
        <f>'Por Valoracion (3) Dimension'!D69</f>
        <v>17</v>
      </c>
      <c r="AF69" s="27">
        <f>'Por Valoracion (3) Dimension 2'!B69</f>
        <v>21</v>
      </c>
      <c r="BA69" s="34"/>
      <c r="BC69" s="35"/>
      <c r="BE69" s="53" t="str">
        <f>('Gestión de abastecimiento'!A70)</f>
        <v>Beneficiaros 66</v>
      </c>
      <c r="BF69" s="27">
        <f>'Por Valoracion (3) Dimension'!F69</f>
        <v>13</v>
      </c>
      <c r="BG69" s="27">
        <f>'Por Valoracion (3) Dimension 2'!B69</f>
        <v>21</v>
      </c>
      <c r="CB69" s="35"/>
    </row>
    <row r="70" spans="1:80" x14ac:dyDescent="0.25">
      <c r="A70" s="26"/>
      <c r="C70" s="53" t="str">
        <f>('Gestión de abastecimiento'!A71)</f>
        <v>Beneficiaros 67</v>
      </c>
      <c r="D70" s="27">
        <f>'Por Valoracion (3) Dimension'!B70</f>
        <v>17</v>
      </c>
      <c r="E70" s="27">
        <f>'Por Valoracion (3) Dimension 2'!B70</f>
        <v>26</v>
      </c>
      <c r="Z70" s="26"/>
      <c r="AB70" s="34"/>
      <c r="AD70" s="53" t="str">
        <f>('Gestión de abastecimiento'!A71)</f>
        <v>Beneficiaros 67</v>
      </c>
      <c r="AE70" s="27">
        <f>'Por Valoracion (3) Dimension'!D70</f>
        <v>17</v>
      </c>
      <c r="AF70" s="27">
        <f>'Por Valoracion (3) Dimension 2'!B70</f>
        <v>26</v>
      </c>
      <c r="BA70" s="34"/>
      <c r="BC70" s="35"/>
      <c r="BE70" s="53" t="str">
        <f>('Gestión de abastecimiento'!A71)</f>
        <v>Beneficiaros 67</v>
      </c>
      <c r="BF70" s="27">
        <f>'Por Valoracion (3) Dimension'!F70</f>
        <v>15</v>
      </c>
      <c r="BG70" s="27">
        <f>'Por Valoracion (3) Dimension 2'!B70</f>
        <v>26</v>
      </c>
      <c r="CB70" s="35"/>
    </row>
    <row r="71" spans="1:80" x14ac:dyDescent="0.25">
      <c r="A71" s="26"/>
      <c r="C71" s="53" t="str">
        <f>('Gestión de abastecimiento'!A72)</f>
        <v>Beneficiaros 68</v>
      </c>
      <c r="D71" s="27">
        <f>'Por Valoracion (3) Dimension'!B71</f>
        <v>25</v>
      </c>
      <c r="E71" s="27">
        <f>'Por Valoracion (3) Dimension 2'!B71</f>
        <v>36</v>
      </c>
      <c r="Z71" s="26"/>
      <c r="AB71" s="34"/>
      <c r="AD71" s="53" t="str">
        <f>('Gestión de abastecimiento'!A72)</f>
        <v>Beneficiaros 68</v>
      </c>
      <c r="AE71" s="27">
        <f>'Por Valoracion (3) Dimension'!D71</f>
        <v>25</v>
      </c>
      <c r="AF71" s="27">
        <f>'Por Valoracion (3) Dimension 2'!B71</f>
        <v>36</v>
      </c>
      <c r="BA71" s="34"/>
      <c r="BC71" s="35"/>
      <c r="BE71" s="53" t="str">
        <f>('Gestión de abastecimiento'!A72)</f>
        <v>Beneficiaros 68</v>
      </c>
      <c r="BF71" s="27">
        <f>'Por Valoracion (3) Dimension'!F71</f>
        <v>25</v>
      </c>
      <c r="BG71" s="27">
        <f>'Por Valoracion (3) Dimension 2'!B71</f>
        <v>36</v>
      </c>
      <c r="CB71" s="35"/>
    </row>
    <row r="72" spans="1:80" x14ac:dyDescent="0.25">
      <c r="A72" s="26"/>
      <c r="C72" s="53" t="str">
        <f>('Gestión de abastecimiento'!A73)</f>
        <v>Beneficiaros 69</v>
      </c>
      <c r="D72" s="27">
        <f>'Por Valoracion (3) Dimension'!B72</f>
        <v>18</v>
      </c>
      <c r="E72" s="27">
        <f>'Por Valoracion (3) Dimension 2'!B72</f>
        <v>28</v>
      </c>
      <c r="Z72" s="26"/>
      <c r="AB72" s="34"/>
      <c r="AD72" s="53" t="str">
        <f>('Gestión de abastecimiento'!A73)</f>
        <v>Beneficiaros 69</v>
      </c>
      <c r="AE72" s="27">
        <f>'Por Valoracion (3) Dimension'!D72</f>
        <v>19</v>
      </c>
      <c r="AF72" s="27">
        <f>'Por Valoracion (3) Dimension 2'!B72</f>
        <v>28</v>
      </c>
      <c r="BA72" s="34"/>
      <c r="BC72" s="35"/>
      <c r="BE72" s="53" t="str">
        <f>('Gestión de abastecimiento'!A73)</f>
        <v>Beneficiaros 69</v>
      </c>
      <c r="BF72" s="27">
        <f>'Por Valoracion (3) Dimension'!F72</f>
        <v>19</v>
      </c>
      <c r="BG72" s="27">
        <f>'Por Valoracion (3) Dimension 2'!B72</f>
        <v>28</v>
      </c>
      <c r="CB72" s="35"/>
    </row>
    <row r="73" spans="1:80" x14ac:dyDescent="0.25">
      <c r="A73" s="26"/>
      <c r="C73" s="53" t="str">
        <f>('Gestión de abastecimiento'!A74)</f>
        <v>Beneficiaros 70</v>
      </c>
      <c r="D73" s="27">
        <f>'Por Valoracion (3) Dimension'!B73</f>
        <v>20</v>
      </c>
      <c r="E73" s="27">
        <f>'Por Valoracion (3) Dimension 2'!B73</f>
        <v>29</v>
      </c>
      <c r="Z73" s="26"/>
      <c r="AB73" s="34"/>
      <c r="AD73" s="53" t="str">
        <f>('Gestión de abastecimiento'!A74)</f>
        <v>Beneficiaros 70</v>
      </c>
      <c r="AE73" s="27">
        <f>'Por Valoracion (3) Dimension'!D73</f>
        <v>20</v>
      </c>
      <c r="AF73" s="27">
        <f>'Por Valoracion (3) Dimension 2'!B73</f>
        <v>29</v>
      </c>
      <c r="BA73" s="34"/>
      <c r="BC73" s="35"/>
      <c r="BE73" s="53" t="str">
        <f>('Gestión de abastecimiento'!A74)</f>
        <v>Beneficiaros 70</v>
      </c>
      <c r="BF73" s="27">
        <f>'Por Valoracion (3) Dimension'!F73</f>
        <v>20</v>
      </c>
      <c r="BG73" s="27">
        <f>'Por Valoracion (3) Dimension 2'!B73</f>
        <v>29</v>
      </c>
      <c r="CB73" s="35"/>
    </row>
    <row r="74" spans="1:80" x14ac:dyDescent="0.25">
      <c r="A74" s="26"/>
      <c r="C74" s="53" t="str">
        <f>('Gestión de abastecimiento'!A75)</f>
        <v>Beneficiaros 71</v>
      </c>
      <c r="D74" s="27">
        <f>'Por Valoracion (3) Dimension'!B74</f>
        <v>16</v>
      </c>
      <c r="E74" s="27">
        <f>'Por Valoracion (3) Dimension 2'!B74</f>
        <v>23</v>
      </c>
      <c r="Z74" s="26"/>
      <c r="AB74" s="34"/>
      <c r="AD74" s="53" t="str">
        <f>('Gestión de abastecimiento'!A75)</f>
        <v>Beneficiaros 71</v>
      </c>
      <c r="AE74" s="27">
        <f>'Por Valoracion (3) Dimension'!D74</f>
        <v>16</v>
      </c>
      <c r="AF74" s="27">
        <f>'Por Valoracion (3) Dimension 2'!B74</f>
        <v>23</v>
      </c>
      <c r="BA74" s="34"/>
      <c r="BC74" s="35"/>
      <c r="BE74" s="53" t="str">
        <f>('Gestión de abastecimiento'!A75)</f>
        <v>Beneficiaros 71</v>
      </c>
      <c r="BF74" s="27">
        <f>'Por Valoracion (3) Dimension'!F74</f>
        <v>14</v>
      </c>
      <c r="BG74" s="27">
        <f>'Por Valoracion (3) Dimension 2'!B74</f>
        <v>23</v>
      </c>
      <c r="CB74" s="35"/>
    </row>
    <row r="75" spans="1:80" x14ac:dyDescent="0.25">
      <c r="A75" s="26"/>
      <c r="C75" s="53" t="str">
        <f>('Gestión de abastecimiento'!A76)</f>
        <v>Beneficiaros 72</v>
      </c>
      <c r="D75" s="27">
        <f>'Por Valoracion (3) Dimension'!B75</f>
        <v>7</v>
      </c>
      <c r="E75" s="27">
        <f>'Por Valoracion (3) Dimension 2'!B75</f>
        <v>13</v>
      </c>
      <c r="Z75" s="26"/>
      <c r="AB75" s="34"/>
      <c r="AD75" s="53" t="str">
        <f>('Gestión de abastecimiento'!A76)</f>
        <v>Beneficiaros 72</v>
      </c>
      <c r="AE75" s="27">
        <f>'Por Valoracion (3) Dimension'!D75</f>
        <v>8</v>
      </c>
      <c r="AF75" s="27">
        <f>'Por Valoracion (3) Dimension 2'!B75</f>
        <v>13</v>
      </c>
      <c r="BA75" s="34"/>
      <c r="BC75" s="35"/>
      <c r="BE75" s="53" t="str">
        <f>('Gestión de abastecimiento'!A76)</f>
        <v>Beneficiaros 72</v>
      </c>
      <c r="BF75" s="27">
        <f>'Por Valoracion (3) Dimension'!F75</f>
        <v>7</v>
      </c>
      <c r="BG75" s="27">
        <f>'Por Valoracion (3) Dimension 2'!B75</f>
        <v>13</v>
      </c>
      <c r="CB75" s="35"/>
    </row>
    <row r="76" spans="1:80" x14ac:dyDescent="0.25">
      <c r="A76" s="26"/>
      <c r="C76" s="53" t="str">
        <f>('Gestión de abastecimiento'!A77)</f>
        <v>Beneficiaros 73</v>
      </c>
      <c r="D76" s="27">
        <f>'Por Valoracion (3) Dimension'!B76</f>
        <v>18</v>
      </c>
      <c r="E76" s="27">
        <f>'Por Valoracion (3) Dimension 2'!B76</f>
        <v>24</v>
      </c>
      <c r="Z76" s="26"/>
      <c r="AB76" s="34"/>
      <c r="AD76" s="53" t="str">
        <f>('Gestión de abastecimiento'!A77)</f>
        <v>Beneficiaros 73</v>
      </c>
      <c r="AE76" s="27">
        <f>'Por Valoracion (3) Dimension'!D76</f>
        <v>17</v>
      </c>
      <c r="AF76" s="27">
        <f>'Por Valoracion (3) Dimension 2'!B76</f>
        <v>24</v>
      </c>
      <c r="BA76" s="34"/>
      <c r="BC76" s="35"/>
      <c r="BE76" s="53" t="str">
        <f>('Gestión de abastecimiento'!A77)</f>
        <v>Beneficiaros 73</v>
      </c>
      <c r="BF76" s="27">
        <f>'Por Valoracion (3) Dimension'!F76</f>
        <v>14</v>
      </c>
      <c r="BG76" s="27">
        <f>'Por Valoracion (3) Dimension 2'!B76</f>
        <v>24</v>
      </c>
      <c r="CB76" s="35"/>
    </row>
    <row r="77" spans="1:80" x14ac:dyDescent="0.25">
      <c r="A77" s="26"/>
      <c r="C77" s="53" t="str">
        <f>('Gestión de abastecimiento'!A78)</f>
        <v>Beneficiaros 74</v>
      </c>
      <c r="D77" s="27">
        <f>'Por Valoracion (3) Dimension'!B77</f>
        <v>18</v>
      </c>
      <c r="E77" s="27">
        <f>'Por Valoracion (3) Dimension 2'!B77</f>
        <v>25</v>
      </c>
      <c r="Z77" s="26"/>
      <c r="AB77" s="34"/>
      <c r="AD77" s="53" t="str">
        <f>('Gestión de abastecimiento'!A78)</f>
        <v>Beneficiaros 74</v>
      </c>
      <c r="AE77" s="27">
        <f>'Por Valoracion (3) Dimension'!D77</f>
        <v>17</v>
      </c>
      <c r="AF77" s="27">
        <f>'Por Valoracion (3) Dimension 2'!B77</f>
        <v>25</v>
      </c>
      <c r="BA77" s="34"/>
      <c r="BC77" s="35"/>
      <c r="BE77" s="53" t="str">
        <f>('Gestión de abastecimiento'!A78)</f>
        <v>Beneficiaros 74</v>
      </c>
      <c r="BF77" s="27">
        <f>'Por Valoracion (3) Dimension'!F77</f>
        <v>17</v>
      </c>
      <c r="BG77" s="27">
        <f>'Por Valoracion (3) Dimension 2'!B77</f>
        <v>25</v>
      </c>
      <c r="CB77" s="35"/>
    </row>
    <row r="78" spans="1:80" x14ac:dyDescent="0.25">
      <c r="A78" s="26"/>
      <c r="C78" s="53" t="str">
        <f>('Gestión de abastecimiento'!A79)</f>
        <v>Beneficiaros 75</v>
      </c>
      <c r="D78" s="27">
        <f>'Por Valoracion (3) Dimension'!B78</f>
        <v>18</v>
      </c>
      <c r="E78" s="27">
        <f>'Por Valoracion (3) Dimension 2'!B78</f>
        <v>23</v>
      </c>
      <c r="Z78" s="26"/>
      <c r="AB78" s="34"/>
      <c r="AD78" s="53" t="str">
        <f>('Gestión de abastecimiento'!A79)</f>
        <v>Beneficiaros 75</v>
      </c>
      <c r="AE78" s="27">
        <f>'Por Valoracion (3) Dimension'!D78</f>
        <v>17</v>
      </c>
      <c r="AF78" s="27">
        <f>'Por Valoracion (3) Dimension 2'!B78</f>
        <v>23</v>
      </c>
      <c r="BA78" s="34"/>
      <c r="BC78" s="35"/>
      <c r="BE78" s="53" t="str">
        <f>('Gestión de abastecimiento'!A79)</f>
        <v>Beneficiaros 75</v>
      </c>
      <c r="BF78" s="27">
        <f>'Por Valoracion (3) Dimension'!F78</f>
        <v>13</v>
      </c>
      <c r="BG78" s="27">
        <f>'Por Valoracion (3) Dimension 2'!B78</f>
        <v>23</v>
      </c>
      <c r="CB78" s="35"/>
    </row>
    <row r="79" spans="1:80" x14ac:dyDescent="0.25">
      <c r="A79" s="26"/>
      <c r="C79" s="53" t="str">
        <f>('Gestión de abastecimiento'!A80)</f>
        <v>Beneficiaros 76</v>
      </c>
      <c r="D79" s="27">
        <f>'Por Valoracion (3) Dimension'!B79</f>
        <v>18</v>
      </c>
      <c r="E79" s="27">
        <f>'Por Valoracion (3) Dimension 2'!B79</f>
        <v>27</v>
      </c>
      <c r="Z79" s="26"/>
      <c r="AB79" s="34"/>
      <c r="AD79" s="53" t="str">
        <f>('Gestión de abastecimiento'!A80)</f>
        <v>Beneficiaros 76</v>
      </c>
      <c r="AE79" s="27">
        <f>'Por Valoracion (3) Dimension'!D79</f>
        <v>18</v>
      </c>
      <c r="AF79" s="27">
        <f>'Por Valoracion (3) Dimension 2'!B79</f>
        <v>27</v>
      </c>
      <c r="BA79" s="34"/>
      <c r="BC79" s="35"/>
      <c r="BE79" s="53" t="str">
        <f>('Gestión de abastecimiento'!A80)</f>
        <v>Beneficiaros 76</v>
      </c>
      <c r="BF79" s="27">
        <f>'Por Valoracion (3) Dimension'!F79</f>
        <v>18</v>
      </c>
      <c r="BG79" s="27">
        <f>'Por Valoracion (3) Dimension 2'!B79</f>
        <v>27</v>
      </c>
      <c r="CB79" s="35"/>
    </row>
    <row r="80" spans="1:80" x14ac:dyDescent="0.25">
      <c r="A80" s="26"/>
      <c r="C80" s="53" t="str">
        <f>('Gestión de abastecimiento'!A81)</f>
        <v>Beneficiaros 77</v>
      </c>
      <c r="D80" s="27">
        <f>'Por Valoracion (3) Dimension'!B80</f>
        <v>18</v>
      </c>
      <c r="E80" s="27">
        <f>'Por Valoracion (3) Dimension 2'!B80</f>
        <v>28</v>
      </c>
      <c r="Z80" s="26"/>
      <c r="AB80" s="34"/>
      <c r="AD80" s="53" t="str">
        <f>('Gestión de abastecimiento'!A81)</f>
        <v>Beneficiaros 77</v>
      </c>
      <c r="AE80" s="27">
        <f>'Por Valoracion (3) Dimension'!D80</f>
        <v>18</v>
      </c>
      <c r="AF80" s="27">
        <f>'Por Valoracion (3) Dimension 2'!B80</f>
        <v>28</v>
      </c>
      <c r="BA80" s="34"/>
      <c r="BC80" s="35"/>
      <c r="BE80" s="53" t="str">
        <f>('Gestión de abastecimiento'!A81)</f>
        <v>Beneficiaros 77</v>
      </c>
      <c r="BF80" s="27">
        <f>'Por Valoracion (3) Dimension'!F80</f>
        <v>18</v>
      </c>
      <c r="BG80" s="27">
        <f>'Por Valoracion (3) Dimension 2'!B80</f>
        <v>28</v>
      </c>
      <c r="CB80" s="35"/>
    </row>
    <row r="81" spans="1:80" x14ac:dyDescent="0.25">
      <c r="A81" s="26"/>
      <c r="C81" s="53" t="str">
        <f>('Gestión de abastecimiento'!A82)</f>
        <v>Beneficiaros 78</v>
      </c>
      <c r="D81" s="27">
        <f>'Por Valoracion (3) Dimension'!B81</f>
        <v>20</v>
      </c>
      <c r="E81" s="27">
        <f>'Por Valoracion (3) Dimension 2'!B81</f>
        <v>29</v>
      </c>
      <c r="Z81" s="26"/>
      <c r="AB81" s="34"/>
      <c r="AD81" s="53" t="str">
        <f>('Gestión de abastecimiento'!A82)</f>
        <v>Beneficiaros 78</v>
      </c>
      <c r="AE81" s="27">
        <f>'Por Valoracion (3) Dimension'!D81</f>
        <v>20</v>
      </c>
      <c r="AF81" s="27">
        <f>'Por Valoracion (3) Dimension 2'!B81</f>
        <v>29</v>
      </c>
      <c r="BA81" s="34"/>
      <c r="BC81" s="35"/>
      <c r="BE81" s="53" t="str">
        <f>('Gestión de abastecimiento'!A82)</f>
        <v>Beneficiaros 78</v>
      </c>
      <c r="BF81" s="27">
        <f>'Por Valoracion (3) Dimension'!F81</f>
        <v>21</v>
      </c>
      <c r="BG81" s="27">
        <f>'Por Valoracion (3) Dimension 2'!B81</f>
        <v>29</v>
      </c>
      <c r="CB81" s="35"/>
    </row>
    <row r="82" spans="1:80" x14ac:dyDescent="0.25">
      <c r="A82" s="26"/>
      <c r="C82" s="53" t="str">
        <f>('Gestión de abastecimiento'!A83)</f>
        <v>Beneficiaros 79</v>
      </c>
      <c r="D82" s="27">
        <f>'Por Valoracion (3) Dimension'!B82</f>
        <v>17</v>
      </c>
      <c r="E82" s="27">
        <f>'Por Valoracion (3) Dimension 2'!B82</f>
        <v>24</v>
      </c>
      <c r="Z82" s="26"/>
      <c r="AB82" s="34"/>
      <c r="AD82" s="53" t="str">
        <f>('Gestión de abastecimiento'!A83)</f>
        <v>Beneficiaros 79</v>
      </c>
      <c r="AE82" s="27">
        <f>'Por Valoracion (3) Dimension'!D82</f>
        <v>18</v>
      </c>
      <c r="AF82" s="27">
        <f>'Por Valoracion (3) Dimension 2'!B82</f>
        <v>24</v>
      </c>
      <c r="BA82" s="34"/>
      <c r="BC82" s="35"/>
      <c r="BE82" s="53" t="str">
        <f>('Gestión de abastecimiento'!A83)</f>
        <v>Beneficiaros 79</v>
      </c>
      <c r="BF82" s="27">
        <f>'Por Valoracion (3) Dimension'!F82</f>
        <v>18</v>
      </c>
      <c r="BG82" s="27">
        <f>'Por Valoracion (3) Dimension 2'!B82</f>
        <v>24</v>
      </c>
      <c r="CB82" s="35"/>
    </row>
    <row r="83" spans="1:80" x14ac:dyDescent="0.25">
      <c r="A83" s="26"/>
      <c r="C83" s="53" t="str">
        <f>('Gestión de abastecimiento'!A84)</f>
        <v>Beneficiaros 80</v>
      </c>
      <c r="D83" s="27">
        <f>'Por Valoracion (3) Dimension'!B83</f>
        <v>24</v>
      </c>
      <c r="E83" s="27">
        <f>'Por Valoracion (3) Dimension 2'!B83</f>
        <v>33</v>
      </c>
      <c r="Z83" s="26"/>
      <c r="AB83" s="34"/>
      <c r="AD83" s="53" t="str">
        <f>('Gestión de abastecimiento'!A84)</f>
        <v>Beneficiaros 80</v>
      </c>
      <c r="AE83" s="27">
        <f>'Por Valoracion (3) Dimension'!D83</f>
        <v>21</v>
      </c>
      <c r="AF83" s="27">
        <f>'Por Valoracion (3) Dimension 2'!B83</f>
        <v>33</v>
      </c>
      <c r="BA83" s="34"/>
      <c r="BC83" s="35"/>
      <c r="BE83" s="53" t="str">
        <f>('Gestión de abastecimiento'!A84)</f>
        <v>Beneficiaros 80</v>
      </c>
      <c r="BF83" s="27">
        <f>'Por Valoracion (3) Dimension'!F83</f>
        <v>21</v>
      </c>
      <c r="BG83" s="27">
        <f>'Por Valoracion (3) Dimension 2'!B83</f>
        <v>33</v>
      </c>
      <c r="CB83" s="35"/>
    </row>
    <row r="84" spans="1:80" x14ac:dyDescent="0.25">
      <c r="A84" s="26"/>
      <c r="C84" s="53" t="str">
        <f>('Gestión de abastecimiento'!A85)</f>
        <v>Beneficiaros 81</v>
      </c>
      <c r="D84" s="27">
        <f>'Por Valoracion (3) Dimension'!B84</f>
        <v>17</v>
      </c>
      <c r="E84" s="27">
        <f>'Por Valoracion (3) Dimension 2'!B84</f>
        <v>25</v>
      </c>
      <c r="Z84" s="26"/>
      <c r="AB84" s="34"/>
      <c r="AD84" s="53" t="str">
        <f>('Gestión de abastecimiento'!A85)</f>
        <v>Beneficiaros 81</v>
      </c>
      <c r="AE84" s="27">
        <f>'Por Valoracion (3) Dimension'!D84</f>
        <v>18</v>
      </c>
      <c r="AF84" s="27">
        <f>'Por Valoracion (3) Dimension 2'!B84</f>
        <v>25</v>
      </c>
      <c r="BA84" s="34"/>
      <c r="BC84" s="35"/>
      <c r="BE84" s="53" t="str">
        <f>('Gestión de abastecimiento'!A85)</f>
        <v>Beneficiaros 81</v>
      </c>
      <c r="BF84" s="27">
        <f>'Por Valoracion (3) Dimension'!F84</f>
        <v>16</v>
      </c>
      <c r="BG84" s="27">
        <f>'Por Valoracion (3) Dimension 2'!B84</f>
        <v>25</v>
      </c>
      <c r="CB84" s="35"/>
    </row>
    <row r="85" spans="1:80" x14ac:dyDescent="0.25">
      <c r="A85" s="26"/>
      <c r="C85" s="53" t="str">
        <f>('Gestión de abastecimiento'!A86)</f>
        <v>Beneficiaros 82</v>
      </c>
      <c r="D85" s="27">
        <f>'Por Valoracion (3) Dimension'!B85</f>
        <v>16</v>
      </c>
      <c r="E85" s="27">
        <f>'Por Valoracion (3) Dimension 2'!B85</f>
        <v>26</v>
      </c>
      <c r="Z85" s="26"/>
      <c r="AB85" s="34"/>
      <c r="AD85" s="53" t="str">
        <f>('Gestión de abastecimiento'!A86)</f>
        <v>Beneficiaros 82</v>
      </c>
      <c r="AE85" s="27">
        <f>'Por Valoracion (3) Dimension'!D85</f>
        <v>18</v>
      </c>
      <c r="AF85" s="27">
        <f>'Por Valoracion (3) Dimension 2'!B85</f>
        <v>26</v>
      </c>
      <c r="BA85" s="34"/>
      <c r="BC85" s="35"/>
      <c r="BE85" s="53" t="str">
        <f>('Gestión de abastecimiento'!A86)</f>
        <v>Beneficiaros 82</v>
      </c>
      <c r="BF85" s="27">
        <f>'Por Valoracion (3) Dimension'!F85</f>
        <v>15</v>
      </c>
      <c r="BG85" s="27">
        <f>'Por Valoracion (3) Dimension 2'!B85</f>
        <v>26</v>
      </c>
      <c r="CB85" s="35"/>
    </row>
    <row r="86" spans="1:80" x14ac:dyDescent="0.25">
      <c r="A86" s="26"/>
      <c r="C86" s="53" t="str">
        <f>('Gestión de abastecimiento'!A87)</f>
        <v>Beneficiaros 83</v>
      </c>
      <c r="D86" s="27">
        <f>'Por Valoracion (3) Dimension'!B86</f>
        <v>15</v>
      </c>
      <c r="E86" s="27">
        <f>'Por Valoracion (3) Dimension 2'!B86</f>
        <v>25</v>
      </c>
      <c r="Z86" s="26"/>
      <c r="AB86" s="34"/>
      <c r="AD86" s="53" t="str">
        <f>('Gestión de abastecimiento'!A87)</f>
        <v>Beneficiaros 83</v>
      </c>
      <c r="AE86" s="27">
        <f>'Por Valoracion (3) Dimension'!D86</f>
        <v>15</v>
      </c>
      <c r="AF86" s="27">
        <f>'Por Valoracion (3) Dimension 2'!B86</f>
        <v>25</v>
      </c>
      <c r="BA86" s="34"/>
      <c r="BC86" s="35"/>
      <c r="BE86" s="53" t="str">
        <f>('Gestión de abastecimiento'!A87)</f>
        <v>Beneficiaros 83</v>
      </c>
      <c r="BF86" s="27">
        <f>'Por Valoracion (3) Dimension'!F86</f>
        <v>15</v>
      </c>
      <c r="BG86" s="27">
        <f>'Por Valoracion (3) Dimension 2'!B86</f>
        <v>25</v>
      </c>
      <c r="CB86" s="35"/>
    </row>
    <row r="87" spans="1:80" x14ac:dyDescent="0.25">
      <c r="A87" s="26"/>
      <c r="C87" s="53" t="str">
        <f>('Gestión de abastecimiento'!A88)</f>
        <v>Beneficiaros 84</v>
      </c>
      <c r="D87" s="27">
        <f>'Por Valoracion (3) Dimension'!B87</f>
        <v>13</v>
      </c>
      <c r="E87" s="27">
        <f>'Por Valoracion (3) Dimension 2'!B87</f>
        <v>19</v>
      </c>
      <c r="Z87" s="26"/>
      <c r="AB87" s="34"/>
      <c r="AD87" s="53" t="str">
        <f>('Gestión de abastecimiento'!A88)</f>
        <v>Beneficiaros 84</v>
      </c>
      <c r="AE87" s="27">
        <f>'Por Valoracion (3) Dimension'!D87</f>
        <v>15</v>
      </c>
      <c r="AF87" s="27">
        <f>'Por Valoracion (3) Dimension 2'!B87</f>
        <v>19</v>
      </c>
      <c r="BA87" s="34"/>
      <c r="BC87" s="35"/>
      <c r="BE87" s="53" t="str">
        <f>('Gestión de abastecimiento'!A88)</f>
        <v>Beneficiaros 84</v>
      </c>
      <c r="BF87" s="27">
        <f>'Por Valoracion (3) Dimension'!F87</f>
        <v>13</v>
      </c>
      <c r="BG87" s="27">
        <f>'Por Valoracion (3) Dimension 2'!B87</f>
        <v>19</v>
      </c>
      <c r="CB87" s="35"/>
    </row>
    <row r="88" spans="1:80" x14ac:dyDescent="0.25">
      <c r="A88" s="26"/>
      <c r="C88" s="53" t="str">
        <f>('Gestión de abastecimiento'!A89)</f>
        <v>Beneficiaros 85</v>
      </c>
      <c r="D88" s="27">
        <f>'Por Valoracion (3) Dimension'!B88</f>
        <v>29</v>
      </c>
      <c r="E88" s="27">
        <f>'Por Valoracion (3) Dimension 2'!B88</f>
        <v>40</v>
      </c>
      <c r="Z88" s="26"/>
      <c r="AB88" s="34"/>
      <c r="AD88" s="53" t="str">
        <f>('Gestión de abastecimiento'!A89)</f>
        <v>Beneficiaros 85</v>
      </c>
      <c r="AE88" s="27">
        <f>'Por Valoracion (3) Dimension'!D88</f>
        <v>28</v>
      </c>
      <c r="AF88" s="27">
        <f>'Por Valoracion (3) Dimension 2'!B88</f>
        <v>40</v>
      </c>
      <c r="BA88" s="34"/>
      <c r="BC88" s="35"/>
      <c r="BE88" s="53" t="str">
        <f>('Gestión de abastecimiento'!A89)</f>
        <v>Beneficiaros 85</v>
      </c>
      <c r="BF88" s="27">
        <f>'Por Valoracion (3) Dimension'!F88</f>
        <v>28</v>
      </c>
      <c r="BG88" s="27">
        <f>'Por Valoracion (3) Dimension 2'!B88</f>
        <v>40</v>
      </c>
      <c r="CB88" s="35"/>
    </row>
    <row r="89" spans="1:80" x14ac:dyDescent="0.25">
      <c r="A89" s="26"/>
      <c r="C89" s="53" t="str">
        <f>('Gestión de abastecimiento'!A90)</f>
        <v>Beneficiaros 86</v>
      </c>
      <c r="D89" s="27">
        <f>'Por Valoracion (3) Dimension'!B89</f>
        <v>19</v>
      </c>
      <c r="E89" s="27">
        <f>'Por Valoracion (3) Dimension 2'!B89</f>
        <v>27</v>
      </c>
      <c r="Z89" s="26"/>
      <c r="AB89" s="34"/>
      <c r="AD89" s="53" t="str">
        <f>('Gestión de abastecimiento'!A90)</f>
        <v>Beneficiaros 86</v>
      </c>
      <c r="AE89" s="27">
        <f>'Por Valoracion (3) Dimension'!D89</f>
        <v>20</v>
      </c>
      <c r="AF89" s="27">
        <f>'Por Valoracion (3) Dimension 2'!B89</f>
        <v>27</v>
      </c>
      <c r="BA89" s="34"/>
      <c r="BC89" s="35"/>
      <c r="BE89" s="53" t="str">
        <f>('Gestión de abastecimiento'!A90)</f>
        <v>Beneficiaros 86</v>
      </c>
      <c r="BF89" s="27">
        <f>'Por Valoracion (3) Dimension'!F89</f>
        <v>18</v>
      </c>
      <c r="BG89" s="27">
        <f>'Por Valoracion (3) Dimension 2'!B89</f>
        <v>27</v>
      </c>
      <c r="CB89" s="35"/>
    </row>
    <row r="90" spans="1:80" x14ac:dyDescent="0.25">
      <c r="A90" s="26"/>
      <c r="C90" s="53" t="str">
        <f>('Gestión de abastecimiento'!A91)</f>
        <v>Beneficiaros 87</v>
      </c>
      <c r="D90" s="27">
        <f>'Por Valoracion (3) Dimension'!B90</f>
        <v>18</v>
      </c>
      <c r="E90" s="27">
        <f>'Por Valoracion (3) Dimension 2'!B90</f>
        <v>24</v>
      </c>
      <c r="Z90" s="26"/>
      <c r="AB90" s="34"/>
      <c r="AD90" s="53" t="str">
        <f>('Gestión de abastecimiento'!A91)</f>
        <v>Beneficiaros 87</v>
      </c>
      <c r="AE90" s="27">
        <f>'Por Valoracion (3) Dimension'!D90</f>
        <v>16</v>
      </c>
      <c r="AF90" s="27">
        <f>'Por Valoracion (3) Dimension 2'!B90</f>
        <v>24</v>
      </c>
      <c r="BA90" s="34"/>
      <c r="BC90" s="35"/>
      <c r="BE90" s="53" t="str">
        <f>('Gestión de abastecimiento'!A91)</f>
        <v>Beneficiaros 87</v>
      </c>
      <c r="BF90" s="27">
        <f>'Por Valoracion (3) Dimension'!F90</f>
        <v>16</v>
      </c>
      <c r="BG90" s="27">
        <f>'Por Valoracion (3) Dimension 2'!B90</f>
        <v>24</v>
      </c>
      <c r="CB90" s="35"/>
    </row>
    <row r="91" spans="1:80" x14ac:dyDescent="0.25">
      <c r="A91" s="26"/>
      <c r="C91" s="53" t="str">
        <f>('Gestión de abastecimiento'!A92)</f>
        <v>Beneficiaros 88</v>
      </c>
      <c r="D91" s="27">
        <f>'Por Valoracion (3) Dimension'!B91</f>
        <v>23</v>
      </c>
      <c r="E91" s="27">
        <f>'Por Valoracion (3) Dimension 2'!B91</f>
        <v>35</v>
      </c>
      <c r="Z91" s="26"/>
      <c r="AB91" s="34"/>
      <c r="AD91" s="53" t="str">
        <f>('Gestión de abastecimiento'!A92)</f>
        <v>Beneficiaros 88</v>
      </c>
      <c r="AE91" s="27">
        <f>'Por Valoracion (3) Dimension'!D91</f>
        <v>24</v>
      </c>
      <c r="AF91" s="27">
        <f>'Por Valoracion (3) Dimension 2'!B91</f>
        <v>35</v>
      </c>
      <c r="BA91" s="34"/>
      <c r="BC91" s="35"/>
      <c r="BE91" s="53" t="str">
        <f>('Gestión de abastecimiento'!A92)</f>
        <v>Beneficiaros 88</v>
      </c>
      <c r="BF91" s="27">
        <f>'Por Valoracion (3) Dimension'!F91</f>
        <v>23</v>
      </c>
      <c r="BG91" s="27">
        <f>'Por Valoracion (3) Dimension 2'!B91</f>
        <v>35</v>
      </c>
      <c r="CB91" s="35"/>
    </row>
    <row r="92" spans="1:80" x14ac:dyDescent="0.25">
      <c r="A92" s="26"/>
      <c r="C92" s="53" t="str">
        <f>('Gestión de abastecimiento'!A93)</f>
        <v>Beneficiaros 89</v>
      </c>
      <c r="D92" s="27">
        <f>'Por Valoracion (3) Dimension'!B92</f>
        <v>12</v>
      </c>
      <c r="E92" s="27">
        <f>'Por Valoracion (3) Dimension 2'!B92</f>
        <v>19</v>
      </c>
      <c r="Z92" s="26"/>
      <c r="AB92" s="34"/>
      <c r="AD92" s="53" t="str">
        <f>('Gestión de abastecimiento'!A93)</f>
        <v>Beneficiaros 89</v>
      </c>
      <c r="AE92" s="27">
        <f>'Por Valoracion (3) Dimension'!D92</f>
        <v>13</v>
      </c>
      <c r="AF92" s="27">
        <f>'Por Valoracion (3) Dimension 2'!B92</f>
        <v>19</v>
      </c>
      <c r="BA92" s="34"/>
      <c r="BC92" s="35"/>
      <c r="BE92" s="53" t="str">
        <f>('Gestión de abastecimiento'!A93)</f>
        <v>Beneficiaros 89</v>
      </c>
      <c r="BF92" s="27">
        <f>'Por Valoracion (3) Dimension'!F92</f>
        <v>12</v>
      </c>
      <c r="BG92" s="27">
        <f>'Por Valoracion (3) Dimension 2'!B92</f>
        <v>19</v>
      </c>
      <c r="CB92" s="35"/>
    </row>
    <row r="93" spans="1:80" x14ac:dyDescent="0.25">
      <c r="A93" s="26"/>
      <c r="C93" s="53" t="str">
        <f>('Gestión de abastecimiento'!A94)</f>
        <v>Beneficiaros 90</v>
      </c>
      <c r="D93" s="27">
        <f>'Por Valoracion (3) Dimension'!B93</f>
        <v>25</v>
      </c>
      <c r="E93" s="27">
        <f>'Por Valoracion (3) Dimension 2'!B93</f>
        <v>37</v>
      </c>
      <c r="Z93" s="26"/>
      <c r="AB93" s="34"/>
      <c r="AD93" s="53" t="str">
        <f>('Gestión de abastecimiento'!A94)</f>
        <v>Beneficiaros 90</v>
      </c>
      <c r="AE93" s="27">
        <f>'Por Valoracion (3) Dimension'!D93</f>
        <v>25</v>
      </c>
      <c r="AF93" s="27">
        <f>'Por Valoracion (3) Dimension 2'!B93</f>
        <v>37</v>
      </c>
      <c r="BA93" s="34"/>
      <c r="BC93" s="35"/>
      <c r="BE93" s="53" t="str">
        <f>('Gestión de abastecimiento'!A94)</f>
        <v>Beneficiaros 90</v>
      </c>
      <c r="BF93" s="27">
        <f>'Por Valoracion (3) Dimension'!F93</f>
        <v>23</v>
      </c>
      <c r="BG93" s="27">
        <f>'Por Valoracion (3) Dimension 2'!B93</f>
        <v>37</v>
      </c>
      <c r="CB93" s="35"/>
    </row>
    <row r="94" spans="1:80" x14ac:dyDescent="0.25">
      <c r="A94" s="26"/>
      <c r="C94" s="53" t="str">
        <f>('Gestión de abastecimiento'!A95)</f>
        <v>Beneficiaros 91</v>
      </c>
      <c r="D94" s="27">
        <f>'Por Valoracion (3) Dimension'!B94</f>
        <v>18</v>
      </c>
      <c r="E94" s="27">
        <f>'Por Valoracion (3) Dimension 2'!B94</f>
        <v>28</v>
      </c>
      <c r="Z94" s="26"/>
      <c r="AB94" s="34"/>
      <c r="AD94" s="53" t="str">
        <f>('Gestión de abastecimiento'!A95)</f>
        <v>Beneficiaros 91</v>
      </c>
      <c r="AE94" s="27">
        <f>'Por Valoracion (3) Dimension'!D94</f>
        <v>19</v>
      </c>
      <c r="AF94" s="27">
        <f>'Por Valoracion (3) Dimension 2'!B94</f>
        <v>28</v>
      </c>
      <c r="BA94" s="34"/>
      <c r="BC94" s="35"/>
      <c r="BE94" s="53" t="str">
        <f>('Gestión de abastecimiento'!A95)</f>
        <v>Beneficiaros 91</v>
      </c>
      <c r="BF94" s="27">
        <f>'Por Valoracion (3) Dimension'!F94</f>
        <v>17</v>
      </c>
      <c r="BG94" s="27">
        <f>'Por Valoracion (3) Dimension 2'!B94</f>
        <v>28</v>
      </c>
      <c r="CB94" s="35"/>
    </row>
    <row r="95" spans="1:80" x14ac:dyDescent="0.25">
      <c r="A95" s="26"/>
      <c r="C95" s="53" t="str">
        <f>('Gestión de abastecimiento'!A96)</f>
        <v>Beneficiaros 92</v>
      </c>
      <c r="D95" s="27">
        <f>'Por Valoracion (3) Dimension'!B95</f>
        <v>16</v>
      </c>
      <c r="E95" s="27">
        <f>'Por Valoracion (3) Dimension 2'!B95</f>
        <v>22</v>
      </c>
      <c r="Z95" s="26"/>
      <c r="AB95" s="34"/>
      <c r="AD95" s="53" t="str">
        <f>('Gestión de abastecimiento'!A96)</f>
        <v>Beneficiaros 92</v>
      </c>
      <c r="AE95" s="27">
        <f>'Por Valoracion (3) Dimension'!D95</f>
        <v>14</v>
      </c>
      <c r="AF95" s="27">
        <f>'Por Valoracion (3) Dimension 2'!B95</f>
        <v>22</v>
      </c>
      <c r="BA95" s="34"/>
      <c r="BC95" s="35"/>
      <c r="BE95" s="53" t="str">
        <f>('Gestión de abastecimiento'!A96)</f>
        <v>Beneficiaros 92</v>
      </c>
      <c r="BF95" s="27">
        <f>'Por Valoracion (3) Dimension'!F95</f>
        <v>12</v>
      </c>
      <c r="BG95" s="27">
        <f>'Por Valoracion (3) Dimension 2'!B95</f>
        <v>22</v>
      </c>
      <c r="CB95" s="35"/>
    </row>
    <row r="96" spans="1:80" x14ac:dyDescent="0.25">
      <c r="A96" s="26"/>
      <c r="C96" s="53" t="str">
        <f>('Gestión de abastecimiento'!A97)</f>
        <v>Beneficiaros 93</v>
      </c>
      <c r="D96" s="27">
        <f>'Por Valoracion (3) Dimension'!B96</f>
        <v>15</v>
      </c>
      <c r="E96" s="27">
        <f>'Por Valoracion (3) Dimension 2'!B96</f>
        <v>23</v>
      </c>
      <c r="Z96" s="26"/>
      <c r="AB96" s="34"/>
      <c r="AD96" s="53" t="str">
        <f>('Gestión de abastecimiento'!A97)</f>
        <v>Beneficiaros 93</v>
      </c>
      <c r="AE96" s="27">
        <f>'Por Valoracion (3) Dimension'!D96</f>
        <v>15</v>
      </c>
      <c r="AF96" s="27">
        <f>'Por Valoracion (3) Dimension 2'!B96</f>
        <v>23</v>
      </c>
      <c r="BA96" s="34"/>
      <c r="BC96" s="35"/>
      <c r="BE96" s="53" t="str">
        <f>('Gestión de abastecimiento'!A97)</f>
        <v>Beneficiaros 93</v>
      </c>
      <c r="BF96" s="27">
        <f>'Por Valoracion (3) Dimension'!F96</f>
        <v>16</v>
      </c>
      <c r="BG96" s="27">
        <f>'Por Valoracion (3) Dimension 2'!B96</f>
        <v>23</v>
      </c>
      <c r="CB96" s="35"/>
    </row>
    <row r="97" spans="1:80" x14ac:dyDescent="0.25">
      <c r="A97" s="26"/>
      <c r="C97" s="53" t="str">
        <f>('Gestión de abastecimiento'!A98)</f>
        <v>Beneficiaros 94</v>
      </c>
      <c r="D97" s="27">
        <f>'Por Valoracion (3) Dimension'!B97</f>
        <v>24</v>
      </c>
      <c r="E97" s="27">
        <f>'Por Valoracion (3) Dimension 2'!B97</f>
        <v>35</v>
      </c>
      <c r="Z97" s="26"/>
      <c r="AB97" s="34"/>
      <c r="AD97" s="53" t="str">
        <f>('Gestión de abastecimiento'!A98)</f>
        <v>Beneficiaros 94</v>
      </c>
      <c r="AE97" s="27">
        <f>'Por Valoracion (3) Dimension'!D97</f>
        <v>24</v>
      </c>
      <c r="AF97" s="27">
        <f>'Por Valoracion (3) Dimension 2'!B97</f>
        <v>35</v>
      </c>
      <c r="BA97" s="34"/>
      <c r="BC97" s="35"/>
      <c r="BE97" s="53" t="str">
        <f>('Gestión de abastecimiento'!A98)</f>
        <v>Beneficiaros 94</v>
      </c>
      <c r="BF97" s="27">
        <f>'Por Valoracion (3) Dimension'!F97</f>
        <v>24</v>
      </c>
      <c r="BG97" s="27">
        <f>'Por Valoracion (3) Dimension 2'!B97</f>
        <v>35</v>
      </c>
      <c r="CB97" s="35"/>
    </row>
    <row r="98" spans="1:80" x14ac:dyDescent="0.25">
      <c r="A98" s="26"/>
      <c r="C98" s="53" t="str">
        <f>('Gestión de abastecimiento'!A99)</f>
        <v>Beneficiaros 95</v>
      </c>
      <c r="D98" s="27">
        <f>'Por Valoracion (3) Dimension'!B98</f>
        <v>19</v>
      </c>
      <c r="E98" s="27">
        <f>'Por Valoracion (3) Dimension 2'!B98</f>
        <v>26</v>
      </c>
      <c r="Z98" s="26"/>
      <c r="AB98" s="34"/>
      <c r="AD98" s="53" t="str">
        <f>('Gestión de abastecimiento'!A99)</f>
        <v>Beneficiaros 95</v>
      </c>
      <c r="AE98" s="27">
        <f>'Por Valoracion (3) Dimension'!D98</f>
        <v>18</v>
      </c>
      <c r="AF98" s="27">
        <f>'Por Valoracion (3) Dimension 2'!B98</f>
        <v>26</v>
      </c>
      <c r="BA98" s="34"/>
      <c r="BC98" s="35"/>
      <c r="BE98" s="53" t="str">
        <f>('Gestión de abastecimiento'!A99)</f>
        <v>Beneficiaros 95</v>
      </c>
      <c r="BF98" s="27">
        <f>'Por Valoracion (3) Dimension'!F98</f>
        <v>18</v>
      </c>
      <c r="BG98" s="27">
        <f>'Por Valoracion (3) Dimension 2'!B98</f>
        <v>26</v>
      </c>
      <c r="CB98" s="35"/>
    </row>
    <row r="99" spans="1:80" x14ac:dyDescent="0.25">
      <c r="A99" s="26"/>
      <c r="C99" s="53" t="str">
        <f>('Gestión de abastecimiento'!A100)</f>
        <v>Beneficiaros 96</v>
      </c>
      <c r="D99" s="27">
        <f>'Por Valoracion (3) Dimension'!B99</f>
        <v>14</v>
      </c>
      <c r="E99" s="27">
        <f>'Por Valoracion (3) Dimension 2'!B99</f>
        <v>20</v>
      </c>
      <c r="Z99" s="26"/>
      <c r="AB99" s="34"/>
      <c r="AD99" s="53" t="str">
        <f>('Gestión de abastecimiento'!A100)</f>
        <v>Beneficiaros 96</v>
      </c>
      <c r="AE99" s="27">
        <f>'Por Valoracion (3) Dimension'!D99</f>
        <v>14</v>
      </c>
      <c r="AF99" s="27">
        <f>'Por Valoracion (3) Dimension 2'!B99</f>
        <v>20</v>
      </c>
      <c r="BA99" s="34"/>
      <c r="BC99" s="35"/>
      <c r="BE99" s="53" t="str">
        <f>('Gestión de abastecimiento'!A100)</f>
        <v>Beneficiaros 96</v>
      </c>
      <c r="BF99" s="27">
        <f>'Por Valoracion (3) Dimension'!F99</f>
        <v>13</v>
      </c>
      <c r="BG99" s="27">
        <f>'Por Valoracion (3) Dimension 2'!B99</f>
        <v>20</v>
      </c>
      <c r="CB99" s="35"/>
    </row>
    <row r="100" spans="1:80" x14ac:dyDescent="0.25">
      <c r="A100" s="26"/>
      <c r="C100" s="53" t="str">
        <f>('Gestión de abastecimiento'!A101)</f>
        <v>Beneficiaros 97</v>
      </c>
      <c r="D100" s="27">
        <f>'Por Valoracion (3) Dimension'!B100</f>
        <v>20</v>
      </c>
      <c r="E100" s="27">
        <f>'Por Valoracion (3) Dimension 2'!B100</f>
        <v>28</v>
      </c>
      <c r="Z100" s="26"/>
      <c r="AB100" s="34"/>
      <c r="AD100" s="53" t="str">
        <f>('Gestión de abastecimiento'!A101)</f>
        <v>Beneficiaros 97</v>
      </c>
      <c r="AE100" s="27">
        <f>'Por Valoracion (3) Dimension'!D100</f>
        <v>18</v>
      </c>
      <c r="AF100" s="27">
        <f>'Por Valoracion (3) Dimension 2'!B100</f>
        <v>28</v>
      </c>
      <c r="BA100" s="34"/>
      <c r="BC100" s="35"/>
      <c r="BE100" s="53" t="str">
        <f>('Gestión de abastecimiento'!A101)</f>
        <v>Beneficiaros 97</v>
      </c>
      <c r="BF100" s="27">
        <f>'Por Valoracion (3) Dimension'!F100</f>
        <v>18</v>
      </c>
      <c r="BG100" s="27">
        <f>'Por Valoracion (3) Dimension 2'!B100</f>
        <v>28</v>
      </c>
      <c r="CB100" s="35"/>
    </row>
    <row r="101" spans="1:80" x14ac:dyDescent="0.25">
      <c r="A101" s="26"/>
      <c r="C101" s="53" t="str">
        <f>('Gestión de abastecimiento'!A102)</f>
        <v>Beneficiaros 98</v>
      </c>
      <c r="D101" s="27">
        <f>'Por Valoracion (3) Dimension'!B101</f>
        <v>15</v>
      </c>
      <c r="E101" s="27">
        <f>'Por Valoracion (3) Dimension 2'!B101</f>
        <v>24</v>
      </c>
      <c r="Z101" s="26"/>
      <c r="AB101" s="34"/>
      <c r="AD101" s="53" t="str">
        <f>('Gestión de abastecimiento'!A102)</f>
        <v>Beneficiaros 98</v>
      </c>
      <c r="AE101" s="27">
        <f>'Por Valoracion (3) Dimension'!D101</f>
        <v>18</v>
      </c>
      <c r="AF101" s="27">
        <f>'Por Valoracion (3) Dimension 2'!B101</f>
        <v>24</v>
      </c>
      <c r="BA101" s="34"/>
      <c r="BC101" s="35"/>
      <c r="BE101" s="53" t="str">
        <f>('Gestión de abastecimiento'!A102)</f>
        <v>Beneficiaros 98</v>
      </c>
      <c r="BF101" s="27">
        <f>'Por Valoracion (3) Dimension'!F101</f>
        <v>17</v>
      </c>
      <c r="BG101" s="27">
        <f>'Por Valoracion (3) Dimension 2'!B101</f>
        <v>24</v>
      </c>
      <c r="CB101" s="35"/>
    </row>
    <row r="102" spans="1:80" x14ac:dyDescent="0.25">
      <c r="A102" s="26"/>
      <c r="C102" s="53" t="str">
        <f>('Gestión de abastecimiento'!A103)</f>
        <v>Beneficiaros 99</v>
      </c>
      <c r="D102" s="27">
        <f>'Por Valoracion (3) Dimension'!B102</f>
        <v>18</v>
      </c>
      <c r="E102" s="27">
        <f>'Por Valoracion (3) Dimension 2'!B102</f>
        <v>27</v>
      </c>
      <c r="Z102" s="26"/>
      <c r="AB102" s="34"/>
      <c r="AD102" s="53" t="str">
        <f>('Gestión de abastecimiento'!A103)</f>
        <v>Beneficiaros 99</v>
      </c>
      <c r="AE102" s="27">
        <f>'Por Valoracion (3) Dimension'!D102</f>
        <v>17</v>
      </c>
      <c r="AF102" s="27">
        <f>'Por Valoracion (3) Dimension 2'!B102</f>
        <v>27</v>
      </c>
      <c r="BA102" s="34"/>
      <c r="BC102" s="35"/>
      <c r="BE102" s="53" t="str">
        <f>('Gestión de abastecimiento'!A103)</f>
        <v>Beneficiaros 99</v>
      </c>
      <c r="BF102" s="27">
        <f>'Por Valoracion (3) Dimension'!F102</f>
        <v>17</v>
      </c>
      <c r="BG102" s="27">
        <f>'Por Valoracion (3) Dimension 2'!B102</f>
        <v>27</v>
      </c>
      <c r="CB102" s="35"/>
    </row>
    <row r="103" spans="1:80" x14ac:dyDescent="0.25">
      <c r="A103" s="26"/>
      <c r="C103" s="53" t="str">
        <f>('Gestión de abastecimiento'!A104)</f>
        <v>Beneficiaros 100</v>
      </c>
      <c r="D103" s="27">
        <f>'Por Valoracion (3) Dimension'!B103</f>
        <v>19</v>
      </c>
      <c r="E103" s="27">
        <f>'Por Valoracion (3) Dimension 2'!B103</f>
        <v>28</v>
      </c>
      <c r="Z103" s="26"/>
      <c r="AB103" s="34"/>
      <c r="AD103" s="53" t="str">
        <f>('Gestión de abastecimiento'!A104)</f>
        <v>Beneficiaros 100</v>
      </c>
      <c r="AE103" s="27">
        <f>'Por Valoracion (3) Dimension'!D103</f>
        <v>18</v>
      </c>
      <c r="AF103" s="27">
        <f>'Por Valoracion (3) Dimension 2'!B103</f>
        <v>28</v>
      </c>
      <c r="BA103" s="34"/>
      <c r="BC103" s="35"/>
      <c r="BE103" s="53" t="str">
        <f>('Gestión de abastecimiento'!A104)</f>
        <v>Beneficiaros 100</v>
      </c>
      <c r="BF103" s="27">
        <f>'Por Valoracion (3) Dimension'!F103</f>
        <v>18</v>
      </c>
      <c r="BG103" s="27">
        <f>'Por Valoracion (3) Dimension 2'!B103</f>
        <v>28</v>
      </c>
      <c r="CB103" s="35"/>
    </row>
    <row r="104" spans="1:80" x14ac:dyDescent="0.25">
      <c r="A104" s="26"/>
      <c r="C104" s="53" t="str">
        <f>('Gestión de abastecimiento'!A105)</f>
        <v>Beneficiaros 101</v>
      </c>
      <c r="D104" s="27">
        <f>'Por Valoracion (3) Dimension'!B104</f>
        <v>16</v>
      </c>
      <c r="E104" s="27">
        <f>'Por Valoracion (3) Dimension 2'!B104</f>
        <v>23</v>
      </c>
      <c r="Z104" s="26"/>
      <c r="AB104" s="34"/>
      <c r="AD104" s="53" t="str">
        <f>('Gestión de abastecimiento'!A105)</f>
        <v>Beneficiaros 101</v>
      </c>
      <c r="AE104" s="27">
        <f>'Por Valoracion (3) Dimension'!D104</f>
        <v>16</v>
      </c>
      <c r="AF104" s="27">
        <f>'Por Valoracion (3) Dimension 2'!B104</f>
        <v>23</v>
      </c>
      <c r="BA104" s="34"/>
      <c r="BC104" s="35"/>
      <c r="BE104" s="53" t="str">
        <f>('Gestión de abastecimiento'!A105)</f>
        <v>Beneficiaros 101</v>
      </c>
      <c r="BF104" s="27">
        <f>'Por Valoracion (3) Dimension'!F104</f>
        <v>15</v>
      </c>
      <c r="BG104" s="27">
        <f>'Por Valoracion (3) Dimension 2'!B104</f>
        <v>23</v>
      </c>
      <c r="CB104" s="35"/>
    </row>
    <row r="105" spans="1:80" x14ac:dyDescent="0.25">
      <c r="A105" s="26"/>
      <c r="C105" s="53" t="str">
        <f>('Gestión de abastecimiento'!A106)</f>
        <v>Beneficiaros 102</v>
      </c>
      <c r="D105" s="27">
        <f>'Por Valoracion (3) Dimension'!B105</f>
        <v>17</v>
      </c>
      <c r="E105" s="27">
        <f>'Por Valoracion (3) Dimension 2'!B105</f>
        <v>28</v>
      </c>
      <c r="Z105" s="26"/>
      <c r="AB105" s="34"/>
      <c r="AD105" s="53" t="str">
        <f>('Gestión de abastecimiento'!A106)</f>
        <v>Beneficiaros 102</v>
      </c>
      <c r="AE105" s="27">
        <f>'Por Valoracion (3) Dimension'!D105</f>
        <v>18</v>
      </c>
      <c r="AF105" s="27">
        <f>'Por Valoracion (3) Dimension 2'!B105</f>
        <v>28</v>
      </c>
      <c r="BA105" s="34"/>
      <c r="BC105" s="35"/>
      <c r="BE105" s="53" t="str">
        <f>('Gestión de abastecimiento'!A106)</f>
        <v>Beneficiaros 102</v>
      </c>
      <c r="BF105" s="27">
        <f>'Por Valoracion (3) Dimension'!F105</f>
        <v>19</v>
      </c>
      <c r="BG105" s="27">
        <f>'Por Valoracion (3) Dimension 2'!B105</f>
        <v>28</v>
      </c>
      <c r="CB105" s="35"/>
    </row>
    <row r="106" spans="1:80" x14ac:dyDescent="0.25">
      <c r="A106" s="26"/>
      <c r="C106" s="53" t="str">
        <f>('Gestión de abastecimiento'!A107)</f>
        <v>Beneficiaros 103</v>
      </c>
      <c r="D106" s="27">
        <f>'Por Valoracion (3) Dimension'!B106</f>
        <v>22</v>
      </c>
      <c r="E106" s="27">
        <f>'Por Valoracion (3) Dimension 2'!B106</f>
        <v>30</v>
      </c>
      <c r="Z106" s="26"/>
      <c r="AB106" s="34"/>
      <c r="AD106" s="53" t="str">
        <f>('Gestión de abastecimiento'!A107)</f>
        <v>Beneficiaros 103</v>
      </c>
      <c r="AE106" s="27">
        <f>'Por Valoracion (3) Dimension'!D106</f>
        <v>21</v>
      </c>
      <c r="AF106" s="27">
        <f>'Por Valoracion (3) Dimension 2'!B106</f>
        <v>30</v>
      </c>
      <c r="BA106" s="34"/>
      <c r="BC106" s="35"/>
      <c r="BE106" s="53" t="str">
        <f>('Gestión de abastecimiento'!A107)</f>
        <v>Beneficiaros 103</v>
      </c>
      <c r="BF106" s="27">
        <f>'Por Valoracion (3) Dimension'!F106</f>
        <v>20</v>
      </c>
      <c r="BG106" s="27">
        <f>'Por Valoracion (3) Dimension 2'!B106</f>
        <v>30</v>
      </c>
      <c r="CB106" s="35"/>
    </row>
    <row r="107" spans="1:80" x14ac:dyDescent="0.25">
      <c r="A107" s="26"/>
      <c r="C107" s="53" t="str">
        <f>('Gestión de abastecimiento'!A108)</f>
        <v>Beneficiaros 104</v>
      </c>
      <c r="D107" s="27">
        <f>'Por Valoracion (3) Dimension'!B107</f>
        <v>21</v>
      </c>
      <c r="E107" s="27">
        <f>'Por Valoracion (3) Dimension 2'!B107</f>
        <v>31</v>
      </c>
      <c r="Z107" s="26"/>
      <c r="AB107" s="34"/>
      <c r="AD107" s="53" t="str">
        <f>('Gestión de abastecimiento'!A108)</f>
        <v>Beneficiaros 104</v>
      </c>
      <c r="AE107" s="27">
        <f>'Por Valoracion (3) Dimension'!D107</f>
        <v>21</v>
      </c>
      <c r="AF107" s="27">
        <f>'Por Valoracion (3) Dimension 2'!B107</f>
        <v>31</v>
      </c>
      <c r="BA107" s="34"/>
      <c r="BC107" s="35"/>
      <c r="BE107" s="53" t="str">
        <f>('Gestión de abastecimiento'!A108)</f>
        <v>Beneficiaros 104</v>
      </c>
      <c r="BF107" s="27">
        <f>'Por Valoracion (3) Dimension'!F107</f>
        <v>20</v>
      </c>
      <c r="BG107" s="27">
        <f>'Por Valoracion (3) Dimension 2'!B107</f>
        <v>31</v>
      </c>
      <c r="CB107" s="35"/>
    </row>
    <row r="108" spans="1:80" x14ac:dyDescent="0.25">
      <c r="A108" s="26"/>
      <c r="C108" s="53" t="str">
        <f>('Gestión de abastecimiento'!A109)</f>
        <v>Beneficiaros 105</v>
      </c>
      <c r="D108" s="27">
        <f>'Por Valoracion (3) Dimension'!B108</f>
        <v>13</v>
      </c>
      <c r="E108" s="27">
        <f>'Por Valoracion (3) Dimension 2'!B108</f>
        <v>18</v>
      </c>
      <c r="Z108" s="26"/>
      <c r="AB108" s="34"/>
      <c r="AD108" s="53" t="str">
        <f>('Gestión de abastecimiento'!A109)</f>
        <v>Beneficiaros 105</v>
      </c>
      <c r="AE108" s="27">
        <f>'Por Valoracion (3) Dimension'!D108</f>
        <v>12</v>
      </c>
      <c r="AF108" s="27">
        <f>'Por Valoracion (3) Dimension 2'!B108</f>
        <v>18</v>
      </c>
      <c r="BA108" s="34"/>
      <c r="BC108" s="35"/>
      <c r="BE108" s="53" t="str">
        <f>('Gestión de abastecimiento'!A109)</f>
        <v>Beneficiaros 105</v>
      </c>
      <c r="BF108" s="27">
        <f>'Por Valoracion (3) Dimension'!F108</f>
        <v>13</v>
      </c>
      <c r="BG108" s="27">
        <f>'Por Valoracion (3) Dimension 2'!B108</f>
        <v>18</v>
      </c>
      <c r="CB108" s="35"/>
    </row>
    <row r="109" spans="1:80" x14ac:dyDescent="0.25">
      <c r="A109" s="26"/>
      <c r="C109" s="53" t="str">
        <f>('Gestión de abastecimiento'!A110)</f>
        <v>Beneficiaros 106</v>
      </c>
      <c r="D109" s="27">
        <f>'Por Valoracion (3) Dimension'!B109</f>
        <v>29</v>
      </c>
      <c r="E109" s="27">
        <f>'Por Valoracion (3) Dimension 2'!B109</f>
        <v>43</v>
      </c>
      <c r="Z109" s="26"/>
      <c r="AB109" s="34"/>
      <c r="AD109" s="53" t="str">
        <f>('Gestión de abastecimiento'!A110)</f>
        <v>Beneficiaros 106</v>
      </c>
      <c r="AE109" s="27">
        <f>'Por Valoracion (3) Dimension'!D109</f>
        <v>29</v>
      </c>
      <c r="AF109" s="27">
        <f>'Por Valoracion (3) Dimension 2'!B109</f>
        <v>43</v>
      </c>
      <c r="BA109" s="34"/>
      <c r="BC109" s="35"/>
      <c r="BE109" s="53" t="str">
        <f>('Gestión de abastecimiento'!A110)</f>
        <v>Beneficiaros 106</v>
      </c>
      <c r="BF109" s="27">
        <f>'Por Valoracion (3) Dimension'!F109</f>
        <v>30</v>
      </c>
      <c r="BG109" s="27">
        <f>'Por Valoracion (3) Dimension 2'!B109</f>
        <v>43</v>
      </c>
      <c r="CB109" s="35"/>
    </row>
    <row r="110" spans="1:80" x14ac:dyDescent="0.25">
      <c r="A110" s="26"/>
      <c r="C110" s="53" t="str">
        <f>('Gestión de abastecimiento'!A111)</f>
        <v>Beneficiaros 107</v>
      </c>
      <c r="D110" s="27">
        <f>'Por Valoracion (3) Dimension'!B110</f>
        <v>20</v>
      </c>
      <c r="E110" s="27">
        <f>'Por Valoracion (3) Dimension 2'!B110</f>
        <v>30</v>
      </c>
      <c r="Z110" s="26"/>
      <c r="AB110" s="34"/>
      <c r="AD110" s="53" t="str">
        <f>('Gestión de abastecimiento'!A111)</f>
        <v>Beneficiaros 107</v>
      </c>
      <c r="AE110" s="27">
        <f>'Por Valoracion (3) Dimension'!D110</f>
        <v>20</v>
      </c>
      <c r="AF110" s="27">
        <f>'Por Valoracion (3) Dimension 2'!B110</f>
        <v>30</v>
      </c>
      <c r="BA110" s="34"/>
      <c r="BC110" s="35"/>
      <c r="BE110" s="53" t="str">
        <f>('Gestión de abastecimiento'!A111)</f>
        <v>Beneficiaros 107</v>
      </c>
      <c r="BF110" s="27">
        <f>'Por Valoracion (3) Dimension'!F110</f>
        <v>19</v>
      </c>
      <c r="BG110" s="27">
        <f>'Por Valoracion (3) Dimension 2'!B110</f>
        <v>30</v>
      </c>
      <c r="CB110" s="35"/>
    </row>
    <row r="111" spans="1:80" x14ac:dyDescent="0.25">
      <c r="A111" s="26"/>
      <c r="C111" s="53" t="str">
        <f>('Gestión de abastecimiento'!A112)</f>
        <v>Beneficiaros 108</v>
      </c>
      <c r="D111" s="27">
        <f>'Por Valoracion (3) Dimension'!B111</f>
        <v>19</v>
      </c>
      <c r="E111" s="27">
        <f>'Por Valoracion (3) Dimension 2'!B111</f>
        <v>27</v>
      </c>
      <c r="Z111" s="26"/>
      <c r="AB111" s="34"/>
      <c r="AD111" s="53" t="str">
        <f>('Gestión de abastecimiento'!A112)</f>
        <v>Beneficiaros 108</v>
      </c>
      <c r="AE111" s="27">
        <f>'Por Valoracion (3) Dimension'!D111</f>
        <v>18</v>
      </c>
      <c r="AF111" s="27">
        <f>'Por Valoracion (3) Dimension 2'!B111</f>
        <v>27</v>
      </c>
      <c r="BA111" s="34"/>
      <c r="BC111" s="35"/>
      <c r="BE111" s="53" t="str">
        <f>('Gestión de abastecimiento'!A112)</f>
        <v>Beneficiaros 108</v>
      </c>
      <c r="BF111" s="27">
        <f>'Por Valoracion (3) Dimension'!F111</f>
        <v>18</v>
      </c>
      <c r="BG111" s="27">
        <f>'Por Valoracion (3) Dimension 2'!B111</f>
        <v>27</v>
      </c>
      <c r="CB111" s="35"/>
    </row>
    <row r="112" spans="1:80" x14ac:dyDescent="0.25">
      <c r="A112" s="26"/>
      <c r="C112" s="53" t="str">
        <f>('Gestión de abastecimiento'!A113)</f>
        <v>Beneficiaros 109</v>
      </c>
      <c r="D112" s="27">
        <f>'Por Valoracion (3) Dimension'!B112</f>
        <v>20</v>
      </c>
      <c r="E112" s="27">
        <f>'Por Valoracion (3) Dimension 2'!B112</f>
        <v>31</v>
      </c>
      <c r="Z112" s="26"/>
      <c r="AB112" s="34"/>
      <c r="AD112" s="53" t="str">
        <f>('Gestión de abastecimiento'!A113)</f>
        <v>Beneficiaros 109</v>
      </c>
      <c r="AE112" s="27">
        <f>'Por Valoracion (3) Dimension'!D112</f>
        <v>21</v>
      </c>
      <c r="AF112" s="27">
        <f>'Por Valoracion (3) Dimension 2'!B112</f>
        <v>31</v>
      </c>
      <c r="BA112" s="34"/>
      <c r="BC112" s="35"/>
      <c r="BE112" s="53" t="str">
        <f>('Gestión de abastecimiento'!A113)</f>
        <v>Beneficiaros 109</v>
      </c>
      <c r="BF112" s="27">
        <f>'Por Valoracion (3) Dimension'!F112</f>
        <v>21</v>
      </c>
      <c r="BG112" s="27">
        <f>'Por Valoracion (3) Dimension 2'!B112</f>
        <v>31</v>
      </c>
      <c r="CB112" s="35"/>
    </row>
    <row r="113" spans="1:80" x14ac:dyDescent="0.25">
      <c r="A113" s="26"/>
      <c r="C113" s="53" t="str">
        <f>('Gestión de abastecimiento'!A114)</f>
        <v>Beneficiaros 110</v>
      </c>
      <c r="D113" s="27">
        <f>'Por Valoracion (3) Dimension'!B113</f>
        <v>19</v>
      </c>
      <c r="E113" s="27">
        <f>'Por Valoracion (3) Dimension 2'!B113</f>
        <v>28</v>
      </c>
      <c r="Z113" s="26"/>
      <c r="AB113" s="34"/>
      <c r="AD113" s="53" t="str">
        <f>('Gestión de abastecimiento'!A114)</f>
        <v>Beneficiaros 110</v>
      </c>
      <c r="AE113" s="27">
        <f>'Por Valoracion (3) Dimension'!D113</f>
        <v>20</v>
      </c>
      <c r="AF113" s="27">
        <f>'Por Valoracion (3) Dimension 2'!B113</f>
        <v>28</v>
      </c>
      <c r="BA113" s="34"/>
      <c r="BC113" s="35"/>
      <c r="BE113" s="53" t="str">
        <f>('Gestión de abastecimiento'!A114)</f>
        <v>Beneficiaros 110</v>
      </c>
      <c r="BF113" s="27">
        <f>'Por Valoracion (3) Dimension'!F113</f>
        <v>18</v>
      </c>
      <c r="BG113" s="27">
        <f>'Por Valoracion (3) Dimension 2'!B113</f>
        <v>28</v>
      </c>
      <c r="CB113" s="35"/>
    </row>
    <row r="114" spans="1:80" x14ac:dyDescent="0.25">
      <c r="A114" s="26"/>
      <c r="C114" s="53" t="str">
        <f>('Gestión de abastecimiento'!A115)</f>
        <v>Beneficiaros 111</v>
      </c>
      <c r="D114" s="27">
        <f>'Por Valoracion (3) Dimension'!B114</f>
        <v>18</v>
      </c>
      <c r="E114" s="27">
        <f>'Por Valoracion (3) Dimension 2'!B114</f>
        <v>24</v>
      </c>
      <c r="Z114" s="26"/>
      <c r="AB114" s="34"/>
      <c r="AD114" s="53" t="str">
        <f>('Gestión de abastecimiento'!A115)</f>
        <v>Beneficiaros 111</v>
      </c>
      <c r="AE114" s="27">
        <f>'Por Valoracion (3) Dimension'!D114</f>
        <v>17</v>
      </c>
      <c r="AF114" s="27">
        <f>'Por Valoracion (3) Dimension 2'!B114</f>
        <v>24</v>
      </c>
      <c r="BA114" s="34"/>
      <c r="BC114" s="35"/>
      <c r="BE114" s="53" t="str">
        <f>('Gestión de abastecimiento'!A115)</f>
        <v>Beneficiaros 111</v>
      </c>
      <c r="BF114" s="27">
        <f>'Por Valoracion (3) Dimension'!F114</f>
        <v>16</v>
      </c>
      <c r="BG114" s="27">
        <f>'Por Valoracion (3) Dimension 2'!B114</f>
        <v>24</v>
      </c>
      <c r="CB114" s="35"/>
    </row>
    <row r="115" spans="1:80" x14ac:dyDescent="0.25">
      <c r="A115" s="26"/>
      <c r="C115" s="53" t="str">
        <f>('Gestión de abastecimiento'!A116)</f>
        <v>Beneficiaros 112</v>
      </c>
      <c r="D115" s="27">
        <f>'Por Valoracion (3) Dimension'!B115</f>
        <v>21</v>
      </c>
      <c r="E115" s="27">
        <f>'Por Valoracion (3) Dimension 2'!B115</f>
        <v>30</v>
      </c>
      <c r="Z115" s="26"/>
      <c r="AB115" s="34"/>
      <c r="AD115" s="53" t="str">
        <f>('Gestión de abastecimiento'!A116)</f>
        <v>Beneficiaros 112</v>
      </c>
      <c r="AE115" s="27">
        <f>'Por Valoracion (3) Dimension'!D115</f>
        <v>22</v>
      </c>
      <c r="AF115" s="27">
        <f>'Por Valoracion (3) Dimension 2'!B115</f>
        <v>30</v>
      </c>
      <c r="BA115" s="34"/>
      <c r="BC115" s="35"/>
      <c r="BE115" s="53" t="str">
        <f>('Gestión de abastecimiento'!A116)</f>
        <v>Beneficiaros 112</v>
      </c>
      <c r="BF115" s="27">
        <f>'Por Valoracion (3) Dimension'!F115</f>
        <v>18</v>
      </c>
      <c r="BG115" s="27">
        <f>'Por Valoracion (3) Dimension 2'!B115</f>
        <v>30</v>
      </c>
      <c r="CB115" s="35"/>
    </row>
    <row r="116" spans="1:80" x14ac:dyDescent="0.25">
      <c r="A116" s="26"/>
      <c r="C116" s="53" t="str">
        <f>('Gestión de abastecimiento'!A117)</f>
        <v>Beneficiaros 113</v>
      </c>
      <c r="D116" s="27">
        <f>'Por Valoracion (3) Dimension'!B116</f>
        <v>23</v>
      </c>
      <c r="E116" s="27">
        <f>'Por Valoracion (3) Dimension 2'!B116</f>
        <v>31</v>
      </c>
      <c r="Z116" s="26"/>
      <c r="AB116" s="34"/>
      <c r="AD116" s="53" t="str">
        <f>('Gestión de abastecimiento'!A117)</f>
        <v>Beneficiaros 113</v>
      </c>
      <c r="AE116" s="27">
        <f>'Por Valoracion (3) Dimension'!D116</f>
        <v>22</v>
      </c>
      <c r="AF116" s="27">
        <f>'Por Valoracion (3) Dimension 2'!B116</f>
        <v>31</v>
      </c>
      <c r="BA116" s="34"/>
      <c r="BC116" s="35"/>
      <c r="BE116" s="53" t="str">
        <f>('Gestión de abastecimiento'!A117)</f>
        <v>Beneficiaros 113</v>
      </c>
      <c r="BF116" s="27">
        <f>'Por Valoracion (3) Dimension'!F116</f>
        <v>23</v>
      </c>
      <c r="BG116" s="27">
        <f>'Por Valoracion (3) Dimension 2'!B116</f>
        <v>31</v>
      </c>
      <c r="CB116" s="35"/>
    </row>
    <row r="117" spans="1:80" x14ac:dyDescent="0.25">
      <c r="A117" s="26"/>
      <c r="C117" s="53" t="str">
        <f>('Gestión de abastecimiento'!A118)</f>
        <v>Beneficiaros 114</v>
      </c>
      <c r="D117" s="27">
        <f>'Por Valoracion (3) Dimension'!B117</f>
        <v>19</v>
      </c>
      <c r="E117" s="27">
        <f>'Por Valoracion (3) Dimension 2'!B117</f>
        <v>30</v>
      </c>
      <c r="Z117" s="26"/>
      <c r="AB117" s="34"/>
      <c r="AD117" s="53" t="str">
        <f>('Gestión de abastecimiento'!A118)</f>
        <v>Beneficiaros 114</v>
      </c>
      <c r="AE117" s="27">
        <f>'Por Valoracion (3) Dimension'!D117</f>
        <v>18</v>
      </c>
      <c r="AF117" s="27">
        <f>'Por Valoracion (3) Dimension 2'!B117</f>
        <v>30</v>
      </c>
      <c r="BA117" s="34"/>
      <c r="BC117" s="35"/>
      <c r="BE117" s="53" t="str">
        <f>('Gestión de abastecimiento'!A118)</f>
        <v>Beneficiaros 114</v>
      </c>
      <c r="BF117" s="27">
        <f>'Por Valoracion (3) Dimension'!F117</f>
        <v>18</v>
      </c>
      <c r="BG117" s="27">
        <f>'Por Valoracion (3) Dimension 2'!B117</f>
        <v>30</v>
      </c>
      <c r="CB117" s="35"/>
    </row>
    <row r="118" spans="1:80" x14ac:dyDescent="0.25">
      <c r="A118" s="26"/>
      <c r="C118" s="53" t="str">
        <f>('Gestión de abastecimiento'!A119)</f>
        <v>Beneficiaros 115</v>
      </c>
      <c r="D118" s="27">
        <f>'Por Valoracion (3) Dimension'!B118</f>
        <v>17</v>
      </c>
      <c r="E118" s="27">
        <f>'Por Valoracion (3) Dimension 2'!B118</f>
        <v>23</v>
      </c>
      <c r="Z118" s="26"/>
      <c r="AB118" s="34"/>
      <c r="AD118" s="53" t="str">
        <f>('Gestión de abastecimiento'!A119)</f>
        <v>Beneficiaros 115</v>
      </c>
      <c r="AE118" s="27">
        <f>'Por Valoracion (3) Dimension'!D118</f>
        <v>14</v>
      </c>
      <c r="AF118" s="27">
        <f>'Por Valoracion (3) Dimension 2'!B118</f>
        <v>23</v>
      </c>
      <c r="BA118" s="34"/>
      <c r="BC118" s="35"/>
      <c r="BE118" s="53" t="str">
        <f>('Gestión de abastecimiento'!A119)</f>
        <v>Beneficiaros 115</v>
      </c>
      <c r="BF118" s="27">
        <f>'Por Valoracion (3) Dimension'!F118</f>
        <v>13</v>
      </c>
      <c r="BG118" s="27">
        <f>'Por Valoracion (3) Dimension 2'!B118</f>
        <v>23</v>
      </c>
      <c r="CB118" s="35"/>
    </row>
    <row r="119" spans="1:80" x14ac:dyDescent="0.25">
      <c r="A119" s="26"/>
      <c r="C119" s="53" t="str">
        <f>('Gestión de abastecimiento'!A120)</f>
        <v>Beneficiaros 116</v>
      </c>
      <c r="D119" s="27">
        <f>'Por Valoracion (3) Dimension'!B119</f>
        <v>24</v>
      </c>
      <c r="E119" s="27">
        <f>'Por Valoracion (3) Dimension 2'!B119</f>
        <v>36</v>
      </c>
      <c r="Z119" s="26"/>
      <c r="AB119" s="34"/>
      <c r="AD119" s="53" t="str">
        <f>('Gestión de abastecimiento'!A120)</f>
        <v>Beneficiaros 116</v>
      </c>
      <c r="AE119" s="27">
        <f>'Por Valoracion (3) Dimension'!D119</f>
        <v>24</v>
      </c>
      <c r="AF119" s="27">
        <f>'Por Valoracion (3) Dimension 2'!B119</f>
        <v>36</v>
      </c>
      <c r="BA119" s="34"/>
      <c r="BC119" s="35"/>
      <c r="BE119" s="53" t="str">
        <f>('Gestión de abastecimiento'!A120)</f>
        <v>Beneficiaros 116</v>
      </c>
      <c r="BF119" s="27">
        <f>'Por Valoracion (3) Dimension'!F119</f>
        <v>24</v>
      </c>
      <c r="BG119" s="27">
        <f>'Por Valoracion (3) Dimension 2'!B119</f>
        <v>36</v>
      </c>
      <c r="CB119" s="35"/>
    </row>
    <row r="120" spans="1:80" x14ac:dyDescent="0.25">
      <c r="A120" s="26"/>
      <c r="C120" s="53" t="str">
        <f>('Gestión de abastecimiento'!A121)</f>
        <v>Beneficiaros 117</v>
      </c>
      <c r="D120" s="27">
        <f>'Por Valoracion (3) Dimension'!B120</f>
        <v>18</v>
      </c>
      <c r="E120" s="27">
        <f>'Por Valoracion (3) Dimension 2'!B120</f>
        <v>27</v>
      </c>
      <c r="Z120" s="26"/>
      <c r="AB120" s="34"/>
      <c r="AD120" s="53" t="str">
        <f>('Gestión de abastecimiento'!A121)</f>
        <v>Beneficiaros 117</v>
      </c>
      <c r="AE120" s="27">
        <f>'Por Valoracion (3) Dimension'!D120</f>
        <v>18</v>
      </c>
      <c r="AF120" s="27">
        <f>'Por Valoracion (3) Dimension 2'!B120</f>
        <v>27</v>
      </c>
      <c r="BA120" s="34"/>
      <c r="BC120" s="35"/>
      <c r="BE120" s="53" t="str">
        <f>('Gestión de abastecimiento'!A121)</f>
        <v>Beneficiaros 117</v>
      </c>
      <c r="BF120" s="27">
        <f>'Por Valoracion (3) Dimension'!F120</f>
        <v>17</v>
      </c>
      <c r="BG120" s="27">
        <f>'Por Valoracion (3) Dimension 2'!B120</f>
        <v>27</v>
      </c>
      <c r="CB120" s="35"/>
    </row>
    <row r="121" spans="1:80" x14ac:dyDescent="0.25">
      <c r="A121" s="26"/>
      <c r="C121" s="53" t="str">
        <f>('Gestión de abastecimiento'!A122)</f>
        <v>Beneficiaros 118</v>
      </c>
      <c r="D121" s="27">
        <f>'Por Valoracion (3) Dimension'!B121</f>
        <v>24</v>
      </c>
      <c r="E121" s="27">
        <f>'Por Valoracion (3) Dimension 2'!B121</f>
        <v>36</v>
      </c>
      <c r="Z121" s="26"/>
      <c r="AB121" s="34"/>
      <c r="AD121" s="53" t="str">
        <f>('Gestión de abastecimiento'!A122)</f>
        <v>Beneficiaros 118</v>
      </c>
      <c r="AE121" s="27">
        <f>'Por Valoracion (3) Dimension'!D121</f>
        <v>24</v>
      </c>
      <c r="AF121" s="27">
        <f>'Por Valoracion (3) Dimension 2'!B121</f>
        <v>36</v>
      </c>
      <c r="BA121" s="34"/>
      <c r="BC121" s="35"/>
      <c r="BE121" s="53" t="str">
        <f>('Gestión de abastecimiento'!A122)</f>
        <v>Beneficiaros 118</v>
      </c>
      <c r="BF121" s="27">
        <f>'Por Valoracion (3) Dimension'!F121</f>
        <v>23</v>
      </c>
      <c r="BG121" s="27">
        <f>'Por Valoracion (3) Dimension 2'!B121</f>
        <v>36</v>
      </c>
      <c r="CB121" s="35"/>
    </row>
    <row r="122" spans="1:80" x14ac:dyDescent="0.25">
      <c r="A122" s="26"/>
      <c r="C122" s="53" t="str">
        <f>('Gestión de abastecimiento'!A123)</f>
        <v>Beneficiaros 119</v>
      </c>
      <c r="D122" s="27">
        <f>'Por Valoracion (3) Dimension'!B122</f>
        <v>12</v>
      </c>
      <c r="E122" s="27">
        <f>'Por Valoracion (3) Dimension 2'!B122</f>
        <v>17</v>
      </c>
      <c r="Z122" s="26"/>
      <c r="AB122" s="34"/>
      <c r="AD122" s="53" t="str">
        <f>('Gestión de abastecimiento'!A123)</f>
        <v>Beneficiaros 119</v>
      </c>
      <c r="AE122" s="27">
        <f>'Por Valoracion (3) Dimension'!D122</f>
        <v>12</v>
      </c>
      <c r="AF122" s="27">
        <f>'Por Valoracion (3) Dimension 2'!B122</f>
        <v>17</v>
      </c>
      <c r="BA122" s="34"/>
      <c r="BC122" s="35"/>
      <c r="BE122" s="53" t="str">
        <f>('Gestión de abastecimiento'!A123)</f>
        <v>Beneficiaros 119</v>
      </c>
      <c r="BF122" s="27">
        <f>'Por Valoracion (3) Dimension'!F122</f>
        <v>12</v>
      </c>
      <c r="BG122" s="27">
        <f>'Por Valoracion (3) Dimension 2'!B122</f>
        <v>17</v>
      </c>
      <c r="CB122" s="35"/>
    </row>
    <row r="123" spans="1:80" x14ac:dyDescent="0.25">
      <c r="A123" s="26"/>
      <c r="C123" s="53" t="str">
        <f>('Gestión de abastecimiento'!A124)</f>
        <v>Beneficiaros 120</v>
      </c>
      <c r="D123" s="27">
        <f>'Por Valoracion (3) Dimension'!B123</f>
        <v>20</v>
      </c>
      <c r="E123" s="27">
        <f>'Por Valoracion (3) Dimension 2'!B123</f>
        <v>27</v>
      </c>
      <c r="Z123" s="26"/>
      <c r="AB123" s="34"/>
      <c r="AD123" s="53" t="str">
        <f>('Gestión de abastecimiento'!A124)</f>
        <v>Beneficiaros 120</v>
      </c>
      <c r="AE123" s="27">
        <f>'Por Valoracion (3) Dimension'!D123</f>
        <v>18</v>
      </c>
      <c r="AF123" s="27">
        <f>'Por Valoracion (3) Dimension 2'!B123</f>
        <v>27</v>
      </c>
      <c r="BA123" s="34"/>
      <c r="BC123" s="35"/>
      <c r="BE123" s="53" t="str">
        <f>('Gestión de abastecimiento'!A124)</f>
        <v>Beneficiaros 120</v>
      </c>
      <c r="BF123" s="27">
        <f>'Por Valoracion (3) Dimension'!F123</f>
        <v>20</v>
      </c>
      <c r="BG123" s="27">
        <f>'Por Valoracion (3) Dimension 2'!B123</f>
        <v>27</v>
      </c>
      <c r="CB123" s="35"/>
    </row>
    <row r="124" spans="1:80" x14ac:dyDescent="0.25">
      <c r="A124" s="26"/>
      <c r="C124" s="53" t="str">
        <f>('Gestión de abastecimiento'!A125)</f>
        <v>Beneficiaros 121</v>
      </c>
      <c r="D124" s="27">
        <f>'Por Valoracion (3) Dimension'!B124</f>
        <v>18</v>
      </c>
      <c r="E124" s="27">
        <f>'Por Valoracion (3) Dimension 2'!B124</f>
        <v>28</v>
      </c>
      <c r="Z124" s="26"/>
      <c r="AB124" s="34"/>
      <c r="AD124" s="53" t="str">
        <f>('Gestión de abastecimiento'!A125)</f>
        <v>Beneficiaros 121</v>
      </c>
      <c r="AE124" s="27">
        <f>'Por Valoracion (3) Dimension'!D124</f>
        <v>19</v>
      </c>
      <c r="AF124" s="27">
        <f>'Por Valoracion (3) Dimension 2'!B124</f>
        <v>28</v>
      </c>
      <c r="BA124" s="34"/>
      <c r="BC124" s="35"/>
      <c r="BE124" s="53" t="str">
        <f>('Gestión de abastecimiento'!A125)</f>
        <v>Beneficiaros 121</v>
      </c>
      <c r="BF124" s="27">
        <f>'Por Valoracion (3) Dimension'!F124</f>
        <v>18</v>
      </c>
      <c r="BG124" s="27">
        <f>'Por Valoracion (3) Dimension 2'!B124</f>
        <v>28</v>
      </c>
      <c r="CB124" s="35"/>
    </row>
    <row r="125" spans="1:80" x14ac:dyDescent="0.25">
      <c r="A125" s="26"/>
      <c r="C125" s="53" t="str">
        <f>('Gestión de abastecimiento'!A126)</f>
        <v>Beneficiaros 122</v>
      </c>
      <c r="D125" s="27">
        <f>'Por Valoracion (3) Dimension'!B125</f>
        <v>24</v>
      </c>
      <c r="E125" s="27">
        <f>'Por Valoracion (3) Dimension 2'!B125</f>
        <v>34</v>
      </c>
      <c r="Z125" s="26"/>
      <c r="AB125" s="34"/>
      <c r="AD125" s="53" t="str">
        <f>('Gestión de abastecimiento'!A126)</f>
        <v>Beneficiaros 122</v>
      </c>
      <c r="AE125" s="27">
        <f>'Por Valoracion (3) Dimension'!D125</f>
        <v>24</v>
      </c>
      <c r="AF125" s="27">
        <f>'Por Valoracion (3) Dimension 2'!B125</f>
        <v>34</v>
      </c>
      <c r="BA125" s="34"/>
      <c r="BC125" s="35"/>
      <c r="BE125" s="53" t="str">
        <f>('Gestión de abastecimiento'!A126)</f>
        <v>Beneficiaros 122</v>
      </c>
      <c r="BF125" s="27">
        <f>'Por Valoracion (3) Dimension'!F125</f>
        <v>22</v>
      </c>
      <c r="BG125" s="27">
        <f>'Por Valoracion (3) Dimension 2'!B125</f>
        <v>34</v>
      </c>
      <c r="CB125" s="35"/>
    </row>
    <row r="126" spans="1:80" x14ac:dyDescent="0.25">
      <c r="A126" s="26"/>
      <c r="C126" s="53" t="str">
        <f>('Gestión de abastecimiento'!A127)</f>
        <v>Beneficiaros 123</v>
      </c>
      <c r="D126" s="27">
        <f>'Por Valoracion (3) Dimension'!B126</f>
        <v>18</v>
      </c>
      <c r="E126" s="27">
        <f>'Por Valoracion (3) Dimension 2'!B126</f>
        <v>27</v>
      </c>
      <c r="Z126" s="26"/>
      <c r="AB126" s="34"/>
      <c r="AD126" s="53" t="str">
        <f>('Gestión de abastecimiento'!A127)</f>
        <v>Beneficiaros 123</v>
      </c>
      <c r="AE126" s="27">
        <f>'Por Valoracion (3) Dimension'!D126</f>
        <v>18</v>
      </c>
      <c r="AF126" s="27">
        <f>'Por Valoracion (3) Dimension 2'!B126</f>
        <v>27</v>
      </c>
      <c r="BA126" s="34"/>
      <c r="BC126" s="35"/>
      <c r="BE126" s="53" t="str">
        <f>('Gestión de abastecimiento'!A127)</f>
        <v>Beneficiaros 123</v>
      </c>
      <c r="BF126" s="27">
        <f>'Por Valoracion (3) Dimension'!F126</f>
        <v>18</v>
      </c>
      <c r="BG126" s="27">
        <f>'Por Valoracion (3) Dimension 2'!B126</f>
        <v>27</v>
      </c>
      <c r="CB126" s="35"/>
    </row>
    <row r="127" spans="1:80" x14ac:dyDescent="0.25">
      <c r="A127" s="26"/>
      <c r="C127" s="53" t="str">
        <f>('Gestión de abastecimiento'!A128)</f>
        <v>Beneficiaros 124</v>
      </c>
      <c r="D127" s="27">
        <f>'Por Valoracion (3) Dimension'!B127</f>
        <v>24</v>
      </c>
      <c r="E127" s="27">
        <f>'Por Valoracion (3) Dimension 2'!B127</f>
        <v>35</v>
      </c>
      <c r="Z127" s="26"/>
      <c r="AB127" s="34"/>
      <c r="AD127" s="53" t="str">
        <f>('Gestión de abastecimiento'!A128)</f>
        <v>Beneficiaros 124</v>
      </c>
      <c r="AE127" s="27">
        <f>'Por Valoracion (3) Dimension'!D127</f>
        <v>22</v>
      </c>
      <c r="AF127" s="27">
        <f>'Por Valoracion (3) Dimension 2'!B127</f>
        <v>35</v>
      </c>
      <c r="BA127" s="34"/>
      <c r="BC127" s="35"/>
      <c r="BE127" s="53" t="str">
        <f>('Gestión de abastecimiento'!A128)</f>
        <v>Beneficiaros 124</v>
      </c>
      <c r="BF127" s="27">
        <f>'Por Valoracion (3) Dimension'!F127</f>
        <v>24</v>
      </c>
      <c r="BG127" s="27">
        <f>'Por Valoracion (3) Dimension 2'!B127</f>
        <v>35</v>
      </c>
      <c r="CB127" s="35"/>
    </row>
    <row r="128" spans="1:80" x14ac:dyDescent="0.25">
      <c r="A128" s="26"/>
      <c r="C128" s="53" t="str">
        <f>('Gestión de abastecimiento'!A129)</f>
        <v>Beneficiaros 125</v>
      </c>
      <c r="D128" s="27">
        <f>'Por Valoracion (3) Dimension'!B128</f>
        <v>15</v>
      </c>
      <c r="E128" s="27">
        <f>'Por Valoracion (3) Dimension 2'!B128</f>
        <v>25</v>
      </c>
      <c r="Z128" s="26"/>
      <c r="AB128" s="34"/>
      <c r="AD128" s="53" t="str">
        <f>('Gestión de abastecimiento'!A129)</f>
        <v>Beneficiaros 125</v>
      </c>
      <c r="AE128" s="27">
        <f>'Por Valoracion (3) Dimension'!D128</f>
        <v>18</v>
      </c>
      <c r="AF128" s="27">
        <f>'Por Valoracion (3) Dimension 2'!B128</f>
        <v>25</v>
      </c>
      <c r="BA128" s="34"/>
      <c r="BC128" s="35"/>
      <c r="BE128" s="53" t="str">
        <f>('Gestión de abastecimiento'!A129)</f>
        <v>Beneficiaros 125</v>
      </c>
      <c r="BF128" s="27">
        <f>'Por Valoracion (3) Dimension'!F128</f>
        <v>15</v>
      </c>
      <c r="BG128" s="27">
        <f>'Por Valoracion (3) Dimension 2'!B128</f>
        <v>25</v>
      </c>
      <c r="CB128" s="35"/>
    </row>
    <row r="129" spans="1:80" x14ac:dyDescent="0.25">
      <c r="A129" s="26"/>
      <c r="C129" s="53" t="str">
        <f>('Gestión de abastecimiento'!A130)</f>
        <v>Beneficiaros 126</v>
      </c>
      <c r="D129" s="27">
        <f>'Por Valoracion (3) Dimension'!B129</f>
        <v>16</v>
      </c>
      <c r="E129" s="27">
        <f>'Por Valoracion (3) Dimension 2'!B129</f>
        <v>24</v>
      </c>
      <c r="Z129" s="26"/>
      <c r="AB129" s="34"/>
      <c r="AD129" s="53" t="str">
        <f>('Gestión de abastecimiento'!A130)</f>
        <v>Beneficiaros 126</v>
      </c>
      <c r="AE129" s="27">
        <f>'Por Valoracion (3) Dimension'!D129</f>
        <v>17</v>
      </c>
      <c r="AF129" s="27">
        <f>'Por Valoracion (3) Dimension 2'!B129</f>
        <v>24</v>
      </c>
      <c r="BA129" s="34"/>
      <c r="BC129" s="35"/>
      <c r="BE129" s="53" t="str">
        <f>('Gestión de abastecimiento'!A130)</f>
        <v>Beneficiaros 126</v>
      </c>
      <c r="BF129" s="27">
        <f>'Por Valoracion (3) Dimension'!F129</f>
        <v>13</v>
      </c>
      <c r="BG129" s="27">
        <f>'Por Valoracion (3) Dimension 2'!B129</f>
        <v>24</v>
      </c>
      <c r="CB129" s="35"/>
    </row>
    <row r="130" spans="1:80" x14ac:dyDescent="0.25">
      <c r="A130" s="26"/>
      <c r="C130" s="53" t="str">
        <f>('Gestión de abastecimiento'!A131)</f>
        <v>Beneficiaros 127</v>
      </c>
      <c r="D130" s="27">
        <f>'Por Valoracion (3) Dimension'!B130</f>
        <v>14</v>
      </c>
      <c r="E130" s="27">
        <f>'Por Valoracion (3) Dimension 2'!B130</f>
        <v>20</v>
      </c>
      <c r="Z130" s="26"/>
      <c r="AB130" s="34"/>
      <c r="AD130" s="53" t="str">
        <f>('Gestión de abastecimiento'!A131)</f>
        <v>Beneficiaros 127</v>
      </c>
      <c r="AE130" s="27">
        <f>'Por Valoracion (3) Dimension'!D130</f>
        <v>12</v>
      </c>
      <c r="AF130" s="27">
        <f>'Por Valoracion (3) Dimension 2'!B130</f>
        <v>20</v>
      </c>
      <c r="BA130" s="34"/>
      <c r="BC130" s="35"/>
      <c r="BE130" s="53" t="str">
        <f>('Gestión de abastecimiento'!A131)</f>
        <v>Beneficiaros 127</v>
      </c>
      <c r="BF130" s="27">
        <f>'Por Valoracion (3) Dimension'!F130</f>
        <v>12</v>
      </c>
      <c r="BG130" s="27">
        <f>'Por Valoracion (3) Dimension 2'!B130</f>
        <v>20</v>
      </c>
      <c r="CB130" s="35"/>
    </row>
    <row r="131" spans="1:80" x14ac:dyDescent="0.25">
      <c r="A131" s="26"/>
      <c r="C131" s="53" t="str">
        <f>('Gestión de abastecimiento'!A132)</f>
        <v>Beneficiaros 128</v>
      </c>
      <c r="D131" s="27">
        <f>'Por Valoracion (3) Dimension'!B131</f>
        <v>14</v>
      </c>
      <c r="E131" s="27">
        <f>'Por Valoracion (3) Dimension 2'!B131</f>
        <v>23</v>
      </c>
      <c r="Z131" s="26"/>
      <c r="AB131" s="34"/>
      <c r="AD131" s="53" t="str">
        <f>('Gestión de abastecimiento'!A132)</f>
        <v>Beneficiaros 128</v>
      </c>
      <c r="AE131" s="27">
        <f>'Por Valoracion (3) Dimension'!D131</f>
        <v>16</v>
      </c>
      <c r="AF131" s="27">
        <f>'Por Valoracion (3) Dimension 2'!B131</f>
        <v>23</v>
      </c>
      <c r="BA131" s="34"/>
      <c r="BC131" s="35"/>
      <c r="BE131" s="53" t="str">
        <f>('Gestión de abastecimiento'!A132)</f>
        <v>Beneficiaros 128</v>
      </c>
      <c r="BF131" s="27">
        <f>'Por Valoracion (3) Dimension'!F131</f>
        <v>16</v>
      </c>
      <c r="BG131" s="27">
        <f>'Por Valoracion (3) Dimension 2'!B131</f>
        <v>23</v>
      </c>
      <c r="CB131" s="35"/>
    </row>
    <row r="132" spans="1:80" x14ac:dyDescent="0.25">
      <c r="A132" s="26"/>
      <c r="C132" s="53" t="str">
        <f>('Gestión de abastecimiento'!A133)</f>
        <v>Beneficiaros 129</v>
      </c>
      <c r="D132" s="27">
        <f>'Por Valoracion (3) Dimension'!B132</f>
        <v>17</v>
      </c>
      <c r="E132" s="27">
        <f>'Por Valoracion (3) Dimension 2'!B132</f>
        <v>24</v>
      </c>
      <c r="Z132" s="26"/>
      <c r="AB132" s="34"/>
      <c r="AD132" s="53" t="str">
        <f>('Gestión de abastecimiento'!A133)</f>
        <v>Beneficiaros 129</v>
      </c>
      <c r="AE132" s="27">
        <f>'Por Valoracion (3) Dimension'!D132</f>
        <v>13</v>
      </c>
      <c r="AF132" s="27">
        <f>'Por Valoracion (3) Dimension 2'!B132</f>
        <v>24</v>
      </c>
      <c r="BA132" s="34"/>
      <c r="BC132" s="35"/>
      <c r="BE132" s="53" t="str">
        <f>('Gestión de abastecimiento'!A133)</f>
        <v>Beneficiaros 129</v>
      </c>
      <c r="BF132" s="27">
        <f>'Por Valoracion (3) Dimension'!F132</f>
        <v>13</v>
      </c>
      <c r="BG132" s="27">
        <f>'Por Valoracion (3) Dimension 2'!B132</f>
        <v>24</v>
      </c>
      <c r="CB132" s="35"/>
    </row>
    <row r="133" spans="1:80" x14ac:dyDescent="0.25">
      <c r="A133" s="26"/>
      <c r="C133" s="53" t="str">
        <f>('Gestión de abastecimiento'!A134)</f>
        <v>Beneficiaros 130</v>
      </c>
      <c r="D133" s="27">
        <f>'Por Valoracion (3) Dimension'!B133</f>
        <v>12</v>
      </c>
      <c r="E133" s="27">
        <f>'Por Valoracion (3) Dimension 2'!B133</f>
        <v>20</v>
      </c>
      <c r="Z133" s="26"/>
      <c r="AB133" s="34"/>
      <c r="AD133" s="53" t="str">
        <f>('Gestión de abastecimiento'!A134)</f>
        <v>Beneficiaros 130</v>
      </c>
      <c r="AE133" s="27">
        <f>'Por Valoracion (3) Dimension'!D133</f>
        <v>13</v>
      </c>
      <c r="AF133" s="27">
        <f>'Por Valoracion (3) Dimension 2'!B133</f>
        <v>20</v>
      </c>
      <c r="BA133" s="34"/>
      <c r="BC133" s="35"/>
      <c r="BE133" s="53" t="str">
        <f>('Gestión de abastecimiento'!A134)</f>
        <v>Beneficiaros 130</v>
      </c>
      <c r="BF133" s="27">
        <f>'Por Valoracion (3) Dimension'!F133</f>
        <v>15</v>
      </c>
      <c r="BG133" s="27">
        <f>'Por Valoracion (3) Dimension 2'!B133</f>
        <v>20</v>
      </c>
      <c r="CB133" s="35"/>
    </row>
    <row r="134" spans="1:80" x14ac:dyDescent="0.25">
      <c r="A134" s="26"/>
      <c r="C134" s="53" t="str">
        <f>('Gestión de abastecimiento'!A135)</f>
        <v>Beneficiaros 131</v>
      </c>
      <c r="D134" s="27">
        <f>'Por Valoracion (3) Dimension'!B134</f>
        <v>22</v>
      </c>
      <c r="E134" s="27">
        <f>'Por Valoracion (3) Dimension 2'!B134</f>
        <v>36</v>
      </c>
      <c r="Z134" s="26"/>
      <c r="AB134" s="34"/>
      <c r="AD134" s="53" t="str">
        <f>('Gestión de abastecimiento'!A135)</f>
        <v>Beneficiaros 131</v>
      </c>
      <c r="AE134" s="27">
        <f>'Por Valoracion (3) Dimension'!D134</f>
        <v>22</v>
      </c>
      <c r="AF134" s="27">
        <f>'Por Valoracion (3) Dimension 2'!B134</f>
        <v>36</v>
      </c>
      <c r="BA134" s="34"/>
      <c r="BC134" s="35"/>
      <c r="BE134" s="53" t="str">
        <f>('Gestión de abastecimiento'!A135)</f>
        <v>Beneficiaros 131</v>
      </c>
      <c r="BF134" s="27">
        <f>'Por Valoracion (3) Dimension'!F134</f>
        <v>24</v>
      </c>
      <c r="BG134" s="27">
        <f>'Por Valoracion (3) Dimension 2'!B134</f>
        <v>36</v>
      </c>
      <c r="CB134" s="35"/>
    </row>
    <row r="135" spans="1:80" x14ac:dyDescent="0.25">
      <c r="A135" s="26"/>
      <c r="C135" s="53" t="str">
        <f>('Gestión de abastecimiento'!A136)</f>
        <v>Beneficiaros 132</v>
      </c>
      <c r="D135" s="27">
        <f>'Por Valoracion (3) Dimension'!B135</f>
        <v>12</v>
      </c>
      <c r="E135" s="27">
        <f>'Por Valoracion (3) Dimension 2'!B135</f>
        <v>19</v>
      </c>
      <c r="Z135" s="26"/>
      <c r="AB135" s="34"/>
      <c r="AD135" s="53" t="str">
        <f>('Gestión de abastecimiento'!A136)</f>
        <v>Beneficiaros 132</v>
      </c>
      <c r="AE135" s="27">
        <f>'Por Valoracion (3) Dimension'!D135</f>
        <v>13</v>
      </c>
      <c r="AF135" s="27">
        <f>'Por Valoracion (3) Dimension 2'!B135</f>
        <v>19</v>
      </c>
      <c r="BA135" s="34"/>
      <c r="BC135" s="35"/>
      <c r="BE135" s="53" t="str">
        <f>('Gestión de abastecimiento'!A136)</f>
        <v>Beneficiaros 132</v>
      </c>
      <c r="BF135" s="27">
        <f>'Por Valoracion (3) Dimension'!F135</f>
        <v>11</v>
      </c>
      <c r="BG135" s="27">
        <f>'Por Valoracion (3) Dimension 2'!B135</f>
        <v>19</v>
      </c>
      <c r="CB135" s="35"/>
    </row>
    <row r="136" spans="1:80" x14ac:dyDescent="0.25">
      <c r="A136" s="26"/>
      <c r="C136" s="53" t="str">
        <f>('Gestión de abastecimiento'!A137)</f>
        <v>Beneficiaros 133</v>
      </c>
      <c r="D136" s="27">
        <f>'Por Valoracion (3) Dimension'!B136</f>
        <v>23</v>
      </c>
      <c r="E136" s="27">
        <f>'Por Valoracion (3) Dimension 2'!B136</f>
        <v>33</v>
      </c>
      <c r="Z136" s="26"/>
      <c r="AB136" s="34"/>
      <c r="AD136" s="53" t="str">
        <f>('Gestión de abastecimiento'!A137)</f>
        <v>Beneficiaros 133</v>
      </c>
      <c r="AE136" s="27">
        <f>'Por Valoracion (3) Dimension'!D136</f>
        <v>24</v>
      </c>
      <c r="AF136" s="27">
        <f>'Por Valoracion (3) Dimension 2'!B136</f>
        <v>33</v>
      </c>
      <c r="BA136" s="34"/>
      <c r="BC136" s="35"/>
      <c r="BE136" s="53" t="str">
        <f>('Gestión de abastecimiento'!A137)</f>
        <v>Beneficiaros 133</v>
      </c>
      <c r="BF136" s="27">
        <f>'Por Valoracion (3) Dimension'!F136</f>
        <v>23</v>
      </c>
      <c r="BG136" s="27">
        <f>'Por Valoracion (3) Dimension 2'!B136</f>
        <v>33</v>
      </c>
      <c r="CB136" s="35"/>
    </row>
    <row r="137" spans="1:80" x14ac:dyDescent="0.25">
      <c r="A137" s="26"/>
      <c r="C137" s="53" t="str">
        <f>('Gestión de abastecimiento'!A138)</f>
        <v>Beneficiaros 134</v>
      </c>
      <c r="D137" s="27">
        <f>'Por Valoracion (3) Dimension'!B137</f>
        <v>24</v>
      </c>
      <c r="E137" s="27">
        <f>'Por Valoracion (3) Dimension 2'!B137</f>
        <v>35</v>
      </c>
      <c r="Z137" s="26"/>
      <c r="AB137" s="34"/>
      <c r="AD137" s="53" t="str">
        <f>('Gestión de abastecimiento'!A138)</f>
        <v>Beneficiaros 134</v>
      </c>
      <c r="AE137" s="27">
        <f>'Por Valoracion (3) Dimension'!D137</f>
        <v>24</v>
      </c>
      <c r="AF137" s="27">
        <f>'Por Valoracion (3) Dimension 2'!B137</f>
        <v>35</v>
      </c>
      <c r="BA137" s="34"/>
      <c r="BC137" s="35"/>
      <c r="BE137" s="53" t="str">
        <f>('Gestión de abastecimiento'!A138)</f>
        <v>Beneficiaros 134</v>
      </c>
      <c r="BF137" s="27">
        <f>'Por Valoracion (3) Dimension'!F137</f>
        <v>24</v>
      </c>
      <c r="BG137" s="27">
        <f>'Por Valoracion (3) Dimension 2'!B137</f>
        <v>35</v>
      </c>
      <c r="CB137" s="35"/>
    </row>
    <row r="138" spans="1:80" x14ac:dyDescent="0.25">
      <c r="A138" s="26"/>
      <c r="C138" s="53" t="str">
        <f>('Gestión de abastecimiento'!A139)</f>
        <v>Beneficiaros 135</v>
      </c>
      <c r="D138" s="27">
        <f>'Por Valoracion (3) Dimension'!B138</f>
        <v>12</v>
      </c>
      <c r="E138" s="27">
        <f>'Por Valoracion (3) Dimension 2'!B138</f>
        <v>18</v>
      </c>
      <c r="Z138" s="26"/>
      <c r="AB138" s="34"/>
      <c r="AD138" s="53" t="str">
        <f>('Gestión de abastecimiento'!A139)</f>
        <v>Beneficiaros 135</v>
      </c>
      <c r="AE138" s="27">
        <f>'Por Valoracion (3) Dimension'!D138</f>
        <v>12</v>
      </c>
      <c r="AF138" s="27">
        <f>'Por Valoracion (3) Dimension 2'!B138</f>
        <v>18</v>
      </c>
      <c r="BA138" s="34"/>
      <c r="BC138" s="35"/>
      <c r="BE138" s="53" t="str">
        <f>('Gestión de abastecimiento'!A139)</f>
        <v>Beneficiaros 135</v>
      </c>
      <c r="BF138" s="27">
        <f>'Por Valoracion (3) Dimension'!F138</f>
        <v>12</v>
      </c>
      <c r="BG138" s="27">
        <f>'Por Valoracion (3) Dimension 2'!B138</f>
        <v>18</v>
      </c>
      <c r="CB138" s="35"/>
    </row>
    <row r="139" spans="1:80" x14ac:dyDescent="0.25">
      <c r="A139" s="26"/>
      <c r="C139" s="53" t="str">
        <f>('Gestión de abastecimiento'!A140)</f>
        <v>Beneficiaros 136</v>
      </c>
      <c r="D139" s="27">
        <f>'Por Valoracion (3) Dimension'!B139</f>
        <v>17</v>
      </c>
      <c r="E139" s="27">
        <f>'Por Valoracion (3) Dimension 2'!B139</f>
        <v>23</v>
      </c>
      <c r="Z139" s="26"/>
      <c r="AB139" s="34"/>
      <c r="AD139" s="53" t="str">
        <f>('Gestión de abastecimiento'!A140)</f>
        <v>Beneficiaros 136</v>
      </c>
      <c r="AE139" s="27">
        <f>'Por Valoracion (3) Dimension'!D139</f>
        <v>12</v>
      </c>
      <c r="AF139" s="27">
        <f>'Por Valoracion (3) Dimension 2'!B139</f>
        <v>23</v>
      </c>
      <c r="BA139" s="34"/>
      <c r="BC139" s="35"/>
      <c r="BE139" s="53" t="str">
        <f>('Gestión de abastecimiento'!A140)</f>
        <v>Beneficiaros 136</v>
      </c>
      <c r="BF139" s="27">
        <f>'Por Valoracion (3) Dimension'!F139</f>
        <v>13</v>
      </c>
      <c r="BG139" s="27">
        <f>'Por Valoracion (3) Dimension 2'!B139</f>
        <v>23</v>
      </c>
      <c r="CB139" s="35"/>
    </row>
    <row r="140" spans="1:80" x14ac:dyDescent="0.25">
      <c r="A140" s="26"/>
      <c r="C140" s="53" t="str">
        <f>('Gestión de abastecimiento'!A141)</f>
        <v>Beneficiaros 137</v>
      </c>
      <c r="D140" s="27">
        <f>'Por Valoracion (3) Dimension'!B140</f>
        <v>15</v>
      </c>
      <c r="E140" s="27">
        <f>'Por Valoracion (3) Dimension 2'!B140</f>
        <v>20</v>
      </c>
      <c r="Z140" s="26"/>
      <c r="AB140" s="34"/>
      <c r="AD140" s="53" t="str">
        <f>('Gestión de abastecimiento'!A141)</f>
        <v>Beneficiaros 137</v>
      </c>
      <c r="AE140" s="27">
        <f>'Por Valoracion (3) Dimension'!D140</f>
        <v>16</v>
      </c>
      <c r="AF140" s="27">
        <f>'Por Valoracion (3) Dimension 2'!B140</f>
        <v>20</v>
      </c>
      <c r="BA140" s="34"/>
      <c r="BC140" s="35"/>
      <c r="BE140" s="53" t="str">
        <f>('Gestión de abastecimiento'!A141)</f>
        <v>Beneficiaros 137</v>
      </c>
      <c r="BF140" s="27">
        <f>'Por Valoracion (3) Dimension'!F140</f>
        <v>12</v>
      </c>
      <c r="BG140" s="27">
        <f>'Por Valoracion (3) Dimension 2'!B140</f>
        <v>20</v>
      </c>
      <c r="CB140" s="35"/>
    </row>
    <row r="141" spans="1:80" x14ac:dyDescent="0.25">
      <c r="A141" s="26"/>
      <c r="C141" s="53" t="str">
        <f>('Gestión de abastecimiento'!A142)</f>
        <v>Beneficiaros 138</v>
      </c>
      <c r="D141" s="27">
        <f>'Por Valoracion (3) Dimension'!B141</f>
        <v>15</v>
      </c>
      <c r="E141" s="27">
        <f>'Por Valoracion (3) Dimension 2'!B141</f>
        <v>18</v>
      </c>
      <c r="Z141" s="26"/>
      <c r="AB141" s="34"/>
      <c r="AD141" s="53" t="str">
        <f>('Gestión de abastecimiento'!A142)</f>
        <v>Beneficiaros 138</v>
      </c>
      <c r="AE141" s="27">
        <f>'Por Valoracion (3) Dimension'!D141</f>
        <v>12</v>
      </c>
      <c r="AF141" s="27">
        <f>'Por Valoracion (3) Dimension 2'!B141</f>
        <v>18</v>
      </c>
      <c r="BA141" s="34"/>
      <c r="BC141" s="35"/>
      <c r="BE141" s="53" t="str">
        <f>('Gestión de abastecimiento'!A142)</f>
        <v>Beneficiaros 138</v>
      </c>
      <c r="BF141" s="27">
        <f>'Por Valoracion (3) Dimension'!F141</f>
        <v>13</v>
      </c>
      <c r="BG141" s="27">
        <f>'Por Valoracion (3) Dimension 2'!B141</f>
        <v>18</v>
      </c>
      <c r="CB141" s="35"/>
    </row>
    <row r="142" spans="1:80" x14ac:dyDescent="0.25">
      <c r="A142" s="26"/>
      <c r="C142" s="53" t="str">
        <f>('Gestión de abastecimiento'!A143)</f>
        <v>Beneficiaros 139</v>
      </c>
      <c r="D142" s="27">
        <f>'Por Valoracion (3) Dimension'!B142</f>
        <v>18</v>
      </c>
      <c r="E142" s="27">
        <f>'Por Valoracion (3) Dimension 2'!B142</f>
        <v>27</v>
      </c>
      <c r="Z142" s="26"/>
      <c r="AB142" s="34"/>
      <c r="AD142" s="53" t="str">
        <f>('Gestión de abastecimiento'!A143)</f>
        <v>Beneficiaros 139</v>
      </c>
      <c r="AE142" s="27">
        <f>'Por Valoracion (3) Dimension'!D142</f>
        <v>19</v>
      </c>
      <c r="AF142" s="27">
        <f>'Por Valoracion (3) Dimension 2'!B142</f>
        <v>27</v>
      </c>
      <c r="BA142" s="34"/>
      <c r="BC142" s="35"/>
      <c r="BE142" s="53" t="str">
        <f>('Gestión de abastecimiento'!A143)</f>
        <v>Beneficiaros 139</v>
      </c>
      <c r="BF142" s="27">
        <f>'Por Valoracion (3) Dimension'!F142</f>
        <v>18</v>
      </c>
      <c r="BG142" s="27">
        <f>'Por Valoracion (3) Dimension 2'!B142</f>
        <v>27</v>
      </c>
      <c r="CB142" s="35"/>
    </row>
    <row r="143" spans="1:80" x14ac:dyDescent="0.25">
      <c r="A143" s="26"/>
      <c r="C143" s="53" t="str">
        <f>('Gestión de abastecimiento'!A144)</f>
        <v>Beneficiaros 140</v>
      </c>
      <c r="D143" s="27">
        <f>'Por Valoracion (3) Dimension'!B143</f>
        <v>16</v>
      </c>
      <c r="E143" s="27">
        <f>'Por Valoracion (3) Dimension 2'!B143</f>
        <v>25</v>
      </c>
      <c r="Z143" s="26"/>
      <c r="AB143" s="34"/>
      <c r="AD143" s="53" t="str">
        <f>('Gestión de abastecimiento'!A144)</f>
        <v>Beneficiaros 140</v>
      </c>
      <c r="AE143" s="27">
        <f>'Por Valoracion (3) Dimension'!D143</f>
        <v>17</v>
      </c>
      <c r="AF143" s="27">
        <f>'Por Valoracion (3) Dimension 2'!B143</f>
        <v>25</v>
      </c>
      <c r="BA143" s="34"/>
      <c r="BC143" s="35"/>
      <c r="BE143" s="53" t="str">
        <f>('Gestión de abastecimiento'!A144)</f>
        <v>Beneficiaros 140</v>
      </c>
      <c r="BF143" s="27">
        <f>'Por Valoracion (3) Dimension'!F143</f>
        <v>16</v>
      </c>
      <c r="BG143" s="27">
        <f>'Por Valoracion (3) Dimension 2'!B143</f>
        <v>25</v>
      </c>
      <c r="CB143" s="35"/>
    </row>
    <row r="144" spans="1:80" x14ac:dyDescent="0.25">
      <c r="A144" s="26"/>
      <c r="C144" s="53" t="str">
        <f>('Gestión de abastecimiento'!A145)</f>
        <v>Beneficiaros 141</v>
      </c>
      <c r="D144" s="27">
        <f>'Por Valoracion (3) Dimension'!B144</f>
        <v>21</v>
      </c>
      <c r="E144" s="27">
        <f>'Por Valoracion (3) Dimension 2'!B144</f>
        <v>29</v>
      </c>
      <c r="Z144" s="26"/>
      <c r="AB144" s="34"/>
      <c r="AD144" s="53" t="str">
        <f>('Gestión de abastecimiento'!A145)</f>
        <v>Beneficiaros 141</v>
      </c>
      <c r="AE144" s="27">
        <f>'Por Valoracion (3) Dimension'!D144</f>
        <v>22</v>
      </c>
      <c r="AF144" s="27">
        <f>'Por Valoracion (3) Dimension 2'!B144</f>
        <v>29</v>
      </c>
      <c r="BA144" s="34"/>
      <c r="BC144" s="35"/>
      <c r="BE144" s="53" t="str">
        <f>('Gestión de abastecimiento'!A145)</f>
        <v>Beneficiaros 141</v>
      </c>
      <c r="BF144" s="27">
        <f>'Por Valoracion (3) Dimension'!F144</f>
        <v>19</v>
      </c>
      <c r="BG144" s="27">
        <f>'Por Valoracion (3) Dimension 2'!B144</f>
        <v>29</v>
      </c>
      <c r="CB144" s="35"/>
    </row>
    <row r="145" spans="1:80" x14ac:dyDescent="0.25">
      <c r="A145" s="26"/>
      <c r="C145" s="53" t="str">
        <f>('Gestión de abastecimiento'!A146)</f>
        <v>Beneficiaros 142</v>
      </c>
      <c r="D145" s="27">
        <f>'Por Valoracion (3) Dimension'!B145</f>
        <v>17</v>
      </c>
      <c r="E145" s="27">
        <f>'Por Valoracion (3) Dimension 2'!B145</f>
        <v>27</v>
      </c>
      <c r="Z145" s="26"/>
      <c r="AB145" s="34"/>
      <c r="AD145" s="53" t="str">
        <f>('Gestión de abastecimiento'!A146)</f>
        <v>Beneficiaros 142</v>
      </c>
      <c r="AE145" s="27">
        <f>'Por Valoracion (3) Dimension'!D145</f>
        <v>18</v>
      </c>
      <c r="AF145" s="27">
        <f>'Por Valoracion (3) Dimension 2'!B145</f>
        <v>27</v>
      </c>
      <c r="BA145" s="34"/>
      <c r="BC145" s="35"/>
      <c r="BE145" s="53" t="str">
        <f>('Gestión de abastecimiento'!A146)</f>
        <v>Beneficiaros 142</v>
      </c>
      <c r="BF145" s="27">
        <f>'Por Valoracion (3) Dimension'!F145</f>
        <v>18</v>
      </c>
      <c r="BG145" s="27">
        <f>'Por Valoracion (3) Dimension 2'!B145</f>
        <v>27</v>
      </c>
      <c r="CB145" s="35"/>
    </row>
    <row r="146" spans="1:80" x14ac:dyDescent="0.25">
      <c r="A146" s="26"/>
      <c r="C146" s="53" t="str">
        <f>('Gestión de abastecimiento'!A147)</f>
        <v>Beneficiaros 143</v>
      </c>
      <c r="D146" s="27">
        <f>'Por Valoracion (3) Dimension'!B146</f>
        <v>21</v>
      </c>
      <c r="E146" s="27">
        <f>'Por Valoracion (3) Dimension 2'!B146</f>
        <v>30</v>
      </c>
      <c r="Z146" s="26"/>
      <c r="AB146" s="34"/>
      <c r="AD146" s="53" t="str">
        <f>('Gestión de abastecimiento'!A147)</f>
        <v>Beneficiaros 143</v>
      </c>
      <c r="AE146" s="27">
        <f>'Por Valoracion (3) Dimension'!D146</f>
        <v>20</v>
      </c>
      <c r="AF146" s="27">
        <f>'Por Valoracion (3) Dimension 2'!B146</f>
        <v>30</v>
      </c>
      <c r="BA146" s="34"/>
      <c r="BC146" s="35"/>
      <c r="BE146" s="53" t="str">
        <f>('Gestión de abastecimiento'!A147)</f>
        <v>Beneficiaros 143</v>
      </c>
      <c r="BF146" s="27">
        <f>'Por Valoracion (3) Dimension'!F146</f>
        <v>18</v>
      </c>
      <c r="BG146" s="27">
        <f>'Por Valoracion (3) Dimension 2'!B146</f>
        <v>30</v>
      </c>
      <c r="CB146" s="35"/>
    </row>
    <row r="147" spans="1:80" x14ac:dyDescent="0.25">
      <c r="A147" s="26"/>
      <c r="C147" s="53" t="str">
        <f>('Gestión de abastecimiento'!A148)</f>
        <v>Beneficiaros 144</v>
      </c>
      <c r="D147" s="27">
        <f>'Por Valoracion (3) Dimension'!B147</f>
        <v>24</v>
      </c>
      <c r="E147" s="27">
        <f>'Por Valoracion (3) Dimension 2'!B147</f>
        <v>35</v>
      </c>
      <c r="Z147" s="26"/>
      <c r="AB147" s="34"/>
      <c r="AD147" s="53" t="str">
        <f>('Gestión de abastecimiento'!A148)</f>
        <v>Beneficiaros 144</v>
      </c>
      <c r="AE147" s="27">
        <f>'Por Valoracion (3) Dimension'!D147</f>
        <v>24</v>
      </c>
      <c r="AF147" s="27">
        <f>'Por Valoracion (3) Dimension 2'!B147</f>
        <v>35</v>
      </c>
      <c r="BA147" s="34"/>
      <c r="BC147" s="35"/>
      <c r="BE147" s="53" t="str">
        <f>('Gestión de abastecimiento'!A148)</f>
        <v>Beneficiaros 144</v>
      </c>
      <c r="BF147" s="27">
        <f>'Por Valoracion (3) Dimension'!F147</f>
        <v>24</v>
      </c>
      <c r="BG147" s="27">
        <f>'Por Valoracion (3) Dimension 2'!B147</f>
        <v>35</v>
      </c>
      <c r="CB147" s="35"/>
    </row>
    <row r="148" spans="1:80" x14ac:dyDescent="0.25">
      <c r="A148" s="26"/>
      <c r="C148" s="53" t="str">
        <f>('Gestión de abastecimiento'!A149)</f>
        <v>Beneficiaros 145</v>
      </c>
      <c r="D148" s="27">
        <f>'Por Valoracion (3) Dimension'!B148</f>
        <v>12</v>
      </c>
      <c r="E148" s="27">
        <f>'Por Valoracion (3) Dimension 2'!B148</f>
        <v>19</v>
      </c>
      <c r="Z148" s="26"/>
      <c r="AB148" s="34"/>
      <c r="AD148" s="53" t="str">
        <f>('Gestión de abastecimiento'!A149)</f>
        <v>Beneficiaros 145</v>
      </c>
      <c r="AE148" s="27">
        <f>'Por Valoracion (3) Dimension'!D148</f>
        <v>12</v>
      </c>
      <c r="AF148" s="27">
        <f>'Por Valoracion (3) Dimension 2'!B148</f>
        <v>19</v>
      </c>
      <c r="BA148" s="34"/>
      <c r="BC148" s="35"/>
      <c r="BE148" s="53" t="str">
        <f>('Gestión de abastecimiento'!A149)</f>
        <v>Beneficiaros 145</v>
      </c>
      <c r="BF148" s="27">
        <f>'Por Valoracion (3) Dimension'!F148</f>
        <v>12</v>
      </c>
      <c r="BG148" s="27">
        <f>'Por Valoracion (3) Dimension 2'!B148</f>
        <v>19</v>
      </c>
      <c r="CB148" s="35"/>
    </row>
    <row r="149" spans="1:80" x14ac:dyDescent="0.25">
      <c r="A149" s="26"/>
      <c r="C149" s="53" t="str">
        <f>('Gestión de abastecimiento'!A150)</f>
        <v>Beneficiaros 146</v>
      </c>
      <c r="D149" s="27">
        <f>'Por Valoracion (3) Dimension'!B149</f>
        <v>12</v>
      </c>
      <c r="E149" s="27">
        <f>'Por Valoracion (3) Dimension 2'!B149</f>
        <v>18</v>
      </c>
      <c r="Z149" s="26"/>
      <c r="AB149" s="34"/>
      <c r="AD149" s="53" t="str">
        <f>('Gestión de abastecimiento'!A150)</f>
        <v>Beneficiaros 146</v>
      </c>
      <c r="AE149" s="27">
        <f>'Por Valoracion (3) Dimension'!D149</f>
        <v>12</v>
      </c>
      <c r="AF149" s="27">
        <f>'Por Valoracion (3) Dimension 2'!B149</f>
        <v>18</v>
      </c>
      <c r="BA149" s="34"/>
      <c r="BC149" s="35"/>
      <c r="BE149" s="53" t="str">
        <f>('Gestión de abastecimiento'!A150)</f>
        <v>Beneficiaros 146</v>
      </c>
      <c r="BF149" s="27">
        <f>'Por Valoracion (3) Dimension'!F149</f>
        <v>12</v>
      </c>
      <c r="BG149" s="27">
        <f>'Por Valoracion (3) Dimension 2'!B149</f>
        <v>18</v>
      </c>
      <c r="CB149" s="35"/>
    </row>
    <row r="150" spans="1:80" x14ac:dyDescent="0.25">
      <c r="A150" s="26"/>
      <c r="C150" s="53" t="str">
        <f>('Gestión de abastecimiento'!A151)</f>
        <v>Beneficiaros 147</v>
      </c>
      <c r="D150" s="27">
        <f>'Por Valoracion (3) Dimension'!B150</f>
        <v>17</v>
      </c>
      <c r="E150" s="27">
        <f>'Por Valoracion (3) Dimension 2'!B150</f>
        <v>26</v>
      </c>
      <c r="Z150" s="26"/>
      <c r="AB150" s="34"/>
      <c r="AD150" s="53" t="str">
        <f>('Gestión de abastecimiento'!A151)</f>
        <v>Beneficiaros 147</v>
      </c>
      <c r="AE150" s="27">
        <f>'Por Valoracion (3) Dimension'!D150</f>
        <v>18</v>
      </c>
      <c r="AF150" s="27">
        <f>'Por Valoracion (3) Dimension 2'!B150</f>
        <v>26</v>
      </c>
      <c r="BA150" s="34"/>
      <c r="BC150" s="35"/>
      <c r="BE150" s="53" t="str">
        <f>('Gestión de abastecimiento'!A151)</f>
        <v>Beneficiaros 147</v>
      </c>
      <c r="BF150" s="27">
        <f>'Por Valoracion (3) Dimension'!F150</f>
        <v>17</v>
      </c>
      <c r="BG150" s="27">
        <f>'Por Valoracion (3) Dimension 2'!B150</f>
        <v>26</v>
      </c>
      <c r="CB150" s="35"/>
    </row>
    <row r="151" spans="1:80" x14ac:dyDescent="0.25">
      <c r="A151" s="26"/>
      <c r="C151" s="53" t="str">
        <f>('Gestión de abastecimiento'!A152)</f>
        <v>Beneficiaros 148</v>
      </c>
      <c r="D151" s="27">
        <f>'Por Valoracion (3) Dimension'!B151</f>
        <v>24</v>
      </c>
      <c r="E151" s="27">
        <f>'Por Valoracion (3) Dimension 2'!B151</f>
        <v>30</v>
      </c>
      <c r="Z151" s="26"/>
      <c r="AB151" s="34"/>
      <c r="AD151" s="53" t="str">
        <f>('Gestión de abastecimiento'!A152)</f>
        <v>Beneficiaros 148</v>
      </c>
      <c r="AE151" s="27">
        <f>'Por Valoracion (3) Dimension'!D151</f>
        <v>23</v>
      </c>
      <c r="AF151" s="27">
        <f>'Por Valoracion (3) Dimension 2'!B151</f>
        <v>30</v>
      </c>
      <c r="BA151" s="34"/>
      <c r="BC151" s="35"/>
      <c r="BE151" s="53" t="str">
        <f>('Gestión de abastecimiento'!A152)</f>
        <v>Beneficiaros 148</v>
      </c>
      <c r="BF151" s="27">
        <f>'Por Valoracion (3) Dimension'!F151</f>
        <v>21</v>
      </c>
      <c r="BG151" s="27">
        <f>'Por Valoracion (3) Dimension 2'!B151</f>
        <v>30</v>
      </c>
      <c r="CB151" s="35"/>
    </row>
    <row r="152" spans="1:80" x14ac:dyDescent="0.25">
      <c r="A152" s="26"/>
      <c r="C152" s="53" t="str">
        <f>('Gestión de abastecimiento'!A153)</f>
        <v>Beneficiaros 149</v>
      </c>
      <c r="D152" s="27">
        <f>'Por Valoracion (3) Dimension'!B152</f>
        <v>18</v>
      </c>
      <c r="E152" s="27">
        <f>'Por Valoracion (3) Dimension 2'!B152</f>
        <v>28</v>
      </c>
      <c r="Z152" s="26"/>
      <c r="AB152" s="34"/>
      <c r="AD152" s="53" t="str">
        <f>('Gestión de abastecimiento'!A153)</f>
        <v>Beneficiaros 149</v>
      </c>
      <c r="AE152" s="27">
        <f>'Por Valoracion (3) Dimension'!D152</f>
        <v>19</v>
      </c>
      <c r="AF152" s="27">
        <f>'Por Valoracion (3) Dimension 2'!B152</f>
        <v>28</v>
      </c>
      <c r="BA152" s="34"/>
      <c r="BC152" s="35"/>
      <c r="BE152" s="53" t="str">
        <f>('Gestión de abastecimiento'!A153)</f>
        <v>Beneficiaros 149</v>
      </c>
      <c r="BF152" s="27">
        <f>'Por Valoracion (3) Dimension'!F152</f>
        <v>19</v>
      </c>
      <c r="BG152" s="27">
        <f>'Por Valoracion (3) Dimension 2'!B152</f>
        <v>28</v>
      </c>
      <c r="CB152" s="35"/>
    </row>
    <row r="153" spans="1:80" x14ac:dyDescent="0.25">
      <c r="A153" s="26"/>
      <c r="C153" s="53" t="str">
        <f>('Gestión de abastecimiento'!A154)</f>
        <v>Beneficiaros 150</v>
      </c>
      <c r="D153" s="27">
        <f>'Por Valoracion (3) Dimension'!B153</f>
        <v>19</v>
      </c>
      <c r="E153" s="27">
        <f>'Por Valoracion (3) Dimension 2'!B153</f>
        <v>27</v>
      </c>
      <c r="Z153" s="26"/>
      <c r="AB153" s="34"/>
      <c r="AD153" s="53" t="str">
        <f>('Gestión de abastecimiento'!A154)</f>
        <v>Beneficiaros 150</v>
      </c>
      <c r="AE153" s="27">
        <f>'Por Valoracion (3) Dimension'!D153</f>
        <v>18</v>
      </c>
      <c r="AF153" s="27">
        <f>'Por Valoracion (3) Dimension 2'!B153</f>
        <v>27</v>
      </c>
      <c r="BA153" s="34"/>
      <c r="BC153" s="35"/>
      <c r="BE153" s="53" t="str">
        <f>('Gestión de abastecimiento'!A154)</f>
        <v>Beneficiaros 150</v>
      </c>
      <c r="BF153" s="27">
        <f>'Por Valoracion (3) Dimension'!F153</f>
        <v>18</v>
      </c>
      <c r="BG153" s="27">
        <f>'Por Valoracion (3) Dimension 2'!B153</f>
        <v>27</v>
      </c>
      <c r="CB153" s="35"/>
    </row>
    <row r="154" spans="1:80" x14ac:dyDescent="0.25">
      <c r="A154" s="26"/>
      <c r="C154" s="53" t="str">
        <f>('Gestión de abastecimiento'!A155)</f>
        <v>Beneficiaros 151</v>
      </c>
      <c r="D154" s="27">
        <f>'Por Valoracion (3) Dimension'!B154</f>
        <v>23</v>
      </c>
      <c r="E154" s="27">
        <f>'Por Valoracion (3) Dimension 2'!B154</f>
        <v>36</v>
      </c>
      <c r="Z154" s="26"/>
      <c r="AB154" s="34"/>
      <c r="AD154" s="53" t="str">
        <f>('Gestión de abastecimiento'!A155)</f>
        <v>Beneficiaros 151</v>
      </c>
      <c r="AE154" s="27">
        <f>'Por Valoracion (3) Dimension'!D154</f>
        <v>24</v>
      </c>
      <c r="AF154" s="27">
        <f>'Por Valoracion (3) Dimension 2'!B154</f>
        <v>36</v>
      </c>
      <c r="BA154" s="34"/>
      <c r="BC154" s="35"/>
      <c r="BE154" s="53" t="str">
        <f>('Gestión de abastecimiento'!A155)</f>
        <v>Beneficiaros 151</v>
      </c>
      <c r="BF154" s="27">
        <f>'Por Valoracion (3) Dimension'!F154</f>
        <v>24</v>
      </c>
      <c r="BG154" s="27">
        <f>'Por Valoracion (3) Dimension 2'!B154</f>
        <v>36</v>
      </c>
      <c r="CB154" s="35"/>
    </row>
    <row r="155" spans="1:80" x14ac:dyDescent="0.25">
      <c r="A155" s="26"/>
      <c r="C155" s="53" t="str">
        <f>('Gestión de abastecimiento'!A156)</f>
        <v>Beneficiaros 152</v>
      </c>
      <c r="D155" s="27">
        <f>'Por Valoracion (3) Dimension'!B155</f>
        <v>26</v>
      </c>
      <c r="E155" s="27">
        <f>'Por Valoracion (3) Dimension 2'!B155</f>
        <v>42</v>
      </c>
      <c r="Z155" s="26"/>
      <c r="AB155" s="34"/>
      <c r="AD155" s="53" t="str">
        <f>('Gestión de abastecimiento'!A156)</f>
        <v>Beneficiaros 152</v>
      </c>
      <c r="AE155" s="27">
        <f>'Por Valoracion (3) Dimension'!D155</f>
        <v>28</v>
      </c>
      <c r="AF155" s="27">
        <f>'Por Valoracion (3) Dimension 2'!B155</f>
        <v>42</v>
      </c>
      <c r="BA155" s="34"/>
      <c r="BC155" s="35"/>
      <c r="BE155" s="53" t="str">
        <f>('Gestión de abastecimiento'!A156)</f>
        <v>Beneficiaros 152</v>
      </c>
      <c r="BF155" s="27">
        <f>'Por Valoracion (3) Dimension'!F155</f>
        <v>27</v>
      </c>
      <c r="BG155" s="27">
        <f>'Por Valoracion (3) Dimension 2'!B155</f>
        <v>42</v>
      </c>
      <c r="CB155" s="35"/>
    </row>
    <row r="156" spans="1:80" x14ac:dyDescent="0.25">
      <c r="A156" s="26"/>
      <c r="C156" s="53" t="str">
        <f>('Gestión de abastecimiento'!A157)</f>
        <v>Beneficiaros 153</v>
      </c>
      <c r="D156" s="27">
        <f>'Por Valoracion (3) Dimension'!B156</f>
        <v>16</v>
      </c>
      <c r="E156" s="27">
        <f>'Por Valoracion (3) Dimension 2'!B156</f>
        <v>25</v>
      </c>
      <c r="Z156" s="26"/>
      <c r="AB156" s="34"/>
      <c r="AD156" s="53" t="str">
        <f>('Gestión de abastecimiento'!A157)</f>
        <v>Beneficiaros 153</v>
      </c>
      <c r="AE156" s="27">
        <f>'Por Valoracion (3) Dimension'!D156</f>
        <v>18</v>
      </c>
      <c r="AF156" s="27">
        <f>'Por Valoracion (3) Dimension 2'!B156</f>
        <v>25</v>
      </c>
      <c r="BA156" s="34"/>
      <c r="BC156" s="35"/>
      <c r="BE156" s="53" t="str">
        <f>('Gestión de abastecimiento'!A157)</f>
        <v>Beneficiaros 153</v>
      </c>
      <c r="BF156" s="27">
        <f>'Por Valoracion (3) Dimension'!F156</f>
        <v>17</v>
      </c>
      <c r="BG156" s="27">
        <f>'Por Valoracion (3) Dimension 2'!B156</f>
        <v>25</v>
      </c>
      <c r="CB156" s="35"/>
    </row>
    <row r="157" spans="1:80" x14ac:dyDescent="0.25">
      <c r="A157" s="26"/>
      <c r="C157" s="53" t="str">
        <f>('Gestión de abastecimiento'!A158)</f>
        <v>Beneficiaros 154</v>
      </c>
      <c r="D157" s="27">
        <f>'Por Valoracion (3) Dimension'!B157</f>
        <v>18</v>
      </c>
      <c r="E157" s="27">
        <f>'Por Valoracion (3) Dimension 2'!B157</f>
        <v>27</v>
      </c>
      <c r="Z157" s="26"/>
      <c r="AB157" s="34"/>
      <c r="AD157" s="53" t="str">
        <f>('Gestión de abastecimiento'!A158)</f>
        <v>Beneficiaros 154</v>
      </c>
      <c r="AE157" s="27">
        <f>'Por Valoracion (3) Dimension'!D157</f>
        <v>17</v>
      </c>
      <c r="AF157" s="27">
        <f>'Por Valoracion (3) Dimension 2'!B157</f>
        <v>27</v>
      </c>
      <c r="BA157" s="34"/>
      <c r="BC157" s="35"/>
      <c r="BE157" s="53" t="str">
        <f>('Gestión de abastecimiento'!A158)</f>
        <v>Beneficiaros 154</v>
      </c>
      <c r="BF157" s="27">
        <f>'Por Valoracion (3) Dimension'!F157</f>
        <v>18</v>
      </c>
      <c r="BG157" s="27">
        <f>'Por Valoracion (3) Dimension 2'!B157</f>
        <v>27</v>
      </c>
      <c r="CB157" s="35"/>
    </row>
    <row r="158" spans="1:80" x14ac:dyDescent="0.25">
      <c r="A158" s="26"/>
      <c r="C158" s="53" t="str">
        <f>('Gestión de abastecimiento'!A159)</f>
        <v>Beneficiaros 155</v>
      </c>
      <c r="D158" s="27">
        <f>'Por Valoracion (3) Dimension'!B158</f>
        <v>18</v>
      </c>
      <c r="E158" s="27">
        <f>'Por Valoracion (3) Dimension 2'!B158</f>
        <v>27</v>
      </c>
      <c r="Z158" s="26"/>
      <c r="AB158" s="34"/>
      <c r="AD158" s="53" t="str">
        <f>('Gestión de abastecimiento'!A159)</f>
        <v>Beneficiaros 155</v>
      </c>
      <c r="AE158" s="27">
        <f>'Por Valoracion (3) Dimension'!D158</f>
        <v>19</v>
      </c>
      <c r="AF158" s="27">
        <f>'Por Valoracion (3) Dimension 2'!B158</f>
        <v>27</v>
      </c>
      <c r="BA158" s="34"/>
      <c r="BC158" s="35"/>
      <c r="BE158" s="53" t="str">
        <f>('Gestión de abastecimiento'!A159)</f>
        <v>Beneficiaros 155</v>
      </c>
      <c r="BF158" s="27">
        <f>'Por Valoracion (3) Dimension'!F158</f>
        <v>18</v>
      </c>
      <c r="BG158" s="27">
        <f>'Por Valoracion (3) Dimension 2'!B158</f>
        <v>27</v>
      </c>
      <c r="CB158" s="35"/>
    </row>
    <row r="159" spans="1:80" x14ac:dyDescent="0.25">
      <c r="A159" s="26"/>
      <c r="C159" s="53" t="str">
        <f>('Gestión de abastecimiento'!A160)</f>
        <v>Beneficiaros 156</v>
      </c>
      <c r="D159" s="27">
        <f>'Por Valoracion (3) Dimension'!B159</f>
        <v>16</v>
      </c>
      <c r="E159" s="27">
        <f>'Por Valoracion (3) Dimension 2'!B159</f>
        <v>24</v>
      </c>
      <c r="Z159" s="26"/>
      <c r="AB159" s="34"/>
      <c r="AD159" s="53" t="str">
        <f>('Gestión de abastecimiento'!A160)</f>
        <v>Beneficiaros 156</v>
      </c>
      <c r="AE159" s="27">
        <f>'Por Valoracion (3) Dimension'!D159</f>
        <v>17</v>
      </c>
      <c r="AF159" s="27">
        <f>'Por Valoracion (3) Dimension 2'!B159</f>
        <v>24</v>
      </c>
      <c r="BA159" s="34"/>
      <c r="BC159" s="35"/>
      <c r="BE159" s="53" t="str">
        <f>('Gestión de abastecimiento'!A160)</f>
        <v>Beneficiaros 156</v>
      </c>
      <c r="BF159" s="27">
        <f>'Por Valoracion (3) Dimension'!F159</f>
        <v>16</v>
      </c>
      <c r="BG159" s="27">
        <f>'Por Valoracion (3) Dimension 2'!B159</f>
        <v>24</v>
      </c>
      <c r="CB159" s="35"/>
    </row>
    <row r="160" spans="1:80" x14ac:dyDescent="0.25">
      <c r="A160" s="26"/>
      <c r="C160" s="53" t="str">
        <f>('Gestión de abastecimiento'!A161)</f>
        <v>Beneficiaros 157</v>
      </c>
      <c r="D160" s="27">
        <f>'Por Valoracion (3) Dimension'!B160</f>
        <v>18</v>
      </c>
      <c r="E160" s="27">
        <f>'Por Valoracion (3) Dimension 2'!B160</f>
        <v>27</v>
      </c>
      <c r="Z160" s="26"/>
      <c r="AB160" s="34"/>
      <c r="AD160" s="53" t="str">
        <f>('Gestión de abastecimiento'!A161)</f>
        <v>Beneficiaros 157</v>
      </c>
      <c r="AE160" s="27">
        <f>'Por Valoracion (3) Dimension'!D160</f>
        <v>18</v>
      </c>
      <c r="AF160" s="27">
        <f>'Por Valoracion (3) Dimension 2'!B160</f>
        <v>27</v>
      </c>
      <c r="BA160" s="34"/>
      <c r="BC160" s="35"/>
      <c r="BE160" s="53" t="str">
        <f>('Gestión de abastecimiento'!A161)</f>
        <v>Beneficiaros 157</v>
      </c>
      <c r="BF160" s="27">
        <f>'Por Valoracion (3) Dimension'!F160</f>
        <v>17</v>
      </c>
      <c r="BG160" s="27">
        <f>'Por Valoracion (3) Dimension 2'!B160</f>
        <v>27</v>
      </c>
      <c r="CB160" s="35"/>
    </row>
    <row r="161" spans="1:80" x14ac:dyDescent="0.25">
      <c r="A161" s="26"/>
      <c r="C161" s="53" t="str">
        <f>('Gestión de abastecimiento'!A162)</f>
        <v>Beneficiaros 158</v>
      </c>
      <c r="D161" s="27">
        <f>'Por Valoracion (3) Dimension'!B161</f>
        <v>15</v>
      </c>
      <c r="E161" s="27">
        <f>'Por Valoracion (3) Dimension 2'!B161</f>
        <v>23</v>
      </c>
      <c r="Z161" s="26"/>
      <c r="AB161" s="34"/>
      <c r="AD161" s="53" t="str">
        <f>('Gestión de abastecimiento'!A162)</f>
        <v>Beneficiaros 158</v>
      </c>
      <c r="AE161" s="27">
        <f>'Por Valoracion (3) Dimension'!D161</f>
        <v>16</v>
      </c>
      <c r="AF161" s="27">
        <f>'Por Valoracion (3) Dimension 2'!B161</f>
        <v>23</v>
      </c>
      <c r="BA161" s="34"/>
      <c r="BC161" s="35"/>
      <c r="BE161" s="53" t="str">
        <f>('Gestión de abastecimiento'!A162)</f>
        <v>Beneficiaros 158</v>
      </c>
      <c r="BF161" s="27">
        <f>'Por Valoracion (3) Dimension'!F161</f>
        <v>15</v>
      </c>
      <c r="BG161" s="27">
        <f>'Por Valoracion (3) Dimension 2'!B161</f>
        <v>23</v>
      </c>
      <c r="CB161" s="35"/>
    </row>
    <row r="162" spans="1:80" x14ac:dyDescent="0.25">
      <c r="A162" s="26"/>
      <c r="C162" s="53" t="str">
        <f>('Gestión de abastecimiento'!A163)</f>
        <v>Beneficiaros 159</v>
      </c>
      <c r="D162" s="27">
        <f>'Por Valoracion (3) Dimension'!B162</f>
        <v>21</v>
      </c>
      <c r="E162" s="27">
        <f>'Por Valoracion (3) Dimension 2'!B162</f>
        <v>30</v>
      </c>
      <c r="Z162" s="26"/>
      <c r="AB162" s="34"/>
      <c r="AD162" s="53" t="str">
        <f>('Gestión de abastecimiento'!A163)</f>
        <v>Beneficiaros 159</v>
      </c>
      <c r="AE162" s="27">
        <f>'Por Valoracion (3) Dimension'!D162</f>
        <v>18</v>
      </c>
      <c r="AF162" s="27">
        <f>'Por Valoracion (3) Dimension 2'!B162</f>
        <v>30</v>
      </c>
      <c r="BA162" s="34"/>
      <c r="BC162" s="35"/>
      <c r="BE162" s="53" t="str">
        <f>('Gestión de abastecimiento'!A163)</f>
        <v>Beneficiaros 159</v>
      </c>
      <c r="BF162" s="27">
        <f>'Por Valoracion (3) Dimension'!F162</f>
        <v>19</v>
      </c>
      <c r="BG162" s="27">
        <f>'Por Valoracion (3) Dimension 2'!B162</f>
        <v>30</v>
      </c>
      <c r="CB162" s="35"/>
    </row>
    <row r="163" spans="1:80" x14ac:dyDescent="0.25">
      <c r="A163" s="26"/>
      <c r="C163" s="53" t="str">
        <f>('Gestión de abastecimiento'!A164)</f>
        <v>Beneficiaros 160</v>
      </c>
      <c r="D163" s="27">
        <f>'Por Valoracion (3) Dimension'!B163</f>
        <v>18</v>
      </c>
      <c r="E163" s="27">
        <f>'Por Valoracion (3) Dimension 2'!B163</f>
        <v>26</v>
      </c>
      <c r="Z163" s="26"/>
      <c r="AB163" s="34"/>
      <c r="AD163" s="53" t="str">
        <f>('Gestión de abastecimiento'!A164)</f>
        <v>Beneficiaros 160</v>
      </c>
      <c r="AE163" s="27">
        <f>'Por Valoracion (3) Dimension'!D163</f>
        <v>18</v>
      </c>
      <c r="AF163" s="27">
        <f>'Por Valoracion (3) Dimension 2'!B163</f>
        <v>26</v>
      </c>
      <c r="BA163" s="34"/>
      <c r="BC163" s="35"/>
      <c r="BE163" s="53" t="str">
        <f>('Gestión de abastecimiento'!A164)</f>
        <v>Beneficiaros 160</v>
      </c>
      <c r="BF163" s="27">
        <f>'Por Valoracion (3) Dimension'!F163</f>
        <v>16</v>
      </c>
      <c r="BG163" s="27">
        <f>'Por Valoracion (3) Dimension 2'!B163</f>
        <v>26</v>
      </c>
      <c r="CB163" s="35"/>
    </row>
    <row r="164" spans="1:80" x14ac:dyDescent="0.25">
      <c r="A164" s="26"/>
      <c r="C164" s="53" t="str">
        <f>('Gestión de abastecimiento'!A165)</f>
        <v>Beneficiaros 161</v>
      </c>
      <c r="D164" s="27">
        <f>'Por Valoracion (3) Dimension'!B164</f>
        <v>26</v>
      </c>
      <c r="E164" s="27">
        <f>'Por Valoracion (3) Dimension 2'!B164</f>
        <v>36</v>
      </c>
      <c r="Z164" s="26"/>
      <c r="AB164" s="34"/>
      <c r="AD164" s="53" t="str">
        <f>('Gestión de abastecimiento'!A165)</f>
        <v>Beneficiaros 161</v>
      </c>
      <c r="AE164" s="27">
        <f>'Por Valoracion (3) Dimension'!D164</f>
        <v>24</v>
      </c>
      <c r="AF164" s="27">
        <f>'Por Valoracion (3) Dimension 2'!B164</f>
        <v>36</v>
      </c>
      <c r="BA164" s="34"/>
      <c r="BC164" s="35"/>
      <c r="BE164" s="53" t="str">
        <f>('Gestión de abastecimiento'!A165)</f>
        <v>Beneficiaros 161</v>
      </c>
      <c r="BF164" s="27">
        <f>'Por Valoracion (3) Dimension'!F164</f>
        <v>24</v>
      </c>
      <c r="BG164" s="27">
        <f>'Por Valoracion (3) Dimension 2'!B164</f>
        <v>36</v>
      </c>
      <c r="CB164" s="35"/>
    </row>
    <row r="165" spans="1:80" x14ac:dyDescent="0.25">
      <c r="A165" s="26"/>
      <c r="C165" s="53" t="str">
        <f>('Gestión de abastecimiento'!A166)</f>
        <v>Beneficiaros 162</v>
      </c>
      <c r="D165" s="27">
        <f>'Por Valoracion (3) Dimension'!B165</f>
        <v>25</v>
      </c>
      <c r="E165" s="27">
        <f>'Por Valoracion (3) Dimension 2'!B165</f>
        <v>32</v>
      </c>
      <c r="Z165" s="26"/>
      <c r="AB165" s="34"/>
      <c r="AD165" s="53" t="str">
        <f>('Gestión de abastecimiento'!A166)</f>
        <v>Beneficiaros 162</v>
      </c>
      <c r="AE165" s="27">
        <f>'Por Valoracion (3) Dimension'!D165</f>
        <v>24</v>
      </c>
      <c r="AF165" s="27">
        <f>'Por Valoracion (3) Dimension 2'!B165</f>
        <v>32</v>
      </c>
      <c r="BA165" s="34"/>
      <c r="BC165" s="35"/>
      <c r="BE165" s="53" t="str">
        <f>('Gestión de abastecimiento'!A166)</f>
        <v>Beneficiaros 162</v>
      </c>
      <c r="BF165" s="27">
        <f>'Por Valoracion (3) Dimension'!F165</f>
        <v>24</v>
      </c>
      <c r="BG165" s="27">
        <f>'Por Valoracion (3) Dimension 2'!B165</f>
        <v>32</v>
      </c>
      <c r="CB165" s="35"/>
    </row>
    <row r="166" spans="1:80" x14ac:dyDescent="0.25">
      <c r="A166" s="26"/>
      <c r="C166" s="53" t="str">
        <f>('Gestión de abastecimiento'!A167)</f>
        <v>Beneficiaros 163</v>
      </c>
      <c r="D166" s="27">
        <f>'Por Valoracion (3) Dimension'!B166</f>
        <v>19</v>
      </c>
      <c r="E166" s="27">
        <f>'Por Valoracion (3) Dimension 2'!B166</f>
        <v>27</v>
      </c>
      <c r="Z166" s="26"/>
      <c r="AB166" s="34"/>
      <c r="AD166" s="53" t="str">
        <f>('Gestión de abastecimiento'!A167)</f>
        <v>Beneficiaros 163</v>
      </c>
      <c r="AE166" s="27">
        <f>'Por Valoracion (3) Dimension'!D166</f>
        <v>19</v>
      </c>
      <c r="AF166" s="27">
        <f>'Por Valoracion (3) Dimension 2'!B166</f>
        <v>27</v>
      </c>
      <c r="BA166" s="34"/>
      <c r="BC166" s="35"/>
      <c r="BE166" s="53" t="str">
        <f>('Gestión de abastecimiento'!A167)</f>
        <v>Beneficiaros 163</v>
      </c>
      <c r="BF166" s="27">
        <f>'Por Valoracion (3) Dimension'!F166</f>
        <v>18</v>
      </c>
      <c r="BG166" s="27">
        <f>'Por Valoracion (3) Dimension 2'!B166</f>
        <v>27</v>
      </c>
      <c r="CB166" s="35"/>
    </row>
    <row r="167" spans="1:80" x14ac:dyDescent="0.25">
      <c r="A167" s="26"/>
      <c r="C167" s="53" t="str">
        <f>('Gestión de abastecimiento'!A168)</f>
        <v>Beneficiaros 164</v>
      </c>
      <c r="D167" s="27">
        <f>'Por Valoracion (3) Dimension'!B167</f>
        <v>18</v>
      </c>
      <c r="E167" s="27">
        <f>'Por Valoracion (3) Dimension 2'!B167</f>
        <v>28</v>
      </c>
      <c r="Z167" s="26"/>
      <c r="AB167" s="34"/>
      <c r="AD167" s="53" t="str">
        <f>('Gestión de abastecimiento'!A168)</f>
        <v>Beneficiaros 164</v>
      </c>
      <c r="AE167" s="27">
        <f>'Por Valoracion (3) Dimension'!D167</f>
        <v>19</v>
      </c>
      <c r="AF167" s="27">
        <f>'Por Valoracion (3) Dimension 2'!B167</f>
        <v>28</v>
      </c>
      <c r="BA167" s="34"/>
      <c r="BC167" s="35"/>
      <c r="BE167" s="53" t="str">
        <f>('Gestión de abastecimiento'!A168)</f>
        <v>Beneficiaros 164</v>
      </c>
      <c r="BF167" s="27">
        <f>'Por Valoracion (3) Dimension'!F167</f>
        <v>21</v>
      </c>
      <c r="BG167" s="27">
        <f>'Por Valoracion (3) Dimension 2'!B167</f>
        <v>28</v>
      </c>
      <c r="CB167" s="35"/>
    </row>
    <row r="168" spans="1:80" x14ac:dyDescent="0.25">
      <c r="A168" s="26"/>
      <c r="C168" s="53" t="str">
        <f>('Gestión de abastecimiento'!A169)</f>
        <v>Beneficiaros 165</v>
      </c>
      <c r="D168" s="27">
        <f>'Por Valoracion (3) Dimension'!B168</f>
        <v>20</v>
      </c>
      <c r="E168" s="27">
        <f>'Por Valoracion (3) Dimension 2'!B168</f>
        <v>29</v>
      </c>
      <c r="Z168" s="26"/>
      <c r="AB168" s="34"/>
      <c r="AD168" s="53" t="str">
        <f>('Gestión de abastecimiento'!A169)</f>
        <v>Beneficiaros 165</v>
      </c>
      <c r="AE168" s="27">
        <f>'Por Valoracion (3) Dimension'!D168</f>
        <v>20</v>
      </c>
      <c r="AF168" s="27">
        <f>'Por Valoracion (3) Dimension 2'!B168</f>
        <v>29</v>
      </c>
      <c r="BA168" s="34"/>
      <c r="BC168" s="35"/>
      <c r="BE168" s="53" t="str">
        <f>('Gestión de abastecimiento'!A169)</f>
        <v>Beneficiaros 165</v>
      </c>
      <c r="BF168" s="27">
        <f>'Por Valoracion (3) Dimension'!F168</f>
        <v>18</v>
      </c>
      <c r="BG168" s="27">
        <f>'Por Valoracion (3) Dimension 2'!B168</f>
        <v>29</v>
      </c>
      <c r="CB168" s="35"/>
    </row>
    <row r="169" spans="1:80" x14ac:dyDescent="0.25">
      <c r="A169" s="26"/>
      <c r="C169" s="53" t="str">
        <f>('Gestión de abastecimiento'!A170)</f>
        <v>Beneficiaros 166</v>
      </c>
      <c r="D169" s="27">
        <f>'Por Valoracion (3) Dimension'!B169</f>
        <v>20</v>
      </c>
      <c r="E169" s="27">
        <f>'Por Valoracion (3) Dimension 2'!B169</f>
        <v>29</v>
      </c>
      <c r="Z169" s="26"/>
      <c r="AB169" s="34"/>
      <c r="AD169" s="53" t="str">
        <f>('Gestión de abastecimiento'!A170)</f>
        <v>Beneficiaros 166</v>
      </c>
      <c r="AE169" s="27">
        <f>'Por Valoracion (3) Dimension'!D169</f>
        <v>19</v>
      </c>
      <c r="AF169" s="27">
        <f>'Por Valoracion (3) Dimension 2'!B169</f>
        <v>29</v>
      </c>
      <c r="BA169" s="34"/>
      <c r="BC169" s="35"/>
      <c r="BE169" s="53" t="str">
        <f>('Gestión de abastecimiento'!A170)</f>
        <v>Beneficiaros 166</v>
      </c>
      <c r="BF169" s="27">
        <f>'Por Valoracion (3) Dimension'!F169</f>
        <v>18</v>
      </c>
      <c r="BG169" s="27">
        <f>'Por Valoracion (3) Dimension 2'!B169</f>
        <v>29</v>
      </c>
      <c r="CB169" s="35"/>
    </row>
    <row r="170" spans="1:80" x14ac:dyDescent="0.25">
      <c r="A170" s="26"/>
      <c r="C170" s="53" t="str">
        <f>('Gestión de abastecimiento'!A171)</f>
        <v>Beneficiaros 167</v>
      </c>
      <c r="D170" s="27">
        <f>'Por Valoracion (3) Dimension'!B170</f>
        <v>19</v>
      </c>
      <c r="E170" s="27">
        <f>'Por Valoracion (3) Dimension 2'!B170</f>
        <v>28</v>
      </c>
      <c r="Z170" s="26"/>
      <c r="AB170" s="34"/>
      <c r="AD170" s="53" t="str">
        <f>('Gestión de abastecimiento'!A171)</f>
        <v>Beneficiaros 167</v>
      </c>
      <c r="AE170" s="27">
        <f>'Por Valoracion (3) Dimension'!D170</f>
        <v>18</v>
      </c>
      <c r="AF170" s="27">
        <f>'Por Valoracion (3) Dimension 2'!B170</f>
        <v>28</v>
      </c>
      <c r="BA170" s="34"/>
      <c r="BC170" s="35"/>
      <c r="BE170" s="53" t="str">
        <f>('Gestión de abastecimiento'!A171)</f>
        <v>Beneficiaros 167</v>
      </c>
      <c r="BF170" s="27">
        <f>'Por Valoracion (3) Dimension'!F170</f>
        <v>17</v>
      </c>
      <c r="BG170" s="27">
        <f>'Por Valoracion (3) Dimension 2'!B170</f>
        <v>28</v>
      </c>
      <c r="CB170" s="35"/>
    </row>
    <row r="171" spans="1:80" x14ac:dyDescent="0.25">
      <c r="A171" s="26"/>
      <c r="C171" s="53" t="str">
        <f>('Gestión de abastecimiento'!A172)</f>
        <v>Beneficiaros 168</v>
      </c>
      <c r="D171" s="27">
        <f>'Por Valoracion (3) Dimension'!B171</f>
        <v>23</v>
      </c>
      <c r="E171" s="27">
        <f>'Por Valoracion (3) Dimension 2'!B171</f>
        <v>33</v>
      </c>
      <c r="Z171" s="26"/>
      <c r="AB171" s="34"/>
      <c r="AD171" s="53" t="str">
        <f>('Gestión de abastecimiento'!A172)</f>
        <v>Beneficiaros 168</v>
      </c>
      <c r="AE171" s="27">
        <f>'Por Valoracion (3) Dimension'!D171</f>
        <v>23</v>
      </c>
      <c r="AF171" s="27">
        <f>'Por Valoracion (3) Dimension 2'!B171</f>
        <v>33</v>
      </c>
      <c r="BA171" s="34"/>
      <c r="BC171" s="35"/>
      <c r="BE171" s="53" t="str">
        <f>('Gestión de abastecimiento'!A172)</f>
        <v>Beneficiaros 168</v>
      </c>
      <c r="BF171" s="27">
        <f>'Por Valoracion (3) Dimension'!F171</f>
        <v>20</v>
      </c>
      <c r="BG171" s="27">
        <f>'Por Valoracion (3) Dimension 2'!B171</f>
        <v>33</v>
      </c>
      <c r="CB171" s="35"/>
    </row>
    <row r="172" spans="1:80" x14ac:dyDescent="0.25">
      <c r="A172" s="26"/>
      <c r="C172" s="53" t="str">
        <f>('Gestión de abastecimiento'!A173)</f>
        <v>Beneficiaros 169</v>
      </c>
      <c r="D172" s="27">
        <f>'Por Valoracion (3) Dimension'!B172</f>
        <v>20</v>
      </c>
      <c r="E172" s="27">
        <f>'Por Valoracion (3) Dimension 2'!B172</f>
        <v>28</v>
      </c>
      <c r="Z172" s="26"/>
      <c r="AB172" s="34"/>
      <c r="AD172" s="53" t="str">
        <f>('Gestión de abastecimiento'!A173)</f>
        <v>Beneficiaros 169</v>
      </c>
      <c r="AE172" s="27">
        <f>'Por Valoracion (3) Dimension'!D172</f>
        <v>20</v>
      </c>
      <c r="AF172" s="27">
        <f>'Por Valoracion (3) Dimension 2'!B172</f>
        <v>28</v>
      </c>
      <c r="BA172" s="34"/>
      <c r="BC172" s="35"/>
      <c r="BE172" s="53" t="str">
        <f>('Gestión de abastecimiento'!A173)</f>
        <v>Beneficiaros 169</v>
      </c>
      <c r="BF172" s="27">
        <f>'Por Valoracion (3) Dimension'!F172</f>
        <v>18</v>
      </c>
      <c r="BG172" s="27">
        <f>'Por Valoracion (3) Dimension 2'!B172</f>
        <v>28</v>
      </c>
      <c r="CB172" s="35"/>
    </row>
    <row r="173" spans="1:80" x14ac:dyDescent="0.25">
      <c r="A173" s="26"/>
      <c r="C173" s="53" t="str">
        <f>('Gestión de abastecimiento'!A174)</f>
        <v>Beneficiaros 170</v>
      </c>
      <c r="D173" s="27">
        <f>'Por Valoracion (3) Dimension'!B173</f>
        <v>13</v>
      </c>
      <c r="E173" s="27">
        <f>'Por Valoracion (3) Dimension 2'!B173</f>
        <v>18</v>
      </c>
      <c r="Z173" s="26"/>
      <c r="AB173" s="34"/>
      <c r="AD173" s="53" t="str">
        <f>('Gestión de abastecimiento'!A174)</f>
        <v>Beneficiaros 170</v>
      </c>
      <c r="AE173" s="27">
        <f>'Por Valoracion (3) Dimension'!D173</f>
        <v>13</v>
      </c>
      <c r="AF173" s="27">
        <f>'Por Valoracion (3) Dimension 2'!B173</f>
        <v>18</v>
      </c>
      <c r="BA173" s="34"/>
      <c r="BC173" s="35"/>
      <c r="BE173" s="53" t="str">
        <f>('Gestión de abastecimiento'!A174)</f>
        <v>Beneficiaros 170</v>
      </c>
      <c r="BF173" s="27">
        <f>'Por Valoracion (3) Dimension'!F173</f>
        <v>11</v>
      </c>
      <c r="BG173" s="27">
        <f>'Por Valoracion (3) Dimension 2'!B173</f>
        <v>18</v>
      </c>
      <c r="CB173" s="35"/>
    </row>
    <row r="174" spans="1:80" x14ac:dyDescent="0.25">
      <c r="A174" s="26"/>
      <c r="C174" s="53" t="str">
        <f>('Gestión de abastecimiento'!A175)</f>
        <v>Beneficiaros 171</v>
      </c>
      <c r="D174" s="27">
        <f>'Por Valoracion (3) Dimension'!B174</f>
        <v>18</v>
      </c>
      <c r="E174" s="27">
        <f>'Por Valoracion (3) Dimension 2'!B174</f>
        <v>27</v>
      </c>
      <c r="Z174" s="26"/>
      <c r="AB174" s="34"/>
      <c r="AD174" s="53" t="str">
        <f>('Gestión de abastecimiento'!A175)</f>
        <v>Beneficiaros 171</v>
      </c>
      <c r="AE174" s="27">
        <f>'Por Valoracion (3) Dimension'!D174</f>
        <v>17</v>
      </c>
      <c r="AF174" s="27">
        <f>'Por Valoracion (3) Dimension 2'!B174</f>
        <v>27</v>
      </c>
      <c r="BA174" s="34"/>
      <c r="BC174" s="35"/>
      <c r="BE174" s="53" t="str">
        <f>('Gestión de abastecimiento'!A175)</f>
        <v>Beneficiaros 171</v>
      </c>
      <c r="BF174" s="27">
        <f>'Por Valoracion (3) Dimension'!F174</f>
        <v>16</v>
      </c>
      <c r="BG174" s="27">
        <f>'Por Valoracion (3) Dimension 2'!B174</f>
        <v>27</v>
      </c>
      <c r="CB174" s="35"/>
    </row>
    <row r="175" spans="1:80" x14ac:dyDescent="0.25">
      <c r="A175" s="26"/>
      <c r="C175" s="53" t="str">
        <f>('Gestión de abastecimiento'!A176)</f>
        <v>Beneficiaros 172</v>
      </c>
      <c r="D175" s="27">
        <f>'Por Valoracion (3) Dimension'!B175</f>
        <v>12</v>
      </c>
      <c r="E175" s="27">
        <f>'Por Valoracion (3) Dimension 2'!B175</f>
        <v>17</v>
      </c>
      <c r="Z175" s="26"/>
      <c r="AB175" s="34"/>
      <c r="AD175" s="53" t="str">
        <f>('Gestión de abastecimiento'!A176)</f>
        <v>Beneficiaros 172</v>
      </c>
      <c r="AE175" s="27">
        <f>'Por Valoracion (3) Dimension'!D175</f>
        <v>12</v>
      </c>
      <c r="AF175" s="27">
        <f>'Por Valoracion (3) Dimension 2'!B175</f>
        <v>17</v>
      </c>
      <c r="BA175" s="34"/>
      <c r="BC175" s="35"/>
      <c r="BE175" s="53" t="str">
        <f>('Gestión de abastecimiento'!A176)</f>
        <v>Beneficiaros 172</v>
      </c>
      <c r="BF175" s="27">
        <f>'Por Valoracion (3) Dimension'!F175</f>
        <v>11</v>
      </c>
      <c r="BG175" s="27">
        <f>'Por Valoracion (3) Dimension 2'!B175</f>
        <v>17</v>
      </c>
      <c r="CB175" s="35"/>
    </row>
    <row r="176" spans="1:80" x14ac:dyDescent="0.25">
      <c r="A176" s="26"/>
      <c r="C176" s="53" t="str">
        <f>('Gestión de abastecimiento'!A177)</f>
        <v>Beneficiaros 173</v>
      </c>
      <c r="D176" s="27">
        <f>'Por Valoracion (3) Dimension'!B176</f>
        <v>20</v>
      </c>
      <c r="E176" s="27">
        <f>'Por Valoracion (3) Dimension 2'!B176</f>
        <v>28</v>
      </c>
      <c r="Z176" s="26"/>
      <c r="AB176" s="34"/>
      <c r="AD176" s="53" t="str">
        <f>('Gestión de abastecimiento'!A177)</f>
        <v>Beneficiaros 173</v>
      </c>
      <c r="AE176" s="27">
        <f>'Por Valoracion (3) Dimension'!D176</f>
        <v>19</v>
      </c>
      <c r="AF176" s="27">
        <f>'Por Valoracion (3) Dimension 2'!B176</f>
        <v>28</v>
      </c>
      <c r="BA176" s="34"/>
      <c r="BC176" s="35"/>
      <c r="BE176" s="53" t="str">
        <f>('Gestión de abastecimiento'!A177)</f>
        <v>Beneficiaros 173</v>
      </c>
      <c r="BF176" s="27">
        <f>'Por Valoracion (3) Dimension'!F176</f>
        <v>19</v>
      </c>
      <c r="BG176" s="27">
        <f>'Por Valoracion (3) Dimension 2'!B176</f>
        <v>28</v>
      </c>
      <c r="CB176" s="35"/>
    </row>
    <row r="177" spans="1:80" x14ac:dyDescent="0.25">
      <c r="A177" s="26"/>
      <c r="C177" s="53" t="str">
        <f>('Gestión de abastecimiento'!A178)</f>
        <v>Beneficiaros 174</v>
      </c>
      <c r="D177" s="27">
        <f>'Por Valoracion (3) Dimension'!B177</f>
        <v>17</v>
      </c>
      <c r="E177" s="27">
        <f>'Por Valoracion (3) Dimension 2'!B177</f>
        <v>25</v>
      </c>
      <c r="Z177" s="26"/>
      <c r="AB177" s="34"/>
      <c r="AD177" s="53" t="str">
        <f>('Gestión de abastecimiento'!A178)</f>
        <v>Beneficiaros 174</v>
      </c>
      <c r="AE177" s="27">
        <f>'Por Valoracion (3) Dimension'!D177</f>
        <v>17</v>
      </c>
      <c r="AF177" s="27">
        <f>'Por Valoracion (3) Dimension 2'!B177</f>
        <v>25</v>
      </c>
      <c r="BA177" s="34"/>
      <c r="BC177" s="35"/>
      <c r="BE177" s="53" t="str">
        <f>('Gestión de abastecimiento'!A178)</f>
        <v>Beneficiaros 174</v>
      </c>
      <c r="BF177" s="27">
        <f>'Por Valoracion (3) Dimension'!F177</f>
        <v>15</v>
      </c>
      <c r="BG177" s="27">
        <f>'Por Valoracion (3) Dimension 2'!B177</f>
        <v>25</v>
      </c>
      <c r="CB177" s="35"/>
    </row>
    <row r="178" spans="1:80" x14ac:dyDescent="0.25">
      <c r="A178" s="26"/>
      <c r="C178" s="53" t="str">
        <f>('Gestión de abastecimiento'!A179)</f>
        <v>Beneficiaros 175</v>
      </c>
      <c r="D178" s="27">
        <f>'Por Valoracion (3) Dimension'!B178</f>
        <v>15</v>
      </c>
      <c r="E178" s="27">
        <f>'Por Valoracion (3) Dimension 2'!B178</f>
        <v>21</v>
      </c>
      <c r="Z178" s="26"/>
      <c r="AB178" s="34"/>
      <c r="AD178" s="53" t="str">
        <f>('Gestión de abastecimiento'!A179)</f>
        <v>Beneficiaros 175</v>
      </c>
      <c r="AE178" s="27">
        <f>'Por Valoracion (3) Dimension'!D178</f>
        <v>15</v>
      </c>
      <c r="AF178" s="27">
        <f>'Por Valoracion (3) Dimension 2'!B178</f>
        <v>21</v>
      </c>
      <c r="BA178" s="34"/>
      <c r="BC178" s="35"/>
      <c r="BE178" s="53" t="str">
        <f>('Gestión de abastecimiento'!A179)</f>
        <v>Beneficiaros 175</v>
      </c>
      <c r="BF178" s="27">
        <f>'Por Valoracion (3) Dimension'!F178</f>
        <v>13</v>
      </c>
      <c r="BG178" s="27">
        <f>'Por Valoracion (3) Dimension 2'!B178</f>
        <v>21</v>
      </c>
      <c r="CB178" s="35"/>
    </row>
    <row r="179" spans="1:80" x14ac:dyDescent="0.25">
      <c r="A179" s="26"/>
      <c r="C179" s="53" t="str">
        <f>('Gestión de abastecimiento'!A180)</f>
        <v>Beneficiaros 176</v>
      </c>
      <c r="D179" s="27">
        <f>'Por Valoracion (3) Dimension'!B179</f>
        <v>22</v>
      </c>
      <c r="E179" s="27">
        <f>'Por Valoracion (3) Dimension 2'!B179</f>
        <v>30</v>
      </c>
      <c r="Z179" s="26"/>
      <c r="AB179" s="34"/>
      <c r="AD179" s="53" t="str">
        <f>('Gestión de abastecimiento'!A180)</f>
        <v>Beneficiaros 176</v>
      </c>
      <c r="AE179" s="27">
        <f>'Por Valoracion (3) Dimension'!D179</f>
        <v>23</v>
      </c>
      <c r="AF179" s="27">
        <f>'Por Valoracion (3) Dimension 2'!B179</f>
        <v>30</v>
      </c>
      <c r="BA179" s="34"/>
      <c r="BC179" s="35"/>
      <c r="BE179" s="53" t="str">
        <f>('Gestión de abastecimiento'!A180)</f>
        <v>Beneficiaros 176</v>
      </c>
      <c r="BF179" s="27">
        <f>'Por Valoracion (3) Dimension'!F179</f>
        <v>20</v>
      </c>
      <c r="BG179" s="27">
        <f>'Por Valoracion (3) Dimension 2'!B179</f>
        <v>30</v>
      </c>
      <c r="CB179" s="35"/>
    </row>
    <row r="180" spans="1:80" x14ac:dyDescent="0.25">
      <c r="A180" s="26"/>
      <c r="C180" s="53" t="str">
        <f>('Gestión de abastecimiento'!A181)</f>
        <v>Beneficiaros 177</v>
      </c>
      <c r="D180" s="27">
        <f>'Por Valoracion (3) Dimension'!B180</f>
        <v>24</v>
      </c>
      <c r="E180" s="27">
        <f>'Por Valoracion (3) Dimension 2'!B180</f>
        <v>36</v>
      </c>
      <c r="Z180" s="26"/>
      <c r="AB180" s="34"/>
      <c r="AD180" s="53" t="str">
        <f>('Gestión de abastecimiento'!A181)</f>
        <v>Beneficiaros 177</v>
      </c>
      <c r="AE180" s="27">
        <f>'Por Valoracion (3) Dimension'!D180</f>
        <v>24</v>
      </c>
      <c r="AF180" s="27">
        <f>'Por Valoracion (3) Dimension 2'!B180</f>
        <v>36</v>
      </c>
      <c r="BA180" s="34"/>
      <c r="BC180" s="35"/>
      <c r="BE180" s="53" t="str">
        <f>('Gestión de abastecimiento'!A181)</f>
        <v>Beneficiaros 177</v>
      </c>
      <c r="BF180" s="27">
        <f>'Por Valoracion (3) Dimension'!F180</f>
        <v>24</v>
      </c>
      <c r="BG180" s="27">
        <f>'Por Valoracion (3) Dimension 2'!B180</f>
        <v>36</v>
      </c>
      <c r="CB180" s="35"/>
    </row>
    <row r="181" spans="1:80" x14ac:dyDescent="0.25">
      <c r="A181" s="26"/>
      <c r="C181" s="53" t="str">
        <f>('Gestión de abastecimiento'!A182)</f>
        <v>Beneficiaros 178</v>
      </c>
      <c r="D181" s="27">
        <f>'Por Valoracion (3) Dimension'!B181</f>
        <v>19</v>
      </c>
      <c r="E181" s="27">
        <f>'Por Valoracion (3) Dimension 2'!B181</f>
        <v>27</v>
      </c>
      <c r="Z181" s="26"/>
      <c r="AB181" s="34"/>
      <c r="AD181" s="53" t="str">
        <f>('Gestión de abastecimiento'!A182)</f>
        <v>Beneficiaros 178</v>
      </c>
      <c r="AE181" s="27">
        <f>'Por Valoracion (3) Dimension'!D181</f>
        <v>19</v>
      </c>
      <c r="AF181" s="27">
        <f>'Por Valoracion (3) Dimension 2'!B181</f>
        <v>27</v>
      </c>
      <c r="BA181" s="34"/>
      <c r="BC181" s="35"/>
      <c r="BE181" s="53" t="str">
        <f>('Gestión de abastecimiento'!A182)</f>
        <v>Beneficiaros 178</v>
      </c>
      <c r="BF181" s="27">
        <f>'Por Valoracion (3) Dimension'!F181</f>
        <v>18</v>
      </c>
      <c r="BG181" s="27">
        <f>'Por Valoracion (3) Dimension 2'!B181</f>
        <v>27</v>
      </c>
      <c r="CB181" s="35"/>
    </row>
    <row r="182" spans="1:80" x14ac:dyDescent="0.25">
      <c r="A182" s="26"/>
      <c r="C182" s="53" t="str">
        <f>('Gestión de abastecimiento'!A183)</f>
        <v>Beneficiaros 179</v>
      </c>
      <c r="D182" s="27">
        <f>'Por Valoracion (3) Dimension'!B182</f>
        <v>21</v>
      </c>
      <c r="E182" s="27">
        <f>'Por Valoracion (3) Dimension 2'!B182</f>
        <v>28</v>
      </c>
      <c r="Z182" s="26"/>
      <c r="AB182" s="34"/>
      <c r="AD182" s="53" t="str">
        <f>('Gestión de abastecimiento'!A183)</f>
        <v>Beneficiaros 179</v>
      </c>
      <c r="AE182" s="27">
        <f>'Por Valoracion (3) Dimension'!D182</f>
        <v>19</v>
      </c>
      <c r="AF182" s="27">
        <f>'Por Valoracion (3) Dimension 2'!B182</f>
        <v>28</v>
      </c>
      <c r="BA182" s="34"/>
      <c r="BC182" s="35"/>
      <c r="BE182" s="53" t="str">
        <f>('Gestión de abastecimiento'!A183)</f>
        <v>Beneficiaros 179</v>
      </c>
      <c r="BF182" s="27">
        <f>'Por Valoracion (3) Dimension'!F182</f>
        <v>19</v>
      </c>
      <c r="BG182" s="27">
        <f>'Por Valoracion (3) Dimension 2'!B182</f>
        <v>28</v>
      </c>
      <c r="CB182" s="35"/>
    </row>
    <row r="183" spans="1:80" x14ac:dyDescent="0.25">
      <c r="A183" s="26"/>
      <c r="C183" s="53" t="str">
        <f>('Gestión de abastecimiento'!A184)</f>
        <v>Beneficiaros 180</v>
      </c>
      <c r="D183" s="27">
        <f>'Por Valoracion (3) Dimension'!B183</f>
        <v>16</v>
      </c>
      <c r="E183" s="27">
        <f>'Por Valoracion (3) Dimension 2'!B183</f>
        <v>24</v>
      </c>
      <c r="Z183" s="26"/>
      <c r="AB183" s="34"/>
      <c r="AD183" s="53" t="str">
        <f>('Gestión de abastecimiento'!A184)</f>
        <v>Beneficiaros 180</v>
      </c>
      <c r="AE183" s="27">
        <f>'Por Valoracion (3) Dimension'!D183</f>
        <v>12</v>
      </c>
      <c r="AF183" s="27">
        <f>'Por Valoracion (3) Dimension 2'!B183</f>
        <v>24</v>
      </c>
      <c r="BA183" s="34"/>
      <c r="BC183" s="35"/>
      <c r="BE183" s="53" t="str">
        <f>('Gestión de abastecimiento'!A184)</f>
        <v>Beneficiaros 180</v>
      </c>
      <c r="BF183" s="27">
        <f>'Por Valoracion (3) Dimension'!F183</f>
        <v>15</v>
      </c>
      <c r="BG183" s="27">
        <f>'Por Valoracion (3) Dimension 2'!B183</f>
        <v>24</v>
      </c>
      <c r="CB183" s="35"/>
    </row>
    <row r="184" spans="1:80" x14ac:dyDescent="0.25">
      <c r="A184" s="26"/>
      <c r="C184" s="53" t="str">
        <f>('Gestión de abastecimiento'!A185)</f>
        <v>Beneficiaros 181</v>
      </c>
      <c r="D184" s="27">
        <f>'Por Valoracion (3) Dimension'!B184</f>
        <v>23</v>
      </c>
      <c r="E184" s="27">
        <f>'Por Valoracion (3) Dimension 2'!B184</f>
        <v>31</v>
      </c>
      <c r="Z184" s="26"/>
      <c r="AB184" s="34"/>
      <c r="AD184" s="53" t="str">
        <f>('Gestión de abastecimiento'!A185)</f>
        <v>Beneficiaros 181</v>
      </c>
      <c r="AE184" s="27">
        <f>'Por Valoracion (3) Dimension'!D184</f>
        <v>22</v>
      </c>
      <c r="AF184" s="27">
        <f>'Por Valoracion (3) Dimension 2'!B184</f>
        <v>31</v>
      </c>
      <c r="BA184" s="34"/>
      <c r="BC184" s="35"/>
      <c r="BE184" s="53" t="str">
        <f>('Gestión de abastecimiento'!A185)</f>
        <v>Beneficiaros 181</v>
      </c>
      <c r="BF184" s="27">
        <f>'Por Valoracion (3) Dimension'!F184</f>
        <v>21</v>
      </c>
      <c r="BG184" s="27">
        <f>'Por Valoracion (3) Dimension 2'!B184</f>
        <v>31</v>
      </c>
      <c r="CB184" s="35"/>
    </row>
    <row r="185" spans="1:80" x14ac:dyDescent="0.25">
      <c r="A185" s="26"/>
      <c r="C185" s="53" t="str">
        <f>('Gestión de abastecimiento'!A186)</f>
        <v>Beneficiaros 182</v>
      </c>
      <c r="D185" s="27">
        <f>'Por Valoracion (3) Dimension'!B185</f>
        <v>22</v>
      </c>
      <c r="E185" s="27">
        <f>'Por Valoracion (3) Dimension 2'!B185</f>
        <v>31</v>
      </c>
      <c r="Z185" s="26"/>
      <c r="AB185" s="34"/>
      <c r="AD185" s="53" t="str">
        <f>('Gestión de abastecimiento'!A186)</f>
        <v>Beneficiaros 182</v>
      </c>
      <c r="AE185" s="27">
        <f>'Por Valoracion (3) Dimension'!D185</f>
        <v>22</v>
      </c>
      <c r="AF185" s="27">
        <f>'Por Valoracion (3) Dimension 2'!B185</f>
        <v>31</v>
      </c>
      <c r="BA185" s="34"/>
      <c r="BC185" s="35"/>
      <c r="BE185" s="53" t="str">
        <f>('Gestión de abastecimiento'!A186)</f>
        <v>Beneficiaros 182</v>
      </c>
      <c r="BF185" s="27">
        <f>'Por Valoracion (3) Dimension'!F185</f>
        <v>23</v>
      </c>
      <c r="BG185" s="27">
        <f>'Por Valoracion (3) Dimension 2'!B185</f>
        <v>31</v>
      </c>
      <c r="CB185" s="35"/>
    </row>
    <row r="186" spans="1:80" x14ac:dyDescent="0.25">
      <c r="A186" s="26"/>
      <c r="C186" s="53" t="str">
        <f>('Gestión de abastecimiento'!A187)</f>
        <v>Beneficiaros 183</v>
      </c>
      <c r="D186" s="27">
        <f>'Por Valoracion (3) Dimension'!B186</f>
        <v>21</v>
      </c>
      <c r="E186" s="27">
        <f>'Por Valoracion (3) Dimension 2'!B186</f>
        <v>32</v>
      </c>
      <c r="Z186" s="26"/>
      <c r="AB186" s="34"/>
      <c r="AD186" s="53" t="str">
        <f>('Gestión de abastecimiento'!A187)</f>
        <v>Beneficiaros 183</v>
      </c>
      <c r="AE186" s="27">
        <f>'Por Valoracion (3) Dimension'!D186</f>
        <v>22</v>
      </c>
      <c r="AF186" s="27">
        <f>'Por Valoracion (3) Dimension 2'!B186</f>
        <v>32</v>
      </c>
      <c r="BA186" s="34"/>
      <c r="BC186" s="35"/>
      <c r="BE186" s="53" t="str">
        <f>('Gestión de abastecimiento'!A187)</f>
        <v>Beneficiaros 183</v>
      </c>
      <c r="BF186" s="27">
        <f>'Por Valoracion (3) Dimension'!F186</f>
        <v>19</v>
      </c>
      <c r="BG186" s="27">
        <f>'Por Valoracion (3) Dimension 2'!B186</f>
        <v>32</v>
      </c>
      <c r="CB186" s="35"/>
    </row>
    <row r="187" spans="1:80" x14ac:dyDescent="0.25">
      <c r="A187" s="26"/>
      <c r="C187" s="53" t="str">
        <f>('Gestión de abastecimiento'!A188)</f>
        <v>Beneficiaros 184</v>
      </c>
      <c r="D187" s="27">
        <f>'Por Valoracion (3) Dimension'!B187</f>
        <v>18</v>
      </c>
      <c r="E187" s="27">
        <f>'Por Valoracion (3) Dimension 2'!B187</f>
        <v>27</v>
      </c>
      <c r="Z187" s="26"/>
      <c r="AB187" s="34"/>
      <c r="AD187" s="53" t="str">
        <f>('Gestión de abastecimiento'!A188)</f>
        <v>Beneficiaros 184</v>
      </c>
      <c r="AE187" s="27">
        <f>'Por Valoracion (3) Dimension'!D187</f>
        <v>18</v>
      </c>
      <c r="AF187" s="27">
        <f>'Por Valoracion (3) Dimension 2'!B187</f>
        <v>27</v>
      </c>
      <c r="BA187" s="34"/>
      <c r="BC187" s="35"/>
      <c r="BE187" s="53" t="str">
        <f>('Gestión de abastecimiento'!A188)</f>
        <v>Beneficiaros 184</v>
      </c>
      <c r="BF187" s="27">
        <f>'Por Valoracion (3) Dimension'!F187</f>
        <v>20</v>
      </c>
      <c r="BG187" s="27">
        <f>'Por Valoracion (3) Dimension 2'!B187</f>
        <v>27</v>
      </c>
      <c r="CB187" s="35"/>
    </row>
    <row r="188" spans="1:80" x14ac:dyDescent="0.25">
      <c r="A188" s="26"/>
      <c r="C188" s="53" t="str">
        <f>('Gestión de abastecimiento'!A189)</f>
        <v>Beneficiaros 185</v>
      </c>
      <c r="D188" s="27">
        <f>'Por Valoracion (3) Dimension'!B188</f>
        <v>20</v>
      </c>
      <c r="E188" s="27">
        <f>'Por Valoracion (3) Dimension 2'!B188</f>
        <v>28</v>
      </c>
      <c r="Z188" s="26"/>
      <c r="AB188" s="34"/>
      <c r="AD188" s="53" t="str">
        <f>('Gestión de abastecimiento'!A189)</f>
        <v>Beneficiaros 185</v>
      </c>
      <c r="AE188" s="27">
        <f>'Por Valoracion (3) Dimension'!D188</f>
        <v>20</v>
      </c>
      <c r="AF188" s="27">
        <f>'Por Valoracion (3) Dimension 2'!B188</f>
        <v>28</v>
      </c>
      <c r="BA188" s="34"/>
      <c r="BC188" s="35"/>
      <c r="BE188" s="53" t="str">
        <f>('Gestión de abastecimiento'!A189)</f>
        <v>Beneficiaros 185</v>
      </c>
      <c r="BF188" s="27">
        <f>'Por Valoracion (3) Dimension'!F188</f>
        <v>18</v>
      </c>
      <c r="BG188" s="27">
        <f>'Por Valoracion (3) Dimension 2'!B188</f>
        <v>28</v>
      </c>
      <c r="CB188" s="35"/>
    </row>
    <row r="189" spans="1:80" x14ac:dyDescent="0.25">
      <c r="A189" s="26"/>
      <c r="C189" s="53" t="str">
        <f>('Gestión de abastecimiento'!A190)</f>
        <v>Beneficiaros 186</v>
      </c>
      <c r="D189" s="27">
        <f>'Por Valoracion (3) Dimension'!B189</f>
        <v>20</v>
      </c>
      <c r="E189" s="27">
        <f>'Por Valoracion (3) Dimension 2'!B189</f>
        <v>29</v>
      </c>
      <c r="Z189" s="26"/>
      <c r="AB189" s="34"/>
      <c r="AD189" s="53" t="str">
        <f>('Gestión de abastecimiento'!A190)</f>
        <v>Beneficiaros 186</v>
      </c>
      <c r="AE189" s="27">
        <f>'Por Valoracion (3) Dimension'!D189</f>
        <v>20</v>
      </c>
      <c r="AF189" s="27">
        <f>'Por Valoracion (3) Dimension 2'!B189</f>
        <v>29</v>
      </c>
      <c r="BA189" s="34"/>
      <c r="BC189" s="35"/>
      <c r="BE189" s="53" t="str">
        <f>('Gestión de abastecimiento'!A190)</f>
        <v>Beneficiaros 186</v>
      </c>
      <c r="BF189" s="27">
        <f>'Por Valoracion (3) Dimension'!F189</f>
        <v>19</v>
      </c>
      <c r="BG189" s="27">
        <f>'Por Valoracion (3) Dimension 2'!B189</f>
        <v>29</v>
      </c>
      <c r="CB189" s="35"/>
    </row>
    <row r="190" spans="1:80" x14ac:dyDescent="0.25">
      <c r="A190" s="26"/>
      <c r="C190" s="53" t="str">
        <f>('Gestión de abastecimiento'!A191)</f>
        <v>Beneficiaros 187</v>
      </c>
      <c r="D190" s="27">
        <f>'Por Valoracion (3) Dimension'!B190</f>
        <v>21</v>
      </c>
      <c r="E190" s="27">
        <f>'Por Valoracion (3) Dimension 2'!B190</f>
        <v>29</v>
      </c>
      <c r="Z190" s="26"/>
      <c r="AB190" s="34"/>
      <c r="AD190" s="53" t="str">
        <f>('Gestión de abastecimiento'!A191)</f>
        <v>Beneficiaros 187</v>
      </c>
      <c r="AE190" s="27">
        <f>'Por Valoracion (3) Dimension'!D190</f>
        <v>18</v>
      </c>
      <c r="AF190" s="27">
        <f>'Por Valoracion (3) Dimension 2'!B190</f>
        <v>29</v>
      </c>
      <c r="BA190" s="34"/>
      <c r="BC190" s="35"/>
      <c r="BE190" s="53" t="str">
        <f>('Gestión de abastecimiento'!A191)</f>
        <v>Beneficiaros 187</v>
      </c>
      <c r="BF190" s="27">
        <f>'Por Valoracion (3) Dimension'!F190</f>
        <v>19</v>
      </c>
      <c r="BG190" s="27">
        <f>'Por Valoracion (3) Dimension 2'!B190</f>
        <v>29</v>
      </c>
      <c r="CB190" s="35"/>
    </row>
    <row r="191" spans="1:80" x14ac:dyDescent="0.25">
      <c r="A191" s="26"/>
      <c r="C191" s="53" t="str">
        <f>('Gestión de abastecimiento'!A192)</f>
        <v>Beneficiaros 188</v>
      </c>
      <c r="D191" s="27">
        <f>'Por Valoracion (3) Dimension'!B191</f>
        <v>22</v>
      </c>
      <c r="E191" s="27">
        <f>'Por Valoracion (3) Dimension 2'!B191</f>
        <v>34</v>
      </c>
      <c r="Z191" s="26"/>
      <c r="AB191" s="34"/>
      <c r="AD191" s="53" t="str">
        <f>('Gestión de abastecimiento'!A192)</f>
        <v>Beneficiaros 188</v>
      </c>
      <c r="AE191" s="27">
        <f>'Por Valoracion (3) Dimension'!D191</f>
        <v>23</v>
      </c>
      <c r="AF191" s="27">
        <f>'Por Valoracion (3) Dimension 2'!B191</f>
        <v>34</v>
      </c>
      <c r="BA191" s="34"/>
      <c r="BC191" s="35"/>
      <c r="BE191" s="53" t="str">
        <f>('Gestión de abastecimiento'!A192)</f>
        <v>Beneficiaros 188</v>
      </c>
      <c r="BF191" s="27">
        <f>'Por Valoracion (3) Dimension'!F191</f>
        <v>23</v>
      </c>
      <c r="BG191" s="27">
        <f>'Por Valoracion (3) Dimension 2'!B191</f>
        <v>34</v>
      </c>
      <c r="CB191" s="35"/>
    </row>
    <row r="192" spans="1:80" x14ac:dyDescent="0.25">
      <c r="A192" s="26"/>
      <c r="C192" s="53" t="str">
        <f>('Gestión de abastecimiento'!A193)</f>
        <v>Beneficiaros 189</v>
      </c>
      <c r="D192" s="27">
        <f>'Por Valoracion (3) Dimension'!B192</f>
        <v>22</v>
      </c>
      <c r="E192" s="27">
        <f>'Por Valoracion (3) Dimension 2'!B192</f>
        <v>31</v>
      </c>
      <c r="Z192" s="26"/>
      <c r="AB192" s="34"/>
      <c r="AD192" s="53" t="str">
        <f>('Gestión de abastecimiento'!A193)</f>
        <v>Beneficiaros 189</v>
      </c>
      <c r="AE192" s="27">
        <f>'Por Valoracion (3) Dimension'!D192</f>
        <v>22</v>
      </c>
      <c r="AF192" s="27">
        <f>'Por Valoracion (3) Dimension 2'!B192</f>
        <v>31</v>
      </c>
      <c r="BA192" s="34"/>
      <c r="BC192" s="35"/>
      <c r="BE192" s="53" t="str">
        <f>('Gestión de abastecimiento'!A193)</f>
        <v>Beneficiaros 189</v>
      </c>
      <c r="BF192" s="27">
        <f>'Por Valoracion (3) Dimension'!F192</f>
        <v>20</v>
      </c>
      <c r="BG192" s="27">
        <f>'Por Valoracion (3) Dimension 2'!B192</f>
        <v>31</v>
      </c>
      <c r="CB192" s="35"/>
    </row>
    <row r="193" spans="1:80" x14ac:dyDescent="0.25">
      <c r="A193" s="26"/>
      <c r="C193" s="53" t="str">
        <f>('Gestión de abastecimiento'!A194)</f>
        <v>Beneficiaros 190</v>
      </c>
      <c r="D193" s="27">
        <f>'Por Valoracion (3) Dimension'!B193</f>
        <v>11</v>
      </c>
      <c r="E193" s="27">
        <f>'Por Valoracion (3) Dimension 2'!B193</f>
        <v>17</v>
      </c>
      <c r="Z193" s="26"/>
      <c r="AB193" s="34"/>
      <c r="AD193" s="53" t="str">
        <f>('Gestión de abastecimiento'!A194)</f>
        <v>Beneficiaros 190</v>
      </c>
      <c r="AE193" s="27">
        <f>'Por Valoracion (3) Dimension'!D193</f>
        <v>12</v>
      </c>
      <c r="AF193" s="27">
        <f>'Por Valoracion (3) Dimension 2'!B193</f>
        <v>17</v>
      </c>
      <c r="BA193" s="34"/>
      <c r="BC193" s="35"/>
      <c r="BE193" s="53" t="str">
        <f>('Gestión de abastecimiento'!A194)</f>
        <v>Beneficiaros 190</v>
      </c>
      <c r="BF193" s="27">
        <f>'Por Valoracion (3) Dimension'!F193</f>
        <v>11</v>
      </c>
      <c r="BG193" s="27">
        <f>'Por Valoracion (3) Dimension 2'!B193</f>
        <v>17</v>
      </c>
      <c r="CB193" s="35"/>
    </row>
    <row r="194" spans="1:80" x14ac:dyDescent="0.25">
      <c r="A194" s="26"/>
      <c r="C194" s="53" t="str">
        <f>('Gestión de abastecimiento'!A195)</f>
        <v>Beneficiaros 191</v>
      </c>
      <c r="D194" s="27">
        <f>'Por Valoracion (3) Dimension'!B194</f>
        <v>22</v>
      </c>
      <c r="E194" s="27">
        <f>'Por Valoracion (3) Dimension 2'!B194</f>
        <v>33</v>
      </c>
      <c r="Z194" s="26"/>
      <c r="AB194" s="34"/>
      <c r="AD194" s="53" t="str">
        <f>('Gestión de abastecimiento'!A195)</f>
        <v>Beneficiaros 191</v>
      </c>
      <c r="AE194" s="27">
        <f>'Por Valoracion (3) Dimension'!D194</f>
        <v>22</v>
      </c>
      <c r="AF194" s="27">
        <f>'Por Valoracion (3) Dimension 2'!B194</f>
        <v>33</v>
      </c>
      <c r="BA194" s="34"/>
      <c r="BC194" s="35"/>
      <c r="BE194" s="53" t="str">
        <f>('Gestión de abastecimiento'!A195)</f>
        <v>Beneficiaros 191</v>
      </c>
      <c r="BF194" s="27">
        <f>'Por Valoracion (3) Dimension'!F194</f>
        <v>21</v>
      </c>
      <c r="BG194" s="27">
        <f>'Por Valoracion (3) Dimension 2'!B194</f>
        <v>33</v>
      </c>
      <c r="CB194" s="35"/>
    </row>
    <row r="195" spans="1:80" x14ac:dyDescent="0.25">
      <c r="A195" s="26"/>
      <c r="C195" s="53" t="str">
        <f>('Gestión de abastecimiento'!A196)</f>
        <v>Beneficiaros 192</v>
      </c>
      <c r="D195" s="27">
        <f>'Por Valoracion (3) Dimension'!B195</f>
        <v>24</v>
      </c>
      <c r="E195" s="27">
        <f>'Por Valoracion (3) Dimension 2'!B195</f>
        <v>36</v>
      </c>
      <c r="Z195" s="26"/>
      <c r="AB195" s="34"/>
      <c r="AD195" s="53" t="str">
        <f>('Gestión de abastecimiento'!A196)</f>
        <v>Beneficiaros 192</v>
      </c>
      <c r="AE195" s="27">
        <f>'Por Valoracion (3) Dimension'!D195</f>
        <v>24</v>
      </c>
      <c r="AF195" s="27">
        <f>'Por Valoracion (3) Dimension 2'!B195</f>
        <v>36</v>
      </c>
      <c r="BA195" s="34"/>
      <c r="BC195" s="35"/>
      <c r="BE195" s="53" t="str">
        <f>('Gestión de abastecimiento'!A196)</f>
        <v>Beneficiaros 192</v>
      </c>
      <c r="BF195" s="27">
        <f>'Por Valoracion (3) Dimension'!F195</f>
        <v>25</v>
      </c>
      <c r="BG195" s="27">
        <f>'Por Valoracion (3) Dimension 2'!B195</f>
        <v>36</v>
      </c>
      <c r="CB195" s="35"/>
    </row>
    <row r="196" spans="1:80" x14ac:dyDescent="0.25">
      <c r="A196" s="26"/>
      <c r="C196" s="53" t="str">
        <f>('Gestión de abastecimiento'!A197)</f>
        <v>Beneficiaros 193</v>
      </c>
      <c r="D196" s="27">
        <f>'Por Valoracion (3) Dimension'!B196</f>
        <v>18</v>
      </c>
      <c r="E196" s="27">
        <f>'Por Valoracion (3) Dimension 2'!B196</f>
        <v>27</v>
      </c>
      <c r="Z196" s="26"/>
      <c r="AB196" s="34"/>
      <c r="AD196" s="53" t="str">
        <f>('Gestión de abastecimiento'!A197)</f>
        <v>Beneficiaros 193</v>
      </c>
      <c r="AE196" s="27">
        <f>'Por Valoracion (3) Dimension'!D196</f>
        <v>17</v>
      </c>
      <c r="AF196" s="27">
        <f>'Por Valoracion (3) Dimension 2'!B196</f>
        <v>27</v>
      </c>
      <c r="BA196" s="34"/>
      <c r="BC196" s="35"/>
      <c r="BE196" s="53" t="str">
        <f>('Gestión de abastecimiento'!A197)</f>
        <v>Beneficiaros 193</v>
      </c>
      <c r="BF196" s="27">
        <f>'Por Valoracion (3) Dimension'!F196</f>
        <v>17</v>
      </c>
      <c r="BG196" s="27">
        <f>'Por Valoracion (3) Dimension 2'!B196</f>
        <v>27</v>
      </c>
      <c r="CB196" s="35"/>
    </row>
    <row r="197" spans="1:80" x14ac:dyDescent="0.25">
      <c r="A197" s="26"/>
      <c r="C197" s="53" t="str">
        <f>('Gestión de abastecimiento'!A198)</f>
        <v>Beneficiaros 194</v>
      </c>
      <c r="D197" s="27">
        <f>'Por Valoracion (3) Dimension'!B197</f>
        <v>23</v>
      </c>
      <c r="E197" s="27">
        <f>'Por Valoracion (3) Dimension 2'!B197</f>
        <v>33</v>
      </c>
      <c r="Z197" s="26"/>
      <c r="AB197" s="34"/>
      <c r="AD197" s="53" t="str">
        <f>('Gestión de abastecimiento'!A198)</f>
        <v>Beneficiaros 194</v>
      </c>
      <c r="AE197" s="27">
        <f>'Por Valoracion (3) Dimension'!D197</f>
        <v>22</v>
      </c>
      <c r="AF197" s="27">
        <f>'Por Valoracion (3) Dimension 2'!B197</f>
        <v>33</v>
      </c>
      <c r="BA197" s="34"/>
      <c r="BC197" s="35"/>
      <c r="BE197" s="53" t="str">
        <f>('Gestión de abastecimiento'!A198)</f>
        <v>Beneficiaros 194</v>
      </c>
      <c r="BF197" s="27">
        <f>'Por Valoracion (3) Dimension'!F197</f>
        <v>22</v>
      </c>
      <c r="BG197" s="27">
        <f>'Por Valoracion (3) Dimension 2'!B197</f>
        <v>33</v>
      </c>
      <c r="CB197" s="35"/>
    </row>
    <row r="198" spans="1:80" x14ac:dyDescent="0.25">
      <c r="A198" s="26"/>
      <c r="C198" s="53" t="str">
        <f>('Gestión de abastecimiento'!A199)</f>
        <v>Beneficiaros 195</v>
      </c>
      <c r="D198" s="27">
        <f>'Por Valoracion (3) Dimension'!B198</f>
        <v>22</v>
      </c>
      <c r="E198" s="27">
        <f>'Por Valoracion (3) Dimension 2'!B198</f>
        <v>34</v>
      </c>
      <c r="Z198" s="26"/>
      <c r="AB198" s="34"/>
      <c r="AD198" s="53" t="str">
        <f>('Gestión de abastecimiento'!A199)</f>
        <v>Beneficiaros 195</v>
      </c>
      <c r="AE198" s="27">
        <f>'Por Valoracion (3) Dimension'!D198</f>
        <v>24</v>
      </c>
      <c r="AF198" s="27">
        <f>'Por Valoracion (3) Dimension 2'!B198</f>
        <v>34</v>
      </c>
      <c r="BA198" s="34"/>
      <c r="BC198" s="35"/>
      <c r="BE198" s="53" t="str">
        <f>('Gestión de abastecimiento'!A199)</f>
        <v>Beneficiaros 195</v>
      </c>
      <c r="BF198" s="27">
        <f>'Por Valoracion (3) Dimension'!F198</f>
        <v>21</v>
      </c>
      <c r="BG198" s="27">
        <f>'Por Valoracion (3) Dimension 2'!B198</f>
        <v>34</v>
      </c>
      <c r="CB198" s="35"/>
    </row>
    <row r="199" spans="1:80" x14ac:dyDescent="0.25">
      <c r="A199" s="26"/>
      <c r="C199" s="53" t="str">
        <f>('Gestión de abastecimiento'!A200)</f>
        <v>Beneficiaros 196</v>
      </c>
      <c r="D199" s="27">
        <f>'Por Valoracion (3) Dimension'!B199</f>
        <v>11</v>
      </c>
      <c r="E199" s="27">
        <f>'Por Valoracion (3) Dimension 2'!B199</f>
        <v>17</v>
      </c>
      <c r="Z199" s="26"/>
      <c r="AB199" s="34"/>
      <c r="AD199" s="53" t="str">
        <f>('Gestión de abastecimiento'!A200)</f>
        <v>Beneficiaros 196</v>
      </c>
      <c r="AE199" s="27">
        <f>'Por Valoracion (3) Dimension'!D199</f>
        <v>12</v>
      </c>
      <c r="AF199" s="27">
        <f>'Por Valoracion (3) Dimension 2'!B199</f>
        <v>17</v>
      </c>
      <c r="BA199" s="34"/>
      <c r="BC199" s="35"/>
      <c r="BE199" s="53" t="str">
        <f>('Gestión de abastecimiento'!A200)</f>
        <v>Beneficiaros 196</v>
      </c>
      <c r="BF199" s="27">
        <f>'Por Valoracion (3) Dimension'!F199</f>
        <v>10</v>
      </c>
      <c r="BG199" s="27">
        <f>'Por Valoracion (3) Dimension 2'!B199</f>
        <v>17</v>
      </c>
      <c r="CB199" s="35"/>
    </row>
    <row r="200" spans="1:80" x14ac:dyDescent="0.25">
      <c r="A200" s="26"/>
      <c r="C200" s="53" t="str">
        <f>('Gestión de abastecimiento'!A201)</f>
        <v>Beneficiaros 197</v>
      </c>
      <c r="D200" s="27">
        <f>'Por Valoracion (3) Dimension'!B200</f>
        <v>21</v>
      </c>
      <c r="E200" s="27">
        <f>'Por Valoracion (3) Dimension 2'!B200</f>
        <v>29</v>
      </c>
      <c r="Z200" s="26"/>
      <c r="AB200" s="34"/>
      <c r="AD200" s="53" t="str">
        <f>('Gestión de abastecimiento'!A201)</f>
        <v>Beneficiaros 197</v>
      </c>
      <c r="AE200" s="27">
        <f>'Por Valoracion (3) Dimension'!D200</f>
        <v>21</v>
      </c>
      <c r="AF200" s="27">
        <f>'Por Valoracion (3) Dimension 2'!B200</f>
        <v>29</v>
      </c>
      <c r="BA200" s="34"/>
      <c r="BC200" s="35"/>
      <c r="BE200" s="53" t="str">
        <f>('Gestión de abastecimiento'!A201)</f>
        <v>Beneficiaros 197</v>
      </c>
      <c r="BF200" s="27">
        <f>'Por Valoracion (3) Dimension'!F200</f>
        <v>20</v>
      </c>
      <c r="BG200" s="27">
        <f>'Por Valoracion (3) Dimension 2'!B200</f>
        <v>29</v>
      </c>
      <c r="CB200" s="35"/>
    </row>
    <row r="201" spans="1:80" x14ac:dyDescent="0.25">
      <c r="A201" s="26"/>
      <c r="C201" s="53" t="str">
        <f>('Gestión de abastecimiento'!A202)</f>
        <v>Beneficiaros 198</v>
      </c>
      <c r="D201" s="27">
        <f>'Por Valoracion (3) Dimension'!B201</f>
        <v>18</v>
      </c>
      <c r="E201" s="27">
        <f>'Por Valoracion (3) Dimension 2'!B201</f>
        <v>27</v>
      </c>
      <c r="Z201" s="26"/>
      <c r="AB201" s="34"/>
      <c r="AD201" s="53" t="str">
        <f>('Gestión de abastecimiento'!A202)</f>
        <v>Beneficiaros 198</v>
      </c>
      <c r="AE201" s="27">
        <f>'Por Valoracion (3) Dimension'!D201</f>
        <v>18</v>
      </c>
      <c r="AF201" s="27">
        <f>'Por Valoracion (3) Dimension 2'!B201</f>
        <v>27</v>
      </c>
      <c r="BA201" s="34"/>
      <c r="BC201" s="35"/>
      <c r="BE201" s="53" t="str">
        <f>('Gestión de abastecimiento'!A202)</f>
        <v>Beneficiaros 198</v>
      </c>
      <c r="BF201" s="27">
        <f>'Por Valoracion (3) Dimension'!F201</f>
        <v>17</v>
      </c>
      <c r="BG201" s="27">
        <f>'Por Valoracion (3) Dimension 2'!B201</f>
        <v>27</v>
      </c>
      <c r="CB201" s="35"/>
    </row>
    <row r="202" spans="1:80" x14ac:dyDescent="0.25">
      <c r="A202" s="26"/>
      <c r="C202" s="53" t="str">
        <f>('Gestión de abastecimiento'!A203)</f>
        <v>Beneficiaros 199</v>
      </c>
      <c r="D202" s="27">
        <f>'Por Valoracion (3) Dimension'!B202</f>
        <v>16</v>
      </c>
      <c r="E202" s="27">
        <f>'Por Valoracion (3) Dimension 2'!B202</f>
        <v>26</v>
      </c>
      <c r="Z202" s="26"/>
      <c r="AB202" s="34"/>
      <c r="AD202" s="53" t="str">
        <f>('Gestión de abastecimiento'!A203)</f>
        <v>Beneficiaros 199</v>
      </c>
      <c r="AE202" s="27">
        <f>'Por Valoracion (3) Dimension'!D202</f>
        <v>18</v>
      </c>
      <c r="AF202" s="27">
        <f>'Por Valoracion (3) Dimension 2'!B202</f>
        <v>26</v>
      </c>
      <c r="BA202" s="34"/>
      <c r="BC202" s="35"/>
      <c r="BE202" s="53" t="str">
        <f>('Gestión de abastecimiento'!A203)</f>
        <v>Beneficiaros 199</v>
      </c>
      <c r="BF202" s="27">
        <f>'Por Valoracion (3) Dimension'!F202</f>
        <v>15</v>
      </c>
      <c r="BG202" s="27">
        <f>'Por Valoracion (3) Dimension 2'!B202</f>
        <v>26</v>
      </c>
      <c r="CB202" s="35"/>
    </row>
    <row r="203" spans="1:80" x14ac:dyDescent="0.25">
      <c r="A203" s="26"/>
      <c r="C203" s="53" t="str">
        <f>('Gestión de abastecimiento'!A204)</f>
        <v>Beneficiaros 200</v>
      </c>
      <c r="D203" s="27">
        <f>'Por Valoracion (3) Dimension'!B203</f>
        <v>18</v>
      </c>
      <c r="E203" s="27">
        <f>'Por Valoracion (3) Dimension 2'!B203</f>
        <v>28</v>
      </c>
      <c r="Z203" s="26"/>
      <c r="AB203" s="34"/>
      <c r="AD203" s="53" t="str">
        <f>('Gestión de abastecimiento'!A204)</f>
        <v>Beneficiaros 200</v>
      </c>
      <c r="AE203" s="27">
        <f>'Por Valoracion (3) Dimension'!D203</f>
        <v>19</v>
      </c>
      <c r="AF203" s="27">
        <f>'Por Valoracion (3) Dimension 2'!B203</f>
        <v>28</v>
      </c>
      <c r="BA203" s="34"/>
      <c r="BC203" s="35"/>
      <c r="BE203" s="53" t="str">
        <f>('Gestión de abastecimiento'!A204)</f>
        <v>Beneficiaros 200</v>
      </c>
      <c r="BF203" s="27">
        <f>'Por Valoracion (3) Dimension'!F203</f>
        <v>19</v>
      </c>
      <c r="BG203" s="27">
        <f>'Por Valoracion (3) Dimension 2'!B203</f>
        <v>28</v>
      </c>
      <c r="CB203" s="35"/>
    </row>
    <row r="204" spans="1:80" x14ac:dyDescent="0.25">
      <c r="A204" s="26"/>
      <c r="C204" s="53" t="str">
        <f>('Gestión de abastecimiento'!A205)</f>
        <v>Beneficiaros 201</v>
      </c>
      <c r="D204" s="27">
        <f>'Por Valoracion (3) Dimension'!B204</f>
        <v>18</v>
      </c>
      <c r="E204" s="27">
        <f>'Por Valoracion (3) Dimension 2'!B204</f>
        <v>27</v>
      </c>
      <c r="Z204" s="26"/>
      <c r="AB204" s="34"/>
      <c r="AD204" s="53" t="str">
        <f>('Gestión de abastecimiento'!A205)</f>
        <v>Beneficiaros 201</v>
      </c>
      <c r="AE204" s="27">
        <f>'Por Valoracion (3) Dimension'!D204</f>
        <v>18</v>
      </c>
      <c r="AF204" s="27">
        <f>'Por Valoracion (3) Dimension 2'!B204</f>
        <v>27</v>
      </c>
      <c r="BA204" s="34"/>
      <c r="BC204" s="35"/>
      <c r="BE204" s="53" t="str">
        <f>('Gestión de abastecimiento'!A205)</f>
        <v>Beneficiaros 201</v>
      </c>
      <c r="BF204" s="27">
        <f>'Por Valoracion (3) Dimension'!F204</f>
        <v>18</v>
      </c>
      <c r="BG204" s="27">
        <f>'Por Valoracion (3) Dimension 2'!B204</f>
        <v>27</v>
      </c>
      <c r="CB204" s="35"/>
    </row>
    <row r="205" spans="1:80" x14ac:dyDescent="0.25">
      <c r="A205" s="26"/>
      <c r="C205" s="53" t="str">
        <f>('Gestión de abastecimiento'!A206)</f>
        <v>Beneficiaros 202</v>
      </c>
      <c r="D205" s="27">
        <f>'Por Valoracion (3) Dimension'!B205</f>
        <v>23</v>
      </c>
      <c r="E205" s="27">
        <f>'Por Valoracion (3) Dimension 2'!B205</f>
        <v>30</v>
      </c>
      <c r="Z205" s="26"/>
      <c r="AB205" s="34"/>
      <c r="AD205" s="53" t="str">
        <f>('Gestión de abastecimiento'!A206)</f>
        <v>Beneficiaros 202</v>
      </c>
      <c r="AE205" s="27">
        <f>'Por Valoracion (3) Dimension'!D205</f>
        <v>21</v>
      </c>
      <c r="AF205" s="27">
        <f>'Por Valoracion (3) Dimension 2'!B205</f>
        <v>30</v>
      </c>
      <c r="BA205" s="34"/>
      <c r="BC205" s="35"/>
      <c r="BE205" s="53" t="str">
        <f>('Gestión de abastecimiento'!A206)</f>
        <v>Beneficiaros 202</v>
      </c>
      <c r="BF205" s="27">
        <f>'Por Valoracion (3) Dimension'!F205</f>
        <v>20</v>
      </c>
      <c r="BG205" s="27">
        <f>'Por Valoracion (3) Dimension 2'!B205</f>
        <v>30</v>
      </c>
      <c r="CB205" s="35"/>
    </row>
    <row r="206" spans="1:80" x14ac:dyDescent="0.25">
      <c r="A206" s="26"/>
      <c r="C206" s="53" t="str">
        <f>('Gestión de abastecimiento'!A207)</f>
        <v>Beneficiaros 203</v>
      </c>
      <c r="D206" s="27">
        <f>'Por Valoracion (3) Dimension'!B206</f>
        <v>16</v>
      </c>
      <c r="E206" s="27">
        <f>'Por Valoracion (3) Dimension 2'!B206</f>
        <v>26</v>
      </c>
      <c r="Z206" s="26"/>
      <c r="AB206" s="34"/>
      <c r="AD206" s="53" t="str">
        <f>('Gestión de abastecimiento'!A207)</f>
        <v>Beneficiaros 203</v>
      </c>
      <c r="AE206" s="27">
        <f>'Por Valoracion (3) Dimension'!D206</f>
        <v>17</v>
      </c>
      <c r="AF206" s="27">
        <f>'Por Valoracion (3) Dimension 2'!B206</f>
        <v>26</v>
      </c>
      <c r="BA206" s="34"/>
      <c r="BC206" s="35"/>
      <c r="BE206" s="53" t="str">
        <f>('Gestión de abastecimiento'!A207)</f>
        <v>Beneficiaros 203</v>
      </c>
      <c r="BF206" s="27">
        <f>'Por Valoracion (3) Dimension'!F206</f>
        <v>17</v>
      </c>
      <c r="BG206" s="27">
        <f>'Por Valoracion (3) Dimension 2'!B206</f>
        <v>26</v>
      </c>
      <c r="CB206" s="35"/>
    </row>
    <row r="207" spans="1:80" x14ac:dyDescent="0.25">
      <c r="A207" s="26"/>
      <c r="C207" s="53" t="str">
        <f>('Gestión de abastecimiento'!A208)</f>
        <v>Beneficiaros 204</v>
      </c>
      <c r="D207" s="27">
        <f>'Por Valoracion (3) Dimension'!B207</f>
        <v>24</v>
      </c>
      <c r="E207" s="27">
        <f>'Por Valoracion (3) Dimension 2'!B207</f>
        <v>35</v>
      </c>
      <c r="Z207" s="26"/>
      <c r="AB207" s="34"/>
      <c r="AD207" s="53" t="str">
        <f>('Gestión de abastecimiento'!A208)</f>
        <v>Beneficiaros 204</v>
      </c>
      <c r="AE207" s="27">
        <f>'Por Valoracion (3) Dimension'!D207</f>
        <v>24</v>
      </c>
      <c r="AF207" s="27">
        <f>'Por Valoracion (3) Dimension 2'!B207</f>
        <v>35</v>
      </c>
      <c r="BA207" s="34"/>
      <c r="BC207" s="35"/>
      <c r="BE207" s="53" t="str">
        <f>('Gestión de abastecimiento'!A208)</f>
        <v>Beneficiaros 204</v>
      </c>
      <c r="BF207" s="27">
        <f>'Por Valoracion (3) Dimension'!F207</f>
        <v>23</v>
      </c>
      <c r="BG207" s="27">
        <f>'Por Valoracion (3) Dimension 2'!B207</f>
        <v>35</v>
      </c>
      <c r="CB207" s="35"/>
    </row>
    <row r="208" spans="1:80" x14ac:dyDescent="0.25">
      <c r="A208" s="26"/>
      <c r="C208" s="53" t="str">
        <f>('Gestión de abastecimiento'!A209)</f>
        <v>Beneficiaros 205</v>
      </c>
      <c r="D208" s="27">
        <f>'Por Valoracion (3) Dimension'!B208</f>
        <v>18</v>
      </c>
      <c r="E208" s="27">
        <f>'Por Valoracion (3) Dimension 2'!B208</f>
        <v>27</v>
      </c>
      <c r="Z208" s="26"/>
      <c r="AB208" s="34"/>
      <c r="AD208" s="53" t="str">
        <f>('Gestión de abastecimiento'!A209)</f>
        <v>Beneficiaros 205</v>
      </c>
      <c r="AE208" s="27">
        <f>'Por Valoracion (3) Dimension'!D208</f>
        <v>18</v>
      </c>
      <c r="AF208" s="27">
        <f>'Por Valoracion (3) Dimension 2'!B208</f>
        <v>27</v>
      </c>
      <c r="BA208" s="34"/>
      <c r="BC208" s="35"/>
      <c r="BE208" s="53" t="str">
        <f>('Gestión de abastecimiento'!A209)</f>
        <v>Beneficiaros 205</v>
      </c>
      <c r="BF208" s="27">
        <f>'Por Valoracion (3) Dimension'!F208</f>
        <v>17</v>
      </c>
      <c r="BG208" s="27">
        <f>'Por Valoracion (3) Dimension 2'!B208</f>
        <v>27</v>
      </c>
      <c r="CB208" s="35"/>
    </row>
    <row r="209" spans="1:80" x14ac:dyDescent="0.25">
      <c r="A209" s="26"/>
      <c r="C209" s="53" t="str">
        <f>('Gestión de abastecimiento'!A210)</f>
        <v>Beneficiaros 206</v>
      </c>
      <c r="D209" s="27">
        <f>'Por Valoracion (3) Dimension'!B209</f>
        <v>18</v>
      </c>
      <c r="E209" s="27">
        <f>'Por Valoracion (3) Dimension 2'!B209</f>
        <v>25</v>
      </c>
      <c r="Z209" s="26"/>
      <c r="AB209" s="34"/>
      <c r="AD209" s="53" t="str">
        <f>('Gestión de abastecimiento'!A210)</f>
        <v>Beneficiaros 206</v>
      </c>
      <c r="AE209" s="27">
        <f>'Por Valoracion (3) Dimension'!D209</f>
        <v>17</v>
      </c>
      <c r="AF209" s="27">
        <f>'Por Valoracion (3) Dimension 2'!B209</f>
        <v>25</v>
      </c>
      <c r="BA209" s="34"/>
      <c r="BC209" s="35"/>
      <c r="BE209" s="53" t="str">
        <f>('Gestión de abastecimiento'!A210)</f>
        <v>Beneficiaros 206</v>
      </c>
      <c r="BF209" s="27">
        <f>'Por Valoracion (3) Dimension'!F209</f>
        <v>17</v>
      </c>
      <c r="BG209" s="27">
        <f>'Por Valoracion (3) Dimension 2'!B209</f>
        <v>25</v>
      </c>
      <c r="CB209" s="35"/>
    </row>
    <row r="210" spans="1:80" x14ac:dyDescent="0.25">
      <c r="A210" s="26"/>
      <c r="C210" s="53" t="str">
        <f>('Gestión de abastecimiento'!A211)</f>
        <v>Beneficiaros 207</v>
      </c>
      <c r="D210" s="27">
        <f>'Por Valoracion (3) Dimension'!B210</f>
        <v>18</v>
      </c>
      <c r="E210" s="27">
        <f>'Por Valoracion (3) Dimension 2'!B210</f>
        <v>27</v>
      </c>
      <c r="Z210" s="26"/>
      <c r="AB210" s="34"/>
      <c r="AD210" s="53" t="str">
        <f>('Gestión de abastecimiento'!A211)</f>
        <v>Beneficiaros 207</v>
      </c>
      <c r="AE210" s="27">
        <f>'Por Valoracion (3) Dimension'!D210</f>
        <v>16</v>
      </c>
      <c r="AF210" s="27">
        <f>'Por Valoracion (3) Dimension 2'!B210</f>
        <v>27</v>
      </c>
      <c r="BA210" s="34"/>
      <c r="BC210" s="35"/>
      <c r="BE210" s="53" t="str">
        <f>('Gestión de abastecimiento'!A211)</f>
        <v>Beneficiaros 207</v>
      </c>
      <c r="BF210" s="27">
        <f>'Por Valoracion (3) Dimension'!F210</f>
        <v>16</v>
      </c>
      <c r="BG210" s="27">
        <f>'Por Valoracion (3) Dimension 2'!B210</f>
        <v>27</v>
      </c>
      <c r="CB210" s="35"/>
    </row>
    <row r="211" spans="1:80" x14ac:dyDescent="0.25">
      <c r="A211" s="26"/>
      <c r="C211" s="53" t="str">
        <f>('Gestión de abastecimiento'!A212)</f>
        <v>Beneficiaros 208</v>
      </c>
      <c r="D211" s="27">
        <f>'Por Valoracion (3) Dimension'!B211</f>
        <v>18</v>
      </c>
      <c r="E211" s="27">
        <f>'Por Valoracion (3) Dimension 2'!B211</f>
        <v>26</v>
      </c>
      <c r="Z211" s="26"/>
      <c r="AB211" s="34"/>
      <c r="AD211" s="53" t="str">
        <f>('Gestión de abastecimiento'!A212)</f>
        <v>Beneficiaros 208</v>
      </c>
      <c r="AE211" s="27">
        <f>'Por Valoracion (3) Dimension'!D211</f>
        <v>18</v>
      </c>
      <c r="AF211" s="27">
        <f>'Por Valoracion (3) Dimension 2'!B211</f>
        <v>26</v>
      </c>
      <c r="BA211" s="34"/>
      <c r="BC211" s="35"/>
      <c r="BE211" s="53" t="str">
        <f>('Gestión de abastecimiento'!A212)</f>
        <v>Beneficiaros 208</v>
      </c>
      <c r="BF211" s="27">
        <f>'Por Valoracion (3) Dimension'!F211</f>
        <v>18</v>
      </c>
      <c r="BG211" s="27">
        <f>'Por Valoracion (3) Dimension 2'!B211</f>
        <v>26</v>
      </c>
      <c r="CB211" s="35"/>
    </row>
    <row r="212" spans="1:80" x14ac:dyDescent="0.25">
      <c r="A212" s="26"/>
      <c r="C212" s="53" t="str">
        <f>('Gestión de abastecimiento'!A213)</f>
        <v>Beneficiaros 209</v>
      </c>
      <c r="D212" s="27">
        <f>'Por Valoracion (3) Dimension'!B212</f>
        <v>21</v>
      </c>
      <c r="E212" s="27">
        <f>'Por Valoracion (3) Dimension 2'!B212</f>
        <v>28</v>
      </c>
      <c r="Z212" s="26"/>
      <c r="AB212" s="34"/>
      <c r="AD212" s="53" t="str">
        <f>('Gestión de abastecimiento'!A213)</f>
        <v>Beneficiaros 209</v>
      </c>
      <c r="AE212" s="27">
        <f>'Por Valoracion (3) Dimension'!D212</f>
        <v>19</v>
      </c>
      <c r="AF212" s="27">
        <f>'Por Valoracion (3) Dimension 2'!B212</f>
        <v>28</v>
      </c>
      <c r="BA212" s="34"/>
      <c r="BC212" s="35"/>
      <c r="BE212" s="53" t="str">
        <f>('Gestión de abastecimiento'!A213)</f>
        <v>Beneficiaros 209</v>
      </c>
      <c r="BF212" s="27">
        <f>'Por Valoracion (3) Dimension'!F212</f>
        <v>19</v>
      </c>
      <c r="BG212" s="27">
        <f>'Por Valoracion (3) Dimension 2'!B212</f>
        <v>28</v>
      </c>
      <c r="CB212" s="35"/>
    </row>
    <row r="213" spans="1:80" x14ac:dyDescent="0.25">
      <c r="A213" s="26"/>
      <c r="C213" s="53" t="str">
        <f>('Gestión de abastecimiento'!A214)</f>
        <v>Beneficiaros 210</v>
      </c>
      <c r="D213" s="27">
        <f>'Por Valoracion (3) Dimension'!B213</f>
        <v>13</v>
      </c>
      <c r="E213" s="27">
        <f>'Por Valoracion (3) Dimension 2'!B213</f>
        <v>21</v>
      </c>
      <c r="Z213" s="26"/>
      <c r="AB213" s="34"/>
      <c r="AD213" s="53" t="str">
        <f>('Gestión de abastecimiento'!A214)</f>
        <v>Beneficiaros 210</v>
      </c>
      <c r="AE213" s="27">
        <f>'Por Valoracion (3) Dimension'!D213</f>
        <v>14</v>
      </c>
      <c r="AF213" s="27">
        <f>'Por Valoracion (3) Dimension 2'!B213</f>
        <v>21</v>
      </c>
      <c r="BA213" s="34"/>
      <c r="BC213" s="35"/>
      <c r="BE213" s="53" t="str">
        <f>('Gestión de abastecimiento'!A214)</f>
        <v>Beneficiaros 210</v>
      </c>
      <c r="BF213" s="27">
        <f>'Por Valoracion (3) Dimension'!F213</f>
        <v>14</v>
      </c>
      <c r="BG213" s="27">
        <f>'Por Valoracion (3) Dimension 2'!B213</f>
        <v>21</v>
      </c>
      <c r="CB213" s="35"/>
    </row>
    <row r="214" spans="1:80" x14ac:dyDescent="0.25">
      <c r="A214" s="26"/>
      <c r="C214" s="53" t="str">
        <f>('Gestión de abastecimiento'!A215)</f>
        <v>Beneficiaros 211</v>
      </c>
      <c r="D214" s="27">
        <f>'Por Valoracion (3) Dimension'!B214</f>
        <v>18</v>
      </c>
      <c r="E214" s="27">
        <f>'Por Valoracion (3) Dimension 2'!B214</f>
        <v>26</v>
      </c>
      <c r="Z214" s="26"/>
      <c r="AB214" s="34"/>
      <c r="AD214" s="53" t="str">
        <f>('Gestión de abastecimiento'!A215)</f>
        <v>Beneficiaros 211</v>
      </c>
      <c r="AE214" s="27">
        <f>'Por Valoracion (3) Dimension'!D214</f>
        <v>18</v>
      </c>
      <c r="AF214" s="27">
        <f>'Por Valoracion (3) Dimension 2'!B214</f>
        <v>26</v>
      </c>
      <c r="BA214" s="34"/>
      <c r="BC214" s="35"/>
      <c r="BE214" s="53" t="str">
        <f>('Gestión de abastecimiento'!A215)</f>
        <v>Beneficiaros 211</v>
      </c>
      <c r="BF214" s="27">
        <f>'Por Valoracion (3) Dimension'!F214</f>
        <v>17</v>
      </c>
      <c r="BG214" s="27">
        <f>'Por Valoracion (3) Dimension 2'!B214</f>
        <v>26</v>
      </c>
      <c r="CB214" s="35"/>
    </row>
    <row r="215" spans="1:80" x14ac:dyDescent="0.25">
      <c r="A215" s="26"/>
      <c r="C215" s="53" t="str">
        <f>('Gestión de abastecimiento'!A216)</f>
        <v>Beneficiaros 212</v>
      </c>
      <c r="D215" s="27">
        <f>'Por Valoracion (3) Dimension'!B215</f>
        <v>18</v>
      </c>
      <c r="E215" s="27">
        <f>'Por Valoracion (3) Dimension 2'!B215</f>
        <v>24</v>
      </c>
      <c r="Z215" s="26"/>
      <c r="AB215" s="34"/>
      <c r="AD215" s="53" t="str">
        <f>('Gestión de abastecimiento'!A216)</f>
        <v>Beneficiaros 212</v>
      </c>
      <c r="AE215" s="27">
        <f>'Por Valoracion (3) Dimension'!D215</f>
        <v>17</v>
      </c>
      <c r="AF215" s="27">
        <f>'Por Valoracion (3) Dimension 2'!B215</f>
        <v>24</v>
      </c>
      <c r="BA215" s="34"/>
      <c r="BC215" s="35"/>
      <c r="BE215" s="53" t="str">
        <f>('Gestión de abastecimiento'!A216)</f>
        <v>Beneficiaros 212</v>
      </c>
      <c r="BF215" s="27">
        <f>'Por Valoracion (3) Dimension'!F215</f>
        <v>18</v>
      </c>
      <c r="BG215" s="27">
        <f>'Por Valoracion (3) Dimension 2'!B215</f>
        <v>24</v>
      </c>
      <c r="CB215" s="35"/>
    </row>
    <row r="216" spans="1:80" x14ac:dyDescent="0.25">
      <c r="A216" s="26"/>
      <c r="C216" s="53" t="str">
        <f>('Gestión de abastecimiento'!A217)</f>
        <v>Beneficiaros 213</v>
      </c>
      <c r="D216" s="27">
        <f>'Por Valoracion (3) Dimension'!B216</f>
        <v>13</v>
      </c>
      <c r="E216" s="27">
        <f>'Por Valoracion (3) Dimension 2'!B216</f>
        <v>21</v>
      </c>
      <c r="Z216" s="26"/>
      <c r="AB216" s="34"/>
      <c r="AD216" s="53" t="str">
        <f>('Gestión de abastecimiento'!A217)</f>
        <v>Beneficiaros 213</v>
      </c>
      <c r="AE216" s="27">
        <f>'Por Valoracion (3) Dimension'!D216</f>
        <v>15</v>
      </c>
      <c r="AF216" s="27">
        <f>'Por Valoracion (3) Dimension 2'!B216</f>
        <v>21</v>
      </c>
      <c r="BA216" s="34"/>
      <c r="BC216" s="35"/>
      <c r="BE216" s="53" t="str">
        <f>('Gestión de abastecimiento'!A217)</f>
        <v>Beneficiaros 213</v>
      </c>
      <c r="BF216" s="27">
        <f>'Por Valoracion (3) Dimension'!F216</f>
        <v>14</v>
      </c>
      <c r="BG216" s="27">
        <f>'Por Valoracion (3) Dimension 2'!B216</f>
        <v>21</v>
      </c>
      <c r="CB216" s="35"/>
    </row>
    <row r="217" spans="1:80" x14ac:dyDescent="0.25">
      <c r="A217" s="26"/>
      <c r="C217" s="53" t="str">
        <f>('Gestión de abastecimiento'!A218)</f>
        <v>Beneficiaros 214</v>
      </c>
      <c r="D217" s="27">
        <f>'Por Valoracion (3) Dimension'!B217</f>
        <v>23</v>
      </c>
      <c r="E217" s="27">
        <f>'Por Valoracion (3) Dimension 2'!B217</f>
        <v>33</v>
      </c>
      <c r="Z217" s="26"/>
      <c r="AB217" s="34"/>
      <c r="AD217" s="53" t="str">
        <f>('Gestión de abastecimiento'!A218)</f>
        <v>Beneficiaros 214</v>
      </c>
      <c r="AE217" s="27">
        <f>'Por Valoracion (3) Dimension'!D217</f>
        <v>21</v>
      </c>
      <c r="AF217" s="27">
        <f>'Por Valoracion (3) Dimension 2'!B217</f>
        <v>33</v>
      </c>
      <c r="BA217" s="34"/>
      <c r="BC217" s="35"/>
      <c r="BE217" s="53" t="str">
        <f>('Gestión de abastecimiento'!A218)</f>
        <v>Beneficiaros 214</v>
      </c>
      <c r="BF217" s="27">
        <f>'Por Valoracion (3) Dimension'!F217</f>
        <v>22</v>
      </c>
      <c r="BG217" s="27">
        <f>'Por Valoracion (3) Dimension 2'!B217</f>
        <v>33</v>
      </c>
      <c r="CB217" s="35"/>
    </row>
    <row r="218" spans="1:80" x14ac:dyDescent="0.25">
      <c r="A218" s="26"/>
      <c r="C218" s="53" t="str">
        <f>('Gestión de abastecimiento'!A219)</f>
        <v>Beneficiaros 215</v>
      </c>
      <c r="D218" s="27">
        <f>'Por Valoracion (3) Dimension'!B218</f>
        <v>14</v>
      </c>
      <c r="E218" s="27">
        <f>'Por Valoracion (3) Dimension 2'!B218</f>
        <v>21</v>
      </c>
      <c r="Z218" s="26"/>
      <c r="AB218" s="34"/>
      <c r="AD218" s="53" t="str">
        <f>('Gestión de abastecimiento'!A219)</f>
        <v>Beneficiaros 215</v>
      </c>
      <c r="AE218" s="27">
        <f>'Por Valoracion (3) Dimension'!D218</f>
        <v>14</v>
      </c>
      <c r="AF218" s="27">
        <f>'Por Valoracion (3) Dimension 2'!B218</f>
        <v>21</v>
      </c>
      <c r="BA218" s="34"/>
      <c r="BC218" s="35"/>
      <c r="BE218" s="53" t="str">
        <f>('Gestión de abastecimiento'!A219)</f>
        <v>Beneficiaros 215</v>
      </c>
      <c r="BF218" s="27">
        <f>'Por Valoracion (3) Dimension'!F218</f>
        <v>13</v>
      </c>
      <c r="BG218" s="27">
        <f>'Por Valoracion (3) Dimension 2'!B218</f>
        <v>21</v>
      </c>
      <c r="CB218" s="35"/>
    </row>
    <row r="219" spans="1:80" x14ac:dyDescent="0.25">
      <c r="A219" s="26"/>
      <c r="C219" s="53" t="str">
        <f>('Gestión de abastecimiento'!A220)</f>
        <v>Beneficiaros 216</v>
      </c>
      <c r="D219" s="27">
        <f>'Por Valoracion (3) Dimension'!B219</f>
        <v>18</v>
      </c>
      <c r="E219" s="27">
        <f>'Por Valoracion (3) Dimension 2'!B219</f>
        <v>28</v>
      </c>
      <c r="Z219" s="26"/>
      <c r="AB219" s="34"/>
      <c r="AD219" s="53" t="str">
        <f>('Gestión de abastecimiento'!A220)</f>
        <v>Beneficiaros 216</v>
      </c>
      <c r="AE219" s="27">
        <f>'Por Valoracion (3) Dimension'!D219</f>
        <v>18</v>
      </c>
      <c r="AF219" s="27">
        <f>'Por Valoracion (3) Dimension 2'!B219</f>
        <v>28</v>
      </c>
      <c r="BA219" s="34"/>
      <c r="BC219" s="35"/>
      <c r="BE219" s="53" t="str">
        <f>('Gestión de abastecimiento'!A220)</f>
        <v>Beneficiaros 216</v>
      </c>
      <c r="BF219" s="27">
        <f>'Por Valoracion (3) Dimension'!F219</f>
        <v>18</v>
      </c>
      <c r="BG219" s="27">
        <f>'Por Valoracion (3) Dimension 2'!B219</f>
        <v>28</v>
      </c>
      <c r="CB219" s="35"/>
    </row>
    <row r="220" spans="1:80" x14ac:dyDescent="0.25">
      <c r="A220" s="26"/>
      <c r="C220" s="53" t="str">
        <f>('Gestión de abastecimiento'!A221)</f>
        <v>Beneficiaros 217</v>
      </c>
      <c r="D220" s="27">
        <f>'Por Valoracion (3) Dimension'!B220</f>
        <v>12</v>
      </c>
      <c r="E220" s="27">
        <f>'Por Valoracion (3) Dimension 2'!B220</f>
        <v>21</v>
      </c>
      <c r="Z220" s="26"/>
      <c r="AB220" s="34"/>
      <c r="AD220" s="53" t="str">
        <f>('Gestión de abastecimiento'!A221)</f>
        <v>Beneficiaros 217</v>
      </c>
      <c r="AE220" s="27">
        <f>'Por Valoracion (3) Dimension'!D220</f>
        <v>13</v>
      </c>
      <c r="AF220" s="27">
        <f>'Por Valoracion (3) Dimension 2'!B220</f>
        <v>21</v>
      </c>
      <c r="BA220" s="34"/>
      <c r="BC220" s="35"/>
      <c r="BE220" s="53" t="str">
        <f>('Gestión de abastecimiento'!A221)</f>
        <v>Beneficiaros 217</v>
      </c>
      <c r="BF220" s="27">
        <f>'Por Valoracion (3) Dimension'!F220</f>
        <v>12</v>
      </c>
      <c r="BG220" s="27">
        <f>'Por Valoracion (3) Dimension 2'!B220</f>
        <v>21</v>
      </c>
      <c r="CB220" s="35"/>
    </row>
    <row r="221" spans="1:80" x14ac:dyDescent="0.25">
      <c r="A221" s="26"/>
      <c r="C221" s="53" t="str">
        <f>('Gestión de abastecimiento'!A222)</f>
        <v>Beneficiaros 218</v>
      </c>
      <c r="D221" s="27">
        <f>'Por Valoracion (3) Dimension'!B221</f>
        <v>18</v>
      </c>
      <c r="E221" s="27">
        <f>'Por Valoracion (3) Dimension 2'!B221</f>
        <v>27</v>
      </c>
      <c r="Z221" s="26"/>
      <c r="AB221" s="34"/>
      <c r="AD221" s="53" t="str">
        <f>('Gestión de abastecimiento'!A222)</f>
        <v>Beneficiaros 218</v>
      </c>
      <c r="AE221" s="27">
        <f>'Por Valoracion (3) Dimension'!D221</f>
        <v>18</v>
      </c>
      <c r="AF221" s="27">
        <f>'Por Valoracion (3) Dimension 2'!B221</f>
        <v>27</v>
      </c>
      <c r="BA221" s="34"/>
      <c r="BC221" s="35"/>
      <c r="BE221" s="53" t="str">
        <f>('Gestión de abastecimiento'!A222)</f>
        <v>Beneficiaros 218</v>
      </c>
      <c r="BF221" s="27">
        <f>'Por Valoracion (3) Dimension'!F221</f>
        <v>19</v>
      </c>
      <c r="BG221" s="27">
        <f>'Por Valoracion (3) Dimension 2'!B221</f>
        <v>27</v>
      </c>
      <c r="CB221" s="35"/>
    </row>
    <row r="222" spans="1:80" x14ac:dyDescent="0.25">
      <c r="A222" s="26"/>
      <c r="C222" s="53" t="str">
        <f>('Gestión de abastecimiento'!A223)</f>
        <v>Beneficiaros 219</v>
      </c>
      <c r="D222" s="27">
        <f>'Por Valoracion (3) Dimension'!B222</f>
        <v>19</v>
      </c>
      <c r="E222" s="27">
        <f>'Por Valoracion (3) Dimension 2'!B222</f>
        <v>27</v>
      </c>
      <c r="Z222" s="26"/>
      <c r="AB222" s="34"/>
      <c r="AD222" s="53" t="str">
        <f>('Gestión de abastecimiento'!A223)</f>
        <v>Beneficiaros 219</v>
      </c>
      <c r="AE222" s="27">
        <f>'Por Valoracion (3) Dimension'!D222</f>
        <v>18</v>
      </c>
      <c r="AF222" s="27">
        <f>'Por Valoracion (3) Dimension 2'!B222</f>
        <v>27</v>
      </c>
      <c r="BA222" s="34"/>
      <c r="BC222" s="35"/>
      <c r="BE222" s="53" t="str">
        <f>('Gestión de abastecimiento'!A223)</f>
        <v>Beneficiaros 219</v>
      </c>
      <c r="BF222" s="27">
        <f>'Por Valoracion (3) Dimension'!F222</f>
        <v>18</v>
      </c>
      <c r="BG222" s="27">
        <f>'Por Valoracion (3) Dimension 2'!B222</f>
        <v>27</v>
      </c>
      <c r="CB222" s="35"/>
    </row>
    <row r="223" spans="1:80" x14ac:dyDescent="0.25">
      <c r="A223" s="26"/>
      <c r="C223" s="53" t="str">
        <f>('Gestión de abastecimiento'!A224)</f>
        <v>Beneficiaros 220</v>
      </c>
      <c r="D223" s="27">
        <f>'Por Valoracion (3) Dimension'!B223</f>
        <v>18</v>
      </c>
      <c r="E223" s="27">
        <f>'Por Valoracion (3) Dimension 2'!B223</f>
        <v>25</v>
      </c>
      <c r="Z223" s="26"/>
      <c r="AB223" s="34"/>
      <c r="AD223" s="53" t="str">
        <f>('Gestión de abastecimiento'!A224)</f>
        <v>Beneficiaros 220</v>
      </c>
      <c r="AE223" s="27">
        <f>'Por Valoracion (3) Dimension'!D223</f>
        <v>17</v>
      </c>
      <c r="AF223" s="27">
        <f>'Por Valoracion (3) Dimension 2'!B223</f>
        <v>25</v>
      </c>
      <c r="BA223" s="34"/>
      <c r="BC223" s="35"/>
      <c r="BE223" s="53" t="str">
        <f>('Gestión de abastecimiento'!A224)</f>
        <v>Beneficiaros 220</v>
      </c>
      <c r="BF223" s="27">
        <f>'Por Valoracion (3) Dimension'!F223</f>
        <v>18</v>
      </c>
      <c r="BG223" s="27">
        <f>'Por Valoracion (3) Dimension 2'!B223</f>
        <v>25</v>
      </c>
      <c r="CB223" s="35"/>
    </row>
    <row r="224" spans="1:80" x14ac:dyDescent="0.25">
      <c r="A224" s="26"/>
      <c r="C224" s="53" t="str">
        <f>('Gestión de abastecimiento'!A225)</f>
        <v>Beneficiaros 221</v>
      </c>
      <c r="D224" s="27">
        <f>'Por Valoracion (3) Dimension'!B224</f>
        <v>15</v>
      </c>
      <c r="E224" s="27">
        <f>'Por Valoracion (3) Dimension 2'!B224</f>
        <v>18</v>
      </c>
      <c r="Z224" s="26"/>
      <c r="AB224" s="34"/>
      <c r="AD224" s="53" t="str">
        <f>('Gestión de abastecimiento'!A225)</f>
        <v>Beneficiaros 221</v>
      </c>
      <c r="AE224" s="27">
        <f>'Por Valoracion (3) Dimension'!D224</f>
        <v>13</v>
      </c>
      <c r="AF224" s="27">
        <f>'Por Valoracion (3) Dimension 2'!B224</f>
        <v>18</v>
      </c>
      <c r="BA224" s="34"/>
      <c r="BC224" s="35"/>
      <c r="BE224" s="53" t="str">
        <f>('Gestión de abastecimiento'!A225)</f>
        <v>Beneficiaros 221</v>
      </c>
      <c r="BF224" s="27">
        <f>'Por Valoracion (3) Dimension'!F224</f>
        <v>12</v>
      </c>
      <c r="BG224" s="27">
        <f>'Por Valoracion (3) Dimension 2'!B224</f>
        <v>18</v>
      </c>
      <c r="CB224" s="35"/>
    </row>
    <row r="225" spans="1:80" x14ac:dyDescent="0.25">
      <c r="A225" s="26"/>
      <c r="C225" s="53" t="str">
        <f>('Gestión de abastecimiento'!A226)</f>
        <v>Beneficiaros 222</v>
      </c>
      <c r="D225" s="27">
        <f>'Por Valoracion (3) Dimension'!B225</f>
        <v>18</v>
      </c>
      <c r="E225" s="27">
        <f>'Por Valoracion (3) Dimension 2'!B225</f>
        <v>26</v>
      </c>
      <c r="Z225" s="26"/>
      <c r="AB225" s="34"/>
      <c r="AD225" s="53" t="str">
        <f>('Gestión de abastecimiento'!A226)</f>
        <v>Beneficiaros 222</v>
      </c>
      <c r="AE225" s="27">
        <f>'Por Valoracion (3) Dimension'!D225</f>
        <v>17</v>
      </c>
      <c r="AF225" s="27">
        <f>'Por Valoracion (3) Dimension 2'!B225</f>
        <v>26</v>
      </c>
      <c r="BA225" s="34"/>
      <c r="BC225" s="35"/>
      <c r="BE225" s="53" t="str">
        <f>('Gestión de abastecimiento'!A226)</f>
        <v>Beneficiaros 222</v>
      </c>
      <c r="BF225" s="27">
        <f>'Por Valoracion (3) Dimension'!F225</f>
        <v>18</v>
      </c>
      <c r="BG225" s="27">
        <f>'Por Valoracion (3) Dimension 2'!B225</f>
        <v>26</v>
      </c>
      <c r="CB225" s="35"/>
    </row>
    <row r="226" spans="1:80" x14ac:dyDescent="0.25">
      <c r="A226" s="26"/>
      <c r="C226" s="53" t="str">
        <f>('Gestión de abastecimiento'!A227)</f>
        <v>Beneficiaros 223</v>
      </c>
      <c r="D226" s="27">
        <f>'Por Valoracion (3) Dimension'!B226</f>
        <v>18</v>
      </c>
      <c r="E226" s="27">
        <f>'Por Valoracion (3) Dimension 2'!B226</f>
        <v>30</v>
      </c>
      <c r="Z226" s="26"/>
      <c r="AB226" s="34"/>
      <c r="AD226" s="53" t="str">
        <f>('Gestión de abastecimiento'!A227)</f>
        <v>Beneficiaros 223</v>
      </c>
      <c r="AE226" s="27">
        <f>'Por Valoracion (3) Dimension'!D226</f>
        <v>22</v>
      </c>
      <c r="AF226" s="27">
        <f>'Por Valoracion (3) Dimension 2'!B226</f>
        <v>30</v>
      </c>
      <c r="BA226" s="34"/>
      <c r="BC226" s="35"/>
      <c r="BE226" s="53" t="str">
        <f>('Gestión de abastecimiento'!A227)</f>
        <v>Beneficiaros 223</v>
      </c>
      <c r="BF226" s="27">
        <f>'Por Valoracion (3) Dimension'!F226</f>
        <v>20</v>
      </c>
      <c r="BG226" s="27">
        <f>'Por Valoracion (3) Dimension 2'!B226</f>
        <v>30</v>
      </c>
      <c r="CB226" s="35"/>
    </row>
    <row r="227" spans="1:80" x14ac:dyDescent="0.25">
      <c r="A227" s="26"/>
      <c r="C227" s="53" t="str">
        <f>('Gestión de abastecimiento'!A228)</f>
        <v>Beneficiaros 224</v>
      </c>
      <c r="D227" s="27">
        <f>'Por Valoracion (3) Dimension'!B227</f>
        <v>25</v>
      </c>
      <c r="E227" s="27">
        <f>'Por Valoracion (3) Dimension 2'!B227</f>
        <v>37</v>
      </c>
      <c r="Z227" s="26"/>
      <c r="AB227" s="34"/>
      <c r="AD227" s="53" t="str">
        <f>('Gestión de abastecimiento'!A228)</f>
        <v>Beneficiaros 224</v>
      </c>
      <c r="AE227" s="27">
        <f>'Por Valoracion (3) Dimension'!D227</f>
        <v>25</v>
      </c>
      <c r="AF227" s="27">
        <f>'Por Valoracion (3) Dimension 2'!B227</f>
        <v>37</v>
      </c>
      <c r="BA227" s="34"/>
      <c r="BC227" s="35"/>
      <c r="BE227" s="53" t="str">
        <f>('Gestión de abastecimiento'!A228)</f>
        <v>Beneficiaros 224</v>
      </c>
      <c r="BF227" s="27">
        <f>'Por Valoracion (3) Dimension'!F227</f>
        <v>24</v>
      </c>
      <c r="BG227" s="27">
        <f>'Por Valoracion (3) Dimension 2'!B227</f>
        <v>37</v>
      </c>
      <c r="CB227" s="35"/>
    </row>
    <row r="228" spans="1:80" x14ac:dyDescent="0.25">
      <c r="A228" s="26"/>
      <c r="C228" s="53" t="str">
        <f>('Gestión de abastecimiento'!A229)</f>
        <v>Beneficiaros 225</v>
      </c>
      <c r="D228" s="27">
        <f>'Por Valoracion (3) Dimension'!B228</f>
        <v>20</v>
      </c>
      <c r="E228" s="27">
        <f>'Por Valoracion (3) Dimension 2'!B228</f>
        <v>32</v>
      </c>
      <c r="Z228" s="26"/>
      <c r="AB228" s="34"/>
      <c r="AD228" s="53" t="str">
        <f>('Gestión de abastecimiento'!A229)</f>
        <v>Beneficiaros 225</v>
      </c>
      <c r="AE228" s="27">
        <f>'Por Valoracion (3) Dimension'!D228</f>
        <v>22</v>
      </c>
      <c r="AF228" s="27">
        <f>'Por Valoracion (3) Dimension 2'!B228</f>
        <v>32</v>
      </c>
      <c r="BA228" s="34"/>
      <c r="BC228" s="35"/>
      <c r="BE228" s="53" t="str">
        <f>('Gestión de abastecimiento'!A229)</f>
        <v>Beneficiaros 225</v>
      </c>
      <c r="BF228" s="27">
        <f>'Por Valoracion (3) Dimension'!F228</f>
        <v>18</v>
      </c>
      <c r="BG228" s="27">
        <f>'Por Valoracion (3) Dimension 2'!B228</f>
        <v>32</v>
      </c>
      <c r="CB228" s="35"/>
    </row>
    <row r="229" spans="1:80" x14ac:dyDescent="0.25">
      <c r="A229" s="26"/>
      <c r="C229" s="53" t="str">
        <f>('Gestión de abastecimiento'!A230)</f>
        <v>Beneficiaros 226</v>
      </c>
      <c r="D229" s="27">
        <f>'Por Valoracion (3) Dimension'!B229</f>
        <v>18</v>
      </c>
      <c r="E229" s="27">
        <f>'Por Valoracion (3) Dimension 2'!B229</f>
        <v>28</v>
      </c>
      <c r="Z229" s="26"/>
      <c r="AB229" s="34"/>
      <c r="AD229" s="53" t="str">
        <f>('Gestión de abastecimiento'!A230)</f>
        <v>Beneficiaros 226</v>
      </c>
      <c r="AE229" s="27">
        <f>'Por Valoracion (3) Dimension'!D229</f>
        <v>19</v>
      </c>
      <c r="AF229" s="27">
        <f>'Por Valoracion (3) Dimension 2'!B229</f>
        <v>28</v>
      </c>
      <c r="BA229" s="34"/>
      <c r="BC229" s="35"/>
      <c r="BE229" s="53" t="str">
        <f>('Gestión de abastecimiento'!A230)</f>
        <v>Beneficiaros 226</v>
      </c>
      <c r="BF229" s="27">
        <f>'Por Valoracion (3) Dimension'!F229</f>
        <v>18</v>
      </c>
      <c r="BG229" s="27">
        <f>'Por Valoracion (3) Dimension 2'!B229</f>
        <v>28</v>
      </c>
      <c r="CB229" s="35"/>
    </row>
    <row r="230" spans="1:80" x14ac:dyDescent="0.25">
      <c r="A230" s="26"/>
      <c r="C230" s="53" t="str">
        <f>('Gestión de abastecimiento'!A231)</f>
        <v>Beneficiaros 227</v>
      </c>
      <c r="D230" s="27">
        <f>'Por Valoracion (3) Dimension'!B230</f>
        <v>13</v>
      </c>
      <c r="E230" s="27">
        <f>'Por Valoracion (3) Dimension 2'!B230</f>
        <v>18</v>
      </c>
      <c r="Z230" s="26"/>
      <c r="AB230" s="34"/>
      <c r="AD230" s="53" t="str">
        <f>('Gestión de abastecimiento'!A231)</f>
        <v>Beneficiaros 227</v>
      </c>
      <c r="AE230" s="27">
        <f>'Por Valoracion (3) Dimension'!D230</f>
        <v>12</v>
      </c>
      <c r="AF230" s="27">
        <f>'Por Valoracion (3) Dimension 2'!B230</f>
        <v>18</v>
      </c>
      <c r="BA230" s="34"/>
      <c r="BC230" s="35"/>
      <c r="BE230" s="53" t="str">
        <f>('Gestión de abastecimiento'!A231)</f>
        <v>Beneficiaros 227</v>
      </c>
      <c r="BF230" s="27">
        <f>'Por Valoracion (3) Dimension'!F230</f>
        <v>12</v>
      </c>
      <c r="BG230" s="27">
        <f>'Por Valoracion (3) Dimension 2'!B230</f>
        <v>18</v>
      </c>
      <c r="CB230" s="35"/>
    </row>
    <row r="231" spans="1:80" x14ac:dyDescent="0.25">
      <c r="A231" s="26"/>
      <c r="C231" s="53" t="str">
        <f>('Gestión de abastecimiento'!A232)</f>
        <v>Beneficiaros 228</v>
      </c>
      <c r="D231" s="27">
        <f>'Por Valoracion (3) Dimension'!B231</f>
        <v>23</v>
      </c>
      <c r="E231" s="27">
        <f>'Por Valoracion (3) Dimension 2'!B231</f>
        <v>35</v>
      </c>
      <c r="Z231" s="26"/>
      <c r="AB231" s="34"/>
      <c r="AD231" s="53" t="str">
        <f>('Gestión de abastecimiento'!A232)</f>
        <v>Beneficiaros 228</v>
      </c>
      <c r="AE231" s="27">
        <f>'Por Valoracion (3) Dimension'!D231</f>
        <v>24</v>
      </c>
      <c r="AF231" s="27">
        <f>'Por Valoracion (3) Dimension 2'!B231</f>
        <v>35</v>
      </c>
      <c r="BA231" s="34"/>
      <c r="BC231" s="35"/>
      <c r="BE231" s="53" t="str">
        <f>('Gestión de abastecimiento'!A232)</f>
        <v>Beneficiaros 228</v>
      </c>
      <c r="BF231" s="27">
        <f>'Por Valoracion (3) Dimension'!F231</f>
        <v>23</v>
      </c>
      <c r="BG231" s="27">
        <f>'Por Valoracion (3) Dimension 2'!B231</f>
        <v>35</v>
      </c>
      <c r="CB231" s="35"/>
    </row>
    <row r="232" spans="1:80" x14ac:dyDescent="0.25">
      <c r="A232" s="26"/>
      <c r="C232" s="53" t="str">
        <f>('Gestión de abastecimiento'!A233)</f>
        <v>Beneficiaros 229</v>
      </c>
      <c r="D232" s="27">
        <f>'Por Valoracion (3) Dimension'!B232</f>
        <v>20</v>
      </c>
      <c r="E232" s="27">
        <f>'Por Valoracion (3) Dimension 2'!B232</f>
        <v>32</v>
      </c>
      <c r="Z232" s="26"/>
      <c r="AB232" s="34"/>
      <c r="AD232" s="53" t="str">
        <f>('Gestión de abastecimiento'!A233)</f>
        <v>Beneficiaros 229</v>
      </c>
      <c r="AE232" s="27">
        <f>'Por Valoracion (3) Dimension'!D232</f>
        <v>21</v>
      </c>
      <c r="AF232" s="27">
        <f>'Por Valoracion (3) Dimension 2'!B232</f>
        <v>32</v>
      </c>
      <c r="BA232" s="34"/>
      <c r="BC232" s="35"/>
      <c r="BE232" s="53" t="str">
        <f>('Gestión de abastecimiento'!A233)</f>
        <v>Beneficiaros 229</v>
      </c>
      <c r="BF232" s="27">
        <f>'Por Valoracion (3) Dimension'!F232</f>
        <v>18</v>
      </c>
      <c r="BG232" s="27">
        <f>'Por Valoracion (3) Dimension 2'!B232</f>
        <v>32</v>
      </c>
      <c r="CB232" s="35"/>
    </row>
    <row r="233" spans="1:80" x14ac:dyDescent="0.25">
      <c r="A233" s="26"/>
      <c r="C233" s="53" t="str">
        <f>('Gestión de abastecimiento'!A234)</f>
        <v>Beneficiaros 230</v>
      </c>
      <c r="D233" s="27">
        <f>'Por Valoracion (3) Dimension'!B233</f>
        <v>13</v>
      </c>
      <c r="E233" s="27">
        <f>'Por Valoracion (3) Dimension 2'!B233</f>
        <v>19</v>
      </c>
      <c r="Z233" s="26"/>
      <c r="AB233" s="34"/>
      <c r="AD233" s="53" t="str">
        <f>('Gestión de abastecimiento'!A234)</f>
        <v>Beneficiaros 230</v>
      </c>
      <c r="AE233" s="27">
        <f>'Por Valoracion (3) Dimension'!D233</f>
        <v>12</v>
      </c>
      <c r="AF233" s="27">
        <f>'Por Valoracion (3) Dimension 2'!B233</f>
        <v>19</v>
      </c>
      <c r="BA233" s="34"/>
      <c r="BC233" s="35"/>
      <c r="BE233" s="53" t="str">
        <f>('Gestión de abastecimiento'!A234)</f>
        <v>Beneficiaros 230</v>
      </c>
      <c r="BF233" s="27">
        <f>'Por Valoracion (3) Dimension'!F233</f>
        <v>12</v>
      </c>
      <c r="BG233" s="27">
        <f>'Por Valoracion (3) Dimension 2'!B233</f>
        <v>19</v>
      </c>
      <c r="CB233" s="35"/>
    </row>
    <row r="234" spans="1:80" x14ac:dyDescent="0.25">
      <c r="A234" s="26"/>
      <c r="C234" s="53" t="str">
        <f>('Gestión de abastecimiento'!A235)</f>
        <v>Beneficiaros 231</v>
      </c>
      <c r="D234" s="27">
        <f>'Por Valoracion (3) Dimension'!B234</f>
        <v>28</v>
      </c>
      <c r="E234" s="27">
        <f>'Por Valoracion (3) Dimension 2'!B234</f>
        <v>41</v>
      </c>
      <c r="Z234" s="26"/>
      <c r="AB234" s="34"/>
      <c r="AD234" s="53" t="str">
        <f>('Gestión de abastecimiento'!A235)</f>
        <v>Beneficiaros 231</v>
      </c>
      <c r="AE234" s="27">
        <f>'Por Valoracion (3) Dimension'!D234</f>
        <v>29</v>
      </c>
      <c r="AF234" s="27">
        <f>'Por Valoracion (3) Dimension 2'!B234</f>
        <v>41</v>
      </c>
      <c r="BA234" s="34"/>
      <c r="BC234" s="35"/>
      <c r="BE234" s="53" t="str">
        <f>('Gestión de abastecimiento'!A235)</f>
        <v>Beneficiaros 231</v>
      </c>
      <c r="BF234" s="27">
        <f>'Por Valoracion (3) Dimension'!F234</f>
        <v>29</v>
      </c>
      <c r="BG234" s="27">
        <f>'Por Valoracion (3) Dimension 2'!B234</f>
        <v>41</v>
      </c>
      <c r="CB234" s="35"/>
    </row>
    <row r="235" spans="1:80" x14ac:dyDescent="0.25">
      <c r="A235" s="26"/>
      <c r="C235" s="53" t="str">
        <f>('Gestión de abastecimiento'!A236)</f>
        <v>Beneficiaros 232</v>
      </c>
      <c r="D235" s="27">
        <f>'Por Valoracion (3) Dimension'!B235</f>
        <v>22</v>
      </c>
      <c r="E235" s="27">
        <f>'Por Valoracion (3) Dimension 2'!B235</f>
        <v>30</v>
      </c>
      <c r="Z235" s="26"/>
      <c r="AB235" s="34"/>
      <c r="AD235" s="53" t="str">
        <f>('Gestión de abastecimiento'!A236)</f>
        <v>Beneficiaros 232</v>
      </c>
      <c r="AE235" s="27">
        <f>'Por Valoracion (3) Dimension'!D235</f>
        <v>21</v>
      </c>
      <c r="AF235" s="27">
        <f>'Por Valoracion (3) Dimension 2'!B235</f>
        <v>30</v>
      </c>
      <c r="BA235" s="34"/>
      <c r="BC235" s="35"/>
      <c r="BE235" s="53" t="str">
        <f>('Gestión de abastecimiento'!A236)</f>
        <v>Beneficiaros 232</v>
      </c>
      <c r="BF235" s="27">
        <f>'Por Valoracion (3) Dimension'!F235</f>
        <v>22</v>
      </c>
      <c r="BG235" s="27">
        <f>'Por Valoracion (3) Dimension 2'!B235</f>
        <v>30</v>
      </c>
      <c r="CB235" s="35"/>
    </row>
    <row r="236" spans="1:80" x14ac:dyDescent="0.25">
      <c r="A236" s="26"/>
      <c r="C236" s="53" t="str">
        <f>('Gestión de abastecimiento'!A237)</f>
        <v>Beneficiaros 233</v>
      </c>
      <c r="D236" s="27">
        <f>'Por Valoracion (3) Dimension'!B236</f>
        <v>12</v>
      </c>
      <c r="E236" s="27">
        <f>'Por Valoracion (3) Dimension 2'!B236</f>
        <v>18</v>
      </c>
      <c r="Z236" s="26"/>
      <c r="AB236" s="34"/>
      <c r="AD236" s="53" t="str">
        <f>('Gestión de abastecimiento'!A237)</f>
        <v>Beneficiaros 233</v>
      </c>
      <c r="AE236" s="27">
        <f>'Por Valoracion (3) Dimension'!D236</f>
        <v>12</v>
      </c>
      <c r="AF236" s="27">
        <f>'Por Valoracion (3) Dimension 2'!B236</f>
        <v>18</v>
      </c>
      <c r="BA236" s="34"/>
      <c r="BC236" s="35"/>
      <c r="BE236" s="53" t="str">
        <f>('Gestión de abastecimiento'!A237)</f>
        <v>Beneficiaros 233</v>
      </c>
      <c r="BF236" s="27">
        <f>'Por Valoracion (3) Dimension'!F236</f>
        <v>12</v>
      </c>
      <c r="BG236" s="27">
        <f>'Por Valoracion (3) Dimension 2'!B236</f>
        <v>18</v>
      </c>
      <c r="CB236" s="35"/>
    </row>
    <row r="237" spans="1:80" x14ac:dyDescent="0.25">
      <c r="A237" s="26"/>
      <c r="C237" s="53" t="str">
        <f>('Gestión de abastecimiento'!A238)</f>
        <v>Beneficiaros 234</v>
      </c>
      <c r="D237" s="27">
        <f>'Por Valoracion (3) Dimension'!B237</f>
        <v>13</v>
      </c>
      <c r="E237" s="27">
        <f>'Por Valoracion (3) Dimension 2'!B237</f>
        <v>22</v>
      </c>
      <c r="Z237" s="26"/>
      <c r="AB237" s="34"/>
      <c r="AD237" s="53" t="str">
        <f>('Gestión de abastecimiento'!A238)</f>
        <v>Beneficiaros 234</v>
      </c>
      <c r="AE237" s="27">
        <f>'Por Valoracion (3) Dimension'!D237</f>
        <v>14</v>
      </c>
      <c r="AF237" s="27">
        <f>'Por Valoracion (3) Dimension 2'!B237</f>
        <v>22</v>
      </c>
      <c r="BA237" s="34"/>
      <c r="BC237" s="35"/>
      <c r="BE237" s="53" t="str">
        <f>('Gestión de abastecimiento'!A238)</f>
        <v>Beneficiaros 234</v>
      </c>
      <c r="BF237" s="27">
        <f>'Por Valoracion (3) Dimension'!F237</f>
        <v>14</v>
      </c>
      <c r="BG237" s="27">
        <f>'Por Valoracion (3) Dimension 2'!B237</f>
        <v>22</v>
      </c>
      <c r="CB237" s="35"/>
    </row>
    <row r="238" spans="1:80" x14ac:dyDescent="0.25">
      <c r="A238" s="26"/>
      <c r="C238" s="53" t="str">
        <f>('Gestión de abastecimiento'!A239)</f>
        <v>Beneficiaros 235</v>
      </c>
      <c r="D238" s="27">
        <f>'Por Valoracion (3) Dimension'!B238</f>
        <v>10</v>
      </c>
      <c r="E238" s="27">
        <f>'Por Valoracion (3) Dimension 2'!B238</f>
        <v>15</v>
      </c>
      <c r="Z238" s="26"/>
      <c r="AB238" s="34"/>
      <c r="AD238" s="53" t="str">
        <f>('Gestión de abastecimiento'!A239)</f>
        <v>Beneficiaros 235</v>
      </c>
      <c r="AE238" s="27">
        <f>'Por Valoracion (3) Dimension'!D238</f>
        <v>9</v>
      </c>
      <c r="AF238" s="27">
        <f>'Por Valoracion (3) Dimension 2'!B238</f>
        <v>15</v>
      </c>
      <c r="BA238" s="34"/>
      <c r="BC238" s="35"/>
      <c r="BE238" s="53" t="str">
        <f>('Gestión de abastecimiento'!A239)</f>
        <v>Beneficiaros 235</v>
      </c>
      <c r="BF238" s="27">
        <f>'Por Valoracion (3) Dimension'!F238</f>
        <v>9</v>
      </c>
      <c r="BG238" s="27">
        <f>'Por Valoracion (3) Dimension 2'!B238</f>
        <v>15</v>
      </c>
      <c r="CB238" s="35"/>
    </row>
    <row r="239" spans="1:80" x14ac:dyDescent="0.25">
      <c r="A239" s="26"/>
      <c r="C239" s="53" t="str">
        <f>('Gestión de abastecimiento'!A240)</f>
        <v>Beneficiaros 236</v>
      </c>
      <c r="D239" s="27">
        <f>'Por Valoracion (3) Dimension'!B239</f>
        <v>13</v>
      </c>
      <c r="E239" s="27">
        <f>'Por Valoracion (3) Dimension 2'!B239</f>
        <v>21</v>
      </c>
      <c r="Z239" s="26"/>
      <c r="AB239" s="34"/>
      <c r="AD239" s="53" t="str">
        <f>('Gestión de abastecimiento'!A240)</f>
        <v>Beneficiaros 236</v>
      </c>
      <c r="AE239" s="27">
        <f>'Por Valoracion (3) Dimension'!D239</f>
        <v>14</v>
      </c>
      <c r="AF239" s="27">
        <f>'Por Valoracion (3) Dimension 2'!B239</f>
        <v>21</v>
      </c>
      <c r="BA239" s="34"/>
      <c r="BC239" s="35"/>
      <c r="BE239" s="53" t="str">
        <f>('Gestión de abastecimiento'!A240)</f>
        <v>Beneficiaros 236</v>
      </c>
      <c r="BF239" s="27">
        <f>'Por Valoracion (3) Dimension'!F239</f>
        <v>14</v>
      </c>
      <c r="BG239" s="27">
        <f>'Por Valoracion (3) Dimension 2'!B239</f>
        <v>21</v>
      </c>
      <c r="CB239" s="35"/>
    </row>
    <row r="240" spans="1:80" x14ac:dyDescent="0.25">
      <c r="A240" s="26"/>
      <c r="C240" s="53" t="str">
        <f>('Gestión de abastecimiento'!A241)</f>
        <v>Beneficiaros 237</v>
      </c>
      <c r="D240" s="27">
        <f>'Por Valoracion (3) Dimension'!B240</f>
        <v>14</v>
      </c>
      <c r="E240" s="27">
        <f>'Por Valoracion (3) Dimension 2'!B240</f>
        <v>23</v>
      </c>
      <c r="Z240" s="26"/>
      <c r="AB240" s="34"/>
      <c r="AD240" s="53" t="str">
        <f>('Gestión de abastecimiento'!A241)</f>
        <v>Beneficiaros 237</v>
      </c>
      <c r="AE240" s="27">
        <f>'Por Valoracion (3) Dimension'!D240</f>
        <v>15</v>
      </c>
      <c r="AF240" s="27">
        <f>'Por Valoracion (3) Dimension 2'!B240</f>
        <v>23</v>
      </c>
      <c r="BA240" s="34"/>
      <c r="BC240" s="35"/>
      <c r="BE240" s="53" t="str">
        <f>('Gestión de abastecimiento'!A241)</f>
        <v>Beneficiaros 237</v>
      </c>
      <c r="BF240" s="27">
        <f>'Por Valoracion (3) Dimension'!F240</f>
        <v>12</v>
      </c>
      <c r="BG240" s="27">
        <f>'Por Valoracion (3) Dimension 2'!B240</f>
        <v>23</v>
      </c>
      <c r="CB240" s="35"/>
    </row>
    <row r="241" spans="1:80" x14ac:dyDescent="0.25">
      <c r="A241" s="26"/>
      <c r="C241" s="53" t="str">
        <f>('Gestión de abastecimiento'!A242)</f>
        <v>Beneficiaros 238</v>
      </c>
      <c r="D241" s="27">
        <f>'Por Valoracion (3) Dimension'!B241</f>
        <v>22</v>
      </c>
      <c r="E241" s="27">
        <f>'Por Valoracion (3) Dimension 2'!B241</f>
        <v>29</v>
      </c>
      <c r="Z241" s="26"/>
      <c r="AB241" s="34"/>
      <c r="AD241" s="53" t="str">
        <f>('Gestión de abastecimiento'!A242)</f>
        <v>Beneficiaros 238</v>
      </c>
      <c r="AE241" s="27">
        <f>'Por Valoracion (3) Dimension'!D241</f>
        <v>19</v>
      </c>
      <c r="AF241" s="27">
        <f>'Por Valoracion (3) Dimension 2'!B241</f>
        <v>29</v>
      </c>
      <c r="BA241" s="34"/>
      <c r="BC241" s="35"/>
      <c r="BE241" s="53" t="str">
        <f>('Gestión de abastecimiento'!A242)</f>
        <v>Beneficiaros 238</v>
      </c>
      <c r="BF241" s="27">
        <f>'Por Valoracion (3) Dimension'!F241</f>
        <v>19</v>
      </c>
      <c r="BG241" s="27">
        <f>'Por Valoracion (3) Dimension 2'!B241</f>
        <v>29</v>
      </c>
      <c r="CB241" s="35"/>
    </row>
    <row r="242" spans="1:80" x14ac:dyDescent="0.25">
      <c r="A242" s="26"/>
      <c r="C242" s="53" t="str">
        <f>('Gestión de abastecimiento'!A243)</f>
        <v>Beneficiaros 239</v>
      </c>
      <c r="D242" s="27">
        <f>'Por Valoracion (3) Dimension'!B242</f>
        <v>6</v>
      </c>
      <c r="E242" s="27">
        <f>'Por Valoracion (3) Dimension 2'!B242</f>
        <v>9</v>
      </c>
      <c r="Z242" s="26"/>
      <c r="AB242" s="34"/>
      <c r="AD242" s="53" t="str">
        <f>('Gestión de abastecimiento'!A243)</f>
        <v>Beneficiaros 239</v>
      </c>
      <c r="AE242" s="27">
        <f>'Por Valoracion (3) Dimension'!D242</f>
        <v>6</v>
      </c>
      <c r="AF242" s="27">
        <f>'Por Valoracion (3) Dimension 2'!B242</f>
        <v>9</v>
      </c>
      <c r="BA242" s="34"/>
      <c r="BC242" s="35"/>
      <c r="BE242" s="53" t="str">
        <f>('Gestión de abastecimiento'!A243)</f>
        <v>Beneficiaros 239</v>
      </c>
      <c r="BF242" s="27">
        <f>'Por Valoracion (3) Dimension'!F242</f>
        <v>6</v>
      </c>
      <c r="BG242" s="27">
        <f>'Por Valoracion (3) Dimension 2'!B242</f>
        <v>9</v>
      </c>
      <c r="CB242" s="35"/>
    </row>
    <row r="243" spans="1:80" x14ac:dyDescent="0.25">
      <c r="A243" s="26"/>
      <c r="C243" s="53" t="str">
        <f>('Gestión de abastecimiento'!A244)</f>
        <v>Beneficiaros 240</v>
      </c>
      <c r="D243" s="27">
        <f>'Por Valoracion (3) Dimension'!B243</f>
        <v>24</v>
      </c>
      <c r="E243" s="27">
        <f>'Por Valoracion (3) Dimension 2'!B243</f>
        <v>35</v>
      </c>
      <c r="Z243" s="26"/>
      <c r="AB243" s="34"/>
      <c r="AD243" s="53" t="str">
        <f>('Gestión de abastecimiento'!A244)</f>
        <v>Beneficiaros 240</v>
      </c>
      <c r="AE243" s="27">
        <f>'Por Valoracion (3) Dimension'!D243</f>
        <v>24</v>
      </c>
      <c r="AF243" s="27">
        <f>'Por Valoracion (3) Dimension 2'!B243</f>
        <v>35</v>
      </c>
      <c r="BA243" s="34"/>
      <c r="BC243" s="35"/>
      <c r="BE243" s="53" t="str">
        <f>('Gestión de abastecimiento'!A244)</f>
        <v>Beneficiaros 240</v>
      </c>
      <c r="BF243" s="27">
        <f>'Por Valoracion (3) Dimension'!F243</f>
        <v>22</v>
      </c>
      <c r="BG243" s="27">
        <f>'Por Valoracion (3) Dimension 2'!B243</f>
        <v>35</v>
      </c>
      <c r="CB243" s="35"/>
    </row>
    <row r="244" spans="1:80" x14ac:dyDescent="0.25">
      <c r="A244" s="26"/>
      <c r="C244" s="53" t="str">
        <f>('Gestión de abastecimiento'!A245)</f>
        <v>Beneficiaros 241</v>
      </c>
      <c r="D244" s="27">
        <f>'Por Valoracion (3) Dimension'!B244</f>
        <v>21</v>
      </c>
      <c r="E244" s="27">
        <f>'Por Valoracion (3) Dimension 2'!B244</f>
        <v>29</v>
      </c>
      <c r="Z244" s="26"/>
      <c r="AB244" s="34"/>
      <c r="AD244" s="53" t="str">
        <f>('Gestión de abastecimiento'!A245)</f>
        <v>Beneficiaros 241</v>
      </c>
      <c r="AE244" s="27">
        <f>'Por Valoracion (3) Dimension'!D244</f>
        <v>19</v>
      </c>
      <c r="AF244" s="27">
        <f>'Por Valoracion (3) Dimension 2'!B244</f>
        <v>29</v>
      </c>
      <c r="BA244" s="34"/>
      <c r="BC244" s="35"/>
      <c r="BE244" s="53" t="str">
        <f>('Gestión de abastecimiento'!A245)</f>
        <v>Beneficiaros 241</v>
      </c>
      <c r="BF244" s="27">
        <f>'Por Valoracion (3) Dimension'!F244</f>
        <v>18</v>
      </c>
      <c r="BG244" s="27">
        <f>'Por Valoracion (3) Dimension 2'!B244</f>
        <v>29</v>
      </c>
      <c r="CB244" s="35"/>
    </row>
    <row r="245" spans="1:80" x14ac:dyDescent="0.25">
      <c r="A245" s="26"/>
      <c r="C245" s="53" t="str">
        <f>('Gestión de abastecimiento'!A246)</f>
        <v>Beneficiaros 242</v>
      </c>
      <c r="D245" s="27">
        <f>'Por Valoracion (3) Dimension'!B245</f>
        <v>18</v>
      </c>
      <c r="E245" s="27">
        <f>'Por Valoracion (3) Dimension 2'!B245</f>
        <v>26</v>
      </c>
      <c r="Z245" s="26"/>
      <c r="AB245" s="34"/>
      <c r="AD245" s="53" t="str">
        <f>('Gestión de abastecimiento'!A246)</f>
        <v>Beneficiaros 242</v>
      </c>
      <c r="AE245" s="27">
        <f>'Por Valoracion (3) Dimension'!D245</f>
        <v>17</v>
      </c>
      <c r="AF245" s="27">
        <f>'Por Valoracion (3) Dimension 2'!B245</f>
        <v>26</v>
      </c>
      <c r="BA245" s="34"/>
      <c r="BC245" s="35"/>
      <c r="BE245" s="53" t="str">
        <f>('Gestión de abastecimiento'!A246)</f>
        <v>Beneficiaros 242</v>
      </c>
      <c r="BF245" s="27">
        <f>'Por Valoracion (3) Dimension'!F245</f>
        <v>18</v>
      </c>
      <c r="BG245" s="27">
        <f>'Por Valoracion (3) Dimension 2'!B245</f>
        <v>26</v>
      </c>
      <c r="CB245" s="35"/>
    </row>
    <row r="246" spans="1:80" x14ac:dyDescent="0.25">
      <c r="A246" s="26"/>
      <c r="C246" s="53" t="str">
        <f>('Gestión de abastecimiento'!A247)</f>
        <v>Beneficiaros 243</v>
      </c>
      <c r="D246" s="27">
        <f>'Por Valoracion (3) Dimension'!B246</f>
        <v>24</v>
      </c>
      <c r="E246" s="27">
        <f>'Por Valoracion (3) Dimension 2'!B246</f>
        <v>38</v>
      </c>
      <c r="Z246" s="26"/>
      <c r="AB246" s="34"/>
      <c r="AD246" s="53" t="str">
        <f>('Gestión de abastecimiento'!A247)</f>
        <v>Beneficiaros 243</v>
      </c>
      <c r="AE246" s="27">
        <f>'Por Valoracion (3) Dimension'!D246</f>
        <v>27</v>
      </c>
      <c r="AF246" s="27">
        <f>'Por Valoracion (3) Dimension 2'!B246</f>
        <v>38</v>
      </c>
      <c r="BA246" s="34"/>
      <c r="BC246" s="35"/>
      <c r="BE246" s="53" t="str">
        <f>('Gestión de abastecimiento'!A247)</f>
        <v>Beneficiaros 243</v>
      </c>
      <c r="BF246" s="27">
        <f>'Por Valoracion (3) Dimension'!F246</f>
        <v>27</v>
      </c>
      <c r="BG246" s="27">
        <f>'Por Valoracion (3) Dimension 2'!B246</f>
        <v>38</v>
      </c>
      <c r="CB246" s="35"/>
    </row>
    <row r="247" spans="1:80" x14ac:dyDescent="0.25">
      <c r="A247" s="26"/>
      <c r="C247" s="53" t="str">
        <f>('Gestión de abastecimiento'!A248)</f>
        <v>Beneficiaros 244</v>
      </c>
      <c r="D247" s="27">
        <f>'Por Valoracion (3) Dimension'!B247</f>
        <v>18</v>
      </c>
      <c r="E247" s="27">
        <f>'Por Valoracion (3) Dimension 2'!B247</f>
        <v>28</v>
      </c>
      <c r="Z247" s="26"/>
      <c r="AB247" s="34"/>
      <c r="AD247" s="53" t="str">
        <f>('Gestión de abastecimiento'!A248)</f>
        <v>Beneficiaros 244</v>
      </c>
      <c r="AE247" s="27">
        <f>'Por Valoracion (3) Dimension'!D247</f>
        <v>18</v>
      </c>
      <c r="AF247" s="27">
        <f>'Por Valoracion (3) Dimension 2'!B247</f>
        <v>28</v>
      </c>
      <c r="BA247" s="34"/>
      <c r="BC247" s="35"/>
      <c r="BE247" s="53" t="str">
        <f>('Gestión de abastecimiento'!A248)</f>
        <v>Beneficiaros 244</v>
      </c>
      <c r="BF247" s="27">
        <f>'Por Valoracion (3) Dimension'!F247</f>
        <v>18</v>
      </c>
      <c r="BG247" s="27">
        <f>'Por Valoracion (3) Dimension 2'!B247</f>
        <v>28</v>
      </c>
      <c r="CB247" s="35"/>
    </row>
    <row r="248" spans="1:80" x14ac:dyDescent="0.25">
      <c r="A248" s="26"/>
      <c r="C248" s="53" t="str">
        <f>('Gestión de abastecimiento'!A249)</f>
        <v>Beneficiaros 245</v>
      </c>
      <c r="D248" s="27">
        <f>'Por Valoracion (3) Dimension'!B248</f>
        <v>19</v>
      </c>
      <c r="E248" s="27">
        <f>'Por Valoracion (3) Dimension 2'!B248</f>
        <v>30</v>
      </c>
      <c r="Z248" s="26"/>
      <c r="AB248" s="34"/>
      <c r="AD248" s="53" t="str">
        <f>('Gestión de abastecimiento'!A249)</f>
        <v>Beneficiaros 245</v>
      </c>
      <c r="AE248" s="27">
        <f>'Por Valoracion (3) Dimension'!D248</f>
        <v>19</v>
      </c>
      <c r="AF248" s="27">
        <f>'Por Valoracion (3) Dimension 2'!B248</f>
        <v>30</v>
      </c>
      <c r="BA248" s="34"/>
      <c r="BC248" s="35"/>
      <c r="BE248" s="53" t="str">
        <f>('Gestión de abastecimiento'!A249)</f>
        <v>Beneficiaros 245</v>
      </c>
      <c r="BF248" s="27">
        <f>'Por Valoracion (3) Dimension'!F248</f>
        <v>19</v>
      </c>
      <c r="BG248" s="27">
        <f>'Por Valoracion (3) Dimension 2'!B248</f>
        <v>30</v>
      </c>
      <c r="CB248" s="35"/>
    </row>
    <row r="249" spans="1:80" x14ac:dyDescent="0.25">
      <c r="A249" s="26"/>
      <c r="C249" s="53" t="str">
        <f>('Gestión de abastecimiento'!A250)</f>
        <v>Beneficiaros 246</v>
      </c>
      <c r="D249" s="27">
        <f>'Por Valoracion (3) Dimension'!B249</f>
        <v>17</v>
      </c>
      <c r="E249" s="27">
        <f>'Por Valoracion (3) Dimension 2'!B249</f>
        <v>27</v>
      </c>
      <c r="Z249" s="26"/>
      <c r="AB249" s="34"/>
      <c r="AD249" s="53" t="str">
        <f>('Gestión de abastecimiento'!A250)</f>
        <v>Beneficiaros 246</v>
      </c>
      <c r="AE249" s="27">
        <f>'Por Valoracion (3) Dimension'!D249</f>
        <v>18</v>
      </c>
      <c r="AF249" s="27">
        <f>'Por Valoracion (3) Dimension 2'!B249</f>
        <v>27</v>
      </c>
      <c r="BA249" s="34"/>
      <c r="BC249" s="35"/>
      <c r="BE249" s="53" t="str">
        <f>('Gestión de abastecimiento'!A250)</f>
        <v>Beneficiaros 246</v>
      </c>
      <c r="BF249" s="27">
        <f>'Por Valoracion (3) Dimension'!F249</f>
        <v>17</v>
      </c>
      <c r="BG249" s="27">
        <f>'Por Valoracion (3) Dimension 2'!B249</f>
        <v>27</v>
      </c>
      <c r="CB249" s="35"/>
    </row>
    <row r="250" spans="1:80" x14ac:dyDescent="0.25">
      <c r="A250" s="26"/>
      <c r="C250" s="53" t="str">
        <f>('Gestión de abastecimiento'!A251)</f>
        <v>Beneficiaros 247</v>
      </c>
      <c r="D250" s="27">
        <f>'Por Valoracion (3) Dimension'!B250</f>
        <v>15</v>
      </c>
      <c r="E250" s="27">
        <f>'Por Valoracion (3) Dimension 2'!B250</f>
        <v>22</v>
      </c>
      <c r="Z250" s="26"/>
      <c r="AB250" s="34"/>
      <c r="AD250" s="53" t="str">
        <f>('Gestión de abastecimiento'!A251)</f>
        <v>Beneficiaros 247</v>
      </c>
      <c r="AE250" s="27">
        <f>'Por Valoracion (3) Dimension'!D250</f>
        <v>16</v>
      </c>
      <c r="AF250" s="27">
        <f>'Por Valoracion (3) Dimension 2'!B250</f>
        <v>22</v>
      </c>
      <c r="BA250" s="34"/>
      <c r="BC250" s="35"/>
      <c r="BE250" s="53" t="str">
        <f>('Gestión de abastecimiento'!A251)</f>
        <v>Beneficiaros 247</v>
      </c>
      <c r="BF250" s="27">
        <f>'Por Valoracion (3) Dimension'!F250</f>
        <v>14</v>
      </c>
      <c r="BG250" s="27">
        <f>'Por Valoracion (3) Dimension 2'!B250</f>
        <v>22</v>
      </c>
      <c r="CB250" s="35"/>
    </row>
    <row r="251" spans="1:80" x14ac:dyDescent="0.25">
      <c r="A251" s="26"/>
      <c r="C251" s="53" t="str">
        <f>('Gestión de abastecimiento'!A252)</f>
        <v>Beneficiaros 248</v>
      </c>
      <c r="D251" s="27">
        <f>'Por Valoracion (3) Dimension'!B251</f>
        <v>19</v>
      </c>
      <c r="E251" s="27">
        <f>'Por Valoracion (3) Dimension 2'!B251</f>
        <v>26</v>
      </c>
      <c r="Z251" s="26"/>
      <c r="AB251" s="34"/>
      <c r="AD251" s="53" t="str">
        <f>('Gestión de abastecimiento'!A252)</f>
        <v>Beneficiaros 248</v>
      </c>
      <c r="AE251" s="27">
        <f>'Por Valoracion (3) Dimension'!D251</f>
        <v>18</v>
      </c>
      <c r="AF251" s="27">
        <f>'Por Valoracion (3) Dimension 2'!B251</f>
        <v>26</v>
      </c>
      <c r="BA251" s="34"/>
      <c r="BC251" s="35"/>
      <c r="BE251" s="53" t="str">
        <f>('Gestión de abastecimiento'!A252)</f>
        <v>Beneficiaros 248</v>
      </c>
      <c r="BF251" s="27">
        <f>'Por Valoracion (3) Dimension'!F251</f>
        <v>18</v>
      </c>
      <c r="BG251" s="27">
        <f>'Por Valoracion (3) Dimension 2'!B251</f>
        <v>26</v>
      </c>
      <c r="CB251" s="35"/>
    </row>
    <row r="252" spans="1:80" x14ac:dyDescent="0.25">
      <c r="A252" s="26"/>
      <c r="C252" s="53" t="str">
        <f>('Gestión de abastecimiento'!A253)</f>
        <v>Beneficiaros 249</v>
      </c>
      <c r="D252" s="27">
        <f>'Por Valoracion (3) Dimension'!B252</f>
        <v>18</v>
      </c>
      <c r="E252" s="27">
        <f>'Por Valoracion (3) Dimension 2'!B252</f>
        <v>27</v>
      </c>
      <c r="Z252" s="26"/>
      <c r="AB252" s="34"/>
      <c r="AD252" s="53" t="str">
        <f>('Gestión de abastecimiento'!A253)</f>
        <v>Beneficiaros 249</v>
      </c>
      <c r="AE252" s="27">
        <f>'Por Valoracion (3) Dimension'!D252</f>
        <v>17</v>
      </c>
      <c r="AF252" s="27">
        <f>'Por Valoracion (3) Dimension 2'!B252</f>
        <v>27</v>
      </c>
      <c r="BA252" s="34"/>
      <c r="BC252" s="35"/>
      <c r="BE252" s="53" t="str">
        <f>('Gestión de abastecimiento'!A253)</f>
        <v>Beneficiaros 249</v>
      </c>
      <c r="BF252" s="27">
        <f>'Por Valoracion (3) Dimension'!F252</f>
        <v>18</v>
      </c>
      <c r="BG252" s="27">
        <f>'Por Valoracion (3) Dimension 2'!B252</f>
        <v>27</v>
      </c>
      <c r="CB252" s="35"/>
    </row>
    <row r="253" spans="1:80" x14ac:dyDescent="0.25">
      <c r="A253" s="26"/>
      <c r="C253" s="53" t="str">
        <f>('Gestión de abastecimiento'!A254)</f>
        <v>Beneficiaros 250</v>
      </c>
      <c r="D253" s="27">
        <f>'Por Valoracion (3) Dimension'!B253</f>
        <v>24</v>
      </c>
      <c r="E253" s="27">
        <f>'Por Valoracion (3) Dimension 2'!B253</f>
        <v>36</v>
      </c>
      <c r="Z253" s="26"/>
      <c r="AB253" s="34"/>
      <c r="AD253" s="53" t="str">
        <f>('Gestión de abastecimiento'!A254)</f>
        <v>Beneficiaros 250</v>
      </c>
      <c r="AE253" s="27">
        <f>'Por Valoracion (3) Dimension'!D253</f>
        <v>25</v>
      </c>
      <c r="AF253" s="27">
        <f>'Por Valoracion (3) Dimension 2'!B253</f>
        <v>36</v>
      </c>
      <c r="BA253" s="34"/>
      <c r="BC253" s="35"/>
      <c r="BE253" s="53" t="str">
        <f>('Gestión de abastecimiento'!A254)</f>
        <v>Beneficiaros 250</v>
      </c>
      <c r="BF253" s="27">
        <f>'Por Valoracion (3) Dimension'!F253</f>
        <v>24</v>
      </c>
      <c r="BG253" s="27">
        <f>'Por Valoracion (3) Dimension 2'!B253</f>
        <v>36</v>
      </c>
      <c r="CB253" s="35"/>
    </row>
    <row r="254" spans="1:80" x14ac:dyDescent="0.25">
      <c r="A254" s="26"/>
      <c r="C254" s="53" t="str">
        <f>('Gestión de abastecimiento'!A255)</f>
        <v>Beneficiaros 251</v>
      </c>
      <c r="D254" s="27">
        <f>'Por Valoracion (3) Dimension'!B254</f>
        <v>20</v>
      </c>
      <c r="E254" s="27">
        <f>'Por Valoracion (3) Dimension 2'!B254</f>
        <v>29</v>
      </c>
      <c r="Z254" s="26"/>
      <c r="AB254" s="34"/>
      <c r="AD254" s="53" t="str">
        <f>('Gestión de abastecimiento'!A255)</f>
        <v>Beneficiaros 251</v>
      </c>
      <c r="AE254" s="27">
        <f>'Por Valoracion (3) Dimension'!D254</f>
        <v>19</v>
      </c>
      <c r="AF254" s="27">
        <f>'Por Valoracion (3) Dimension 2'!B254</f>
        <v>29</v>
      </c>
      <c r="BA254" s="34"/>
      <c r="BC254" s="35"/>
      <c r="BE254" s="53" t="str">
        <f>('Gestión de abastecimiento'!A255)</f>
        <v>Beneficiaros 251</v>
      </c>
      <c r="BF254" s="27">
        <f>'Por Valoracion (3) Dimension'!F254</f>
        <v>19</v>
      </c>
      <c r="BG254" s="27">
        <f>'Por Valoracion (3) Dimension 2'!B254</f>
        <v>29</v>
      </c>
      <c r="CB254" s="35"/>
    </row>
    <row r="255" spans="1:80" x14ac:dyDescent="0.25">
      <c r="A255" s="26"/>
      <c r="C255" s="53" t="str">
        <f>('Gestión de abastecimiento'!A256)</f>
        <v>Beneficiaros 252</v>
      </c>
      <c r="D255" s="27">
        <f>'Por Valoracion (3) Dimension'!B255</f>
        <v>16</v>
      </c>
      <c r="E255" s="27">
        <f>'Por Valoracion (3) Dimension 2'!B255</f>
        <v>24</v>
      </c>
      <c r="Z255" s="26"/>
      <c r="AB255" s="34"/>
      <c r="AD255" s="53" t="str">
        <f>('Gestión de abastecimiento'!A256)</f>
        <v>Beneficiaros 252</v>
      </c>
      <c r="AE255" s="27">
        <f>'Por Valoracion (3) Dimension'!D255</f>
        <v>16</v>
      </c>
      <c r="AF255" s="27">
        <f>'Por Valoracion (3) Dimension 2'!B255</f>
        <v>24</v>
      </c>
      <c r="BA255" s="34"/>
      <c r="BC255" s="35"/>
      <c r="BE255" s="53" t="str">
        <f>('Gestión de abastecimiento'!A256)</f>
        <v>Beneficiaros 252</v>
      </c>
      <c r="BF255" s="27">
        <f>'Por Valoracion (3) Dimension'!F255</f>
        <v>14</v>
      </c>
      <c r="BG255" s="27">
        <f>'Por Valoracion (3) Dimension 2'!B255</f>
        <v>24</v>
      </c>
      <c r="CB255" s="35"/>
    </row>
    <row r="256" spans="1:80" x14ac:dyDescent="0.25">
      <c r="A256" s="26"/>
      <c r="C256" s="53" t="str">
        <f>('Gestión de abastecimiento'!A257)</f>
        <v>Beneficiaros 253</v>
      </c>
      <c r="D256" s="27">
        <f>'Por Valoracion (3) Dimension'!B256</f>
        <v>17</v>
      </c>
      <c r="E256" s="27">
        <f>'Por Valoracion (3) Dimension 2'!B256</f>
        <v>24</v>
      </c>
      <c r="Z256" s="26"/>
      <c r="AB256" s="34"/>
      <c r="AD256" s="53" t="str">
        <f>('Gestión de abastecimiento'!A257)</f>
        <v>Beneficiaros 253</v>
      </c>
      <c r="AE256" s="27">
        <f>'Por Valoracion (3) Dimension'!D256</f>
        <v>18</v>
      </c>
      <c r="AF256" s="27">
        <f>'Por Valoracion (3) Dimension 2'!B256</f>
        <v>24</v>
      </c>
      <c r="BA256" s="34"/>
      <c r="BC256" s="35"/>
      <c r="BE256" s="53" t="str">
        <f>('Gestión de abastecimiento'!A257)</f>
        <v>Beneficiaros 253</v>
      </c>
      <c r="BF256" s="27">
        <f>'Por Valoracion (3) Dimension'!F256</f>
        <v>14</v>
      </c>
      <c r="BG256" s="27">
        <f>'Por Valoracion (3) Dimension 2'!B256</f>
        <v>24</v>
      </c>
      <c r="CB256" s="35"/>
    </row>
    <row r="257" spans="1:80" x14ac:dyDescent="0.25">
      <c r="A257" s="26"/>
      <c r="C257" s="53" t="str">
        <f>('Gestión de abastecimiento'!A258)</f>
        <v>Beneficiaros 254</v>
      </c>
      <c r="D257" s="27">
        <f>'Por Valoracion (3) Dimension'!B257</f>
        <v>20</v>
      </c>
      <c r="E257" s="27">
        <f>'Por Valoracion (3) Dimension 2'!B257</f>
        <v>33</v>
      </c>
      <c r="Z257" s="26"/>
      <c r="AB257" s="34"/>
      <c r="AD257" s="53" t="str">
        <f>('Gestión de abastecimiento'!A258)</f>
        <v>Beneficiaros 254</v>
      </c>
      <c r="AE257" s="27">
        <f>'Por Valoracion (3) Dimension'!D257</f>
        <v>21</v>
      </c>
      <c r="AF257" s="27">
        <f>'Por Valoracion (3) Dimension 2'!B257</f>
        <v>33</v>
      </c>
      <c r="BA257" s="34"/>
      <c r="BC257" s="35"/>
      <c r="BE257" s="53" t="str">
        <f>('Gestión de abastecimiento'!A258)</f>
        <v>Beneficiaros 254</v>
      </c>
      <c r="BF257" s="27">
        <f>'Por Valoracion (3) Dimension'!F257</f>
        <v>22</v>
      </c>
      <c r="BG257" s="27">
        <f>'Por Valoracion (3) Dimension 2'!B257</f>
        <v>33</v>
      </c>
      <c r="CB257" s="35"/>
    </row>
    <row r="258" spans="1:80" x14ac:dyDescent="0.25">
      <c r="A258" s="26"/>
      <c r="C258" s="53" t="str">
        <f>('Gestión de abastecimiento'!A259)</f>
        <v>Beneficiaros 255</v>
      </c>
      <c r="D258" s="27">
        <f>'Por Valoracion (3) Dimension'!B258</f>
        <v>13</v>
      </c>
      <c r="E258" s="27">
        <f>'Por Valoracion (3) Dimension 2'!B258</f>
        <v>20</v>
      </c>
      <c r="Z258" s="26"/>
      <c r="AB258" s="34"/>
      <c r="AD258" s="53" t="str">
        <f>('Gestión de abastecimiento'!A259)</f>
        <v>Beneficiaros 255</v>
      </c>
      <c r="AE258" s="27">
        <f>'Por Valoracion (3) Dimension'!D258</f>
        <v>12</v>
      </c>
      <c r="AF258" s="27">
        <f>'Por Valoracion (3) Dimension 2'!B258</f>
        <v>20</v>
      </c>
      <c r="BA258" s="34"/>
      <c r="BC258" s="35"/>
      <c r="BE258" s="53" t="str">
        <f>('Gestión de abastecimiento'!A259)</f>
        <v>Beneficiaros 255</v>
      </c>
      <c r="BF258" s="27">
        <f>'Por Valoracion (3) Dimension'!F258</f>
        <v>12</v>
      </c>
      <c r="BG258" s="27">
        <f>'Por Valoracion (3) Dimension 2'!B258</f>
        <v>20</v>
      </c>
      <c r="CB258" s="35"/>
    </row>
    <row r="259" spans="1:80" x14ac:dyDescent="0.25">
      <c r="A259" s="26"/>
      <c r="C259" s="53" t="str">
        <f>('Gestión de abastecimiento'!A260)</f>
        <v>Beneficiaros 256</v>
      </c>
      <c r="D259" s="27">
        <f>'Por Valoracion (3) Dimension'!B259</f>
        <v>12</v>
      </c>
      <c r="E259" s="27">
        <f>'Por Valoracion (3) Dimension 2'!B259</f>
        <v>18</v>
      </c>
      <c r="Z259" s="26"/>
      <c r="AB259" s="34"/>
      <c r="AD259" s="53" t="str">
        <f>('Gestión de abastecimiento'!A260)</f>
        <v>Beneficiaros 256</v>
      </c>
      <c r="AE259" s="27">
        <f>'Por Valoracion (3) Dimension'!D259</f>
        <v>13</v>
      </c>
      <c r="AF259" s="27">
        <f>'Por Valoracion (3) Dimension 2'!B259</f>
        <v>18</v>
      </c>
      <c r="BA259" s="34"/>
      <c r="BC259" s="35"/>
      <c r="BE259" s="53" t="str">
        <f>('Gestión de abastecimiento'!A260)</f>
        <v>Beneficiaros 256</v>
      </c>
      <c r="BF259" s="27">
        <f>'Por Valoracion (3) Dimension'!F259</f>
        <v>12</v>
      </c>
      <c r="BG259" s="27">
        <f>'Por Valoracion (3) Dimension 2'!B259</f>
        <v>18</v>
      </c>
      <c r="CB259" s="35"/>
    </row>
    <row r="260" spans="1:80" x14ac:dyDescent="0.25">
      <c r="A260" s="26"/>
      <c r="C260" s="53" t="str">
        <f>('Gestión de abastecimiento'!A261)</f>
        <v>Beneficiaros 257</v>
      </c>
      <c r="D260" s="27">
        <f>'Por Valoracion (3) Dimension'!B260</f>
        <v>21</v>
      </c>
      <c r="E260" s="27">
        <f>'Por Valoracion (3) Dimension 2'!B260</f>
        <v>31</v>
      </c>
      <c r="Z260" s="26"/>
      <c r="AB260" s="34"/>
      <c r="AD260" s="53" t="str">
        <f>('Gestión de abastecimiento'!A261)</f>
        <v>Beneficiaros 257</v>
      </c>
      <c r="AE260" s="27">
        <f>'Por Valoracion (3) Dimension'!D260</f>
        <v>22</v>
      </c>
      <c r="AF260" s="27">
        <f>'Por Valoracion (3) Dimension 2'!B260</f>
        <v>31</v>
      </c>
      <c r="BA260" s="34"/>
      <c r="BC260" s="35"/>
      <c r="BE260" s="53" t="str">
        <f>('Gestión de abastecimiento'!A261)</f>
        <v>Beneficiaros 257</v>
      </c>
      <c r="BF260" s="27">
        <f>'Por Valoracion (3) Dimension'!F260</f>
        <v>20</v>
      </c>
      <c r="BG260" s="27">
        <f>'Por Valoracion (3) Dimension 2'!B260</f>
        <v>31</v>
      </c>
      <c r="CB260" s="35"/>
    </row>
    <row r="261" spans="1:80" x14ac:dyDescent="0.25">
      <c r="A261" s="26"/>
      <c r="C261" s="53" t="str">
        <f>('Gestión de abastecimiento'!A262)</f>
        <v>Beneficiaros 258</v>
      </c>
      <c r="D261" s="27">
        <f>'Por Valoracion (3) Dimension'!B261</f>
        <v>13</v>
      </c>
      <c r="E261" s="27">
        <f>'Por Valoracion (3) Dimension 2'!B261</f>
        <v>17</v>
      </c>
      <c r="Z261" s="26"/>
      <c r="AB261" s="34"/>
      <c r="AD261" s="53" t="str">
        <f>('Gestión de abastecimiento'!A262)</f>
        <v>Beneficiaros 258</v>
      </c>
      <c r="AE261" s="27">
        <f>'Por Valoracion (3) Dimension'!D261</f>
        <v>14</v>
      </c>
      <c r="AF261" s="27">
        <f>'Por Valoracion (3) Dimension 2'!B261</f>
        <v>17</v>
      </c>
      <c r="BA261" s="34"/>
      <c r="BC261" s="35"/>
      <c r="BE261" s="53" t="str">
        <f>('Gestión de abastecimiento'!A262)</f>
        <v>Beneficiaros 258</v>
      </c>
      <c r="BF261" s="27">
        <f>'Por Valoracion (3) Dimension'!F261</f>
        <v>12</v>
      </c>
      <c r="BG261" s="27">
        <f>'Por Valoracion (3) Dimension 2'!B261</f>
        <v>17</v>
      </c>
      <c r="CB261" s="35"/>
    </row>
    <row r="262" spans="1:80" x14ac:dyDescent="0.25">
      <c r="A262" s="26"/>
      <c r="C262" s="53" t="str">
        <f>('Gestión de abastecimiento'!A263)</f>
        <v>Beneficiaros 259</v>
      </c>
      <c r="D262" s="27">
        <f>'Por Valoracion (3) Dimension'!B262</f>
        <v>16</v>
      </c>
      <c r="E262" s="27">
        <f>'Por Valoracion (3) Dimension 2'!B262</f>
        <v>21</v>
      </c>
      <c r="Z262" s="26"/>
      <c r="AB262" s="34"/>
      <c r="AD262" s="53" t="str">
        <f>('Gestión de abastecimiento'!A263)</f>
        <v>Beneficiaros 259</v>
      </c>
      <c r="AE262" s="27">
        <f>'Por Valoracion (3) Dimension'!D262</f>
        <v>15</v>
      </c>
      <c r="AF262" s="27">
        <f>'Por Valoracion (3) Dimension 2'!B262</f>
        <v>21</v>
      </c>
      <c r="BA262" s="34"/>
      <c r="BC262" s="35"/>
      <c r="BE262" s="53" t="str">
        <f>('Gestión de abastecimiento'!A263)</f>
        <v>Beneficiaros 259</v>
      </c>
      <c r="BF262" s="27">
        <f>'Por Valoracion (3) Dimension'!F262</f>
        <v>13</v>
      </c>
      <c r="BG262" s="27">
        <f>'Por Valoracion (3) Dimension 2'!B262</f>
        <v>21</v>
      </c>
      <c r="CB262" s="35"/>
    </row>
    <row r="263" spans="1:80" x14ac:dyDescent="0.25">
      <c r="A263" s="26"/>
      <c r="C263" s="53" t="str">
        <f>('Gestión de abastecimiento'!A264)</f>
        <v>Beneficiaros 260</v>
      </c>
      <c r="D263" s="27">
        <f>'Por Valoracion (3) Dimension'!B263</f>
        <v>24</v>
      </c>
      <c r="E263" s="27">
        <f>'Por Valoracion (3) Dimension 2'!B263</f>
        <v>36</v>
      </c>
      <c r="Z263" s="26"/>
      <c r="AB263" s="34"/>
      <c r="AD263" s="53" t="str">
        <f>('Gestión de abastecimiento'!A264)</f>
        <v>Beneficiaros 260</v>
      </c>
      <c r="AE263" s="27">
        <f>'Por Valoracion (3) Dimension'!D263</f>
        <v>24</v>
      </c>
      <c r="AF263" s="27">
        <f>'Por Valoracion (3) Dimension 2'!B263</f>
        <v>36</v>
      </c>
      <c r="BA263" s="34"/>
      <c r="BC263" s="35"/>
      <c r="BE263" s="53" t="str">
        <f>('Gestión de abastecimiento'!A264)</f>
        <v>Beneficiaros 260</v>
      </c>
      <c r="BF263" s="27">
        <f>'Por Valoracion (3) Dimension'!F263</f>
        <v>24</v>
      </c>
      <c r="BG263" s="27">
        <f>'Por Valoracion (3) Dimension 2'!B263</f>
        <v>36</v>
      </c>
      <c r="CB263" s="35"/>
    </row>
    <row r="264" spans="1:80" x14ac:dyDescent="0.25">
      <c r="A264" s="26"/>
      <c r="C264" s="53" t="str">
        <f>('Gestión de abastecimiento'!A265)</f>
        <v>Beneficiaros 261</v>
      </c>
      <c r="D264" s="27">
        <f>'Por Valoracion (3) Dimension'!B264</f>
        <v>18</v>
      </c>
      <c r="E264" s="27">
        <f>'Por Valoracion (3) Dimension 2'!B264</f>
        <v>26</v>
      </c>
      <c r="Z264" s="26"/>
      <c r="AB264" s="34"/>
      <c r="AD264" s="53" t="str">
        <f>('Gestión de abastecimiento'!A265)</f>
        <v>Beneficiaros 261</v>
      </c>
      <c r="AE264" s="27">
        <f>'Por Valoracion (3) Dimension'!D264</f>
        <v>18</v>
      </c>
      <c r="AF264" s="27">
        <f>'Por Valoracion (3) Dimension 2'!B264</f>
        <v>26</v>
      </c>
      <c r="BA264" s="34"/>
      <c r="BC264" s="35"/>
      <c r="BE264" s="53" t="str">
        <f>('Gestión de abastecimiento'!A265)</f>
        <v>Beneficiaros 261</v>
      </c>
      <c r="BF264" s="27">
        <f>'Por Valoracion (3) Dimension'!F264</f>
        <v>18</v>
      </c>
      <c r="BG264" s="27">
        <f>'Por Valoracion (3) Dimension 2'!B264</f>
        <v>26</v>
      </c>
      <c r="CB264" s="35"/>
    </row>
    <row r="265" spans="1:80" x14ac:dyDescent="0.25">
      <c r="A265" s="26"/>
      <c r="C265" s="53" t="str">
        <f>('Gestión de abastecimiento'!A266)</f>
        <v>Beneficiaros 262</v>
      </c>
      <c r="D265" s="27">
        <f>'Por Valoracion (3) Dimension'!B265</f>
        <v>18</v>
      </c>
      <c r="E265" s="27">
        <f>'Por Valoracion (3) Dimension 2'!B265</f>
        <v>26</v>
      </c>
      <c r="Z265" s="26"/>
      <c r="AB265" s="34"/>
      <c r="AD265" s="53" t="str">
        <f>('Gestión de abastecimiento'!A266)</f>
        <v>Beneficiaros 262</v>
      </c>
      <c r="AE265" s="27">
        <f>'Por Valoracion (3) Dimension'!D265</f>
        <v>17</v>
      </c>
      <c r="AF265" s="27">
        <f>'Por Valoracion (3) Dimension 2'!B265</f>
        <v>26</v>
      </c>
      <c r="BA265" s="34"/>
      <c r="BC265" s="35"/>
      <c r="BE265" s="53" t="str">
        <f>('Gestión de abastecimiento'!A266)</f>
        <v>Beneficiaros 262</v>
      </c>
      <c r="BF265" s="27">
        <f>'Por Valoracion (3) Dimension'!F265</f>
        <v>18</v>
      </c>
      <c r="BG265" s="27">
        <f>'Por Valoracion (3) Dimension 2'!B265</f>
        <v>26</v>
      </c>
      <c r="CB265" s="35"/>
    </row>
    <row r="266" spans="1:80" x14ac:dyDescent="0.25">
      <c r="A266" s="26"/>
      <c r="C266" s="53" t="str">
        <f>('Gestión de abastecimiento'!A267)</f>
        <v>Beneficiaros 263</v>
      </c>
      <c r="D266" s="27">
        <f>'Por Valoracion (3) Dimension'!B266</f>
        <v>22</v>
      </c>
      <c r="E266" s="27">
        <f>'Por Valoracion (3) Dimension 2'!B266</f>
        <v>32</v>
      </c>
      <c r="Z266" s="26"/>
      <c r="AB266" s="34"/>
      <c r="AD266" s="53" t="str">
        <f>('Gestión de abastecimiento'!A267)</f>
        <v>Beneficiaros 263</v>
      </c>
      <c r="AE266" s="27">
        <f>'Por Valoracion (3) Dimension'!D266</f>
        <v>18</v>
      </c>
      <c r="AF266" s="27">
        <f>'Por Valoracion (3) Dimension 2'!B266</f>
        <v>32</v>
      </c>
      <c r="BA266" s="34"/>
      <c r="BC266" s="35"/>
      <c r="BE266" s="53" t="str">
        <f>('Gestión de abastecimiento'!A267)</f>
        <v>Beneficiaros 263</v>
      </c>
      <c r="BF266" s="27">
        <f>'Por Valoracion (3) Dimension'!F266</f>
        <v>20</v>
      </c>
      <c r="BG266" s="27">
        <f>'Por Valoracion (3) Dimension 2'!B266</f>
        <v>32</v>
      </c>
      <c r="CB266" s="35"/>
    </row>
    <row r="267" spans="1:80" x14ac:dyDescent="0.25">
      <c r="A267" s="26"/>
      <c r="C267" s="53" t="str">
        <f>('Gestión de abastecimiento'!A268)</f>
        <v>Beneficiaros 264</v>
      </c>
      <c r="D267" s="27">
        <f>'Por Valoracion (3) Dimension'!B267</f>
        <v>13</v>
      </c>
      <c r="E267" s="27">
        <f>'Por Valoracion (3) Dimension 2'!B267</f>
        <v>19</v>
      </c>
      <c r="Z267" s="26"/>
      <c r="AB267" s="34"/>
      <c r="AD267" s="53" t="str">
        <f>('Gestión de abastecimiento'!A268)</f>
        <v>Beneficiaros 264</v>
      </c>
      <c r="AE267" s="27">
        <f>'Por Valoracion (3) Dimension'!D267</f>
        <v>12</v>
      </c>
      <c r="AF267" s="27">
        <f>'Por Valoracion (3) Dimension 2'!B267</f>
        <v>19</v>
      </c>
      <c r="BA267" s="34"/>
      <c r="BC267" s="35"/>
      <c r="BE267" s="53" t="str">
        <f>('Gestión de abastecimiento'!A268)</f>
        <v>Beneficiaros 264</v>
      </c>
      <c r="BF267" s="27">
        <f>'Por Valoracion (3) Dimension'!F267</f>
        <v>13</v>
      </c>
      <c r="BG267" s="27">
        <f>'Por Valoracion (3) Dimension 2'!B267</f>
        <v>19</v>
      </c>
      <c r="CB267" s="35"/>
    </row>
    <row r="268" spans="1:80" x14ac:dyDescent="0.25">
      <c r="A268" s="26"/>
      <c r="C268" s="53" t="str">
        <f>('Gestión de abastecimiento'!A269)</f>
        <v>Beneficiaros 265</v>
      </c>
      <c r="D268" s="27">
        <f>'Por Valoracion (3) Dimension'!B268</f>
        <v>14</v>
      </c>
      <c r="E268" s="27">
        <f>'Por Valoracion (3) Dimension 2'!B268</f>
        <v>21</v>
      </c>
      <c r="Z268" s="26"/>
      <c r="AB268" s="34"/>
      <c r="AD268" s="53" t="str">
        <f>('Gestión de abastecimiento'!A269)</f>
        <v>Beneficiaros 265</v>
      </c>
      <c r="AE268" s="27">
        <f>'Por Valoracion (3) Dimension'!D268</f>
        <v>15</v>
      </c>
      <c r="AF268" s="27">
        <f>'Por Valoracion (3) Dimension 2'!B268</f>
        <v>21</v>
      </c>
      <c r="BA268" s="34"/>
      <c r="BC268" s="35"/>
      <c r="BE268" s="53" t="str">
        <f>('Gestión de abastecimiento'!A269)</f>
        <v>Beneficiaros 265</v>
      </c>
      <c r="BF268" s="27">
        <f>'Por Valoracion (3) Dimension'!F268</f>
        <v>15</v>
      </c>
      <c r="BG268" s="27">
        <f>'Por Valoracion (3) Dimension 2'!B268</f>
        <v>21</v>
      </c>
      <c r="CB268" s="35"/>
    </row>
    <row r="269" spans="1:80" x14ac:dyDescent="0.25">
      <c r="A269" s="26"/>
      <c r="C269" s="53" t="str">
        <f>('Gestión de abastecimiento'!A270)</f>
        <v>Beneficiaros 266</v>
      </c>
      <c r="D269" s="27">
        <f>'Por Valoracion (3) Dimension'!B269</f>
        <v>25</v>
      </c>
      <c r="E269" s="27">
        <f>'Por Valoracion (3) Dimension 2'!B269</f>
        <v>40</v>
      </c>
      <c r="Z269" s="26"/>
      <c r="AB269" s="34"/>
      <c r="AD269" s="53" t="str">
        <f>('Gestión de abastecimiento'!A270)</f>
        <v>Beneficiaros 266</v>
      </c>
      <c r="AE269" s="27">
        <f>'Por Valoracion (3) Dimension'!D269</f>
        <v>24</v>
      </c>
      <c r="AF269" s="27">
        <f>'Por Valoracion (3) Dimension 2'!B269</f>
        <v>40</v>
      </c>
      <c r="BA269" s="34"/>
      <c r="BC269" s="35"/>
      <c r="BE269" s="53" t="str">
        <f>('Gestión de abastecimiento'!A270)</f>
        <v>Beneficiaros 266</v>
      </c>
      <c r="BF269" s="27">
        <f>'Por Valoracion (3) Dimension'!F269</f>
        <v>25</v>
      </c>
      <c r="BG269" s="27">
        <f>'Por Valoracion (3) Dimension 2'!B269</f>
        <v>40</v>
      </c>
      <c r="CB269" s="35"/>
    </row>
    <row r="270" spans="1:80" x14ac:dyDescent="0.25">
      <c r="A270" s="26"/>
      <c r="C270" s="53" t="str">
        <f>('Gestión de abastecimiento'!A271)</f>
        <v>Beneficiaros 267</v>
      </c>
      <c r="D270" s="27">
        <f>'Por Valoracion (3) Dimension'!B270</f>
        <v>17</v>
      </c>
      <c r="E270" s="27">
        <f>'Por Valoracion (3) Dimension 2'!B270</f>
        <v>26</v>
      </c>
      <c r="Z270" s="26"/>
      <c r="AB270" s="34"/>
      <c r="AD270" s="53" t="str">
        <f>('Gestión de abastecimiento'!A271)</f>
        <v>Beneficiaros 267</v>
      </c>
      <c r="AE270" s="27">
        <f>'Por Valoracion (3) Dimension'!D270</f>
        <v>16</v>
      </c>
      <c r="AF270" s="27">
        <f>'Por Valoracion (3) Dimension 2'!B270</f>
        <v>26</v>
      </c>
      <c r="BA270" s="34"/>
      <c r="BC270" s="35"/>
      <c r="BE270" s="53" t="str">
        <f>('Gestión de abastecimiento'!A271)</f>
        <v>Beneficiaros 267</v>
      </c>
      <c r="BF270" s="27">
        <f>'Por Valoracion (3) Dimension'!F270</f>
        <v>15</v>
      </c>
      <c r="BG270" s="27">
        <f>'Por Valoracion (3) Dimension 2'!B270</f>
        <v>26</v>
      </c>
      <c r="CB270" s="35"/>
    </row>
    <row r="271" spans="1:80" x14ac:dyDescent="0.25">
      <c r="A271" s="26"/>
      <c r="C271" s="53" t="str">
        <f>('Gestión de abastecimiento'!A272)</f>
        <v>Beneficiaros 268</v>
      </c>
      <c r="D271" s="27">
        <f>'Por Valoracion (3) Dimension'!B271</f>
        <v>18</v>
      </c>
      <c r="E271" s="27">
        <f>'Por Valoracion (3) Dimension 2'!B271</f>
        <v>27</v>
      </c>
      <c r="Z271" s="26"/>
      <c r="AB271" s="34"/>
      <c r="AD271" s="53" t="str">
        <f>('Gestión de abastecimiento'!A272)</f>
        <v>Beneficiaros 268</v>
      </c>
      <c r="AE271" s="27">
        <f>'Por Valoracion (3) Dimension'!D271</f>
        <v>19</v>
      </c>
      <c r="AF271" s="27">
        <f>'Por Valoracion (3) Dimension 2'!B271</f>
        <v>27</v>
      </c>
      <c r="BA271" s="34"/>
      <c r="BC271" s="35"/>
      <c r="BE271" s="53" t="str">
        <f>('Gestión de abastecimiento'!A272)</f>
        <v>Beneficiaros 268</v>
      </c>
      <c r="BF271" s="27">
        <f>'Por Valoracion (3) Dimension'!F271</f>
        <v>18</v>
      </c>
      <c r="BG271" s="27">
        <f>'Por Valoracion (3) Dimension 2'!B271</f>
        <v>27</v>
      </c>
      <c r="CB271" s="35"/>
    </row>
    <row r="272" spans="1:80" x14ac:dyDescent="0.25">
      <c r="A272" s="26"/>
      <c r="C272" s="53" t="str">
        <f>('Gestión de abastecimiento'!A273)</f>
        <v>Beneficiaros 269</v>
      </c>
      <c r="D272" s="27">
        <f>'Por Valoracion (3) Dimension'!B272</f>
        <v>24</v>
      </c>
      <c r="E272" s="27">
        <f>'Por Valoracion (3) Dimension 2'!B272</f>
        <v>36</v>
      </c>
      <c r="Z272" s="26"/>
      <c r="AB272" s="34"/>
      <c r="AD272" s="53" t="str">
        <f>('Gestión de abastecimiento'!A273)</f>
        <v>Beneficiaros 269</v>
      </c>
      <c r="AE272" s="27">
        <f>'Por Valoracion (3) Dimension'!D272</f>
        <v>24</v>
      </c>
      <c r="AF272" s="27">
        <f>'Por Valoracion (3) Dimension 2'!B272</f>
        <v>36</v>
      </c>
      <c r="BA272" s="34"/>
      <c r="BC272" s="35"/>
      <c r="BE272" s="53" t="str">
        <f>('Gestión de abastecimiento'!A273)</f>
        <v>Beneficiaros 269</v>
      </c>
      <c r="BF272" s="27">
        <f>'Por Valoracion (3) Dimension'!F272</f>
        <v>24</v>
      </c>
      <c r="BG272" s="27">
        <f>'Por Valoracion (3) Dimension 2'!B272</f>
        <v>36</v>
      </c>
      <c r="CB272" s="35"/>
    </row>
    <row r="273" spans="1:80" x14ac:dyDescent="0.25">
      <c r="A273" s="26"/>
      <c r="C273" s="53" t="str">
        <f>('Gestión de abastecimiento'!A274)</f>
        <v>Beneficiaros 270</v>
      </c>
      <c r="D273" s="27">
        <f>'Por Valoracion (3) Dimension'!B273</f>
        <v>18</v>
      </c>
      <c r="E273" s="27">
        <f>'Por Valoracion (3) Dimension 2'!B273</f>
        <v>26</v>
      </c>
      <c r="Z273" s="26"/>
      <c r="AB273" s="34"/>
      <c r="AD273" s="53" t="str">
        <f>('Gestión de abastecimiento'!A274)</f>
        <v>Beneficiaros 270</v>
      </c>
      <c r="AE273" s="27">
        <f>'Por Valoracion (3) Dimension'!D273</f>
        <v>18</v>
      </c>
      <c r="AF273" s="27">
        <f>'Por Valoracion (3) Dimension 2'!B273</f>
        <v>26</v>
      </c>
      <c r="BA273" s="34"/>
      <c r="BC273" s="35"/>
      <c r="BE273" s="53" t="str">
        <f>('Gestión de abastecimiento'!A274)</f>
        <v>Beneficiaros 270</v>
      </c>
      <c r="BF273" s="27">
        <f>'Por Valoracion (3) Dimension'!F273</f>
        <v>18</v>
      </c>
      <c r="BG273" s="27">
        <f>'Por Valoracion (3) Dimension 2'!B273</f>
        <v>26</v>
      </c>
      <c r="CB273" s="35"/>
    </row>
    <row r="274" spans="1:80" x14ac:dyDescent="0.25">
      <c r="A274" s="26"/>
      <c r="C274" s="53" t="str">
        <f>('Gestión de abastecimiento'!A275)</f>
        <v>Beneficiaros 271</v>
      </c>
      <c r="D274" s="27">
        <f>'Por Valoracion (3) Dimension'!B274</f>
        <v>8</v>
      </c>
      <c r="E274" s="27">
        <f>'Por Valoracion (3) Dimension 2'!B274</f>
        <v>9</v>
      </c>
      <c r="Z274" s="26"/>
      <c r="AB274" s="34"/>
      <c r="AD274" s="53" t="str">
        <f>('Gestión de abastecimiento'!A275)</f>
        <v>Beneficiaros 271</v>
      </c>
      <c r="AE274" s="27">
        <f>'Por Valoracion (3) Dimension'!D274</f>
        <v>7</v>
      </c>
      <c r="AF274" s="27">
        <f>'Por Valoracion (3) Dimension 2'!B274</f>
        <v>9</v>
      </c>
      <c r="BA274" s="34"/>
      <c r="BC274" s="35"/>
      <c r="BE274" s="53" t="str">
        <f>('Gestión de abastecimiento'!A275)</f>
        <v>Beneficiaros 271</v>
      </c>
      <c r="BF274" s="27">
        <f>'Por Valoracion (3) Dimension'!F274</f>
        <v>6</v>
      </c>
      <c r="BG274" s="27">
        <f>'Por Valoracion (3) Dimension 2'!B274</f>
        <v>9</v>
      </c>
      <c r="CB274" s="35"/>
    </row>
    <row r="275" spans="1:80" x14ac:dyDescent="0.25">
      <c r="A275" s="26"/>
      <c r="C275" s="53" t="str">
        <f>('Gestión de abastecimiento'!A276)</f>
        <v>Beneficiaros 272</v>
      </c>
      <c r="D275" s="27">
        <f>'Por Valoracion (3) Dimension'!B275</f>
        <v>21</v>
      </c>
      <c r="E275" s="27">
        <f>'Por Valoracion (3) Dimension 2'!B275</f>
        <v>29</v>
      </c>
      <c r="Z275" s="26"/>
      <c r="AB275" s="34"/>
      <c r="AD275" s="53" t="str">
        <f>('Gestión de abastecimiento'!A276)</f>
        <v>Beneficiaros 272</v>
      </c>
      <c r="AE275" s="27">
        <f>'Por Valoracion (3) Dimension'!D275</f>
        <v>21</v>
      </c>
      <c r="AF275" s="27">
        <f>'Por Valoracion (3) Dimension 2'!B275</f>
        <v>29</v>
      </c>
      <c r="BA275" s="34"/>
      <c r="BC275" s="35"/>
      <c r="BE275" s="53" t="str">
        <f>('Gestión de abastecimiento'!A276)</f>
        <v>Beneficiaros 272</v>
      </c>
      <c r="BF275" s="27">
        <f>'Por Valoracion (3) Dimension'!F275</f>
        <v>19</v>
      </c>
      <c r="BG275" s="27">
        <f>'Por Valoracion (3) Dimension 2'!B275</f>
        <v>29</v>
      </c>
      <c r="CB275" s="35"/>
    </row>
    <row r="276" spans="1:80" x14ac:dyDescent="0.25">
      <c r="A276" s="26"/>
      <c r="C276" s="53" t="str">
        <f>('Gestión de abastecimiento'!A277)</f>
        <v>Beneficiaros 273</v>
      </c>
      <c r="D276" s="27">
        <f>'Por Valoracion (3) Dimension'!B276</f>
        <v>19</v>
      </c>
      <c r="E276" s="27">
        <f>'Por Valoracion (3) Dimension 2'!B276</f>
        <v>31</v>
      </c>
      <c r="Z276" s="26"/>
      <c r="AB276" s="34"/>
      <c r="AD276" s="53" t="str">
        <f>('Gestión de abastecimiento'!A277)</f>
        <v>Beneficiaros 273</v>
      </c>
      <c r="AE276" s="27">
        <f>'Por Valoracion (3) Dimension'!D276</f>
        <v>19</v>
      </c>
      <c r="AF276" s="27">
        <f>'Por Valoracion (3) Dimension 2'!B276</f>
        <v>31</v>
      </c>
      <c r="BA276" s="34"/>
      <c r="BC276" s="35"/>
      <c r="BE276" s="53" t="str">
        <f>('Gestión de abastecimiento'!A277)</f>
        <v>Beneficiaros 273</v>
      </c>
      <c r="BF276" s="27">
        <f>'Por Valoracion (3) Dimension'!F276</f>
        <v>20</v>
      </c>
      <c r="BG276" s="27">
        <f>'Por Valoracion (3) Dimension 2'!B276</f>
        <v>31</v>
      </c>
      <c r="CB276" s="35"/>
    </row>
    <row r="277" spans="1:80" x14ac:dyDescent="0.25">
      <c r="A277" s="26"/>
      <c r="C277" s="53" t="str">
        <f>('Gestión de abastecimiento'!A278)</f>
        <v>Beneficiaros 274</v>
      </c>
      <c r="D277" s="27">
        <f>'Por Valoracion (3) Dimension'!B277</f>
        <v>14</v>
      </c>
      <c r="E277" s="27">
        <f>'Por Valoracion (3) Dimension 2'!B277</f>
        <v>20</v>
      </c>
      <c r="Z277" s="26"/>
      <c r="AB277" s="34"/>
      <c r="AD277" s="53" t="str">
        <f>('Gestión de abastecimiento'!A278)</f>
        <v>Beneficiaros 274</v>
      </c>
      <c r="AE277" s="27">
        <f>'Por Valoracion (3) Dimension'!D277</f>
        <v>12</v>
      </c>
      <c r="AF277" s="27">
        <f>'Por Valoracion (3) Dimension 2'!B277</f>
        <v>20</v>
      </c>
      <c r="BA277" s="34"/>
      <c r="BC277" s="35"/>
      <c r="BE277" s="53" t="str">
        <f>('Gestión de abastecimiento'!A278)</f>
        <v>Beneficiaros 274</v>
      </c>
      <c r="BF277" s="27">
        <f>'Por Valoracion (3) Dimension'!F277</f>
        <v>13</v>
      </c>
      <c r="BG277" s="27">
        <f>'Por Valoracion (3) Dimension 2'!B277</f>
        <v>20</v>
      </c>
      <c r="CB277" s="35"/>
    </row>
    <row r="278" spans="1:80" x14ac:dyDescent="0.25">
      <c r="A278" s="26"/>
      <c r="C278" s="53" t="str">
        <f>('Gestión de abastecimiento'!A279)</f>
        <v>Beneficiaros 275</v>
      </c>
      <c r="D278" s="27">
        <f>'Por Valoracion (3) Dimension'!B278</f>
        <v>18</v>
      </c>
      <c r="E278" s="27">
        <f>'Por Valoracion (3) Dimension 2'!B278</f>
        <v>25</v>
      </c>
      <c r="Z278" s="26"/>
      <c r="AB278" s="34"/>
      <c r="AD278" s="53" t="str">
        <f>('Gestión de abastecimiento'!A279)</f>
        <v>Beneficiaros 275</v>
      </c>
      <c r="AE278" s="27">
        <f>'Por Valoracion (3) Dimension'!D278</f>
        <v>19</v>
      </c>
      <c r="AF278" s="27">
        <f>'Por Valoracion (3) Dimension 2'!B278</f>
        <v>25</v>
      </c>
      <c r="BA278" s="34"/>
      <c r="BC278" s="35"/>
      <c r="BE278" s="53" t="str">
        <f>('Gestión de abastecimiento'!A279)</f>
        <v>Beneficiaros 275</v>
      </c>
      <c r="BF278" s="27">
        <f>'Por Valoracion (3) Dimension'!F278</f>
        <v>17</v>
      </c>
      <c r="BG278" s="27">
        <f>'Por Valoracion (3) Dimension 2'!B278</f>
        <v>25</v>
      </c>
      <c r="CB278" s="35"/>
    </row>
    <row r="279" spans="1:80" x14ac:dyDescent="0.25">
      <c r="A279" s="26"/>
      <c r="C279" s="53" t="str">
        <f>('Gestión de abastecimiento'!A280)</f>
        <v>Beneficiaros 276</v>
      </c>
      <c r="D279" s="27">
        <f>'Por Valoracion (3) Dimension'!B279</f>
        <v>12</v>
      </c>
      <c r="E279" s="27">
        <f>'Por Valoracion (3) Dimension 2'!B279</f>
        <v>17</v>
      </c>
      <c r="Z279" s="26"/>
      <c r="AB279" s="34"/>
      <c r="AD279" s="53" t="str">
        <f>('Gestión de abastecimiento'!A280)</f>
        <v>Beneficiaros 276</v>
      </c>
      <c r="AE279" s="27">
        <f>'Por Valoracion (3) Dimension'!D279</f>
        <v>12</v>
      </c>
      <c r="AF279" s="27">
        <f>'Por Valoracion (3) Dimension 2'!B279</f>
        <v>17</v>
      </c>
      <c r="BA279" s="34"/>
      <c r="BC279" s="35"/>
      <c r="BE279" s="53" t="str">
        <f>('Gestión de abastecimiento'!A280)</f>
        <v>Beneficiaros 276</v>
      </c>
      <c r="BF279" s="27">
        <f>'Por Valoracion (3) Dimension'!F279</f>
        <v>10</v>
      </c>
      <c r="BG279" s="27">
        <f>'Por Valoracion (3) Dimension 2'!B279</f>
        <v>17</v>
      </c>
      <c r="CB279" s="35"/>
    </row>
    <row r="280" spans="1:80" x14ac:dyDescent="0.25">
      <c r="A280" s="26"/>
      <c r="C280" s="53" t="str">
        <f>('Gestión de abastecimiento'!A281)</f>
        <v>Beneficiaros 277</v>
      </c>
      <c r="D280" s="27">
        <f>'Por Valoracion (3) Dimension'!B280</f>
        <v>24</v>
      </c>
      <c r="E280" s="27">
        <f>'Por Valoracion (3) Dimension 2'!B280</f>
        <v>35</v>
      </c>
      <c r="Z280" s="26"/>
      <c r="AB280" s="34"/>
      <c r="AD280" s="53" t="str">
        <f>('Gestión de abastecimiento'!A281)</f>
        <v>Beneficiaros 277</v>
      </c>
      <c r="AE280" s="27">
        <f>'Por Valoracion (3) Dimension'!D280</f>
        <v>24</v>
      </c>
      <c r="AF280" s="27">
        <f>'Por Valoracion (3) Dimension 2'!B280</f>
        <v>35</v>
      </c>
      <c r="BA280" s="34"/>
      <c r="BC280" s="35"/>
      <c r="BE280" s="53" t="str">
        <f>('Gestión de abastecimiento'!A281)</f>
        <v>Beneficiaros 277</v>
      </c>
      <c r="BF280" s="27">
        <f>'Por Valoracion (3) Dimension'!F280</f>
        <v>24</v>
      </c>
      <c r="BG280" s="27">
        <f>'Por Valoracion (3) Dimension 2'!B280</f>
        <v>35</v>
      </c>
      <c r="CB280" s="35"/>
    </row>
    <row r="281" spans="1:80" x14ac:dyDescent="0.25">
      <c r="A281" s="26"/>
      <c r="C281" s="53" t="str">
        <f>('Gestión de abastecimiento'!A282)</f>
        <v>Beneficiaros 278</v>
      </c>
      <c r="D281" s="27">
        <f>'Por Valoracion (3) Dimension'!B281</f>
        <v>20</v>
      </c>
      <c r="E281" s="27">
        <f>'Por Valoracion (3) Dimension 2'!B281</f>
        <v>28</v>
      </c>
      <c r="Z281" s="26"/>
      <c r="AB281" s="34"/>
      <c r="AD281" s="53" t="str">
        <f>('Gestión de abastecimiento'!A282)</f>
        <v>Beneficiaros 278</v>
      </c>
      <c r="AE281" s="27">
        <f>'Por Valoracion (3) Dimension'!D281</f>
        <v>19</v>
      </c>
      <c r="AF281" s="27">
        <f>'Por Valoracion (3) Dimension 2'!B281</f>
        <v>28</v>
      </c>
      <c r="BA281" s="34"/>
      <c r="BC281" s="35"/>
      <c r="BE281" s="53" t="str">
        <f>('Gestión de abastecimiento'!A282)</f>
        <v>Beneficiaros 278</v>
      </c>
      <c r="BF281" s="27">
        <f>'Por Valoracion (3) Dimension'!F281</f>
        <v>19</v>
      </c>
      <c r="BG281" s="27">
        <f>'Por Valoracion (3) Dimension 2'!B281</f>
        <v>28</v>
      </c>
      <c r="CB281" s="35"/>
    </row>
    <row r="282" spans="1:80" x14ac:dyDescent="0.25">
      <c r="A282" s="26"/>
      <c r="C282" s="53" t="str">
        <f>('Gestión de abastecimiento'!A283)</f>
        <v>Beneficiaros 279</v>
      </c>
      <c r="D282" s="27">
        <f>'Por Valoracion (3) Dimension'!B282</f>
        <v>18</v>
      </c>
      <c r="E282" s="27">
        <f>'Por Valoracion (3) Dimension 2'!B282</f>
        <v>28</v>
      </c>
      <c r="Z282" s="26"/>
      <c r="AB282" s="34"/>
      <c r="AD282" s="53" t="str">
        <f>('Gestión de abastecimiento'!A283)</f>
        <v>Beneficiaros 279</v>
      </c>
      <c r="AE282" s="27">
        <f>'Por Valoracion (3) Dimension'!D282</f>
        <v>18</v>
      </c>
      <c r="AF282" s="27">
        <f>'Por Valoracion (3) Dimension 2'!B282</f>
        <v>28</v>
      </c>
      <c r="BA282" s="34"/>
      <c r="BC282" s="35"/>
      <c r="BE282" s="53" t="str">
        <f>('Gestión de abastecimiento'!A283)</f>
        <v>Beneficiaros 279</v>
      </c>
      <c r="BF282" s="27">
        <f>'Por Valoracion (3) Dimension'!F282</f>
        <v>18</v>
      </c>
      <c r="BG282" s="27">
        <f>'Por Valoracion (3) Dimension 2'!B282</f>
        <v>28</v>
      </c>
      <c r="CB282" s="35"/>
    </row>
    <row r="283" spans="1:80" x14ac:dyDescent="0.25">
      <c r="A283" s="26"/>
      <c r="C283" s="53" t="str">
        <f>('Gestión de abastecimiento'!A284)</f>
        <v>Beneficiaros 280</v>
      </c>
      <c r="D283" s="27">
        <f>'Por Valoracion (3) Dimension'!B283</f>
        <v>18</v>
      </c>
      <c r="E283" s="27">
        <f>'Por Valoracion (3) Dimension 2'!B283</f>
        <v>26</v>
      </c>
      <c r="Z283" s="26"/>
      <c r="AB283" s="34"/>
      <c r="AD283" s="53" t="str">
        <f>('Gestión de abastecimiento'!A284)</f>
        <v>Beneficiaros 280</v>
      </c>
      <c r="AE283" s="27">
        <f>'Por Valoracion (3) Dimension'!D283</f>
        <v>17</v>
      </c>
      <c r="AF283" s="27">
        <f>'Por Valoracion (3) Dimension 2'!B283</f>
        <v>26</v>
      </c>
      <c r="BA283" s="34"/>
      <c r="BC283" s="35"/>
      <c r="BE283" s="53" t="str">
        <f>('Gestión de abastecimiento'!A284)</f>
        <v>Beneficiaros 280</v>
      </c>
      <c r="BF283" s="27">
        <f>'Por Valoracion (3) Dimension'!F283</f>
        <v>17</v>
      </c>
      <c r="BG283" s="27">
        <f>'Por Valoracion (3) Dimension 2'!B283</f>
        <v>26</v>
      </c>
      <c r="CB283" s="35"/>
    </row>
    <row r="284" spans="1:80" x14ac:dyDescent="0.25">
      <c r="A284" s="26"/>
      <c r="C284" s="53" t="str">
        <f>('Gestión de abastecimiento'!A285)</f>
        <v>Beneficiaros 281</v>
      </c>
      <c r="D284" s="27">
        <f>'Por Valoracion (3) Dimension'!B284</f>
        <v>15</v>
      </c>
      <c r="E284" s="27">
        <f>'Por Valoracion (3) Dimension 2'!B284</f>
        <v>19</v>
      </c>
      <c r="Z284" s="26"/>
      <c r="AB284" s="34"/>
      <c r="AD284" s="53" t="str">
        <f>('Gestión de abastecimiento'!A285)</f>
        <v>Beneficiaros 281</v>
      </c>
      <c r="AE284" s="27">
        <f>'Por Valoracion (3) Dimension'!D284</f>
        <v>14</v>
      </c>
      <c r="AF284" s="27">
        <f>'Por Valoracion (3) Dimension 2'!B284</f>
        <v>19</v>
      </c>
      <c r="BA284" s="34"/>
      <c r="BC284" s="35"/>
      <c r="BE284" s="53" t="str">
        <f>('Gestión de abastecimiento'!A285)</f>
        <v>Beneficiaros 281</v>
      </c>
      <c r="BF284" s="27">
        <f>'Por Valoracion (3) Dimension'!F284</f>
        <v>12</v>
      </c>
      <c r="BG284" s="27">
        <f>'Por Valoracion (3) Dimension 2'!B284</f>
        <v>19</v>
      </c>
      <c r="CB284" s="35"/>
    </row>
    <row r="285" spans="1:80" x14ac:dyDescent="0.25">
      <c r="A285" s="26"/>
      <c r="C285" s="53" t="str">
        <f>('Gestión de abastecimiento'!A286)</f>
        <v>Beneficiaros 282</v>
      </c>
      <c r="D285" s="27">
        <f>'Por Valoracion (3) Dimension'!B285</f>
        <v>12</v>
      </c>
      <c r="E285" s="27">
        <f>'Por Valoracion (3) Dimension 2'!B285</f>
        <v>18</v>
      </c>
      <c r="Z285" s="26"/>
      <c r="AB285" s="34"/>
      <c r="AD285" s="53" t="str">
        <f>('Gestión de abastecimiento'!A286)</f>
        <v>Beneficiaros 282</v>
      </c>
      <c r="AE285" s="27">
        <f>'Por Valoracion (3) Dimension'!D285</f>
        <v>11</v>
      </c>
      <c r="AF285" s="27">
        <f>'Por Valoracion (3) Dimension 2'!B285</f>
        <v>18</v>
      </c>
      <c r="BA285" s="34"/>
      <c r="BC285" s="35"/>
      <c r="BE285" s="53" t="str">
        <f>('Gestión de abastecimiento'!A286)</f>
        <v>Beneficiaros 282</v>
      </c>
      <c r="BF285" s="27">
        <f>'Por Valoracion (3) Dimension'!F285</f>
        <v>11</v>
      </c>
      <c r="BG285" s="27">
        <f>'Por Valoracion (3) Dimension 2'!B285</f>
        <v>18</v>
      </c>
      <c r="CB285" s="35"/>
    </row>
    <row r="286" spans="1:80" x14ac:dyDescent="0.25">
      <c r="A286" s="26"/>
      <c r="C286" s="53" t="str">
        <f>('Gestión de abastecimiento'!A287)</f>
        <v>Beneficiaros 283</v>
      </c>
      <c r="D286" s="27">
        <f>'Por Valoracion (3) Dimension'!B286</f>
        <v>18</v>
      </c>
      <c r="E286" s="27">
        <f>'Por Valoracion (3) Dimension 2'!B286</f>
        <v>27</v>
      </c>
      <c r="Z286" s="26"/>
      <c r="AB286" s="34"/>
      <c r="AD286" s="53" t="str">
        <f>('Gestión de abastecimiento'!A287)</f>
        <v>Beneficiaros 283</v>
      </c>
      <c r="AE286" s="27">
        <f>'Por Valoracion (3) Dimension'!D286</f>
        <v>19</v>
      </c>
      <c r="AF286" s="27">
        <f>'Por Valoracion (3) Dimension 2'!B286</f>
        <v>27</v>
      </c>
      <c r="BA286" s="34"/>
      <c r="BC286" s="35"/>
      <c r="BE286" s="53" t="str">
        <f>('Gestión de abastecimiento'!A287)</f>
        <v>Beneficiaros 283</v>
      </c>
      <c r="BF286" s="27">
        <f>'Por Valoracion (3) Dimension'!F286</f>
        <v>19</v>
      </c>
      <c r="BG286" s="27">
        <f>'Por Valoracion (3) Dimension 2'!B286</f>
        <v>27</v>
      </c>
      <c r="CB286" s="35"/>
    </row>
    <row r="287" spans="1:80" x14ac:dyDescent="0.25">
      <c r="A287" s="26"/>
      <c r="C287" s="53" t="str">
        <f>('Gestión de abastecimiento'!A288)</f>
        <v>Beneficiaros 284</v>
      </c>
      <c r="D287" s="27">
        <f>'Por Valoracion (3) Dimension'!B287</f>
        <v>17</v>
      </c>
      <c r="E287" s="27">
        <f>'Por Valoracion (3) Dimension 2'!B287</f>
        <v>27</v>
      </c>
      <c r="Z287" s="26"/>
      <c r="AB287" s="34"/>
      <c r="AD287" s="53" t="str">
        <f>('Gestión de abastecimiento'!A288)</f>
        <v>Beneficiaros 284</v>
      </c>
      <c r="AE287" s="27">
        <f>'Por Valoracion (3) Dimension'!D287</f>
        <v>18</v>
      </c>
      <c r="AF287" s="27">
        <f>'Por Valoracion (3) Dimension 2'!B287</f>
        <v>27</v>
      </c>
      <c r="BA287" s="34"/>
      <c r="BC287" s="35"/>
      <c r="BE287" s="53" t="str">
        <f>('Gestión de abastecimiento'!A288)</f>
        <v>Beneficiaros 284</v>
      </c>
      <c r="BF287" s="27">
        <f>'Por Valoracion (3) Dimension'!F287</f>
        <v>18</v>
      </c>
      <c r="BG287" s="27">
        <f>'Por Valoracion (3) Dimension 2'!B287</f>
        <v>27</v>
      </c>
      <c r="CB287" s="35"/>
    </row>
    <row r="288" spans="1:80" x14ac:dyDescent="0.25">
      <c r="A288" s="26"/>
      <c r="C288" s="53" t="str">
        <f>('Gestión de abastecimiento'!A289)</f>
        <v>Beneficiaros 285</v>
      </c>
      <c r="D288" s="27">
        <f>'Por Valoracion (3) Dimension'!B288</f>
        <v>16</v>
      </c>
      <c r="E288" s="27">
        <f>'Por Valoracion (3) Dimension 2'!B288</f>
        <v>26</v>
      </c>
      <c r="Z288" s="26"/>
      <c r="AB288" s="34"/>
      <c r="AD288" s="53" t="str">
        <f>('Gestión de abastecimiento'!A289)</f>
        <v>Beneficiaros 285</v>
      </c>
      <c r="AE288" s="27">
        <f>'Por Valoracion (3) Dimension'!D288</f>
        <v>16</v>
      </c>
      <c r="AF288" s="27">
        <f>'Por Valoracion (3) Dimension 2'!B288</f>
        <v>26</v>
      </c>
      <c r="BA288" s="34"/>
      <c r="BC288" s="35"/>
      <c r="BE288" s="53" t="str">
        <f>('Gestión de abastecimiento'!A289)</f>
        <v>Beneficiaros 285</v>
      </c>
      <c r="BF288" s="27">
        <f>'Por Valoracion (3) Dimension'!F288</f>
        <v>15</v>
      </c>
      <c r="BG288" s="27">
        <f>'Por Valoracion (3) Dimension 2'!B288</f>
        <v>26</v>
      </c>
      <c r="CB288" s="35"/>
    </row>
    <row r="289" spans="1:80" x14ac:dyDescent="0.25">
      <c r="A289" s="26"/>
      <c r="C289" s="53" t="str">
        <f>('Gestión de abastecimiento'!A290)</f>
        <v>Beneficiaros 286</v>
      </c>
      <c r="D289" s="27">
        <f>'Por Valoracion (3) Dimension'!B289</f>
        <v>18</v>
      </c>
      <c r="E289" s="27">
        <f>'Por Valoracion (3) Dimension 2'!B289</f>
        <v>27</v>
      </c>
      <c r="Z289" s="26"/>
      <c r="AB289" s="34"/>
      <c r="AD289" s="53" t="str">
        <f>('Gestión de abastecimiento'!A290)</f>
        <v>Beneficiaros 286</v>
      </c>
      <c r="AE289" s="27">
        <f>'Por Valoracion (3) Dimension'!D289</f>
        <v>18</v>
      </c>
      <c r="AF289" s="27">
        <f>'Por Valoracion (3) Dimension 2'!B289</f>
        <v>27</v>
      </c>
      <c r="BA289" s="34"/>
      <c r="BC289" s="35"/>
      <c r="BE289" s="53" t="str">
        <f>('Gestión de abastecimiento'!A290)</f>
        <v>Beneficiaros 286</v>
      </c>
      <c r="BF289" s="27">
        <f>'Por Valoracion (3) Dimension'!F289</f>
        <v>17</v>
      </c>
      <c r="BG289" s="27">
        <f>'Por Valoracion (3) Dimension 2'!B289</f>
        <v>27</v>
      </c>
      <c r="CB289" s="35"/>
    </row>
    <row r="290" spans="1:80" x14ac:dyDescent="0.25">
      <c r="A290" s="26"/>
      <c r="C290" s="53" t="str">
        <f>('Gestión de abastecimiento'!A291)</f>
        <v>Beneficiaros 287</v>
      </c>
      <c r="D290" s="27">
        <f>'Por Valoracion (3) Dimension'!B290</f>
        <v>17</v>
      </c>
      <c r="E290" s="27">
        <f>'Por Valoracion (3) Dimension 2'!B290</f>
        <v>23</v>
      </c>
      <c r="Z290" s="26"/>
      <c r="AB290" s="34"/>
      <c r="AD290" s="53" t="str">
        <f>('Gestión de abastecimiento'!A291)</f>
        <v>Beneficiaros 287</v>
      </c>
      <c r="AE290" s="27">
        <f>'Por Valoracion (3) Dimension'!D290</f>
        <v>15</v>
      </c>
      <c r="AF290" s="27">
        <f>'Por Valoracion (3) Dimension 2'!B290</f>
        <v>23</v>
      </c>
      <c r="BA290" s="34"/>
      <c r="BC290" s="35"/>
      <c r="BE290" s="53" t="str">
        <f>('Gestión de abastecimiento'!A291)</f>
        <v>Beneficiaros 287</v>
      </c>
      <c r="BF290" s="27">
        <f>'Por Valoracion (3) Dimension'!F290</f>
        <v>17</v>
      </c>
      <c r="BG290" s="27">
        <f>'Por Valoracion (3) Dimension 2'!B290</f>
        <v>23</v>
      </c>
      <c r="CB290" s="35"/>
    </row>
    <row r="291" spans="1:80" x14ac:dyDescent="0.25">
      <c r="A291" s="26"/>
      <c r="C291" s="53" t="str">
        <f>('Gestión de abastecimiento'!A292)</f>
        <v>Beneficiaros 288</v>
      </c>
      <c r="D291" s="27">
        <f>'Por Valoracion (3) Dimension'!B291</f>
        <v>12</v>
      </c>
      <c r="E291" s="27">
        <f>'Por Valoracion (3) Dimension 2'!B291</f>
        <v>18</v>
      </c>
      <c r="Z291" s="26"/>
      <c r="AB291" s="34"/>
      <c r="AD291" s="53" t="str">
        <f>('Gestión de abastecimiento'!A292)</f>
        <v>Beneficiaros 288</v>
      </c>
      <c r="AE291" s="27">
        <f>'Por Valoracion (3) Dimension'!D291</f>
        <v>13</v>
      </c>
      <c r="AF291" s="27">
        <f>'Por Valoracion (3) Dimension 2'!B291</f>
        <v>18</v>
      </c>
      <c r="BA291" s="34"/>
      <c r="BC291" s="35"/>
      <c r="BE291" s="53" t="str">
        <f>('Gestión de abastecimiento'!A292)</f>
        <v>Beneficiaros 288</v>
      </c>
      <c r="BF291" s="27">
        <f>'Por Valoracion (3) Dimension'!F291</f>
        <v>13</v>
      </c>
      <c r="BG291" s="27">
        <f>'Por Valoracion (3) Dimension 2'!B291</f>
        <v>18</v>
      </c>
      <c r="CB291" s="35"/>
    </row>
    <row r="292" spans="1:80" x14ac:dyDescent="0.25">
      <c r="A292" s="26"/>
      <c r="C292" s="53" t="str">
        <f>('Gestión de abastecimiento'!A293)</f>
        <v>Beneficiaros 289</v>
      </c>
      <c r="D292" s="27">
        <f>'Por Valoracion (3) Dimension'!B292</f>
        <v>23</v>
      </c>
      <c r="E292" s="27">
        <f>'Por Valoracion (3) Dimension 2'!B292</f>
        <v>35</v>
      </c>
      <c r="Z292" s="26"/>
      <c r="AB292" s="34"/>
      <c r="AD292" s="53" t="str">
        <f>('Gestión de abastecimiento'!A293)</f>
        <v>Beneficiaros 289</v>
      </c>
      <c r="AE292" s="27">
        <f>'Por Valoracion (3) Dimension'!D292</f>
        <v>25</v>
      </c>
      <c r="AF292" s="27">
        <f>'Por Valoracion (3) Dimension 2'!B292</f>
        <v>35</v>
      </c>
      <c r="BA292" s="34"/>
      <c r="BC292" s="35"/>
      <c r="BE292" s="53" t="str">
        <f>('Gestión de abastecimiento'!A293)</f>
        <v>Beneficiaros 289</v>
      </c>
      <c r="BF292" s="27">
        <f>'Por Valoracion (3) Dimension'!F292</f>
        <v>23</v>
      </c>
      <c r="BG292" s="27">
        <f>'Por Valoracion (3) Dimension 2'!B292</f>
        <v>35</v>
      </c>
      <c r="CB292" s="35"/>
    </row>
    <row r="293" spans="1:80" x14ac:dyDescent="0.25">
      <c r="A293" s="26"/>
      <c r="Z293" s="26"/>
      <c r="AB293" s="34"/>
      <c r="BA293" s="34"/>
      <c r="BC293" s="35"/>
      <c r="CB293" s="35"/>
    </row>
    <row r="294" spans="1:80" x14ac:dyDescent="0.25">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B294" s="34"/>
      <c r="AC294" s="34"/>
      <c r="AD294" s="34"/>
      <c r="AE294" s="34"/>
      <c r="AF294" s="34"/>
      <c r="AG294" s="34"/>
      <c r="AH294" s="34"/>
      <c r="AI294" s="34"/>
      <c r="AJ294" s="34"/>
      <c r="AK294" s="34"/>
      <c r="AL294" s="34"/>
      <c r="AM294" s="34"/>
      <c r="AN294" s="34"/>
      <c r="AO294" s="34"/>
      <c r="AP294" s="34"/>
      <c r="AQ294" s="34"/>
      <c r="AR294" s="34"/>
      <c r="AS294" s="34"/>
      <c r="AT294" s="34"/>
      <c r="AU294" s="34"/>
      <c r="AV294" s="34"/>
      <c r="AW294" s="34"/>
      <c r="AX294" s="34"/>
      <c r="AY294" s="34"/>
      <c r="AZ294" s="34"/>
      <c r="BA294" s="34"/>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row>
    <row r="297" spans="1:80" x14ac:dyDescent="0.25">
      <c r="D297" t="s">
        <v>476</v>
      </c>
      <c r="E297" t="s">
        <v>476</v>
      </c>
      <c r="F297" t="s">
        <v>477</v>
      </c>
      <c r="G297" t="s">
        <v>478</v>
      </c>
      <c r="H297" t="s">
        <v>479</v>
      </c>
      <c r="I297" t="s">
        <v>480</v>
      </c>
      <c r="M297" t="s">
        <v>481</v>
      </c>
      <c r="N297" t="s">
        <v>482</v>
      </c>
      <c r="O297" t="s">
        <v>483</v>
      </c>
      <c r="R297" t="s">
        <v>481</v>
      </c>
      <c r="S297" t="s">
        <v>482</v>
      </c>
      <c r="T297" t="s">
        <v>484</v>
      </c>
      <c r="AE297" t="s">
        <v>476</v>
      </c>
      <c r="AF297" t="s">
        <v>476</v>
      </c>
      <c r="AG297" t="s">
        <v>477</v>
      </c>
      <c r="AH297" t="s">
        <v>478</v>
      </c>
      <c r="AI297" t="s">
        <v>479</v>
      </c>
      <c r="AJ297" t="s">
        <v>480</v>
      </c>
      <c r="AN297" t="s">
        <v>481</v>
      </c>
      <c r="AO297" t="s">
        <v>482</v>
      </c>
      <c r="AP297" t="s">
        <v>483</v>
      </c>
      <c r="AS297" t="s">
        <v>481</v>
      </c>
      <c r="AT297" t="s">
        <v>482</v>
      </c>
      <c r="AU297" t="s">
        <v>484</v>
      </c>
      <c r="BF297" t="s">
        <v>476</v>
      </c>
      <c r="BG297" t="s">
        <v>476</v>
      </c>
      <c r="BH297" t="s">
        <v>477</v>
      </c>
      <c r="BI297" t="s">
        <v>478</v>
      </c>
      <c r="BJ297" t="s">
        <v>479</v>
      </c>
      <c r="BK297" t="s">
        <v>480</v>
      </c>
      <c r="BO297" t="s">
        <v>481</v>
      </c>
      <c r="BP297" t="s">
        <v>482</v>
      </c>
      <c r="BQ297" t="s">
        <v>483</v>
      </c>
      <c r="BT297" t="s">
        <v>481</v>
      </c>
      <c r="BU297" t="s">
        <v>482</v>
      </c>
      <c r="BV297" t="s">
        <v>484</v>
      </c>
    </row>
    <row r="298" spans="1:80" x14ac:dyDescent="0.25">
      <c r="D298" t="str">
        <f>D3</f>
        <v>Planificación</v>
      </c>
      <c r="E298" t="str">
        <f>E3</f>
        <v>Satisfacción del servicio</v>
      </c>
      <c r="F298" t="str">
        <f>IF(G8&lt;=50,H6,H6)</f>
        <v>Kolmogorov-Smirnova</v>
      </c>
      <c r="G298" t="str">
        <f>IF(E3&lt;5/100,"la distribución de sus valores son diferentes a la distribución normal","la distribución de sus valores no son diferentes a la distribución normal")</f>
        <v>la distribución de sus valores no son diferentes a la distribución normal</v>
      </c>
      <c r="H298" t="str">
        <f>IF(G298="la distribución de sus valores son diferentes a la distribución normal"," es decir los datos no se encuentran normalmente distribuidos"," es decir los datos si se encuentran normalmente distribuidos")</f>
        <v xml:space="preserve"> es decir los datos si se encuentran normalmente distribuidos</v>
      </c>
      <c r="I298" t="str">
        <f>IF(G298=" es decir los datos no se encuentran normalmente distribuidos"," la prueba no paramétrica de correlación de Rho de Spearman","la prueba paramétrica de correlación de Pearson")</f>
        <v>la prueba paramétrica de correlación de Pearson</v>
      </c>
      <c r="M298" t="s">
        <v>485</v>
      </c>
      <c r="N298">
        <f>R14</f>
        <v>0</v>
      </c>
      <c r="O298">
        <f>R13</f>
        <v>0</v>
      </c>
      <c r="R298" t="s">
        <v>485</v>
      </c>
      <c r="S298">
        <f>X14</f>
        <v>0</v>
      </c>
      <c r="T298">
        <f>X13</f>
        <v>0</v>
      </c>
      <c r="AE298" t="str">
        <f>AE3</f>
        <v>Transparencia</v>
      </c>
      <c r="AF298" t="str">
        <f>AF3</f>
        <v>Satisfacción del servicio</v>
      </c>
      <c r="AG298" t="str">
        <f>IF(AH8&lt;=50,AI6,AI6)</f>
        <v>Kolmogorov-Smirnova</v>
      </c>
      <c r="AH298" t="str">
        <f>IF(AF3&lt;5/100,"la distribución de sus valores son diferentes a la distribución normal","la distribución de sus valores no son diferentes a la distribución normal")</f>
        <v>la distribución de sus valores no son diferentes a la distribución normal</v>
      </c>
      <c r="AI298" t="str">
        <f>IF(AH298="la distribución de sus valores son diferentes a la distribución normal"," es decir los datos no se encuentran normalmente distribuidos"," es decir los datos si se encuentran normalmente distribuidos")</f>
        <v xml:space="preserve"> es decir los datos si se encuentran normalmente distribuidos</v>
      </c>
      <c r="AJ298" t="str">
        <f>IF(AH298=" es decir los datos no se encuentran normalmente distribuidos"," la prueba no paramétrica de correlación de Rho de Spearman","la prueba paramétrica de correlación de Pearson")</f>
        <v>la prueba paramétrica de correlación de Pearson</v>
      </c>
      <c r="AN298" t="s">
        <v>485</v>
      </c>
      <c r="AO298">
        <f>AS14</f>
        <v>0</v>
      </c>
      <c r="AP298">
        <f>AS13</f>
        <v>0</v>
      </c>
      <c r="AS298" t="s">
        <v>485</v>
      </c>
      <c r="AT298">
        <f>AY14</f>
        <v>0</v>
      </c>
      <c r="AU298">
        <f>AY13</f>
        <v>0</v>
      </c>
      <c r="BF298" t="str">
        <f>BF3</f>
        <v>Cumplimiento normativo</v>
      </c>
      <c r="BG298" t="str">
        <f>BG3</f>
        <v>Satisfacción del servicio</v>
      </c>
      <c r="BH298" t="str">
        <f>IF(BI8&lt;=50,BJ6,BJ6)</f>
        <v>Kolmogorov-Smirnova</v>
      </c>
      <c r="BI298" t="str">
        <f>IF(BG3&lt;5/100,"la distribución de sus valores son diferentes a la distribución normal","la distribución de sus valores no son diferentes a la distribución normal")</f>
        <v>la distribución de sus valores no son diferentes a la distribución normal</v>
      </c>
      <c r="BJ298" t="str">
        <f>IF(BI298="la distribución de sus valores son diferentes a la distribución normal"," es decir los datos no se encuentran normalmente distribuidos"," es decir los datos si se encuentran normalmente distribuidos")</f>
        <v xml:space="preserve"> es decir los datos si se encuentran normalmente distribuidos</v>
      </c>
      <c r="BK298" t="str">
        <f>IF(BI298=" es decir los datos no se encuentran normalmente distribuidos"," la prueba no paramétrica de correlación de Rho de Spearman","la prueba paramétrica de correlación de Pearson")</f>
        <v>la prueba paramétrica de correlación de Pearson</v>
      </c>
      <c r="BO298" t="s">
        <v>485</v>
      </c>
      <c r="BP298">
        <f>BT14</f>
        <v>0</v>
      </c>
      <c r="BQ298">
        <f>BT13</f>
        <v>0</v>
      </c>
      <c r="BT298" t="s">
        <v>485</v>
      </c>
      <c r="BU298">
        <f>BZ14</f>
        <v>0</v>
      </c>
      <c r="BV298">
        <f>BZ13</f>
        <v>0</v>
      </c>
    </row>
    <row r="299" spans="1:80" x14ac:dyDescent="0.25">
      <c r="C299" t="s">
        <v>486</v>
      </c>
      <c r="D299">
        <f>M8</f>
        <v>0</v>
      </c>
      <c r="E299">
        <f>M9</f>
        <v>0</v>
      </c>
      <c r="N299">
        <f>N298/100</f>
        <v>0</v>
      </c>
      <c r="O299">
        <f>O298*100</f>
        <v>0</v>
      </c>
      <c r="Q299" t="s">
        <v>487</v>
      </c>
      <c r="S299">
        <f>S298/100</f>
        <v>0</v>
      </c>
      <c r="T299">
        <f>T298*100</f>
        <v>0</v>
      </c>
      <c r="V299" t="s">
        <v>487</v>
      </c>
      <c r="AD299" t="s">
        <v>486</v>
      </c>
      <c r="AE299">
        <f>AN8</f>
        <v>0</v>
      </c>
      <c r="AF299">
        <f>AN9</f>
        <v>0</v>
      </c>
      <c r="AO299">
        <f>AO298/100</f>
        <v>0</v>
      </c>
      <c r="AP299">
        <f>AP298*100</f>
        <v>0</v>
      </c>
      <c r="AR299" t="s">
        <v>487</v>
      </c>
      <c r="AT299">
        <f>AT298/100</f>
        <v>0</v>
      </c>
      <c r="AU299">
        <f>AU298*100</f>
        <v>0</v>
      </c>
      <c r="AW299" t="s">
        <v>487</v>
      </c>
      <c r="BE299" t="s">
        <v>486</v>
      </c>
      <c r="BF299">
        <f>BO8</f>
        <v>0</v>
      </c>
      <c r="BG299">
        <f>BO9</f>
        <v>0</v>
      </c>
      <c r="BP299">
        <f>BP298/100</f>
        <v>0</v>
      </c>
      <c r="BQ299">
        <f>BQ298*100</f>
        <v>0</v>
      </c>
      <c r="BS299" t="s">
        <v>487</v>
      </c>
      <c r="BU299">
        <f>BU298/100</f>
        <v>0</v>
      </c>
      <c r="BV299">
        <f>BV298*100</f>
        <v>0</v>
      </c>
      <c r="BX299" t="s">
        <v>487</v>
      </c>
    </row>
    <row r="300" spans="1:80" x14ac:dyDescent="0.25">
      <c r="N300" t="str">
        <f>IF(N298&lt;5/100,"existe relación significativa entre las ","no existe relación entre las ")</f>
        <v xml:space="preserve">existe relación significativa entre las </v>
      </c>
      <c r="O300" t="str">
        <f>IF(O298&lt;='Criterio para el valor r'!$A$2,'Criterio para el valor r'!$C$2,IF(O298&lt;='Criterio para el valor r'!$A$3,'Criterio para el valor r'!$C$3,IF(O298&lt;='Criterio para el valor r'!$A$4,'Criterio para el valor r'!$C$4,IF(O298&lt;='Criterio para el valor r'!$A$5,'Criterio para el valor r'!$C$5,IF(O298&lt;='Criterio para el valor r'!$A$6,'Criterio para el valor r'!$C$6,IF(O298&lt;='Criterio para el valor r'!$A$8,'Criterio para el valor r'!$C$7,IF(O298&lt;='Criterio para el valor r'!$A$7,'Criterio para el valor r'!$C$8,IF(O298&lt;='Criterio para el valor r'!$B$9,'Criterio para el valor r'!$C$9,IF(O298&lt;='Criterio para el valor r'!$B$10,'Criterio para el valor r'!$C$10,IF(O298&lt;='Criterio para el valor r'!$B$11,'Criterio para el valor r'!$C$11,IF(O298&lt;='Criterio para el valor r'!$B$12,'Criterio para el valor r'!$C$12,IF(O298&lt;='Criterio para el valor r'!$B$13,'Criterio para el valor r'!$C$13,IF(O298&lt;='Criterio para el valor r'!$B$14,'Criterio para el valor r'!$C$14,"algo esta mal")))))))))))))</f>
        <v>Correlación negativa muy débil</v>
      </c>
      <c r="P300" t="str">
        <f>IF(O298&lt;0,"menor","mayor")</f>
        <v>mayor</v>
      </c>
      <c r="Q300" t="str">
        <f>IF(N299&gt;=5/100,"se acepta la Ho y se rechaza la Hi","se rechaza la Ho y se acepta la Hi")</f>
        <v>se rechaza la Ho y se acepta la Hi</v>
      </c>
      <c r="S300" t="str">
        <f>IF(S298&lt;5/100,"existe relación significativa entre las ","no existe relación entre las ")</f>
        <v xml:space="preserve">existe relación significativa entre las </v>
      </c>
      <c r="T300" t="str">
        <f>IF(T298&lt;5/100,"existe relación significativa entre las ","no existe relación entre las ")</f>
        <v xml:space="preserve">existe relación significativa entre las </v>
      </c>
      <c r="U300" t="str">
        <f>IF(T298&lt;0,"menor","mayor")</f>
        <v>mayor</v>
      </c>
      <c r="V300" t="str">
        <f>IF(S299&gt;=5/100,"se acepta la Ho y se rechaza la Hi","se rechaza la Ho y se acepta la Hi")</f>
        <v>se rechaza la Ho y se acepta la Hi</v>
      </c>
      <c r="AO300" t="str">
        <f>IF(AO298&lt;5/100,"existe relación significativa entre las ","no existe relación entre las ")</f>
        <v xml:space="preserve">existe relación significativa entre las </v>
      </c>
      <c r="AP300" t="str">
        <f>IF(AP298&lt;='Criterio para el valor r'!$A$2,'Criterio para el valor r'!$C$2,IF(AP298&lt;='Criterio para el valor r'!$A$3,'Criterio para el valor r'!$C$3,IF(AP298&lt;='Criterio para el valor r'!$A$4,'Criterio para el valor r'!$C$4,IF(AP298&lt;='Criterio para el valor r'!$A$5,'Criterio para el valor r'!$C$5,IF(AP298&lt;='Criterio para el valor r'!$A$6,'Criterio para el valor r'!$C$6,IF(AP298&lt;='Criterio para el valor r'!$A$8,'Criterio para el valor r'!$C$7,IF(AP298&lt;='Criterio para el valor r'!$A$7,'Criterio para el valor r'!$C$8,IF(AP298&lt;='Criterio para el valor r'!$B$9,'Criterio para el valor r'!$C$9,IF(AP298&lt;='Criterio para el valor r'!$B$10,'Criterio para el valor r'!$C$10,IF(AP298&lt;='Criterio para el valor r'!$B$11,'Criterio para el valor r'!$C$11,IF(AP298&lt;='Criterio para el valor r'!$B$12,'Criterio para el valor r'!$C$12,IF(AP298&lt;='Criterio para el valor r'!$B$13,'Criterio para el valor r'!$C$13,IF(AP298&lt;='Criterio para el valor r'!$B$14,'Criterio para el valor r'!$C$14,"algo esta mal")))))))))))))</f>
        <v>Correlación negativa muy débil</v>
      </c>
      <c r="AQ300" t="str">
        <f>IF(AP298&lt;0,"menor","mayor")</f>
        <v>mayor</v>
      </c>
      <c r="AR300" t="str">
        <f>IF(AO299&gt;=5/100,"se acepta la Ho y se rechaza la Hi","se rechaza la Ho y se acepta la Hi")</f>
        <v>se rechaza la Ho y se acepta la Hi</v>
      </c>
      <c r="AT300" t="str">
        <f>IF(AT298&lt;5/100,"existe relación significativa entre las ","no existe relación entre las ")</f>
        <v xml:space="preserve">existe relación significativa entre las </v>
      </c>
      <c r="AU300" t="str">
        <f>IF(AU298&lt;5/100,"existe relación significativa entre las ","no existe relación entre las ")</f>
        <v xml:space="preserve">existe relación significativa entre las </v>
      </c>
      <c r="AV300" t="str">
        <f>IF(AU298&lt;0,"menor","mayor")</f>
        <v>mayor</v>
      </c>
      <c r="AW300" t="str">
        <f>IF(AT299&gt;=5/100,"se acepta la Ho y se rechaza la Hi","se rechaza la Ho y se acepta la Hi")</f>
        <v>se rechaza la Ho y se acepta la Hi</v>
      </c>
      <c r="BP300" t="str">
        <f>IF(BP298&lt;5/100,"existe relación significativa entre las ","no existe relación entre las ")</f>
        <v xml:space="preserve">existe relación significativa entre las </v>
      </c>
      <c r="BQ300" t="str">
        <f>IF(BQ298&lt;='Criterio para el valor r'!$A$2,'Criterio para el valor r'!$C$2,IF(BQ298&lt;='Criterio para el valor r'!$A$3,'Criterio para el valor r'!$C$3,IF(BQ298&lt;='Criterio para el valor r'!$A$4,'Criterio para el valor r'!$C$4,IF(BQ298&lt;='Criterio para el valor r'!$A$5,'Criterio para el valor r'!$C$5,IF(BQ298&lt;='Criterio para el valor r'!$A$6,'Criterio para el valor r'!$C$6,IF(BQ298&lt;='Criterio para el valor r'!$A$8,'Criterio para el valor r'!$C$7,IF(BQ298&lt;='Criterio para el valor r'!$A$7,'Criterio para el valor r'!$C$8,IF(BQ298&lt;='Criterio para el valor r'!$B$9,'Criterio para el valor r'!$C$9,IF(BQ298&lt;='Criterio para el valor r'!$B$10,'Criterio para el valor r'!$C$10,IF(BQ298&lt;='Criterio para el valor r'!$B$11,'Criterio para el valor r'!$C$11,IF(BQ298&lt;='Criterio para el valor r'!$B$12,'Criterio para el valor r'!$C$12,IF(BQ298&lt;='Criterio para el valor r'!$B$13,'Criterio para el valor r'!$C$13,IF(BQ298&lt;='Criterio para el valor r'!$B$14,'Criterio para el valor r'!$C$14,"algo esta mal")))))))))))))</f>
        <v>Correlación negativa muy débil</v>
      </c>
      <c r="BR300" t="str">
        <f>IF(BQ298&lt;0,"menor","mayor")</f>
        <v>mayor</v>
      </c>
      <c r="BS300" t="str">
        <f>IF(BP299&gt;=5/100,"se acepta la Ho y se rechaza la Hi","se rechaza la Ho y se acepta la Hi")</f>
        <v>se rechaza la Ho y se acepta la Hi</v>
      </c>
      <c r="BU300" t="str">
        <f>IF(BU298&lt;5/100,"existe relación significativa entre las ","no existe relación entre las ")</f>
        <v xml:space="preserve">existe relación significativa entre las </v>
      </c>
      <c r="BV300" t="str">
        <f>IF(BV298&lt;5/100,"existe relación significativa entre las ","no existe relación entre las ")</f>
        <v xml:space="preserve">existe relación significativa entre las </v>
      </c>
      <c r="BW300" t="str">
        <f>IF(BV298&lt;0,"menor","mayor")</f>
        <v>mayor</v>
      </c>
      <c r="BX300" t="str">
        <f>IF(BU299&gt;=5/100,"se acepta la Ho y se rechaza la Hi","se rechaza la Ho y se acepta la Hi")</f>
        <v>se rechaza la Ho y se acepta la Hi</v>
      </c>
    </row>
    <row r="303" spans="1:80" x14ac:dyDescent="0.25">
      <c r="O303" s="52" t="str">
        <f>CONCATENATE("la ",O10," muestra los resultados de la prueba de ",P13,", en donde se evidencia que con una ",N297," del ",N299,"% ",N300," ",M298," ",O13," y ",O16,", adicional a ello se puede observar que la fuerza y/o grado de correlación ",O297," tiene un valor de ",O299,"% lo que afirma que es una ",O300," mismo que asu vez significa que a mayor ",Q12," ",P300," ",O16,", por todo ello en el presente objetivo ",Q300,".")</f>
        <v>la Tabla 1 muestra los resultados de la prueba de Correlación de Pearson, en donde se evidencia que con una  probabilidad de error  del 0% existe relación significativa entre las  dimensiones Planificación y Satisfacción del servicio, adicional a ello se puede observar que la fuerza y/o grado de correlación  "r"  tiene un valor de 0% lo que afirma que es una Correlación negativa muy débil mismo que asu vez significa que a mayor Planificación mayor Satisfacción del servicio, por todo ello en el presente objetivo se rechaza la Ho y se acepta la Hi.</v>
      </c>
      <c r="P303" s="53"/>
      <c r="Q303" s="53"/>
      <c r="R303" s="53"/>
      <c r="T303" s="52" t="str">
        <f>CONCATENATE("la ",T10," muestra los resultados de la prueba de ",V13,", en donde se evidencia que con una ",S297," del ",S299,"% ",S300," ",R298," ",U13," y ",U16,", adicional a ello se puede observar que la fuerza y/o grado de correlación ",T297," tiene un valor de ",T299,"% lo que afirma que es una ",T300," mismo que asu vez significa que a mayor ",W12," ",U300," ",X12,", por todo ello en el presente objetivo ",V300,".")</f>
        <v>la Tabla 1 muestra los resultados de la prueba de Correlación de Rho de Spearman, en donde se evidencia que con una  probabilidad de error  del 0% existe relación significativa entre las  dimensiones Planificación y Satisfacción del servicio, adicional a ello se puede observar que la fuerza y/o grado de correlación "Rho" tiene un valor de 0% lo que afirma que es una existe relación significativa entre las  mismo que asu vez significa que a mayor Planificación mayor Satisfacción del servicio, por todo ello en el presente objetivo se rechaza la Ho y se acepta la Hi.</v>
      </c>
      <c r="U303" s="53"/>
      <c r="V303" s="53"/>
      <c r="W303" s="53"/>
      <c r="AP303" s="52" t="str">
        <f>CONCATENATE("la ",AP10," muestra los resultados de la prueba de ",AQ13,", en donde se evidencia que con una ",AO297," del ",AO299,"% ",AO300," ",AN298," ",AP13," y ",AP16,", adicional a ello se puede observar que la fuerza y/o grado de correlación ",AP297," tiene un valor de ",AP299,"% lo que afirma que es una ",AP300," mismo que asu vez significa que a mayor ",AR12," ",AQ300," ",AP16,", por todo ello en el presente objetivo ",AR300,".")</f>
        <v>la Tabla 2 muestra los resultados de la prueba de Correlación de Pearson, en donde se evidencia que con una  probabilidad de error  del 0% existe relación significativa entre las  dimensiones Transparencia y Satisfacción del servicio, adicional a ello se puede observar que la fuerza y/o grado de correlación  "r"  tiene un valor de 0% lo que afirma que es una Correlación negativa muy débil mismo que asu vez significa que a mayor Transparencia mayor Satisfacción del servicio, por todo ello en el presente objetivo se rechaza la Ho y se acepta la Hi.</v>
      </c>
      <c r="AQ303" s="53"/>
      <c r="AR303" s="53"/>
      <c r="AS303" s="53"/>
      <c r="AU303" s="52" t="str">
        <f>CONCATENATE("la ",AU10," muestra los resultados de la prueba de ",AW13,", en donde se evidencia que con una ",AT297," del ",AT299,"% ",AT300," ",AS298," ",AV13," y ",AV16,", adicional a ello se puede observar que la fuerza y/o grado de correlación ",AU297," tiene un valor de ",AU299,"% lo que afirma que es una ",AU300," mismo que asu vez significa que a mayor ",AX12," ",AV300," ",AY12,", por todo ello en el presente objetivo ",AW300,".")</f>
        <v>la Tabla 2 muestra los resultados de la prueba de Correlación de Rho de Spearman, en donde se evidencia que con una  probabilidad de error  del 0% existe relación significativa entre las  dimensiones Transparencia y Satisfacción del servicio, adicional a ello se puede observar que la fuerza y/o grado de correlación "Rho" tiene un valor de 0% lo que afirma que es una existe relación significativa entre las  mismo que asu vez significa que a mayor Transparencia mayor Satisfacción del servicio, por todo ello en el presente objetivo se rechaza la Ho y se acepta la Hi.</v>
      </c>
      <c r="AV303" s="53"/>
      <c r="AW303" s="53"/>
      <c r="AX303" s="53"/>
      <c r="BQ303" s="52" t="str">
        <f>CONCATENATE("la ",BQ10," muestra los resultados de la prueba de ",BR13,", en donde se evidencia que con una ",BP297," del ",BP299,"% ",BP300," ",BO298," ",BQ13," y ",BQ16,", adicional a ello se puede observar que la fuerza y/o grado de correlación ",BQ297," tiene un valor de ",BQ299,"% lo que afirma que es una ",BQ300," mismo que asu vez significa que a mayor ",BS12," ",BR300," ",BQ16,", por todo ello en el presente objetivo ",BS300,".")</f>
        <v>la Tabla 3 muestra los resultados de la prueba de Correlación de Pearson, en donde se evidencia que con una  probabilidad de error  del 0% existe relación significativa entre las  dimensiones Cumplimiento normativo y Satisfacción del servicio, adicional a ello se puede observar que la fuerza y/o grado de correlación  "r"  tiene un valor de 0% lo que afirma que es una Correlación negativa muy débil mismo que asu vez significa que a mayor Cumplimiento normativo mayor Satisfacción del servicio, por todo ello en el presente objetivo se rechaza la Ho y se acepta la Hi.</v>
      </c>
      <c r="BR303" s="53"/>
      <c r="BS303" s="53"/>
      <c r="BT303" s="53"/>
      <c r="BV303" s="52" t="str">
        <f>CONCATENATE("la ",BV10," muestra los resultados de la prueba de ",BX13,", en donde se evidencia que con una ",BU297," del ",BU299,"% ",BU300," ",BT298," ",BW13," y ",BW16,", adicional a ello se puede observar que la fuerza y/o grado de correlación ",BV297," tiene un valor de ",BV299,"% lo que afirma que es una ",BV300," mismo que asu vez significa que a mayor ",BY12," ",BW300," ",BZ12,", por todo ello en el presente objetivo ",BX300,".")</f>
        <v>la Tabla 3 muestra los resultados de la prueba de Correlación de Rho de Spearman, en donde se evidencia que con una  probabilidad de error  del 0% existe relación significativa entre las  dimensiones Cumplimiento normativo y Satisfacción del servicio, adicional a ello se puede observar que la fuerza y/o grado de correlación "Rho" tiene un valor de 0% lo que afirma que es una existe relación significativa entre las  mismo que asu vez significa que a mayor Cumplimiento normativo mayor Satisfacción del servicio, por todo ello en el presente objetivo se rechaza la Ho y se acepta la Hi.</v>
      </c>
      <c r="BW303" s="53"/>
      <c r="BX303" s="53"/>
      <c r="BY303" s="53"/>
    </row>
    <row r="304" spans="1:80" x14ac:dyDescent="0.25">
      <c r="O304" s="53"/>
      <c r="P304" s="53"/>
      <c r="Q304" s="53"/>
      <c r="R304" s="53"/>
      <c r="T304" s="53"/>
      <c r="U304" s="53"/>
      <c r="V304" s="53"/>
      <c r="W304" s="53"/>
      <c r="AP304" s="53"/>
      <c r="AQ304" s="53"/>
      <c r="AR304" s="53"/>
      <c r="AS304" s="53"/>
      <c r="AU304" s="53"/>
      <c r="AV304" s="53"/>
      <c r="AW304" s="53"/>
      <c r="AX304" s="53"/>
      <c r="BQ304" s="53"/>
      <c r="BR304" s="53"/>
      <c r="BS304" s="53"/>
      <c r="BT304" s="53"/>
      <c r="BV304" s="53"/>
      <c r="BW304" s="53"/>
      <c r="BX304" s="53"/>
      <c r="BY304" s="53"/>
    </row>
    <row r="305" spans="15:77" x14ac:dyDescent="0.25">
      <c r="O305" s="53"/>
      <c r="P305" s="53"/>
      <c r="Q305" s="53"/>
      <c r="R305" s="53"/>
      <c r="T305" s="53"/>
      <c r="U305" s="53"/>
      <c r="V305" s="53"/>
      <c r="W305" s="53"/>
      <c r="AP305" s="53"/>
      <c r="AQ305" s="53"/>
      <c r="AR305" s="53"/>
      <c r="AS305" s="53"/>
      <c r="AU305" s="53"/>
      <c r="AV305" s="53"/>
      <c r="AW305" s="53"/>
      <c r="AX305" s="53"/>
      <c r="BQ305" s="53"/>
      <c r="BR305" s="53"/>
      <c r="BS305" s="53"/>
      <c r="BT305" s="53"/>
      <c r="BV305" s="53"/>
      <c r="BW305" s="53"/>
      <c r="BX305" s="53"/>
      <c r="BY305" s="53"/>
    </row>
    <row r="306" spans="15:77" x14ac:dyDescent="0.25">
      <c r="O306" s="53"/>
      <c r="P306" s="53"/>
      <c r="Q306" s="53"/>
      <c r="R306" s="53"/>
      <c r="T306" s="53"/>
      <c r="U306" s="53"/>
      <c r="V306" s="53"/>
      <c r="W306" s="53"/>
      <c r="AP306" s="53"/>
      <c r="AQ306" s="53"/>
      <c r="AR306" s="53"/>
      <c r="AS306" s="53"/>
      <c r="AU306" s="53"/>
      <c r="AV306" s="53"/>
      <c r="AW306" s="53"/>
      <c r="AX306" s="53"/>
      <c r="BQ306" s="53"/>
      <c r="BR306" s="53"/>
      <c r="BS306" s="53"/>
      <c r="BT306" s="53"/>
      <c r="BV306" s="53"/>
      <c r="BW306" s="53"/>
      <c r="BX306" s="53"/>
      <c r="BY306" s="53"/>
    </row>
    <row r="307" spans="15:77" x14ac:dyDescent="0.25">
      <c r="O307" s="53"/>
      <c r="P307" s="53"/>
      <c r="Q307" s="53"/>
      <c r="R307" s="53"/>
      <c r="T307" s="53"/>
      <c r="U307" s="53"/>
      <c r="V307" s="53"/>
      <c r="W307" s="53"/>
      <c r="AP307" s="53"/>
      <c r="AQ307" s="53"/>
      <c r="AR307" s="53"/>
      <c r="AS307" s="53"/>
      <c r="AU307" s="53"/>
      <c r="AV307" s="53"/>
      <c r="AW307" s="53"/>
      <c r="AX307" s="53"/>
      <c r="BQ307" s="53"/>
      <c r="BR307" s="53"/>
      <c r="BS307" s="53"/>
      <c r="BT307" s="53"/>
      <c r="BV307" s="53"/>
      <c r="BW307" s="53"/>
      <c r="BX307" s="53"/>
      <c r="BY307" s="53"/>
    </row>
    <row r="308" spans="15:77" x14ac:dyDescent="0.25">
      <c r="O308" s="53"/>
      <c r="P308" s="53"/>
      <c r="Q308" s="53"/>
      <c r="R308" s="53"/>
      <c r="T308" s="53"/>
      <c r="U308" s="53"/>
      <c r="V308" s="53"/>
      <c r="W308" s="53"/>
      <c r="AP308" s="53"/>
      <c r="AQ308" s="53"/>
      <c r="AR308" s="53"/>
      <c r="AS308" s="53"/>
      <c r="AU308" s="53"/>
      <c r="AV308" s="53"/>
      <c r="AW308" s="53"/>
      <c r="AX308" s="53"/>
      <c r="BQ308" s="53"/>
      <c r="BR308" s="53"/>
      <c r="BS308" s="53"/>
      <c r="BT308" s="53"/>
      <c r="BV308" s="53"/>
      <c r="BW308" s="53"/>
      <c r="BX308" s="53"/>
      <c r="BY308" s="53"/>
    </row>
  </sheetData>
  <sheetProtection formatCells="0" formatColumns="0" formatRows="0" insertColumns="0" insertRows="0" insertHyperlinks="0" deleteColumns="0" deleteRows="0" sort="0" autoFilter="0" pivotTables="0"/>
  <mergeCells count="924">
    <mergeCell ref="BQ303:BT308"/>
    <mergeCell ref="BV11:BZ11"/>
    <mergeCell ref="BV12:BX12"/>
    <mergeCell ref="BV19:BZ19"/>
    <mergeCell ref="BV13:BV18"/>
    <mergeCell ref="BV303:BY308"/>
    <mergeCell ref="BW13:BW15"/>
    <mergeCell ref="BW16:BW18"/>
    <mergeCell ref="BQ11:BT11"/>
    <mergeCell ref="BQ12:BR12"/>
    <mergeCell ref="BQ13:BQ15"/>
    <mergeCell ref="BQ16:BQ18"/>
    <mergeCell ref="BQ19:BT19"/>
    <mergeCell ref="BE289"/>
    <mergeCell ref="BE290"/>
    <mergeCell ref="BE291"/>
    <mergeCell ref="BE292"/>
    <mergeCell ref="BI5:BO5"/>
    <mergeCell ref="BI12:BO17"/>
    <mergeCell ref="BI10:BO10"/>
    <mergeCell ref="BI6:BI7"/>
    <mergeCell ref="BJ6:BL6"/>
    <mergeCell ref="BM6:BO6"/>
    <mergeCell ref="BE284"/>
    <mergeCell ref="BE285"/>
    <mergeCell ref="BE286"/>
    <mergeCell ref="BE287"/>
    <mergeCell ref="BE288"/>
    <mergeCell ref="BE279"/>
    <mergeCell ref="BE280"/>
    <mergeCell ref="BE281"/>
    <mergeCell ref="BE282"/>
    <mergeCell ref="BE283"/>
    <mergeCell ref="BE274"/>
    <mergeCell ref="BE275"/>
    <mergeCell ref="BE276"/>
    <mergeCell ref="BE277"/>
    <mergeCell ref="BE278"/>
    <mergeCell ref="BE269"/>
    <mergeCell ref="BE270"/>
    <mergeCell ref="BE271"/>
    <mergeCell ref="BE272"/>
    <mergeCell ref="BE273"/>
    <mergeCell ref="BE264"/>
    <mergeCell ref="BE265"/>
    <mergeCell ref="BE266"/>
    <mergeCell ref="BE267"/>
    <mergeCell ref="BE268"/>
    <mergeCell ref="BE259"/>
    <mergeCell ref="BE260"/>
    <mergeCell ref="BE261"/>
    <mergeCell ref="BE262"/>
    <mergeCell ref="BE263"/>
    <mergeCell ref="BE254"/>
    <mergeCell ref="BE255"/>
    <mergeCell ref="BE256"/>
    <mergeCell ref="BE257"/>
    <mergeCell ref="BE258"/>
    <mergeCell ref="BE249"/>
    <mergeCell ref="BE250"/>
    <mergeCell ref="BE251"/>
    <mergeCell ref="BE252"/>
    <mergeCell ref="BE253"/>
    <mergeCell ref="BE244"/>
    <mergeCell ref="BE245"/>
    <mergeCell ref="BE246"/>
    <mergeCell ref="BE247"/>
    <mergeCell ref="BE248"/>
    <mergeCell ref="BE239"/>
    <mergeCell ref="BE240"/>
    <mergeCell ref="BE241"/>
    <mergeCell ref="BE242"/>
    <mergeCell ref="BE243"/>
    <mergeCell ref="BE234"/>
    <mergeCell ref="BE235"/>
    <mergeCell ref="BE236"/>
    <mergeCell ref="BE237"/>
    <mergeCell ref="BE238"/>
    <mergeCell ref="BE229"/>
    <mergeCell ref="BE230"/>
    <mergeCell ref="BE231"/>
    <mergeCell ref="BE232"/>
    <mergeCell ref="BE233"/>
    <mergeCell ref="BE224"/>
    <mergeCell ref="BE225"/>
    <mergeCell ref="BE226"/>
    <mergeCell ref="BE227"/>
    <mergeCell ref="BE228"/>
    <mergeCell ref="BE219"/>
    <mergeCell ref="BE220"/>
    <mergeCell ref="BE221"/>
    <mergeCell ref="BE222"/>
    <mergeCell ref="BE223"/>
    <mergeCell ref="BE214"/>
    <mergeCell ref="BE215"/>
    <mergeCell ref="BE216"/>
    <mergeCell ref="BE217"/>
    <mergeCell ref="BE218"/>
    <mergeCell ref="BE209"/>
    <mergeCell ref="BE210"/>
    <mergeCell ref="BE211"/>
    <mergeCell ref="BE212"/>
    <mergeCell ref="BE213"/>
    <mergeCell ref="BE204"/>
    <mergeCell ref="BE205"/>
    <mergeCell ref="BE206"/>
    <mergeCell ref="BE207"/>
    <mergeCell ref="BE208"/>
    <mergeCell ref="BE199"/>
    <mergeCell ref="BE200"/>
    <mergeCell ref="BE201"/>
    <mergeCell ref="BE202"/>
    <mergeCell ref="BE203"/>
    <mergeCell ref="BE194"/>
    <mergeCell ref="BE195"/>
    <mergeCell ref="BE196"/>
    <mergeCell ref="BE197"/>
    <mergeCell ref="BE198"/>
    <mergeCell ref="BE189"/>
    <mergeCell ref="BE190"/>
    <mergeCell ref="BE191"/>
    <mergeCell ref="BE192"/>
    <mergeCell ref="BE193"/>
    <mergeCell ref="BE184"/>
    <mergeCell ref="BE185"/>
    <mergeCell ref="BE186"/>
    <mergeCell ref="BE187"/>
    <mergeCell ref="BE188"/>
    <mergeCell ref="BE179"/>
    <mergeCell ref="BE180"/>
    <mergeCell ref="BE181"/>
    <mergeCell ref="BE182"/>
    <mergeCell ref="BE183"/>
    <mergeCell ref="BE174"/>
    <mergeCell ref="BE175"/>
    <mergeCell ref="BE176"/>
    <mergeCell ref="BE177"/>
    <mergeCell ref="BE178"/>
    <mergeCell ref="BE169"/>
    <mergeCell ref="BE170"/>
    <mergeCell ref="BE171"/>
    <mergeCell ref="BE172"/>
    <mergeCell ref="BE173"/>
    <mergeCell ref="BE164"/>
    <mergeCell ref="BE165"/>
    <mergeCell ref="BE166"/>
    <mergeCell ref="BE167"/>
    <mergeCell ref="BE168"/>
    <mergeCell ref="BE159"/>
    <mergeCell ref="BE160"/>
    <mergeCell ref="BE161"/>
    <mergeCell ref="BE162"/>
    <mergeCell ref="BE163"/>
    <mergeCell ref="BE154"/>
    <mergeCell ref="BE155"/>
    <mergeCell ref="BE156"/>
    <mergeCell ref="BE157"/>
    <mergeCell ref="BE158"/>
    <mergeCell ref="BE149"/>
    <mergeCell ref="BE150"/>
    <mergeCell ref="BE151"/>
    <mergeCell ref="BE152"/>
    <mergeCell ref="BE153"/>
    <mergeCell ref="BE144"/>
    <mergeCell ref="BE145"/>
    <mergeCell ref="BE146"/>
    <mergeCell ref="BE147"/>
    <mergeCell ref="BE148"/>
    <mergeCell ref="BE139"/>
    <mergeCell ref="BE140"/>
    <mergeCell ref="BE141"/>
    <mergeCell ref="BE142"/>
    <mergeCell ref="BE143"/>
    <mergeCell ref="BE134"/>
    <mergeCell ref="BE135"/>
    <mergeCell ref="BE136"/>
    <mergeCell ref="BE137"/>
    <mergeCell ref="BE138"/>
    <mergeCell ref="BE129"/>
    <mergeCell ref="BE130"/>
    <mergeCell ref="BE131"/>
    <mergeCell ref="BE132"/>
    <mergeCell ref="BE133"/>
    <mergeCell ref="BE124"/>
    <mergeCell ref="BE125"/>
    <mergeCell ref="BE126"/>
    <mergeCell ref="BE127"/>
    <mergeCell ref="BE128"/>
    <mergeCell ref="BE119"/>
    <mergeCell ref="BE120"/>
    <mergeCell ref="BE121"/>
    <mergeCell ref="BE122"/>
    <mergeCell ref="BE123"/>
    <mergeCell ref="BE114"/>
    <mergeCell ref="BE115"/>
    <mergeCell ref="BE116"/>
    <mergeCell ref="BE117"/>
    <mergeCell ref="BE118"/>
    <mergeCell ref="BE109"/>
    <mergeCell ref="BE110"/>
    <mergeCell ref="BE111"/>
    <mergeCell ref="BE112"/>
    <mergeCell ref="BE113"/>
    <mergeCell ref="BE104"/>
    <mergeCell ref="BE105"/>
    <mergeCell ref="BE106"/>
    <mergeCell ref="BE107"/>
    <mergeCell ref="BE108"/>
    <mergeCell ref="BE99"/>
    <mergeCell ref="BE100"/>
    <mergeCell ref="BE101"/>
    <mergeCell ref="BE102"/>
    <mergeCell ref="BE103"/>
    <mergeCell ref="BE94"/>
    <mergeCell ref="BE95"/>
    <mergeCell ref="BE96"/>
    <mergeCell ref="BE97"/>
    <mergeCell ref="BE98"/>
    <mergeCell ref="BE89"/>
    <mergeCell ref="BE90"/>
    <mergeCell ref="BE91"/>
    <mergeCell ref="BE92"/>
    <mergeCell ref="BE93"/>
    <mergeCell ref="BE84"/>
    <mergeCell ref="BE85"/>
    <mergeCell ref="BE86"/>
    <mergeCell ref="BE87"/>
    <mergeCell ref="BE88"/>
    <mergeCell ref="BE79"/>
    <mergeCell ref="BE80"/>
    <mergeCell ref="BE81"/>
    <mergeCell ref="BE82"/>
    <mergeCell ref="BE83"/>
    <mergeCell ref="BE74"/>
    <mergeCell ref="BE75"/>
    <mergeCell ref="BE76"/>
    <mergeCell ref="BE77"/>
    <mergeCell ref="BE78"/>
    <mergeCell ref="BE69"/>
    <mergeCell ref="BE70"/>
    <mergeCell ref="BE71"/>
    <mergeCell ref="BE72"/>
    <mergeCell ref="BE73"/>
    <mergeCell ref="BE64"/>
    <mergeCell ref="BE65"/>
    <mergeCell ref="BE66"/>
    <mergeCell ref="BE67"/>
    <mergeCell ref="BE68"/>
    <mergeCell ref="BE59"/>
    <mergeCell ref="BE60"/>
    <mergeCell ref="BE61"/>
    <mergeCell ref="BE62"/>
    <mergeCell ref="BE63"/>
    <mergeCell ref="BE54"/>
    <mergeCell ref="BE55"/>
    <mergeCell ref="BE56"/>
    <mergeCell ref="BE57"/>
    <mergeCell ref="BE58"/>
    <mergeCell ref="BE49"/>
    <mergeCell ref="BE50"/>
    <mergeCell ref="BE51"/>
    <mergeCell ref="BE52"/>
    <mergeCell ref="BE53"/>
    <mergeCell ref="BE44"/>
    <mergeCell ref="BE45"/>
    <mergeCell ref="BE46"/>
    <mergeCell ref="BE47"/>
    <mergeCell ref="BE48"/>
    <mergeCell ref="BE39"/>
    <mergeCell ref="BE40"/>
    <mergeCell ref="BE41"/>
    <mergeCell ref="BE42"/>
    <mergeCell ref="BE43"/>
    <mergeCell ref="BE34"/>
    <mergeCell ref="BE35"/>
    <mergeCell ref="BE36"/>
    <mergeCell ref="BE37"/>
    <mergeCell ref="BE38"/>
    <mergeCell ref="BE29"/>
    <mergeCell ref="BE30"/>
    <mergeCell ref="BE31"/>
    <mergeCell ref="BE32"/>
    <mergeCell ref="BE33"/>
    <mergeCell ref="BE24"/>
    <mergeCell ref="BE25"/>
    <mergeCell ref="BE26"/>
    <mergeCell ref="BE27"/>
    <mergeCell ref="BE28"/>
    <mergeCell ref="BE19"/>
    <mergeCell ref="BE20"/>
    <mergeCell ref="BE21"/>
    <mergeCell ref="BE22"/>
    <mergeCell ref="BE23"/>
    <mergeCell ref="BE14"/>
    <mergeCell ref="BE15"/>
    <mergeCell ref="BE16"/>
    <mergeCell ref="BE17"/>
    <mergeCell ref="BE18"/>
    <mergeCell ref="BE9"/>
    <mergeCell ref="BE10"/>
    <mergeCell ref="BE11"/>
    <mergeCell ref="BE12"/>
    <mergeCell ref="BE13"/>
    <mergeCell ref="BE4"/>
    <mergeCell ref="BE5"/>
    <mergeCell ref="BE6"/>
    <mergeCell ref="BE7"/>
    <mergeCell ref="BE8"/>
    <mergeCell ref="AP303:AS308"/>
    <mergeCell ref="AU11:AY11"/>
    <mergeCell ref="AU12:AW12"/>
    <mergeCell ref="AU19:AY19"/>
    <mergeCell ref="AU13:AU18"/>
    <mergeCell ref="AU303:AX308"/>
    <mergeCell ref="AV13:AV15"/>
    <mergeCell ref="AV16:AV18"/>
    <mergeCell ref="AP11:AS11"/>
    <mergeCell ref="AP12:AQ12"/>
    <mergeCell ref="AP13:AP15"/>
    <mergeCell ref="AP16:AP18"/>
    <mergeCell ref="AP19:AS19"/>
    <mergeCell ref="AD289"/>
    <mergeCell ref="AD290"/>
    <mergeCell ref="AD291"/>
    <mergeCell ref="AD292"/>
    <mergeCell ref="AH5:AN5"/>
    <mergeCell ref="AH12:AN17"/>
    <mergeCell ref="AH10:AN10"/>
    <mergeCell ref="AH6:AH7"/>
    <mergeCell ref="AI6:AK6"/>
    <mergeCell ref="AL6:AN6"/>
    <mergeCell ref="AD284"/>
    <mergeCell ref="AD285"/>
    <mergeCell ref="AD286"/>
    <mergeCell ref="AD287"/>
    <mergeCell ref="AD288"/>
    <mergeCell ref="AD279"/>
    <mergeCell ref="AD280"/>
    <mergeCell ref="AD281"/>
    <mergeCell ref="AD282"/>
    <mergeCell ref="AD283"/>
    <mergeCell ref="AD274"/>
    <mergeCell ref="AD275"/>
    <mergeCell ref="AD276"/>
    <mergeCell ref="AD277"/>
    <mergeCell ref="AD278"/>
    <mergeCell ref="AD269"/>
    <mergeCell ref="AD270"/>
    <mergeCell ref="AD271"/>
    <mergeCell ref="AD272"/>
    <mergeCell ref="AD273"/>
    <mergeCell ref="AD264"/>
    <mergeCell ref="AD265"/>
    <mergeCell ref="AD266"/>
    <mergeCell ref="AD267"/>
    <mergeCell ref="AD268"/>
    <mergeCell ref="AD259"/>
    <mergeCell ref="AD260"/>
    <mergeCell ref="AD261"/>
    <mergeCell ref="AD262"/>
    <mergeCell ref="AD263"/>
    <mergeCell ref="AD254"/>
    <mergeCell ref="AD255"/>
    <mergeCell ref="AD256"/>
    <mergeCell ref="AD257"/>
    <mergeCell ref="AD258"/>
    <mergeCell ref="AD249"/>
    <mergeCell ref="AD250"/>
    <mergeCell ref="AD251"/>
    <mergeCell ref="AD252"/>
    <mergeCell ref="AD253"/>
    <mergeCell ref="AD244"/>
    <mergeCell ref="AD245"/>
    <mergeCell ref="AD246"/>
    <mergeCell ref="AD247"/>
    <mergeCell ref="AD248"/>
    <mergeCell ref="AD239"/>
    <mergeCell ref="AD240"/>
    <mergeCell ref="AD241"/>
    <mergeCell ref="AD242"/>
    <mergeCell ref="AD243"/>
    <mergeCell ref="AD234"/>
    <mergeCell ref="AD235"/>
    <mergeCell ref="AD236"/>
    <mergeCell ref="AD237"/>
    <mergeCell ref="AD238"/>
    <mergeCell ref="AD229"/>
    <mergeCell ref="AD230"/>
    <mergeCell ref="AD231"/>
    <mergeCell ref="AD232"/>
    <mergeCell ref="AD233"/>
    <mergeCell ref="AD224"/>
    <mergeCell ref="AD225"/>
    <mergeCell ref="AD226"/>
    <mergeCell ref="AD227"/>
    <mergeCell ref="AD228"/>
    <mergeCell ref="AD219"/>
    <mergeCell ref="AD220"/>
    <mergeCell ref="AD221"/>
    <mergeCell ref="AD222"/>
    <mergeCell ref="AD223"/>
    <mergeCell ref="AD214"/>
    <mergeCell ref="AD215"/>
    <mergeCell ref="AD216"/>
    <mergeCell ref="AD217"/>
    <mergeCell ref="AD218"/>
    <mergeCell ref="AD209"/>
    <mergeCell ref="AD210"/>
    <mergeCell ref="AD211"/>
    <mergeCell ref="AD212"/>
    <mergeCell ref="AD213"/>
    <mergeCell ref="AD204"/>
    <mergeCell ref="AD205"/>
    <mergeCell ref="AD206"/>
    <mergeCell ref="AD207"/>
    <mergeCell ref="AD208"/>
    <mergeCell ref="AD199"/>
    <mergeCell ref="AD200"/>
    <mergeCell ref="AD201"/>
    <mergeCell ref="AD202"/>
    <mergeCell ref="AD203"/>
    <mergeCell ref="AD194"/>
    <mergeCell ref="AD195"/>
    <mergeCell ref="AD196"/>
    <mergeCell ref="AD197"/>
    <mergeCell ref="AD198"/>
    <mergeCell ref="AD189"/>
    <mergeCell ref="AD190"/>
    <mergeCell ref="AD191"/>
    <mergeCell ref="AD192"/>
    <mergeCell ref="AD193"/>
    <mergeCell ref="AD184"/>
    <mergeCell ref="AD185"/>
    <mergeCell ref="AD186"/>
    <mergeCell ref="AD187"/>
    <mergeCell ref="AD188"/>
    <mergeCell ref="AD179"/>
    <mergeCell ref="AD180"/>
    <mergeCell ref="AD181"/>
    <mergeCell ref="AD182"/>
    <mergeCell ref="AD183"/>
    <mergeCell ref="AD174"/>
    <mergeCell ref="AD175"/>
    <mergeCell ref="AD176"/>
    <mergeCell ref="AD177"/>
    <mergeCell ref="AD178"/>
    <mergeCell ref="AD169"/>
    <mergeCell ref="AD170"/>
    <mergeCell ref="AD171"/>
    <mergeCell ref="AD172"/>
    <mergeCell ref="AD173"/>
    <mergeCell ref="AD164"/>
    <mergeCell ref="AD165"/>
    <mergeCell ref="AD166"/>
    <mergeCell ref="AD167"/>
    <mergeCell ref="AD168"/>
    <mergeCell ref="AD159"/>
    <mergeCell ref="AD160"/>
    <mergeCell ref="AD161"/>
    <mergeCell ref="AD162"/>
    <mergeCell ref="AD163"/>
    <mergeCell ref="AD154"/>
    <mergeCell ref="AD155"/>
    <mergeCell ref="AD156"/>
    <mergeCell ref="AD157"/>
    <mergeCell ref="AD158"/>
    <mergeCell ref="AD149"/>
    <mergeCell ref="AD150"/>
    <mergeCell ref="AD151"/>
    <mergeCell ref="AD152"/>
    <mergeCell ref="AD153"/>
    <mergeCell ref="AD144"/>
    <mergeCell ref="AD145"/>
    <mergeCell ref="AD146"/>
    <mergeCell ref="AD147"/>
    <mergeCell ref="AD148"/>
    <mergeCell ref="AD139"/>
    <mergeCell ref="AD140"/>
    <mergeCell ref="AD141"/>
    <mergeCell ref="AD142"/>
    <mergeCell ref="AD143"/>
    <mergeCell ref="AD134"/>
    <mergeCell ref="AD135"/>
    <mergeCell ref="AD136"/>
    <mergeCell ref="AD137"/>
    <mergeCell ref="AD138"/>
    <mergeCell ref="AD129"/>
    <mergeCell ref="AD130"/>
    <mergeCell ref="AD131"/>
    <mergeCell ref="AD132"/>
    <mergeCell ref="AD133"/>
    <mergeCell ref="AD124"/>
    <mergeCell ref="AD125"/>
    <mergeCell ref="AD126"/>
    <mergeCell ref="AD127"/>
    <mergeCell ref="AD128"/>
    <mergeCell ref="AD119"/>
    <mergeCell ref="AD120"/>
    <mergeCell ref="AD121"/>
    <mergeCell ref="AD122"/>
    <mergeCell ref="AD123"/>
    <mergeCell ref="AD114"/>
    <mergeCell ref="AD115"/>
    <mergeCell ref="AD116"/>
    <mergeCell ref="AD117"/>
    <mergeCell ref="AD118"/>
    <mergeCell ref="AD109"/>
    <mergeCell ref="AD110"/>
    <mergeCell ref="AD111"/>
    <mergeCell ref="AD112"/>
    <mergeCell ref="AD113"/>
    <mergeCell ref="AD104"/>
    <mergeCell ref="AD105"/>
    <mergeCell ref="AD106"/>
    <mergeCell ref="AD107"/>
    <mergeCell ref="AD108"/>
    <mergeCell ref="AD99"/>
    <mergeCell ref="AD100"/>
    <mergeCell ref="AD101"/>
    <mergeCell ref="AD102"/>
    <mergeCell ref="AD103"/>
    <mergeCell ref="AD94"/>
    <mergeCell ref="AD95"/>
    <mergeCell ref="AD96"/>
    <mergeCell ref="AD97"/>
    <mergeCell ref="AD98"/>
    <mergeCell ref="AD89"/>
    <mergeCell ref="AD90"/>
    <mergeCell ref="AD91"/>
    <mergeCell ref="AD92"/>
    <mergeCell ref="AD93"/>
    <mergeCell ref="AD84"/>
    <mergeCell ref="AD85"/>
    <mergeCell ref="AD86"/>
    <mergeCell ref="AD87"/>
    <mergeCell ref="AD88"/>
    <mergeCell ref="AD79"/>
    <mergeCell ref="AD80"/>
    <mergeCell ref="AD81"/>
    <mergeCell ref="AD82"/>
    <mergeCell ref="AD83"/>
    <mergeCell ref="AD74"/>
    <mergeCell ref="AD75"/>
    <mergeCell ref="AD76"/>
    <mergeCell ref="AD77"/>
    <mergeCell ref="AD78"/>
    <mergeCell ref="AD69"/>
    <mergeCell ref="AD70"/>
    <mergeCell ref="AD71"/>
    <mergeCell ref="AD72"/>
    <mergeCell ref="AD73"/>
    <mergeCell ref="AD64"/>
    <mergeCell ref="AD65"/>
    <mergeCell ref="AD66"/>
    <mergeCell ref="AD67"/>
    <mergeCell ref="AD68"/>
    <mergeCell ref="AD59"/>
    <mergeCell ref="AD60"/>
    <mergeCell ref="AD61"/>
    <mergeCell ref="AD62"/>
    <mergeCell ref="AD63"/>
    <mergeCell ref="AD54"/>
    <mergeCell ref="AD55"/>
    <mergeCell ref="AD56"/>
    <mergeCell ref="AD57"/>
    <mergeCell ref="AD58"/>
    <mergeCell ref="AD49"/>
    <mergeCell ref="AD50"/>
    <mergeCell ref="AD51"/>
    <mergeCell ref="AD52"/>
    <mergeCell ref="AD53"/>
    <mergeCell ref="AD44"/>
    <mergeCell ref="AD45"/>
    <mergeCell ref="AD46"/>
    <mergeCell ref="AD47"/>
    <mergeCell ref="AD48"/>
    <mergeCell ref="AD39"/>
    <mergeCell ref="AD40"/>
    <mergeCell ref="AD41"/>
    <mergeCell ref="AD42"/>
    <mergeCell ref="AD43"/>
    <mergeCell ref="AD34"/>
    <mergeCell ref="AD35"/>
    <mergeCell ref="AD36"/>
    <mergeCell ref="AD37"/>
    <mergeCell ref="AD38"/>
    <mergeCell ref="AD29"/>
    <mergeCell ref="AD30"/>
    <mergeCell ref="AD31"/>
    <mergeCell ref="AD32"/>
    <mergeCell ref="AD33"/>
    <mergeCell ref="AD24"/>
    <mergeCell ref="AD25"/>
    <mergeCell ref="AD26"/>
    <mergeCell ref="AD27"/>
    <mergeCell ref="AD28"/>
    <mergeCell ref="AD19"/>
    <mergeCell ref="AD20"/>
    <mergeCell ref="AD21"/>
    <mergeCell ref="AD22"/>
    <mergeCell ref="AD23"/>
    <mergeCell ref="AD14"/>
    <mergeCell ref="AD15"/>
    <mergeCell ref="AD16"/>
    <mergeCell ref="AD17"/>
    <mergeCell ref="AD18"/>
    <mergeCell ref="AD9"/>
    <mergeCell ref="AD10"/>
    <mergeCell ref="AD11"/>
    <mergeCell ref="AD12"/>
    <mergeCell ref="AD13"/>
    <mergeCell ref="AD4"/>
    <mergeCell ref="AD5"/>
    <mergeCell ref="AD6"/>
    <mergeCell ref="AD7"/>
    <mergeCell ref="AD8"/>
    <mergeCell ref="O303:R308"/>
    <mergeCell ref="T11:X11"/>
    <mergeCell ref="T12:V12"/>
    <mergeCell ref="T19:X19"/>
    <mergeCell ref="T13:T18"/>
    <mergeCell ref="T303:W308"/>
    <mergeCell ref="U13:U15"/>
    <mergeCell ref="U16:U18"/>
    <mergeCell ref="O11:R11"/>
    <mergeCell ref="O12:P12"/>
    <mergeCell ref="O13:O15"/>
    <mergeCell ref="O16:O18"/>
    <mergeCell ref="O19:R19"/>
    <mergeCell ref="C289"/>
    <mergeCell ref="C290"/>
    <mergeCell ref="C291"/>
    <mergeCell ref="C292"/>
    <mergeCell ref="G5:M5"/>
    <mergeCell ref="G12:M17"/>
    <mergeCell ref="G10:M10"/>
    <mergeCell ref="G6:G7"/>
    <mergeCell ref="H6:J6"/>
    <mergeCell ref="K6:M6"/>
    <mergeCell ref="C284"/>
    <mergeCell ref="C285"/>
    <mergeCell ref="C286"/>
    <mergeCell ref="C287"/>
    <mergeCell ref="C288"/>
    <mergeCell ref="C279"/>
    <mergeCell ref="C280"/>
    <mergeCell ref="C281"/>
    <mergeCell ref="C282"/>
    <mergeCell ref="C283"/>
    <mergeCell ref="C274"/>
    <mergeCell ref="C275"/>
    <mergeCell ref="C276"/>
    <mergeCell ref="C277"/>
    <mergeCell ref="C278"/>
    <mergeCell ref="C269"/>
    <mergeCell ref="C270"/>
    <mergeCell ref="C271"/>
    <mergeCell ref="C272"/>
    <mergeCell ref="C273"/>
    <mergeCell ref="C264"/>
    <mergeCell ref="C265"/>
    <mergeCell ref="C266"/>
    <mergeCell ref="C267"/>
    <mergeCell ref="C268"/>
    <mergeCell ref="C259"/>
    <mergeCell ref="C260"/>
    <mergeCell ref="C261"/>
    <mergeCell ref="C262"/>
    <mergeCell ref="C263"/>
    <mergeCell ref="C254"/>
    <mergeCell ref="C255"/>
    <mergeCell ref="C256"/>
    <mergeCell ref="C257"/>
    <mergeCell ref="C258"/>
    <mergeCell ref="C249"/>
    <mergeCell ref="C250"/>
    <mergeCell ref="C251"/>
    <mergeCell ref="C252"/>
    <mergeCell ref="C253"/>
    <mergeCell ref="C244"/>
    <mergeCell ref="C245"/>
    <mergeCell ref="C246"/>
    <mergeCell ref="C247"/>
    <mergeCell ref="C248"/>
    <mergeCell ref="C239"/>
    <mergeCell ref="C240"/>
    <mergeCell ref="C241"/>
    <mergeCell ref="C242"/>
    <mergeCell ref="C243"/>
    <mergeCell ref="C234"/>
    <mergeCell ref="C235"/>
    <mergeCell ref="C236"/>
    <mergeCell ref="C237"/>
    <mergeCell ref="C238"/>
    <mergeCell ref="C229"/>
    <mergeCell ref="C230"/>
    <mergeCell ref="C231"/>
    <mergeCell ref="C232"/>
    <mergeCell ref="C233"/>
    <mergeCell ref="C224"/>
    <mergeCell ref="C225"/>
    <mergeCell ref="C226"/>
    <mergeCell ref="C227"/>
    <mergeCell ref="C228"/>
    <mergeCell ref="C219"/>
    <mergeCell ref="C220"/>
    <mergeCell ref="C221"/>
    <mergeCell ref="C222"/>
    <mergeCell ref="C223"/>
    <mergeCell ref="C214"/>
    <mergeCell ref="C215"/>
    <mergeCell ref="C216"/>
    <mergeCell ref="C217"/>
    <mergeCell ref="C218"/>
    <mergeCell ref="C209"/>
    <mergeCell ref="C210"/>
    <mergeCell ref="C211"/>
    <mergeCell ref="C212"/>
    <mergeCell ref="C213"/>
    <mergeCell ref="C204"/>
    <mergeCell ref="C205"/>
    <mergeCell ref="C206"/>
    <mergeCell ref="C207"/>
    <mergeCell ref="C208"/>
    <mergeCell ref="C199"/>
    <mergeCell ref="C200"/>
    <mergeCell ref="C201"/>
    <mergeCell ref="C202"/>
    <mergeCell ref="C203"/>
    <mergeCell ref="C194"/>
    <mergeCell ref="C195"/>
    <mergeCell ref="C196"/>
    <mergeCell ref="C197"/>
    <mergeCell ref="C198"/>
    <mergeCell ref="C189"/>
    <mergeCell ref="C190"/>
    <mergeCell ref="C191"/>
    <mergeCell ref="C192"/>
    <mergeCell ref="C193"/>
    <mergeCell ref="C184"/>
    <mergeCell ref="C185"/>
    <mergeCell ref="C186"/>
    <mergeCell ref="C187"/>
    <mergeCell ref="C188"/>
    <mergeCell ref="C179"/>
    <mergeCell ref="C180"/>
    <mergeCell ref="C181"/>
    <mergeCell ref="C182"/>
    <mergeCell ref="C183"/>
    <mergeCell ref="C174"/>
    <mergeCell ref="C175"/>
    <mergeCell ref="C176"/>
    <mergeCell ref="C177"/>
    <mergeCell ref="C178"/>
    <mergeCell ref="C169"/>
    <mergeCell ref="C170"/>
    <mergeCell ref="C171"/>
    <mergeCell ref="C172"/>
    <mergeCell ref="C173"/>
    <mergeCell ref="C164"/>
    <mergeCell ref="C165"/>
    <mergeCell ref="C166"/>
    <mergeCell ref="C167"/>
    <mergeCell ref="C168"/>
    <mergeCell ref="C159"/>
    <mergeCell ref="C160"/>
    <mergeCell ref="C161"/>
    <mergeCell ref="C162"/>
    <mergeCell ref="C163"/>
    <mergeCell ref="C154"/>
    <mergeCell ref="C155"/>
    <mergeCell ref="C156"/>
    <mergeCell ref="C157"/>
    <mergeCell ref="C158"/>
    <mergeCell ref="C149"/>
    <mergeCell ref="C150"/>
    <mergeCell ref="C151"/>
    <mergeCell ref="C152"/>
    <mergeCell ref="C153"/>
    <mergeCell ref="C144"/>
    <mergeCell ref="C145"/>
    <mergeCell ref="C146"/>
    <mergeCell ref="C147"/>
    <mergeCell ref="C148"/>
    <mergeCell ref="C139"/>
    <mergeCell ref="C140"/>
    <mergeCell ref="C141"/>
    <mergeCell ref="C142"/>
    <mergeCell ref="C143"/>
    <mergeCell ref="C134"/>
    <mergeCell ref="C135"/>
    <mergeCell ref="C136"/>
    <mergeCell ref="C137"/>
    <mergeCell ref="C138"/>
    <mergeCell ref="C129"/>
    <mergeCell ref="C130"/>
    <mergeCell ref="C131"/>
    <mergeCell ref="C132"/>
    <mergeCell ref="C133"/>
    <mergeCell ref="C124"/>
    <mergeCell ref="C125"/>
    <mergeCell ref="C126"/>
    <mergeCell ref="C127"/>
    <mergeCell ref="C128"/>
    <mergeCell ref="C119"/>
    <mergeCell ref="C120"/>
    <mergeCell ref="C121"/>
    <mergeCell ref="C122"/>
    <mergeCell ref="C123"/>
    <mergeCell ref="C114"/>
    <mergeCell ref="C115"/>
    <mergeCell ref="C116"/>
    <mergeCell ref="C117"/>
    <mergeCell ref="C118"/>
    <mergeCell ref="C109"/>
    <mergeCell ref="C110"/>
    <mergeCell ref="C111"/>
    <mergeCell ref="C112"/>
    <mergeCell ref="C113"/>
    <mergeCell ref="C104"/>
    <mergeCell ref="C105"/>
    <mergeCell ref="C106"/>
    <mergeCell ref="C107"/>
    <mergeCell ref="C108"/>
    <mergeCell ref="C99"/>
    <mergeCell ref="C100"/>
    <mergeCell ref="C101"/>
    <mergeCell ref="C102"/>
    <mergeCell ref="C103"/>
    <mergeCell ref="C94"/>
    <mergeCell ref="C95"/>
    <mergeCell ref="C96"/>
    <mergeCell ref="C97"/>
    <mergeCell ref="C98"/>
    <mergeCell ref="C89"/>
    <mergeCell ref="C90"/>
    <mergeCell ref="C91"/>
    <mergeCell ref="C92"/>
    <mergeCell ref="C93"/>
    <mergeCell ref="C84"/>
    <mergeCell ref="C85"/>
    <mergeCell ref="C86"/>
    <mergeCell ref="C87"/>
    <mergeCell ref="C88"/>
    <mergeCell ref="C79"/>
    <mergeCell ref="C80"/>
    <mergeCell ref="C81"/>
    <mergeCell ref="C82"/>
    <mergeCell ref="C83"/>
    <mergeCell ref="C74"/>
    <mergeCell ref="C75"/>
    <mergeCell ref="C76"/>
    <mergeCell ref="C77"/>
    <mergeCell ref="C78"/>
    <mergeCell ref="C69"/>
    <mergeCell ref="C70"/>
    <mergeCell ref="C71"/>
    <mergeCell ref="C72"/>
    <mergeCell ref="C73"/>
    <mergeCell ref="C64"/>
    <mergeCell ref="C65"/>
    <mergeCell ref="C66"/>
    <mergeCell ref="C67"/>
    <mergeCell ref="C68"/>
    <mergeCell ref="C59"/>
    <mergeCell ref="C60"/>
    <mergeCell ref="C61"/>
    <mergeCell ref="C62"/>
    <mergeCell ref="C63"/>
    <mergeCell ref="C54"/>
    <mergeCell ref="C55"/>
    <mergeCell ref="C56"/>
    <mergeCell ref="C57"/>
    <mergeCell ref="C58"/>
    <mergeCell ref="C49"/>
    <mergeCell ref="C50"/>
    <mergeCell ref="C51"/>
    <mergeCell ref="C52"/>
    <mergeCell ref="C53"/>
    <mergeCell ref="C44"/>
    <mergeCell ref="C45"/>
    <mergeCell ref="C46"/>
    <mergeCell ref="C47"/>
    <mergeCell ref="C48"/>
    <mergeCell ref="C39"/>
    <mergeCell ref="C40"/>
    <mergeCell ref="C41"/>
    <mergeCell ref="C42"/>
    <mergeCell ref="C43"/>
    <mergeCell ref="C34"/>
    <mergeCell ref="C35"/>
    <mergeCell ref="C36"/>
    <mergeCell ref="C37"/>
    <mergeCell ref="C38"/>
    <mergeCell ref="C29"/>
    <mergeCell ref="C30"/>
    <mergeCell ref="C31"/>
    <mergeCell ref="C32"/>
    <mergeCell ref="C33"/>
    <mergeCell ref="C24"/>
    <mergeCell ref="C25"/>
    <mergeCell ref="C26"/>
    <mergeCell ref="C27"/>
    <mergeCell ref="C28"/>
    <mergeCell ref="C19"/>
    <mergeCell ref="C20"/>
    <mergeCell ref="C21"/>
    <mergeCell ref="C22"/>
    <mergeCell ref="C23"/>
    <mergeCell ref="C14"/>
    <mergeCell ref="C15"/>
    <mergeCell ref="C16"/>
    <mergeCell ref="C17"/>
    <mergeCell ref="C18"/>
    <mergeCell ref="C9"/>
    <mergeCell ref="C10"/>
    <mergeCell ref="C11"/>
    <mergeCell ref="C12"/>
    <mergeCell ref="C13"/>
    <mergeCell ref="C4"/>
    <mergeCell ref="C5"/>
    <mergeCell ref="C6"/>
    <mergeCell ref="C7"/>
    <mergeCell ref="C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Y308"/>
  <sheetViews>
    <sheetView workbookViewId="0">
      <selection activeCell="CW12" sqref="CW12"/>
    </sheetView>
  </sheetViews>
  <sheetFormatPr baseColWidth="10" defaultColWidth="9.140625" defaultRowHeight="15" x14ac:dyDescent="0.25"/>
  <cols>
    <col min="3" max="3" width="20" customWidth="1"/>
    <col min="4" max="5" width="12" customWidth="1"/>
    <col min="7" max="7" width="20" customWidth="1"/>
    <col min="8" max="13" width="10" customWidth="1"/>
    <col min="15" max="15" width="23" customWidth="1"/>
    <col min="16" max="16" width="15" customWidth="1"/>
    <col min="17" max="18" width="20" customWidth="1"/>
    <col min="20" max="21" width="22" customWidth="1"/>
    <col min="22" max="22" width="15" customWidth="1"/>
    <col min="23" max="23" width="20" customWidth="1"/>
    <col min="28" max="28" width="20" customWidth="1"/>
    <col min="29" max="30" width="12" customWidth="1"/>
    <col min="32" max="32" width="20" customWidth="1"/>
    <col min="33" max="38" width="10" customWidth="1"/>
    <col min="40" max="40" width="23" customWidth="1"/>
    <col min="41" max="41" width="15" customWidth="1"/>
    <col min="42" max="43" width="20" customWidth="1"/>
    <col min="45" max="46" width="22" customWidth="1"/>
    <col min="47" max="47" width="15" customWidth="1"/>
    <col min="48" max="48" width="20" customWidth="1"/>
    <col min="53" max="53" width="20" customWidth="1"/>
    <col min="54" max="55" width="12" customWidth="1"/>
    <col min="57" max="57" width="20" customWidth="1"/>
    <col min="58" max="63" width="10" customWidth="1"/>
    <col min="65" max="65" width="23" customWidth="1"/>
    <col min="66" max="66" width="15" customWidth="1"/>
    <col min="67" max="68" width="20" customWidth="1"/>
    <col min="70" max="71" width="22" customWidth="1"/>
    <col min="72" max="72" width="15" customWidth="1"/>
    <col min="73" max="73" width="20" customWidth="1"/>
    <col min="80" max="80" width="20" customWidth="1"/>
    <col min="81" max="82" width="12" customWidth="1"/>
    <col min="84" max="84" width="20" customWidth="1"/>
    <col min="85" max="90" width="10" customWidth="1"/>
    <col min="92" max="92" width="23" customWidth="1"/>
    <col min="93" max="93" width="15" customWidth="1"/>
    <col min="94" max="95" width="20" customWidth="1"/>
    <col min="97" max="98" width="22" customWidth="1"/>
    <col min="99" max="99" width="15" customWidth="1"/>
    <col min="100" max="100" width="20" customWidth="1"/>
  </cols>
  <sheetData>
    <row r="1" spans="1:103" x14ac:dyDescent="0.25">
      <c r="A1" s="36"/>
      <c r="B1" s="36"/>
      <c r="C1" s="36"/>
      <c r="D1" s="36"/>
      <c r="E1" s="36"/>
      <c r="F1" s="36"/>
      <c r="G1" s="36"/>
      <c r="H1" s="36"/>
      <c r="I1" s="36"/>
      <c r="J1" s="36"/>
      <c r="K1" s="36"/>
      <c r="L1" s="36"/>
      <c r="M1" s="36"/>
      <c r="N1" s="36"/>
      <c r="O1" s="36"/>
      <c r="P1" s="36"/>
      <c r="Q1" s="36"/>
      <c r="R1" s="36"/>
      <c r="S1" s="36"/>
      <c r="T1" s="36"/>
      <c r="U1" s="36"/>
      <c r="V1" s="36"/>
      <c r="W1" s="36"/>
      <c r="X1" s="36"/>
      <c r="Y1" s="36"/>
      <c r="Z1" s="36"/>
      <c r="AA1" s="36"/>
      <c r="AB1" s="36"/>
      <c r="AC1" s="36"/>
      <c r="AD1" s="36"/>
      <c r="AE1" s="36"/>
      <c r="AF1" s="36"/>
      <c r="AG1" s="36"/>
      <c r="AH1" s="36"/>
      <c r="AI1" s="36"/>
      <c r="AJ1" s="36"/>
      <c r="AK1" s="36"/>
      <c r="AL1" s="36"/>
      <c r="AM1" s="36"/>
      <c r="AN1" s="36"/>
      <c r="AO1" s="36"/>
      <c r="AP1" s="36"/>
      <c r="AQ1" s="36"/>
      <c r="AR1" s="36"/>
      <c r="AS1" s="36"/>
      <c r="AT1" s="36"/>
      <c r="AU1" s="36"/>
      <c r="AV1" s="36"/>
      <c r="AW1" s="36"/>
      <c r="AX1" s="36"/>
      <c r="AY1" s="36"/>
      <c r="AZ1" s="36"/>
      <c r="BA1" s="36"/>
      <c r="BB1" s="36"/>
      <c r="BC1" s="36"/>
      <c r="BD1" s="36"/>
      <c r="BE1" s="36"/>
      <c r="BF1" s="36"/>
      <c r="BG1" s="36"/>
      <c r="BH1" s="36"/>
      <c r="BI1" s="36"/>
      <c r="BJ1" s="36"/>
      <c r="BK1" s="36"/>
      <c r="BL1" s="36"/>
      <c r="BM1" s="36"/>
      <c r="BN1" s="36"/>
      <c r="BO1" s="36"/>
      <c r="BP1" s="36"/>
      <c r="BQ1" s="36"/>
      <c r="BR1" s="36"/>
      <c r="BS1" s="36"/>
      <c r="BT1" s="36"/>
      <c r="BU1" s="36"/>
      <c r="BV1" s="36"/>
      <c r="BW1" s="36"/>
      <c r="BX1" s="36"/>
      <c r="BZ1" s="37"/>
      <c r="CA1" s="37"/>
      <c r="CB1" s="37"/>
      <c r="CC1" s="37"/>
      <c r="CD1" s="37"/>
      <c r="CE1" s="37"/>
      <c r="CF1" s="37"/>
      <c r="CG1" s="37"/>
      <c r="CH1" s="37"/>
      <c r="CI1" s="37"/>
      <c r="CJ1" s="37"/>
      <c r="CK1" s="37"/>
      <c r="CL1" s="37"/>
      <c r="CM1" s="37"/>
      <c r="CN1" s="37"/>
      <c r="CO1" s="37"/>
      <c r="CP1" s="37"/>
      <c r="CQ1" s="37"/>
      <c r="CR1" s="37"/>
      <c r="CS1" s="37"/>
      <c r="CT1" s="37"/>
      <c r="CU1" s="37"/>
      <c r="CV1" s="37"/>
      <c r="CW1" s="37"/>
      <c r="CX1" s="37"/>
      <c r="CY1" s="37"/>
    </row>
    <row r="2" spans="1:103" ht="30" x14ac:dyDescent="0.25">
      <c r="A2" s="36"/>
      <c r="D2" s="28" t="s">
        <v>458</v>
      </c>
      <c r="E2" s="28" t="s">
        <v>488</v>
      </c>
      <c r="Z2" s="36"/>
      <c r="AC2" s="28" t="s">
        <v>460</v>
      </c>
      <c r="AD2" s="28" t="s">
        <v>488</v>
      </c>
      <c r="AY2" s="36"/>
      <c r="BB2" s="28" t="s">
        <v>461</v>
      </c>
      <c r="BC2" s="28" t="s">
        <v>488</v>
      </c>
      <c r="BX2" s="36"/>
      <c r="BZ2" s="37"/>
      <c r="CC2" s="28" t="s">
        <v>459</v>
      </c>
      <c r="CD2" s="28" t="s">
        <v>450</v>
      </c>
      <c r="CY2" s="37"/>
    </row>
    <row r="3" spans="1:103" x14ac:dyDescent="0.25">
      <c r="A3" s="36"/>
      <c r="D3" s="28" t="str">
        <f>'Por Valoracion (3) Dimension'!B2</f>
        <v>Planificación</v>
      </c>
      <c r="E3" s="28" t="str">
        <f>'Por Valoracion (3) Dimension 2'!D2</f>
        <v>Satisfacción de los comités del Programa Vaso de Leche</v>
      </c>
      <c r="Z3" s="36"/>
      <c r="AC3" s="28" t="str">
        <f>'Por Valoracion (3) Dimension'!D2</f>
        <v>Transparencia</v>
      </c>
      <c r="AD3" s="28" t="str">
        <f>'Por Valoracion (3) Dimension 2'!D2</f>
        <v>Satisfacción de los comités del Programa Vaso de Leche</v>
      </c>
      <c r="AY3" s="36"/>
      <c r="BB3" s="28" t="str">
        <f>'Por Valoracion (3) Dimension'!F2</f>
        <v>Cumplimiento normativo</v>
      </c>
      <c r="BC3" s="28" t="str">
        <f>'Por Valoracion (3) Dimension 2'!D2</f>
        <v>Satisfacción de los comités del Programa Vaso de Leche</v>
      </c>
      <c r="BX3" s="36"/>
      <c r="BZ3" s="37"/>
      <c r="CC3" s="28" t="str">
        <f>'Por Valoracion (3) Dimension 2'!B2</f>
        <v>Satisfacción del servicio</v>
      </c>
      <c r="CD3" s="28" t="str">
        <f>'Por Valoracion (3) Dimension'!H2</f>
        <v>Gestión de abastecimiento</v>
      </c>
      <c r="CY3" s="37"/>
    </row>
    <row r="4" spans="1:103" x14ac:dyDescent="0.25">
      <c r="A4" s="36"/>
      <c r="C4" s="53" t="str">
        <f>('Gestión de abastecimiento'!A5)</f>
        <v>Beneficiaros 1</v>
      </c>
      <c r="D4" s="27">
        <f>'Por Valoracion (3) Dimension'!B4</f>
        <v>24</v>
      </c>
      <c r="E4" s="27">
        <f>'Por Valoracion (3) Dimension 2'!D4</f>
        <v>31</v>
      </c>
      <c r="G4" s="3" t="s">
        <v>340</v>
      </c>
      <c r="Z4" s="36"/>
      <c r="AB4" s="53" t="str">
        <f>('Gestión de abastecimiento'!A5)</f>
        <v>Beneficiaros 1</v>
      </c>
      <c r="AC4" s="27">
        <f>'Por Valoracion (3) Dimension'!D4</f>
        <v>23</v>
      </c>
      <c r="AD4" s="27">
        <f>'Por Valoracion (3) Dimension 2'!D4</f>
        <v>31</v>
      </c>
      <c r="AF4" s="3" t="s">
        <v>341</v>
      </c>
      <c r="AY4" s="36"/>
      <c r="BA4" s="53" t="str">
        <f>('Gestión de abastecimiento'!A5)</f>
        <v>Beneficiaros 1</v>
      </c>
      <c r="BB4" s="27">
        <f>'Por Valoracion (3) Dimension'!F4</f>
        <v>23</v>
      </c>
      <c r="BC4" s="27">
        <f>'Por Valoracion (3) Dimension 2'!D4</f>
        <v>31</v>
      </c>
      <c r="BE4" s="3" t="s">
        <v>342</v>
      </c>
      <c r="BX4" s="36"/>
      <c r="BZ4" s="37"/>
      <c r="CB4" s="53" t="str">
        <f>('Gestión de abastecimiento'!A5)</f>
        <v>Beneficiaros 1</v>
      </c>
      <c r="CC4" s="27">
        <f>'Por Valoracion (3) Dimension 2'!B4</f>
        <v>31</v>
      </c>
      <c r="CD4" s="27">
        <f>'Por Valoracion (3) Dimension'!H4</f>
        <v>70</v>
      </c>
      <c r="CF4" s="3" t="s">
        <v>343</v>
      </c>
      <c r="CY4" s="37"/>
    </row>
    <row r="5" spans="1:103" x14ac:dyDescent="0.25">
      <c r="A5" s="36"/>
      <c r="C5" s="53" t="str">
        <f>('Gestión de abastecimiento'!A6)</f>
        <v>Beneficiaros 2</v>
      </c>
      <c r="D5" s="27">
        <f>'Por Valoracion (3) Dimension'!B5</f>
        <v>15</v>
      </c>
      <c r="E5" s="27">
        <f>'Por Valoracion (3) Dimension 2'!D5</f>
        <v>20</v>
      </c>
      <c r="G5" s="57" t="s">
        <v>462</v>
      </c>
      <c r="H5" s="58"/>
      <c r="I5" s="58"/>
      <c r="J5" s="58"/>
      <c r="K5" s="58"/>
      <c r="L5" s="58"/>
      <c r="M5" s="58"/>
      <c r="Z5" s="36"/>
      <c r="AB5" s="53" t="str">
        <f>('Gestión de abastecimiento'!A6)</f>
        <v>Beneficiaros 2</v>
      </c>
      <c r="AC5" s="27">
        <f>'Por Valoracion (3) Dimension'!D5</f>
        <v>13</v>
      </c>
      <c r="AD5" s="27">
        <f>'Por Valoracion (3) Dimension 2'!D5</f>
        <v>20</v>
      </c>
      <c r="AF5" s="57" t="s">
        <v>462</v>
      </c>
      <c r="AG5" s="58"/>
      <c r="AH5" s="58"/>
      <c r="AI5" s="58"/>
      <c r="AJ5" s="58"/>
      <c r="AK5" s="58"/>
      <c r="AL5" s="58"/>
      <c r="AY5" s="36"/>
      <c r="BA5" s="53" t="str">
        <f>('Gestión de abastecimiento'!A6)</f>
        <v>Beneficiaros 2</v>
      </c>
      <c r="BB5" s="27">
        <f>'Por Valoracion (3) Dimension'!F5</f>
        <v>13</v>
      </c>
      <c r="BC5" s="27">
        <f>'Por Valoracion (3) Dimension 2'!D5</f>
        <v>20</v>
      </c>
      <c r="BE5" s="57" t="s">
        <v>462</v>
      </c>
      <c r="BF5" s="58"/>
      <c r="BG5" s="58"/>
      <c r="BH5" s="58"/>
      <c r="BI5" s="58"/>
      <c r="BJ5" s="58"/>
      <c r="BK5" s="58"/>
      <c r="BX5" s="36"/>
      <c r="BZ5" s="37"/>
      <c r="CB5" s="53" t="str">
        <f>('Gestión de abastecimiento'!A6)</f>
        <v>Beneficiaros 2</v>
      </c>
      <c r="CC5" s="27">
        <f>'Por Valoracion (3) Dimension 2'!B5</f>
        <v>20</v>
      </c>
      <c r="CD5" s="27">
        <f>'Por Valoracion (3) Dimension'!H5</f>
        <v>41</v>
      </c>
      <c r="CF5" s="57" t="s">
        <v>462</v>
      </c>
      <c r="CG5" s="58"/>
      <c r="CH5" s="58"/>
      <c r="CI5" s="58"/>
      <c r="CJ5" s="58"/>
      <c r="CK5" s="58"/>
      <c r="CL5" s="58"/>
      <c r="CY5" s="37"/>
    </row>
    <row r="6" spans="1:103" x14ac:dyDescent="0.25">
      <c r="A6" s="36"/>
      <c r="C6" s="53" t="str">
        <f>('Gestión de abastecimiento'!A7)</f>
        <v>Beneficiaros 3</v>
      </c>
      <c r="D6" s="27">
        <f>'Por Valoracion (3) Dimension'!B6</f>
        <v>18</v>
      </c>
      <c r="E6" s="27">
        <f>'Por Valoracion (3) Dimension 2'!D6</f>
        <v>26</v>
      </c>
      <c r="G6" s="53"/>
      <c r="H6" s="59" t="s">
        <v>463</v>
      </c>
      <c r="I6" s="53"/>
      <c r="J6" s="53"/>
      <c r="K6" s="59" t="s">
        <v>464</v>
      </c>
      <c r="L6" s="53"/>
      <c r="M6" s="53"/>
      <c r="Z6" s="36"/>
      <c r="AB6" s="53" t="str">
        <f>('Gestión de abastecimiento'!A7)</f>
        <v>Beneficiaros 3</v>
      </c>
      <c r="AC6" s="27">
        <f>'Por Valoracion (3) Dimension'!D6</f>
        <v>18</v>
      </c>
      <c r="AD6" s="27">
        <f>'Por Valoracion (3) Dimension 2'!D6</f>
        <v>26</v>
      </c>
      <c r="AF6" s="53"/>
      <c r="AG6" s="59" t="s">
        <v>463</v>
      </c>
      <c r="AH6" s="53"/>
      <c r="AI6" s="53"/>
      <c r="AJ6" s="59" t="s">
        <v>464</v>
      </c>
      <c r="AK6" s="53"/>
      <c r="AL6" s="53"/>
      <c r="AY6" s="36"/>
      <c r="BA6" s="53" t="str">
        <f>('Gestión de abastecimiento'!A7)</f>
        <v>Beneficiaros 3</v>
      </c>
      <c r="BB6" s="27">
        <f>'Por Valoracion (3) Dimension'!F6</f>
        <v>18</v>
      </c>
      <c r="BC6" s="27">
        <f>'Por Valoracion (3) Dimension 2'!D6</f>
        <v>26</v>
      </c>
      <c r="BE6" s="53"/>
      <c r="BF6" s="59" t="s">
        <v>463</v>
      </c>
      <c r="BG6" s="53"/>
      <c r="BH6" s="53"/>
      <c r="BI6" s="59" t="s">
        <v>464</v>
      </c>
      <c r="BJ6" s="53"/>
      <c r="BK6" s="53"/>
      <c r="BX6" s="36"/>
      <c r="BZ6" s="37"/>
      <c r="CB6" s="53" t="str">
        <f>('Gestión de abastecimiento'!A7)</f>
        <v>Beneficiaros 3</v>
      </c>
      <c r="CC6" s="27">
        <f>'Por Valoracion (3) Dimension 2'!B6</f>
        <v>26</v>
      </c>
      <c r="CD6" s="27">
        <f>'Por Valoracion (3) Dimension'!H6</f>
        <v>54</v>
      </c>
      <c r="CF6" s="53"/>
      <c r="CG6" s="59" t="s">
        <v>463</v>
      </c>
      <c r="CH6" s="53"/>
      <c r="CI6" s="53"/>
      <c r="CJ6" s="59" t="s">
        <v>464</v>
      </c>
      <c r="CK6" s="53"/>
      <c r="CL6" s="53"/>
      <c r="CY6" s="37"/>
    </row>
    <row r="7" spans="1:103" x14ac:dyDescent="0.25">
      <c r="A7" s="36"/>
      <c r="C7" s="53" t="str">
        <f>('Gestión de abastecimiento'!A8)</f>
        <v>Beneficiaros 4</v>
      </c>
      <c r="D7" s="27">
        <f>'Por Valoracion (3) Dimension'!B7</f>
        <v>24</v>
      </c>
      <c r="E7" s="27">
        <f>'Por Valoracion (3) Dimension 2'!D7</f>
        <v>35</v>
      </c>
      <c r="G7" s="58"/>
      <c r="H7" s="31" t="s">
        <v>465</v>
      </c>
      <c r="I7" s="31" t="s">
        <v>466</v>
      </c>
      <c r="J7" s="31" t="s">
        <v>467</v>
      </c>
      <c r="K7" s="31" t="s">
        <v>465</v>
      </c>
      <c r="L7" s="33" t="s">
        <v>466</v>
      </c>
      <c r="M7" s="31" t="s">
        <v>467</v>
      </c>
      <c r="Z7" s="36"/>
      <c r="AB7" s="53" t="str">
        <f>('Gestión de abastecimiento'!A8)</f>
        <v>Beneficiaros 4</v>
      </c>
      <c r="AC7" s="27">
        <f>'Por Valoracion (3) Dimension'!D7</f>
        <v>24</v>
      </c>
      <c r="AD7" s="27">
        <f>'Por Valoracion (3) Dimension 2'!D7</f>
        <v>35</v>
      </c>
      <c r="AF7" s="58"/>
      <c r="AG7" s="31" t="s">
        <v>465</v>
      </c>
      <c r="AH7" s="31" t="s">
        <v>466</v>
      </c>
      <c r="AI7" s="31" t="s">
        <v>467</v>
      </c>
      <c r="AJ7" s="31" t="s">
        <v>465</v>
      </c>
      <c r="AK7" s="33" t="s">
        <v>466</v>
      </c>
      <c r="AL7" s="31" t="s">
        <v>467</v>
      </c>
      <c r="AY7" s="36"/>
      <c r="BA7" s="53" t="str">
        <f>('Gestión de abastecimiento'!A8)</f>
        <v>Beneficiaros 4</v>
      </c>
      <c r="BB7" s="27">
        <f>'Por Valoracion (3) Dimension'!F7</f>
        <v>24</v>
      </c>
      <c r="BC7" s="27">
        <f>'Por Valoracion (3) Dimension 2'!D7</f>
        <v>35</v>
      </c>
      <c r="BE7" s="58"/>
      <c r="BF7" s="31" t="s">
        <v>465</v>
      </c>
      <c r="BG7" s="31" t="s">
        <v>466</v>
      </c>
      <c r="BH7" s="31" t="s">
        <v>467</v>
      </c>
      <c r="BI7" s="31" t="s">
        <v>465</v>
      </c>
      <c r="BJ7" s="33" t="s">
        <v>466</v>
      </c>
      <c r="BK7" s="31" t="s">
        <v>467</v>
      </c>
      <c r="BX7" s="36"/>
      <c r="BZ7" s="37"/>
      <c r="CB7" s="53" t="str">
        <f>('Gestión de abastecimiento'!A8)</f>
        <v>Beneficiaros 4</v>
      </c>
      <c r="CC7" s="27">
        <f>'Por Valoracion (3) Dimension 2'!B7</f>
        <v>35</v>
      </c>
      <c r="CD7" s="27">
        <f>'Por Valoracion (3) Dimension'!H7</f>
        <v>72</v>
      </c>
      <c r="CF7" s="58"/>
      <c r="CG7" s="31" t="s">
        <v>465</v>
      </c>
      <c r="CH7" s="31" t="s">
        <v>466</v>
      </c>
      <c r="CI7" s="31" t="s">
        <v>467</v>
      </c>
      <c r="CJ7" s="31" t="s">
        <v>465</v>
      </c>
      <c r="CK7" s="33" t="s">
        <v>466</v>
      </c>
      <c r="CL7" s="31" t="s">
        <v>467</v>
      </c>
      <c r="CY7" s="37"/>
    </row>
    <row r="8" spans="1:103" x14ac:dyDescent="0.25">
      <c r="A8" s="36"/>
      <c r="C8" s="53" t="str">
        <f>('Gestión de abastecimiento'!A9)</f>
        <v>Beneficiaros 5</v>
      </c>
      <c r="D8" s="27">
        <f>'Por Valoracion (3) Dimension'!B8</f>
        <v>23</v>
      </c>
      <c r="E8" s="27">
        <f>'Por Valoracion (3) Dimension 2'!D8</f>
        <v>35</v>
      </c>
      <c r="G8" s="29" t="str">
        <f>D3</f>
        <v>Planificación</v>
      </c>
      <c r="H8" s="32"/>
      <c r="I8" s="32"/>
      <c r="J8" s="32"/>
      <c r="K8" s="32"/>
      <c r="L8" s="32"/>
      <c r="M8" s="32"/>
      <c r="Z8" s="36"/>
      <c r="AB8" s="53" t="str">
        <f>('Gestión de abastecimiento'!A9)</f>
        <v>Beneficiaros 5</v>
      </c>
      <c r="AC8" s="27">
        <f>'Por Valoracion (3) Dimension'!D8</f>
        <v>24</v>
      </c>
      <c r="AD8" s="27">
        <f>'Por Valoracion (3) Dimension 2'!D8</f>
        <v>35</v>
      </c>
      <c r="AF8" s="29" t="str">
        <f>AC3</f>
        <v>Transparencia</v>
      </c>
      <c r="AG8" s="32"/>
      <c r="AH8" s="32"/>
      <c r="AI8" s="32"/>
      <c r="AJ8" s="32"/>
      <c r="AK8" s="32"/>
      <c r="AL8" s="32"/>
      <c r="AY8" s="36"/>
      <c r="BA8" s="53" t="str">
        <f>('Gestión de abastecimiento'!A9)</f>
        <v>Beneficiaros 5</v>
      </c>
      <c r="BB8" s="27">
        <f>'Por Valoracion (3) Dimension'!F8</f>
        <v>23</v>
      </c>
      <c r="BC8" s="27">
        <f>'Por Valoracion (3) Dimension 2'!D8</f>
        <v>35</v>
      </c>
      <c r="BE8" s="29" t="str">
        <f>BB3</f>
        <v>Cumplimiento normativo</v>
      </c>
      <c r="BF8" s="32"/>
      <c r="BG8" s="32"/>
      <c r="BH8" s="32"/>
      <c r="BI8" s="32"/>
      <c r="BJ8" s="32"/>
      <c r="BK8" s="32"/>
      <c r="BX8" s="36"/>
      <c r="BZ8" s="37"/>
      <c r="CB8" s="53" t="str">
        <f>('Gestión de abastecimiento'!A9)</f>
        <v>Beneficiaros 5</v>
      </c>
      <c r="CC8" s="27">
        <f>'Por Valoracion (3) Dimension 2'!B8</f>
        <v>35</v>
      </c>
      <c r="CD8" s="27">
        <f>'Por Valoracion (3) Dimension'!H8</f>
        <v>70</v>
      </c>
      <c r="CF8" s="29" t="str">
        <f>CC3</f>
        <v>Satisfacción del servicio</v>
      </c>
      <c r="CG8" s="32"/>
      <c r="CH8" s="32"/>
      <c r="CI8" s="32"/>
      <c r="CJ8" s="32"/>
      <c r="CK8" s="32"/>
      <c r="CL8" s="32"/>
      <c r="CY8" s="37"/>
    </row>
    <row r="9" spans="1:103" x14ac:dyDescent="0.25">
      <c r="A9" s="36"/>
      <c r="C9" s="53" t="str">
        <f>('Gestión de abastecimiento'!A10)</f>
        <v>Beneficiaros 6</v>
      </c>
      <c r="D9" s="27">
        <f>'Por Valoracion (3) Dimension'!B9</f>
        <v>17</v>
      </c>
      <c r="E9" s="27">
        <f>'Por Valoracion (3) Dimension 2'!D9</f>
        <v>27</v>
      </c>
      <c r="G9" s="30" t="str">
        <f>E3</f>
        <v>Satisfacción de los comités del Programa Vaso de Leche</v>
      </c>
      <c r="H9" s="5"/>
      <c r="I9" s="5"/>
      <c r="J9" s="5"/>
      <c r="K9" s="5"/>
      <c r="L9" s="5"/>
      <c r="M9" s="5"/>
      <c r="Z9" s="36"/>
      <c r="AB9" s="53" t="str">
        <f>('Gestión de abastecimiento'!A10)</f>
        <v>Beneficiaros 6</v>
      </c>
      <c r="AC9" s="27">
        <f>'Por Valoracion (3) Dimension'!D9</f>
        <v>18</v>
      </c>
      <c r="AD9" s="27">
        <f>'Por Valoracion (3) Dimension 2'!D9</f>
        <v>27</v>
      </c>
      <c r="AF9" s="30" t="str">
        <f>AD3</f>
        <v>Satisfacción de los comités del Programa Vaso de Leche</v>
      </c>
      <c r="AG9" s="5">
        <f t="shared" ref="AG9:AL9" si="0">H9</f>
        <v>0</v>
      </c>
      <c r="AH9" s="5">
        <f t="shared" si="0"/>
        <v>0</v>
      </c>
      <c r="AI9" s="5">
        <f t="shared" si="0"/>
        <v>0</v>
      </c>
      <c r="AJ9" s="5">
        <f t="shared" si="0"/>
        <v>0</v>
      </c>
      <c r="AK9" s="5">
        <f t="shared" si="0"/>
        <v>0</v>
      </c>
      <c r="AL9" s="5">
        <f t="shared" si="0"/>
        <v>0</v>
      </c>
      <c r="AY9" s="36"/>
      <c r="BA9" s="53" t="str">
        <f>('Gestión de abastecimiento'!A10)</f>
        <v>Beneficiaros 6</v>
      </c>
      <c r="BB9" s="27">
        <f>'Por Valoracion (3) Dimension'!F9</f>
        <v>18</v>
      </c>
      <c r="BC9" s="27">
        <f>'Por Valoracion (3) Dimension 2'!D9</f>
        <v>27</v>
      </c>
      <c r="BE9" s="30" t="str">
        <f>BC3</f>
        <v>Satisfacción de los comités del Programa Vaso de Leche</v>
      </c>
      <c r="BF9" s="5">
        <f t="shared" ref="BF9:BK9" si="1">H9</f>
        <v>0</v>
      </c>
      <c r="BG9" s="5">
        <f t="shared" si="1"/>
        <v>0</v>
      </c>
      <c r="BH9" s="5">
        <f t="shared" si="1"/>
        <v>0</v>
      </c>
      <c r="BI9" s="5">
        <f t="shared" si="1"/>
        <v>0</v>
      </c>
      <c r="BJ9" s="5">
        <f t="shared" si="1"/>
        <v>0</v>
      </c>
      <c r="BK9" s="5">
        <f t="shared" si="1"/>
        <v>0</v>
      </c>
      <c r="BX9" s="36"/>
      <c r="BZ9" s="37"/>
      <c r="CB9" s="53" t="str">
        <f>('Gestión de abastecimiento'!A10)</f>
        <v>Beneficiaros 6</v>
      </c>
      <c r="CC9" s="27">
        <f>'Por Valoracion (3) Dimension 2'!B9</f>
        <v>27</v>
      </c>
      <c r="CD9" s="27">
        <f>'Por Valoracion (3) Dimension'!H9</f>
        <v>53</v>
      </c>
      <c r="CF9" s="30" t="str">
        <f>CD3</f>
        <v>Gestión de abastecimiento</v>
      </c>
      <c r="CG9" s="31"/>
      <c r="CH9" s="33"/>
      <c r="CI9" s="31"/>
      <c r="CJ9" s="31"/>
      <c r="CK9" s="31"/>
      <c r="CL9" s="33"/>
      <c r="CY9" s="37"/>
    </row>
    <row r="10" spans="1:103" x14ac:dyDescent="0.25">
      <c r="A10" s="36"/>
      <c r="C10" s="53" t="str">
        <f>('Gestión de abastecimiento'!A11)</f>
        <v>Beneficiaros 7</v>
      </c>
      <c r="D10" s="27">
        <f>'Por Valoracion (3) Dimension'!B10</f>
        <v>22</v>
      </c>
      <c r="E10" s="27">
        <f>'Por Valoracion (3) Dimension 2'!D10</f>
        <v>32</v>
      </c>
      <c r="G10" s="59" t="s">
        <v>468</v>
      </c>
      <c r="H10" s="53"/>
      <c r="I10" s="53"/>
      <c r="J10" s="53"/>
      <c r="K10" s="53"/>
      <c r="L10" s="53"/>
      <c r="M10" s="53"/>
      <c r="O10" s="3" t="s">
        <v>340</v>
      </c>
      <c r="T10" s="3" t="s">
        <v>340</v>
      </c>
      <c r="Z10" s="36"/>
      <c r="AB10" s="53" t="str">
        <f>('Gestión de abastecimiento'!A11)</f>
        <v>Beneficiaros 7</v>
      </c>
      <c r="AC10" s="27">
        <f>'Por Valoracion (3) Dimension'!D10</f>
        <v>21</v>
      </c>
      <c r="AD10" s="27">
        <f>'Por Valoracion (3) Dimension 2'!D10</f>
        <v>32</v>
      </c>
      <c r="AF10" s="59" t="s">
        <v>468</v>
      </c>
      <c r="AG10" s="53"/>
      <c r="AH10" s="53"/>
      <c r="AI10" s="53"/>
      <c r="AJ10" s="53"/>
      <c r="AK10" s="53"/>
      <c r="AL10" s="53"/>
      <c r="AN10" s="3" t="s">
        <v>341</v>
      </c>
      <c r="AS10" s="3" t="s">
        <v>341</v>
      </c>
      <c r="AY10" s="36"/>
      <c r="BA10" s="53" t="str">
        <f>('Gestión de abastecimiento'!A11)</f>
        <v>Beneficiaros 7</v>
      </c>
      <c r="BB10" s="27">
        <f>'Por Valoracion (3) Dimension'!F10</f>
        <v>23</v>
      </c>
      <c r="BC10" s="27">
        <f>'Por Valoracion (3) Dimension 2'!D10</f>
        <v>32</v>
      </c>
      <c r="BE10" s="59" t="s">
        <v>468</v>
      </c>
      <c r="BF10" s="53"/>
      <c r="BG10" s="53"/>
      <c r="BH10" s="53"/>
      <c r="BI10" s="53"/>
      <c r="BJ10" s="53"/>
      <c r="BK10" s="53"/>
      <c r="BM10" s="3" t="s">
        <v>342</v>
      </c>
      <c r="BR10" s="3" t="s">
        <v>342</v>
      </c>
      <c r="BX10" s="36"/>
      <c r="BZ10" s="37"/>
      <c r="CB10" s="53" t="str">
        <f>('Gestión de abastecimiento'!A11)</f>
        <v>Beneficiaros 7</v>
      </c>
      <c r="CC10" s="27">
        <f>'Por Valoracion (3) Dimension 2'!B10</f>
        <v>32</v>
      </c>
      <c r="CD10" s="27">
        <f>'Por Valoracion (3) Dimension'!H10</f>
        <v>66</v>
      </c>
      <c r="CF10" s="59" t="s">
        <v>468</v>
      </c>
      <c r="CG10" s="53"/>
      <c r="CH10" s="53"/>
      <c r="CI10" s="53"/>
      <c r="CJ10" s="53"/>
      <c r="CK10" s="53"/>
      <c r="CL10" s="53"/>
      <c r="CN10" s="3" t="s">
        <v>343</v>
      </c>
      <c r="CS10" s="3" t="s">
        <v>343</v>
      </c>
      <c r="CY10" s="37"/>
    </row>
    <row r="11" spans="1:103" x14ac:dyDescent="0.25">
      <c r="A11" s="36"/>
      <c r="C11" s="53" t="str">
        <f>('Gestión de abastecimiento'!A12)</f>
        <v>Beneficiaros 8</v>
      </c>
      <c r="D11" s="27">
        <f>'Por Valoracion (3) Dimension'!B11</f>
        <v>13</v>
      </c>
      <c r="E11" s="27">
        <f>'Por Valoracion (3) Dimension 2'!D11</f>
        <v>18</v>
      </c>
      <c r="O11" s="57" t="s">
        <v>469</v>
      </c>
      <c r="P11" s="58"/>
      <c r="Q11" s="58"/>
      <c r="R11" s="58"/>
      <c r="T11" s="57" t="s">
        <v>469</v>
      </c>
      <c r="U11" s="58"/>
      <c r="V11" s="58"/>
      <c r="W11" s="58"/>
      <c r="X11" s="58"/>
      <c r="Z11" s="36"/>
      <c r="AB11" s="53" t="str">
        <f>('Gestión de abastecimiento'!A12)</f>
        <v>Beneficiaros 8</v>
      </c>
      <c r="AC11" s="27">
        <f>'Por Valoracion (3) Dimension'!D11</f>
        <v>12</v>
      </c>
      <c r="AD11" s="27">
        <f>'Por Valoracion (3) Dimension 2'!D11</f>
        <v>18</v>
      </c>
      <c r="AN11" s="57" t="s">
        <v>469</v>
      </c>
      <c r="AO11" s="58"/>
      <c r="AP11" s="58"/>
      <c r="AQ11" s="58"/>
      <c r="AS11" s="57" t="s">
        <v>469</v>
      </c>
      <c r="AT11" s="58"/>
      <c r="AU11" s="58"/>
      <c r="AV11" s="58"/>
      <c r="AW11" s="58"/>
      <c r="AY11" s="36"/>
      <c r="BA11" s="53" t="str">
        <f>('Gestión de abastecimiento'!A12)</f>
        <v>Beneficiaros 8</v>
      </c>
      <c r="BB11" s="27">
        <f>'Por Valoracion (3) Dimension'!F11</f>
        <v>12</v>
      </c>
      <c r="BC11" s="27">
        <f>'Por Valoracion (3) Dimension 2'!D11</f>
        <v>18</v>
      </c>
      <c r="BM11" s="57" t="s">
        <v>469</v>
      </c>
      <c r="BN11" s="58"/>
      <c r="BO11" s="58"/>
      <c r="BP11" s="58"/>
      <c r="BR11" s="57" t="s">
        <v>469</v>
      </c>
      <c r="BS11" s="58"/>
      <c r="BT11" s="58"/>
      <c r="BU11" s="58"/>
      <c r="BV11" s="58"/>
      <c r="BX11" s="36"/>
      <c r="BZ11" s="37"/>
      <c r="CB11" s="53" t="str">
        <f>('Gestión de abastecimiento'!A12)</f>
        <v>Beneficiaros 8</v>
      </c>
      <c r="CC11" s="27">
        <f>'Por Valoracion (3) Dimension 2'!B11</f>
        <v>18</v>
      </c>
      <c r="CD11" s="27">
        <f>'Por Valoracion (3) Dimension'!H11</f>
        <v>37</v>
      </c>
      <c r="CN11" s="57" t="s">
        <v>469</v>
      </c>
      <c r="CO11" s="58"/>
      <c r="CP11" s="58"/>
      <c r="CQ11" s="58"/>
      <c r="CS11" s="57" t="s">
        <v>469</v>
      </c>
      <c r="CT11" s="58"/>
      <c r="CU11" s="58"/>
      <c r="CV11" s="58"/>
      <c r="CW11" s="58"/>
      <c r="CY11" s="37"/>
    </row>
    <row r="12" spans="1:103" x14ac:dyDescent="0.25">
      <c r="A12" s="36"/>
      <c r="C12" s="53" t="str">
        <f>('Gestión de abastecimiento'!A13)</f>
        <v>Beneficiaros 9</v>
      </c>
      <c r="D12" s="27">
        <f>'Por Valoracion (3) Dimension'!B12</f>
        <v>15</v>
      </c>
      <c r="E12" s="27">
        <f>'Por Valoracion (3) Dimension 2'!D12</f>
        <v>21</v>
      </c>
      <c r="G12" s="52" t="str">
        <f>CONCATENATE("en la ",G4," y basándose en la prueba de ",F298," se puede observar que, ","con una probabilidad de error de ",D299,"% para la ",D297," ",D298," y ",E299,"% para la ",E297," ",E298,", ",G298,H298, " por tal motivo se procederá a utilizar ",I298,".")</f>
        <v>en la Tabla 1 y basándose en la prueba de Kolmogorov-Smirnova se puede observar que, con una probabilidad de error de 0% para la  Dimensión  Planificación y 0% para la  Variable  Satisfacción de los comités del Programa Vaso de Leche, la distribución de sus valores no son diferentes a la distribución normal es decir los datos si se encuentran normalmente distribuidos por tal motivo se procederá a utilizar la prueba paramétrica de correlación de Pearson.</v>
      </c>
      <c r="H12" s="53"/>
      <c r="I12" s="53"/>
      <c r="J12" s="53"/>
      <c r="K12" s="53"/>
      <c r="L12" s="53"/>
      <c r="M12" s="53"/>
      <c r="O12" s="58"/>
      <c r="P12" s="58"/>
      <c r="Q12" s="30" t="str">
        <f>D3</f>
        <v>Planificación</v>
      </c>
      <c r="R12" s="30" t="str">
        <f>E3</f>
        <v>Satisfacción de los comités del Programa Vaso de Leche</v>
      </c>
      <c r="T12" s="58"/>
      <c r="U12" s="58"/>
      <c r="V12" s="58"/>
      <c r="W12" s="30" t="str">
        <f>D3</f>
        <v>Planificación</v>
      </c>
      <c r="X12" s="30" t="str">
        <f>E3</f>
        <v>Satisfacción de los comités del Programa Vaso de Leche</v>
      </c>
      <c r="Z12" s="36"/>
      <c r="AB12" s="53" t="str">
        <f>('Gestión de abastecimiento'!A13)</f>
        <v>Beneficiaros 9</v>
      </c>
      <c r="AC12" s="27">
        <f>'Por Valoracion (3) Dimension'!D12</f>
        <v>15</v>
      </c>
      <c r="AD12" s="27">
        <f>'Por Valoracion (3) Dimension 2'!D12</f>
        <v>21</v>
      </c>
      <c r="AF12" s="52" t="str">
        <f>CONCATENATE("en la ",AF4," y basándose en la prueba de ",AE298," se puede observar que, ","con una probabilidad de error de ",AC299,"% para la ",AC297," ",AC298," y ",AD299,"% para la ",AD297," ",AD298,", ",AF298,AG298, " por tal motivo se procederá a utilizar ",AH298,".")</f>
        <v>en la Tabla 2 y basándose en la prueba de Kolmogorov-Smirnova se puede observar que, con una probabilidad de error de 0% para la  Dimensión  Transparencia y 0% para la  Variable  Satisfacción de los comités del Programa Vaso de Leche, la distribución de sus valores no son diferentes a la distribución normal es decir los datos si se encuentran normalmente distribuidos por tal motivo se procederá a utilizar la prueba paramétrica de correlación de Pearson.</v>
      </c>
      <c r="AG12" s="53"/>
      <c r="AH12" s="53"/>
      <c r="AI12" s="53"/>
      <c r="AJ12" s="53"/>
      <c r="AK12" s="53"/>
      <c r="AL12" s="53"/>
      <c r="AN12" s="58"/>
      <c r="AO12" s="58"/>
      <c r="AP12" s="30" t="str">
        <f>AC3</f>
        <v>Transparencia</v>
      </c>
      <c r="AQ12" s="30" t="str">
        <f>AD3</f>
        <v>Satisfacción de los comités del Programa Vaso de Leche</v>
      </c>
      <c r="AS12" s="58"/>
      <c r="AT12" s="58"/>
      <c r="AU12" s="58"/>
      <c r="AV12" s="30" t="str">
        <f>AC3</f>
        <v>Transparencia</v>
      </c>
      <c r="AW12" s="30" t="str">
        <f>AD3</f>
        <v>Satisfacción de los comités del Programa Vaso de Leche</v>
      </c>
      <c r="AY12" s="36"/>
      <c r="BA12" s="53" t="str">
        <f>('Gestión de abastecimiento'!A13)</f>
        <v>Beneficiaros 9</v>
      </c>
      <c r="BB12" s="27">
        <f>'Por Valoracion (3) Dimension'!F12</f>
        <v>15</v>
      </c>
      <c r="BC12" s="27">
        <f>'Por Valoracion (3) Dimension 2'!D12</f>
        <v>21</v>
      </c>
      <c r="BE12" s="52" t="str">
        <f>CONCATENATE("en la ",BE4," y basándose en la prueba de ",BD298," se puede observar que, ","con una probabilidad de error de ",BB299,"% para la ",BB297," ",BB298," y ",BC299,"% para la ",BC297," ",BC298,", ",BE298,BF298, " por tal motivo se procederá a utilizar ",BG298,".")</f>
        <v>en la Tabla 3 y basándose en la prueba de Kolmogorov-Smirnova se puede observar que, con una probabilidad de error de 0% para la  Dimensión  Cumplimiento normativo y 0% para la  Variable  Satisfacción de los comités del Programa Vaso de Leche, la distribución de sus valores no son diferentes a la distribución normal es decir los datos si se encuentran normalmente distribuidos por tal motivo se procederá a utilizar la prueba paramétrica de correlación de Pearson.</v>
      </c>
      <c r="BF12" s="53"/>
      <c r="BG12" s="53"/>
      <c r="BH12" s="53"/>
      <c r="BI12" s="53"/>
      <c r="BJ12" s="53"/>
      <c r="BK12" s="53"/>
      <c r="BM12" s="58"/>
      <c r="BN12" s="58"/>
      <c r="BO12" s="30" t="str">
        <f>BB3</f>
        <v>Cumplimiento normativo</v>
      </c>
      <c r="BP12" s="30" t="str">
        <f>BC3</f>
        <v>Satisfacción de los comités del Programa Vaso de Leche</v>
      </c>
      <c r="BR12" s="58"/>
      <c r="BS12" s="58"/>
      <c r="BT12" s="58"/>
      <c r="BU12" s="30" t="str">
        <f>BB3</f>
        <v>Cumplimiento normativo</v>
      </c>
      <c r="BV12" s="30" t="str">
        <f>BC3</f>
        <v>Satisfacción de los comités del Programa Vaso de Leche</v>
      </c>
      <c r="BX12" s="36"/>
      <c r="BZ12" s="37"/>
      <c r="CB12" s="53" t="str">
        <f>('Gestión de abastecimiento'!A13)</f>
        <v>Beneficiaros 9</v>
      </c>
      <c r="CC12" s="27">
        <f>'Por Valoracion (3) Dimension 2'!B12</f>
        <v>21</v>
      </c>
      <c r="CD12" s="27">
        <f>'Por Valoracion (3) Dimension'!H12</f>
        <v>45</v>
      </c>
      <c r="CF12" s="52" t="str">
        <f>CONCATENATE("en la ",CF4," y basándose en la prueba de ",CE298," se puede observar que, ","con una probabilidad de error de ",CC299,"% para la ",CC297," ",CC298," y ",CD299,"% para la ",CD297," ",CD298,", ",CF298,CG298, " por tal motivo se procederá a utilizar ",CH298,".")</f>
        <v>en la Tabla 4 y basándose en la prueba de Kolmogorov-Smirnova se puede observar que, con una probabilidad de error de 0% para la  Dimensión  Satisfacción del servicio y 0% para la  Variable  Gestión de abastecimiento, la distribución de sus valores no son diferentes a la distribución normal es decir los datos si se encuentran normalmente distribuidos por tal motivo se procederá a utilizar la prueba paramétrica de correlación de Pearson.</v>
      </c>
      <c r="CG12" s="53"/>
      <c r="CH12" s="53"/>
      <c r="CI12" s="53"/>
      <c r="CJ12" s="53"/>
      <c r="CK12" s="53"/>
      <c r="CL12" s="53"/>
      <c r="CN12" s="58"/>
      <c r="CO12" s="58"/>
      <c r="CP12" s="30" t="str">
        <f>CC3</f>
        <v>Satisfacción del servicio</v>
      </c>
      <c r="CQ12" s="30" t="str">
        <f>CD3</f>
        <v>Gestión de abastecimiento</v>
      </c>
      <c r="CS12" s="58"/>
      <c r="CT12" s="58"/>
      <c r="CU12" s="58"/>
      <c r="CV12" s="30" t="str">
        <f>CC3</f>
        <v>Satisfacción del servicio</v>
      </c>
      <c r="CW12" s="30" t="str">
        <f>CD3</f>
        <v>Gestión de abastecimiento</v>
      </c>
      <c r="CY12" s="37"/>
    </row>
    <row r="13" spans="1:103" ht="25.5" x14ac:dyDescent="0.25">
      <c r="A13" s="36"/>
      <c r="C13" s="53" t="str">
        <f>('Gestión de abastecimiento'!A14)</f>
        <v>Beneficiaros 10</v>
      </c>
      <c r="D13" s="27">
        <f>'Por Valoracion (3) Dimension'!B13</f>
        <v>24</v>
      </c>
      <c r="E13" s="27">
        <f>'Por Valoracion (3) Dimension 2'!D13</f>
        <v>33</v>
      </c>
      <c r="G13" s="53"/>
      <c r="H13" s="53"/>
      <c r="I13" s="53"/>
      <c r="J13" s="53"/>
      <c r="K13" s="53"/>
      <c r="L13" s="53"/>
      <c r="M13" s="53"/>
      <c r="O13" s="59" t="str">
        <f>D3</f>
        <v>Planificación</v>
      </c>
      <c r="P13" s="32" t="s">
        <v>470</v>
      </c>
      <c r="T13" s="60" t="s">
        <v>471</v>
      </c>
      <c r="U13" s="59" t="str">
        <f>D3</f>
        <v>Planificación</v>
      </c>
      <c r="V13" s="32" t="s">
        <v>472</v>
      </c>
      <c r="Z13" s="36"/>
      <c r="AB13" s="53" t="str">
        <f>('Gestión de abastecimiento'!A14)</f>
        <v>Beneficiaros 10</v>
      </c>
      <c r="AC13" s="27">
        <f>'Por Valoracion (3) Dimension'!D13</f>
        <v>23</v>
      </c>
      <c r="AD13" s="27">
        <f>'Por Valoracion (3) Dimension 2'!D13</f>
        <v>33</v>
      </c>
      <c r="AF13" s="53"/>
      <c r="AG13" s="53"/>
      <c r="AH13" s="53"/>
      <c r="AI13" s="53"/>
      <c r="AJ13" s="53"/>
      <c r="AK13" s="53"/>
      <c r="AL13" s="53"/>
      <c r="AN13" s="59" t="str">
        <f>AC3</f>
        <v>Transparencia</v>
      </c>
      <c r="AO13" s="32" t="s">
        <v>470</v>
      </c>
      <c r="AS13" s="60" t="s">
        <v>471</v>
      </c>
      <c r="AT13" s="59" t="str">
        <f>AC3</f>
        <v>Transparencia</v>
      </c>
      <c r="AU13" s="32" t="s">
        <v>472</v>
      </c>
      <c r="AY13" s="36"/>
      <c r="BA13" s="53" t="str">
        <f>('Gestión de abastecimiento'!A14)</f>
        <v>Beneficiaros 10</v>
      </c>
      <c r="BB13" s="27">
        <f>'Por Valoracion (3) Dimension'!F13</f>
        <v>23</v>
      </c>
      <c r="BC13" s="27">
        <f>'Por Valoracion (3) Dimension 2'!D13</f>
        <v>33</v>
      </c>
      <c r="BE13" s="53"/>
      <c r="BF13" s="53"/>
      <c r="BG13" s="53"/>
      <c r="BH13" s="53"/>
      <c r="BI13" s="53"/>
      <c r="BJ13" s="53"/>
      <c r="BK13" s="53"/>
      <c r="BM13" s="59" t="str">
        <f>BB3</f>
        <v>Cumplimiento normativo</v>
      </c>
      <c r="BN13" s="32" t="s">
        <v>470</v>
      </c>
      <c r="BR13" s="60" t="s">
        <v>471</v>
      </c>
      <c r="BS13" s="59" t="str">
        <f>BB3</f>
        <v>Cumplimiento normativo</v>
      </c>
      <c r="BT13" s="32" t="s">
        <v>472</v>
      </c>
      <c r="BX13" s="36"/>
      <c r="BZ13" s="37"/>
      <c r="CB13" s="53" t="str">
        <f>('Gestión de abastecimiento'!A14)</f>
        <v>Beneficiaros 10</v>
      </c>
      <c r="CC13" s="27">
        <f>'Por Valoracion (3) Dimension 2'!B13</f>
        <v>33</v>
      </c>
      <c r="CD13" s="27">
        <f>'Por Valoracion (3) Dimension'!H13</f>
        <v>70</v>
      </c>
      <c r="CF13" s="53"/>
      <c r="CG13" s="53"/>
      <c r="CH13" s="53"/>
      <c r="CI13" s="53"/>
      <c r="CJ13" s="53"/>
      <c r="CK13" s="53"/>
      <c r="CL13" s="53"/>
      <c r="CN13" s="59" t="str">
        <f>CC3</f>
        <v>Satisfacción del servicio</v>
      </c>
      <c r="CO13" s="32" t="s">
        <v>470</v>
      </c>
      <c r="CS13" s="60" t="s">
        <v>471</v>
      </c>
      <c r="CT13" s="59" t="str">
        <f>CC3</f>
        <v>Satisfacción del servicio</v>
      </c>
      <c r="CU13" s="32" t="s">
        <v>472</v>
      </c>
      <c r="CY13" s="37"/>
    </row>
    <row r="14" spans="1:103" x14ac:dyDescent="0.25">
      <c r="A14" s="36"/>
      <c r="C14" s="53" t="str">
        <f>('Gestión de abastecimiento'!A15)</f>
        <v>Beneficiaros 11</v>
      </c>
      <c r="D14" s="27">
        <f>'Por Valoracion (3) Dimension'!B14</f>
        <v>16</v>
      </c>
      <c r="E14" s="27">
        <f>'Por Valoracion (3) Dimension 2'!D14</f>
        <v>24</v>
      </c>
      <c r="G14" s="53"/>
      <c r="H14" s="53"/>
      <c r="I14" s="53"/>
      <c r="J14" s="53"/>
      <c r="K14" s="53"/>
      <c r="L14" s="53"/>
      <c r="M14" s="53"/>
      <c r="O14" s="53"/>
      <c r="P14" s="32" t="s">
        <v>473</v>
      </c>
      <c r="T14" s="53"/>
      <c r="U14" s="53"/>
      <c r="V14" s="32" t="s">
        <v>473</v>
      </c>
      <c r="Z14" s="36"/>
      <c r="AB14" s="53" t="str">
        <f>('Gestión de abastecimiento'!A15)</f>
        <v>Beneficiaros 11</v>
      </c>
      <c r="AC14" s="27">
        <f>'Por Valoracion (3) Dimension'!D14</f>
        <v>17</v>
      </c>
      <c r="AD14" s="27">
        <f>'Por Valoracion (3) Dimension 2'!D14</f>
        <v>24</v>
      </c>
      <c r="AF14" s="53"/>
      <c r="AG14" s="53"/>
      <c r="AH14" s="53"/>
      <c r="AI14" s="53"/>
      <c r="AJ14" s="53"/>
      <c r="AK14" s="53"/>
      <c r="AL14" s="53"/>
      <c r="AN14" s="53"/>
      <c r="AO14" s="32" t="s">
        <v>473</v>
      </c>
      <c r="AS14" s="53"/>
      <c r="AT14" s="53"/>
      <c r="AU14" s="32" t="s">
        <v>473</v>
      </c>
      <c r="AY14" s="36"/>
      <c r="BA14" s="53" t="str">
        <f>('Gestión de abastecimiento'!A15)</f>
        <v>Beneficiaros 11</v>
      </c>
      <c r="BB14" s="27">
        <f>'Por Valoracion (3) Dimension'!F14</f>
        <v>15</v>
      </c>
      <c r="BC14" s="27">
        <f>'Por Valoracion (3) Dimension 2'!D14</f>
        <v>24</v>
      </c>
      <c r="BE14" s="53"/>
      <c r="BF14" s="53"/>
      <c r="BG14" s="53"/>
      <c r="BH14" s="53"/>
      <c r="BI14" s="53"/>
      <c r="BJ14" s="53"/>
      <c r="BK14" s="53"/>
      <c r="BM14" s="53"/>
      <c r="BN14" s="32" t="s">
        <v>473</v>
      </c>
      <c r="BR14" s="53"/>
      <c r="BS14" s="53"/>
      <c r="BT14" s="32" t="s">
        <v>473</v>
      </c>
      <c r="BX14" s="36"/>
      <c r="BZ14" s="37"/>
      <c r="CB14" s="53" t="str">
        <f>('Gestión de abastecimiento'!A15)</f>
        <v>Beneficiaros 11</v>
      </c>
      <c r="CC14" s="27">
        <f>'Por Valoracion (3) Dimension 2'!B14</f>
        <v>24</v>
      </c>
      <c r="CD14" s="27">
        <f>'Por Valoracion (3) Dimension'!H14</f>
        <v>48</v>
      </c>
      <c r="CF14" s="53"/>
      <c r="CG14" s="53"/>
      <c r="CH14" s="53"/>
      <c r="CI14" s="53"/>
      <c r="CJ14" s="53"/>
      <c r="CK14" s="53"/>
      <c r="CL14" s="53"/>
      <c r="CN14" s="53"/>
      <c r="CO14" s="32" t="s">
        <v>473</v>
      </c>
      <c r="CS14" s="53"/>
      <c r="CT14" s="53"/>
      <c r="CU14" s="32" t="s">
        <v>473</v>
      </c>
      <c r="CY14" s="37"/>
    </row>
    <row r="15" spans="1:103" x14ac:dyDescent="0.25">
      <c r="A15" s="36"/>
      <c r="C15" s="53" t="str">
        <f>('Gestión de abastecimiento'!A16)</f>
        <v>Beneficiaros 12</v>
      </c>
      <c r="D15" s="27">
        <f>'Por Valoracion (3) Dimension'!B15</f>
        <v>22</v>
      </c>
      <c r="E15" s="27">
        <f>'Por Valoracion (3) Dimension 2'!D15</f>
        <v>34</v>
      </c>
      <c r="G15" s="53"/>
      <c r="H15" s="53"/>
      <c r="I15" s="53"/>
      <c r="J15" s="53"/>
      <c r="K15" s="53"/>
      <c r="L15" s="53"/>
      <c r="M15" s="53"/>
      <c r="O15" s="53"/>
      <c r="P15" s="32" t="s">
        <v>474</v>
      </c>
      <c r="T15" s="53"/>
      <c r="U15" s="53"/>
      <c r="V15" s="32" t="s">
        <v>474</v>
      </c>
      <c r="Z15" s="36"/>
      <c r="AB15" s="53" t="str">
        <f>('Gestión de abastecimiento'!A16)</f>
        <v>Beneficiaros 12</v>
      </c>
      <c r="AC15" s="27">
        <f>'Por Valoracion (3) Dimension'!D15</f>
        <v>22</v>
      </c>
      <c r="AD15" s="27">
        <f>'Por Valoracion (3) Dimension 2'!D15</f>
        <v>34</v>
      </c>
      <c r="AF15" s="53"/>
      <c r="AG15" s="53"/>
      <c r="AH15" s="53"/>
      <c r="AI15" s="53"/>
      <c r="AJ15" s="53"/>
      <c r="AK15" s="53"/>
      <c r="AL15" s="53"/>
      <c r="AN15" s="53"/>
      <c r="AO15" s="32" t="s">
        <v>474</v>
      </c>
      <c r="AS15" s="53"/>
      <c r="AT15" s="53"/>
      <c r="AU15" s="32" t="s">
        <v>474</v>
      </c>
      <c r="AY15" s="36"/>
      <c r="BA15" s="53" t="str">
        <f>('Gestión de abastecimiento'!A16)</f>
        <v>Beneficiaros 12</v>
      </c>
      <c r="BB15" s="27">
        <f>'Por Valoracion (3) Dimension'!F15</f>
        <v>21</v>
      </c>
      <c r="BC15" s="27">
        <f>'Por Valoracion (3) Dimension 2'!D15</f>
        <v>34</v>
      </c>
      <c r="BE15" s="53"/>
      <c r="BF15" s="53"/>
      <c r="BG15" s="53"/>
      <c r="BH15" s="53"/>
      <c r="BI15" s="53"/>
      <c r="BJ15" s="53"/>
      <c r="BK15" s="53"/>
      <c r="BM15" s="53"/>
      <c r="BN15" s="32" t="s">
        <v>474</v>
      </c>
      <c r="BR15" s="53"/>
      <c r="BS15" s="53"/>
      <c r="BT15" s="32" t="s">
        <v>474</v>
      </c>
      <c r="BX15" s="36"/>
      <c r="BZ15" s="37"/>
      <c r="CB15" s="53" t="str">
        <f>('Gestión de abastecimiento'!A16)</f>
        <v>Beneficiaros 12</v>
      </c>
      <c r="CC15" s="27">
        <f>'Por Valoracion (3) Dimension 2'!B15</f>
        <v>34</v>
      </c>
      <c r="CD15" s="27">
        <f>'Por Valoracion (3) Dimension'!H15</f>
        <v>65</v>
      </c>
      <c r="CF15" s="53"/>
      <c r="CG15" s="53"/>
      <c r="CH15" s="53"/>
      <c r="CI15" s="53"/>
      <c r="CJ15" s="53"/>
      <c r="CK15" s="53"/>
      <c r="CL15" s="53"/>
      <c r="CN15" s="53"/>
      <c r="CO15" s="32" t="s">
        <v>474</v>
      </c>
      <c r="CS15" s="53"/>
      <c r="CT15" s="53"/>
      <c r="CU15" s="32" t="s">
        <v>474</v>
      </c>
      <c r="CY15" s="37"/>
    </row>
    <row r="16" spans="1:103" ht="25.5" x14ac:dyDescent="0.25">
      <c r="A16" s="36"/>
      <c r="C16" s="53" t="str">
        <f>('Gestión de abastecimiento'!A17)</f>
        <v>Beneficiaros 13</v>
      </c>
      <c r="D16" s="27">
        <f>'Por Valoracion (3) Dimension'!B16</f>
        <v>13</v>
      </c>
      <c r="E16" s="27">
        <f>'Por Valoracion (3) Dimension 2'!D16</f>
        <v>22</v>
      </c>
      <c r="G16" s="53"/>
      <c r="H16" s="53"/>
      <c r="I16" s="53"/>
      <c r="J16" s="53"/>
      <c r="K16" s="53"/>
      <c r="L16" s="53"/>
      <c r="M16" s="53"/>
      <c r="O16" s="59" t="str">
        <f>E3</f>
        <v>Satisfacción de los comités del Programa Vaso de Leche</v>
      </c>
      <c r="P16" s="32" t="s">
        <v>470</v>
      </c>
      <c r="T16" s="53"/>
      <c r="U16" s="59" t="str">
        <f>E3</f>
        <v>Satisfacción de los comités del Programa Vaso de Leche</v>
      </c>
      <c r="V16" s="32" t="s">
        <v>472</v>
      </c>
      <c r="Z16" s="36"/>
      <c r="AB16" s="53" t="str">
        <f>('Gestión de abastecimiento'!A17)</f>
        <v>Beneficiaros 13</v>
      </c>
      <c r="AC16" s="27">
        <f>'Por Valoracion (3) Dimension'!D16</f>
        <v>16</v>
      </c>
      <c r="AD16" s="27">
        <f>'Por Valoracion (3) Dimension 2'!D16</f>
        <v>22</v>
      </c>
      <c r="AF16" s="53"/>
      <c r="AG16" s="53"/>
      <c r="AH16" s="53"/>
      <c r="AI16" s="53"/>
      <c r="AJ16" s="53"/>
      <c r="AK16" s="53"/>
      <c r="AL16" s="53"/>
      <c r="AN16" s="59" t="str">
        <f>AD3</f>
        <v>Satisfacción de los comités del Programa Vaso de Leche</v>
      </c>
      <c r="AO16" s="32" t="s">
        <v>470</v>
      </c>
      <c r="AS16" s="53"/>
      <c r="AT16" s="59" t="str">
        <f>AD3</f>
        <v>Satisfacción de los comités del Programa Vaso de Leche</v>
      </c>
      <c r="AU16" s="32" t="s">
        <v>472</v>
      </c>
      <c r="AY16" s="36"/>
      <c r="BA16" s="53" t="str">
        <f>('Gestión de abastecimiento'!A17)</f>
        <v>Beneficiaros 13</v>
      </c>
      <c r="BB16" s="27">
        <f>'Por Valoracion (3) Dimension'!F16</f>
        <v>16</v>
      </c>
      <c r="BC16" s="27">
        <f>'Por Valoracion (3) Dimension 2'!D16</f>
        <v>22</v>
      </c>
      <c r="BE16" s="53"/>
      <c r="BF16" s="53"/>
      <c r="BG16" s="53"/>
      <c r="BH16" s="53"/>
      <c r="BI16" s="53"/>
      <c r="BJ16" s="53"/>
      <c r="BK16" s="53"/>
      <c r="BM16" s="59" t="str">
        <f>BC3</f>
        <v>Satisfacción de los comités del Programa Vaso de Leche</v>
      </c>
      <c r="BN16" s="32" t="s">
        <v>470</v>
      </c>
      <c r="BR16" s="53"/>
      <c r="BS16" s="59" t="str">
        <f>BC3</f>
        <v>Satisfacción de los comités del Programa Vaso de Leche</v>
      </c>
      <c r="BT16" s="32" t="s">
        <v>472</v>
      </c>
      <c r="BX16" s="36"/>
      <c r="BZ16" s="37"/>
      <c r="CB16" s="53" t="str">
        <f>('Gestión de abastecimiento'!A17)</f>
        <v>Beneficiaros 13</v>
      </c>
      <c r="CC16" s="27">
        <f>'Por Valoracion (3) Dimension 2'!B16</f>
        <v>22</v>
      </c>
      <c r="CD16" s="27">
        <f>'Por Valoracion (3) Dimension'!H16</f>
        <v>45</v>
      </c>
      <c r="CF16" s="53"/>
      <c r="CG16" s="53"/>
      <c r="CH16" s="53"/>
      <c r="CI16" s="53"/>
      <c r="CJ16" s="53"/>
      <c r="CK16" s="53"/>
      <c r="CL16" s="53"/>
      <c r="CN16" s="59" t="str">
        <f>CD3</f>
        <v>Gestión de abastecimiento</v>
      </c>
      <c r="CO16" s="32" t="s">
        <v>470</v>
      </c>
      <c r="CS16" s="53"/>
      <c r="CT16" s="59" t="str">
        <f>CD3</f>
        <v>Gestión de abastecimiento</v>
      </c>
      <c r="CU16" s="32" t="s">
        <v>472</v>
      </c>
      <c r="CY16" s="37"/>
    </row>
    <row r="17" spans="1:103" x14ac:dyDescent="0.25">
      <c r="A17" s="36"/>
      <c r="C17" s="53" t="str">
        <f>('Gestión de abastecimiento'!A18)</f>
        <v>Beneficiaros 14</v>
      </c>
      <c r="D17" s="27">
        <f>'Por Valoracion (3) Dimension'!B17</f>
        <v>17</v>
      </c>
      <c r="E17" s="27">
        <f>'Por Valoracion (3) Dimension 2'!D17</f>
        <v>27</v>
      </c>
      <c r="G17" s="53"/>
      <c r="H17" s="53"/>
      <c r="I17" s="53"/>
      <c r="J17" s="53"/>
      <c r="K17" s="53"/>
      <c r="L17" s="53"/>
      <c r="M17" s="53"/>
      <c r="O17" s="53"/>
      <c r="P17" s="32" t="s">
        <v>473</v>
      </c>
      <c r="T17" s="53"/>
      <c r="U17" s="53"/>
      <c r="V17" s="32" t="s">
        <v>473</v>
      </c>
      <c r="Z17" s="36"/>
      <c r="AB17" s="53" t="str">
        <f>('Gestión de abastecimiento'!A18)</f>
        <v>Beneficiaros 14</v>
      </c>
      <c r="AC17" s="27">
        <f>'Por Valoracion (3) Dimension'!D17</f>
        <v>18</v>
      </c>
      <c r="AD17" s="27">
        <f>'Por Valoracion (3) Dimension 2'!D17</f>
        <v>27</v>
      </c>
      <c r="AF17" s="53"/>
      <c r="AG17" s="53"/>
      <c r="AH17" s="53"/>
      <c r="AI17" s="53"/>
      <c r="AJ17" s="53"/>
      <c r="AK17" s="53"/>
      <c r="AL17" s="53"/>
      <c r="AN17" s="53"/>
      <c r="AO17" s="32" t="s">
        <v>473</v>
      </c>
      <c r="AS17" s="53"/>
      <c r="AT17" s="53"/>
      <c r="AU17" s="32" t="s">
        <v>473</v>
      </c>
      <c r="AY17" s="36"/>
      <c r="BA17" s="53" t="str">
        <f>('Gestión de abastecimiento'!A18)</f>
        <v>Beneficiaros 14</v>
      </c>
      <c r="BB17" s="27">
        <f>'Por Valoracion (3) Dimension'!F17</f>
        <v>16</v>
      </c>
      <c r="BC17" s="27">
        <f>'Por Valoracion (3) Dimension 2'!D17</f>
        <v>27</v>
      </c>
      <c r="BE17" s="53"/>
      <c r="BF17" s="53"/>
      <c r="BG17" s="53"/>
      <c r="BH17" s="53"/>
      <c r="BI17" s="53"/>
      <c r="BJ17" s="53"/>
      <c r="BK17" s="53"/>
      <c r="BM17" s="53"/>
      <c r="BN17" s="32" t="s">
        <v>473</v>
      </c>
      <c r="BR17" s="53"/>
      <c r="BS17" s="53"/>
      <c r="BT17" s="32" t="s">
        <v>473</v>
      </c>
      <c r="BX17" s="36"/>
      <c r="BZ17" s="37"/>
      <c r="CB17" s="53" t="str">
        <f>('Gestión de abastecimiento'!A18)</f>
        <v>Beneficiaros 14</v>
      </c>
      <c r="CC17" s="27">
        <f>'Por Valoracion (3) Dimension 2'!B17</f>
        <v>27</v>
      </c>
      <c r="CD17" s="27">
        <f>'Por Valoracion (3) Dimension'!H17</f>
        <v>51</v>
      </c>
      <c r="CF17" s="53"/>
      <c r="CG17" s="53"/>
      <c r="CH17" s="53"/>
      <c r="CI17" s="53"/>
      <c r="CJ17" s="53"/>
      <c r="CK17" s="53"/>
      <c r="CL17" s="53"/>
      <c r="CN17" s="53"/>
      <c r="CO17" s="32" t="s">
        <v>473</v>
      </c>
      <c r="CS17" s="53"/>
      <c r="CT17" s="53"/>
      <c r="CU17" s="32" t="s">
        <v>473</v>
      </c>
      <c r="CY17" s="37"/>
    </row>
    <row r="18" spans="1:103" x14ac:dyDescent="0.25">
      <c r="A18" s="36"/>
      <c r="C18" s="53" t="str">
        <f>('Gestión de abastecimiento'!A19)</f>
        <v>Beneficiaros 15</v>
      </c>
      <c r="D18" s="27">
        <f>'Por Valoracion (3) Dimension'!B18</f>
        <v>19</v>
      </c>
      <c r="E18" s="27">
        <f>'Por Valoracion (3) Dimension 2'!D18</f>
        <v>26</v>
      </c>
      <c r="O18" s="58"/>
      <c r="P18" s="31" t="s">
        <v>474</v>
      </c>
      <c r="Q18" s="5"/>
      <c r="R18" s="5"/>
      <c r="T18" s="58"/>
      <c r="U18" s="58"/>
      <c r="V18" s="31" t="s">
        <v>474</v>
      </c>
      <c r="W18" s="5"/>
      <c r="X18" s="5"/>
      <c r="Z18" s="36"/>
      <c r="AB18" s="53" t="str">
        <f>('Gestión de abastecimiento'!A19)</f>
        <v>Beneficiaros 15</v>
      </c>
      <c r="AC18" s="27">
        <f>'Por Valoracion (3) Dimension'!D18</f>
        <v>18</v>
      </c>
      <c r="AD18" s="27">
        <f>'Por Valoracion (3) Dimension 2'!D18</f>
        <v>26</v>
      </c>
      <c r="AN18" s="58"/>
      <c r="AO18" s="31" t="s">
        <v>474</v>
      </c>
      <c r="AP18" s="5"/>
      <c r="AQ18" s="5"/>
      <c r="AS18" s="58"/>
      <c r="AT18" s="58"/>
      <c r="AU18" s="31" t="s">
        <v>474</v>
      </c>
      <c r="AV18" s="5"/>
      <c r="AW18" s="5"/>
      <c r="AY18" s="36"/>
      <c r="BA18" s="53" t="str">
        <f>('Gestión de abastecimiento'!A19)</f>
        <v>Beneficiaros 15</v>
      </c>
      <c r="BB18" s="27">
        <f>'Por Valoracion (3) Dimension'!F18</f>
        <v>19</v>
      </c>
      <c r="BC18" s="27">
        <f>'Por Valoracion (3) Dimension 2'!D18</f>
        <v>26</v>
      </c>
      <c r="BM18" s="58"/>
      <c r="BN18" s="31" t="s">
        <v>474</v>
      </c>
      <c r="BO18" s="5"/>
      <c r="BP18" s="5"/>
      <c r="BR18" s="58"/>
      <c r="BS18" s="58"/>
      <c r="BT18" s="31" t="s">
        <v>474</v>
      </c>
      <c r="BU18" s="5"/>
      <c r="BV18" s="5"/>
      <c r="BX18" s="36"/>
      <c r="BZ18" s="37"/>
      <c r="CB18" s="53" t="str">
        <f>('Gestión de abastecimiento'!A19)</f>
        <v>Beneficiaros 15</v>
      </c>
      <c r="CC18" s="27">
        <f>'Por Valoracion (3) Dimension 2'!B18</f>
        <v>26</v>
      </c>
      <c r="CD18" s="27">
        <f>'Por Valoracion (3) Dimension'!H18</f>
        <v>56</v>
      </c>
      <c r="CN18" s="58"/>
      <c r="CO18" s="31" t="s">
        <v>474</v>
      </c>
      <c r="CP18" s="5"/>
      <c r="CQ18" s="5"/>
      <c r="CS18" s="58"/>
      <c r="CT18" s="58"/>
      <c r="CU18" s="31" t="s">
        <v>474</v>
      </c>
      <c r="CV18" s="5"/>
      <c r="CW18" s="5"/>
      <c r="CY18" s="37"/>
    </row>
    <row r="19" spans="1:103" x14ac:dyDescent="0.25">
      <c r="A19" s="36"/>
      <c r="C19" s="53" t="str">
        <f>('Gestión de abastecimiento'!A20)</f>
        <v>Beneficiaros 16</v>
      </c>
      <c r="D19" s="27">
        <f>'Por Valoracion (3) Dimension'!B19</f>
        <v>18</v>
      </c>
      <c r="E19" s="27">
        <f>'Por Valoracion (3) Dimension 2'!D19</f>
        <v>27</v>
      </c>
      <c r="O19" s="59" t="s">
        <v>475</v>
      </c>
      <c r="P19" s="53"/>
      <c r="Q19" s="53"/>
      <c r="R19" s="53"/>
      <c r="T19" s="59" t="s">
        <v>475</v>
      </c>
      <c r="U19" s="53"/>
      <c r="V19" s="53"/>
      <c r="W19" s="53"/>
      <c r="X19" s="53"/>
      <c r="Z19" s="36"/>
      <c r="AB19" s="53" t="str">
        <f>('Gestión de abastecimiento'!A20)</f>
        <v>Beneficiaros 16</v>
      </c>
      <c r="AC19" s="27">
        <f>'Por Valoracion (3) Dimension'!D19</f>
        <v>18</v>
      </c>
      <c r="AD19" s="27">
        <f>'Por Valoracion (3) Dimension 2'!D19</f>
        <v>27</v>
      </c>
      <c r="AN19" s="59" t="s">
        <v>475</v>
      </c>
      <c r="AO19" s="53"/>
      <c r="AP19" s="53"/>
      <c r="AQ19" s="53"/>
      <c r="AS19" s="59" t="s">
        <v>475</v>
      </c>
      <c r="AT19" s="53"/>
      <c r="AU19" s="53"/>
      <c r="AV19" s="53"/>
      <c r="AW19" s="53"/>
      <c r="AY19" s="36"/>
      <c r="BA19" s="53" t="str">
        <f>('Gestión de abastecimiento'!A20)</f>
        <v>Beneficiaros 16</v>
      </c>
      <c r="BB19" s="27">
        <f>'Por Valoracion (3) Dimension'!F19</f>
        <v>18</v>
      </c>
      <c r="BC19" s="27">
        <f>'Por Valoracion (3) Dimension 2'!D19</f>
        <v>27</v>
      </c>
      <c r="BM19" s="59" t="s">
        <v>475</v>
      </c>
      <c r="BN19" s="53"/>
      <c r="BO19" s="53"/>
      <c r="BP19" s="53"/>
      <c r="BR19" s="59" t="s">
        <v>475</v>
      </c>
      <c r="BS19" s="53"/>
      <c r="BT19" s="53"/>
      <c r="BU19" s="53"/>
      <c r="BV19" s="53"/>
      <c r="BX19" s="36"/>
      <c r="BZ19" s="37"/>
      <c r="CB19" s="53" t="str">
        <f>('Gestión de abastecimiento'!A20)</f>
        <v>Beneficiaros 16</v>
      </c>
      <c r="CC19" s="27">
        <f>'Por Valoracion (3) Dimension 2'!B19</f>
        <v>27</v>
      </c>
      <c r="CD19" s="27">
        <f>'Por Valoracion (3) Dimension'!H19</f>
        <v>54</v>
      </c>
      <c r="CN19" s="59" t="s">
        <v>475</v>
      </c>
      <c r="CO19" s="53"/>
      <c r="CP19" s="53"/>
      <c r="CQ19" s="53"/>
      <c r="CS19" s="59" t="s">
        <v>475</v>
      </c>
      <c r="CT19" s="53"/>
      <c r="CU19" s="53"/>
      <c r="CV19" s="53"/>
      <c r="CW19" s="53"/>
      <c r="CY19" s="37"/>
    </row>
    <row r="20" spans="1:103" x14ac:dyDescent="0.25">
      <c r="A20" s="36"/>
      <c r="C20" s="53" t="str">
        <f>('Gestión de abastecimiento'!A21)</f>
        <v>Beneficiaros 17</v>
      </c>
      <c r="D20" s="27">
        <f>'Por Valoracion (3) Dimension'!B20</f>
        <v>18</v>
      </c>
      <c r="E20" s="27">
        <f>'Por Valoracion (3) Dimension 2'!D20</f>
        <v>26</v>
      </c>
      <c r="Z20" s="36"/>
      <c r="AB20" s="53" t="str">
        <f>('Gestión de abastecimiento'!A21)</f>
        <v>Beneficiaros 17</v>
      </c>
      <c r="AC20" s="27">
        <f>'Por Valoracion (3) Dimension'!D20</f>
        <v>19</v>
      </c>
      <c r="AD20" s="27">
        <f>'Por Valoracion (3) Dimension 2'!D20</f>
        <v>26</v>
      </c>
      <c r="AY20" s="36"/>
      <c r="BA20" s="53" t="str">
        <f>('Gestión de abastecimiento'!A21)</f>
        <v>Beneficiaros 17</v>
      </c>
      <c r="BB20" s="27">
        <f>'Por Valoracion (3) Dimension'!F20</f>
        <v>18</v>
      </c>
      <c r="BC20" s="27">
        <f>'Por Valoracion (3) Dimension 2'!D20</f>
        <v>26</v>
      </c>
      <c r="BX20" s="36"/>
      <c r="BZ20" s="37"/>
      <c r="CB20" s="53" t="str">
        <f>('Gestión de abastecimiento'!A21)</f>
        <v>Beneficiaros 17</v>
      </c>
      <c r="CC20" s="27">
        <f>'Por Valoracion (3) Dimension 2'!B20</f>
        <v>26</v>
      </c>
      <c r="CD20" s="27">
        <f>'Por Valoracion (3) Dimension'!H20</f>
        <v>55</v>
      </c>
      <c r="CY20" s="37"/>
    </row>
    <row r="21" spans="1:103" x14ac:dyDescent="0.25">
      <c r="A21" s="36"/>
      <c r="C21" s="53" t="str">
        <f>('Gestión de abastecimiento'!A22)</f>
        <v>Beneficiaros 18</v>
      </c>
      <c r="D21" s="27">
        <f>'Por Valoracion (3) Dimension'!B21</f>
        <v>16</v>
      </c>
      <c r="E21" s="27">
        <f>'Por Valoracion (3) Dimension 2'!D21</f>
        <v>22</v>
      </c>
      <c r="Z21" s="36"/>
      <c r="AB21" s="53" t="str">
        <f>('Gestión de abastecimiento'!A22)</f>
        <v>Beneficiaros 18</v>
      </c>
      <c r="AC21" s="27">
        <f>'Por Valoracion (3) Dimension'!D21</f>
        <v>16</v>
      </c>
      <c r="AD21" s="27">
        <f>'Por Valoracion (3) Dimension 2'!D21</f>
        <v>22</v>
      </c>
      <c r="AY21" s="36"/>
      <c r="BA21" s="53" t="str">
        <f>('Gestión de abastecimiento'!A22)</f>
        <v>Beneficiaros 18</v>
      </c>
      <c r="BB21" s="27">
        <f>'Por Valoracion (3) Dimension'!F21</f>
        <v>16</v>
      </c>
      <c r="BC21" s="27">
        <f>'Por Valoracion (3) Dimension 2'!D21</f>
        <v>22</v>
      </c>
      <c r="BX21" s="36"/>
      <c r="BZ21" s="37"/>
      <c r="CB21" s="53" t="str">
        <f>('Gestión de abastecimiento'!A22)</f>
        <v>Beneficiaros 18</v>
      </c>
      <c r="CC21" s="27">
        <f>'Por Valoracion (3) Dimension 2'!B21</f>
        <v>22</v>
      </c>
      <c r="CD21" s="27">
        <f>'Por Valoracion (3) Dimension'!H21</f>
        <v>48</v>
      </c>
      <c r="CY21" s="37"/>
    </row>
    <row r="22" spans="1:103" x14ac:dyDescent="0.25">
      <c r="A22" s="36"/>
      <c r="C22" s="53" t="str">
        <f>('Gestión de abastecimiento'!A23)</f>
        <v>Beneficiaros 19</v>
      </c>
      <c r="D22" s="27">
        <f>'Por Valoracion (3) Dimension'!B22</f>
        <v>14</v>
      </c>
      <c r="E22" s="27">
        <f>'Por Valoracion (3) Dimension 2'!D22</f>
        <v>20</v>
      </c>
      <c r="Z22" s="36"/>
      <c r="AB22" s="53" t="str">
        <f>('Gestión de abastecimiento'!A23)</f>
        <v>Beneficiaros 19</v>
      </c>
      <c r="AC22" s="27">
        <f>'Por Valoracion (3) Dimension'!D22</f>
        <v>14</v>
      </c>
      <c r="AD22" s="27">
        <f>'Por Valoracion (3) Dimension 2'!D22</f>
        <v>20</v>
      </c>
      <c r="AY22" s="36"/>
      <c r="BA22" s="53" t="str">
        <f>('Gestión de abastecimiento'!A23)</f>
        <v>Beneficiaros 19</v>
      </c>
      <c r="BB22" s="27">
        <f>'Por Valoracion (3) Dimension'!F22</f>
        <v>13</v>
      </c>
      <c r="BC22" s="27">
        <f>'Por Valoracion (3) Dimension 2'!D22</f>
        <v>20</v>
      </c>
      <c r="BX22" s="36"/>
      <c r="BZ22" s="37"/>
      <c r="CB22" s="53" t="str">
        <f>('Gestión de abastecimiento'!A23)</f>
        <v>Beneficiaros 19</v>
      </c>
      <c r="CC22" s="27">
        <f>'Por Valoracion (3) Dimension 2'!B22</f>
        <v>20</v>
      </c>
      <c r="CD22" s="27">
        <f>'Por Valoracion (3) Dimension'!H22</f>
        <v>41</v>
      </c>
      <c r="CY22" s="37"/>
    </row>
    <row r="23" spans="1:103" x14ac:dyDescent="0.25">
      <c r="A23" s="36"/>
      <c r="C23" s="53" t="str">
        <f>('Gestión de abastecimiento'!A24)</f>
        <v>Beneficiaros 20</v>
      </c>
      <c r="D23" s="27">
        <f>'Por Valoracion (3) Dimension'!B23</f>
        <v>24</v>
      </c>
      <c r="E23" s="27">
        <f>'Por Valoracion (3) Dimension 2'!D23</f>
        <v>36</v>
      </c>
      <c r="Z23" s="36"/>
      <c r="AB23" s="53" t="str">
        <f>('Gestión de abastecimiento'!A24)</f>
        <v>Beneficiaros 20</v>
      </c>
      <c r="AC23" s="27">
        <f>'Por Valoracion (3) Dimension'!D23</f>
        <v>24</v>
      </c>
      <c r="AD23" s="27">
        <f>'Por Valoracion (3) Dimension 2'!D23</f>
        <v>36</v>
      </c>
      <c r="AY23" s="36"/>
      <c r="BA23" s="53" t="str">
        <f>('Gestión de abastecimiento'!A24)</f>
        <v>Beneficiaros 20</v>
      </c>
      <c r="BB23" s="27">
        <f>'Por Valoracion (3) Dimension'!F23</f>
        <v>23</v>
      </c>
      <c r="BC23" s="27">
        <f>'Por Valoracion (3) Dimension 2'!D23</f>
        <v>36</v>
      </c>
      <c r="BX23" s="36"/>
      <c r="BZ23" s="37"/>
      <c r="CB23" s="53" t="str">
        <f>('Gestión de abastecimiento'!A24)</f>
        <v>Beneficiaros 20</v>
      </c>
      <c r="CC23" s="27">
        <f>'Por Valoracion (3) Dimension 2'!B23</f>
        <v>36</v>
      </c>
      <c r="CD23" s="27">
        <f>'Por Valoracion (3) Dimension'!H23</f>
        <v>71</v>
      </c>
      <c r="CY23" s="37"/>
    </row>
    <row r="24" spans="1:103" x14ac:dyDescent="0.25">
      <c r="A24" s="36"/>
      <c r="C24" s="53" t="str">
        <f>('Gestión de abastecimiento'!A25)</f>
        <v>Beneficiaros 21</v>
      </c>
      <c r="D24" s="27">
        <f>'Por Valoracion (3) Dimension'!B24</f>
        <v>13</v>
      </c>
      <c r="E24" s="27">
        <f>'Por Valoracion (3) Dimension 2'!D24</f>
        <v>19</v>
      </c>
      <c r="Z24" s="36"/>
      <c r="AB24" s="53" t="str">
        <f>('Gestión de abastecimiento'!A25)</f>
        <v>Beneficiaros 21</v>
      </c>
      <c r="AC24" s="27">
        <f>'Por Valoracion (3) Dimension'!D24</f>
        <v>12</v>
      </c>
      <c r="AD24" s="27">
        <f>'Por Valoracion (3) Dimension 2'!D24</f>
        <v>19</v>
      </c>
      <c r="AY24" s="36"/>
      <c r="BA24" s="53" t="str">
        <f>('Gestión de abastecimiento'!A25)</f>
        <v>Beneficiaros 21</v>
      </c>
      <c r="BB24" s="27">
        <f>'Por Valoracion (3) Dimension'!F24</f>
        <v>12</v>
      </c>
      <c r="BC24" s="27">
        <f>'Por Valoracion (3) Dimension 2'!D24</f>
        <v>19</v>
      </c>
      <c r="BX24" s="36"/>
      <c r="BZ24" s="37"/>
      <c r="CB24" s="53" t="str">
        <f>('Gestión de abastecimiento'!A25)</f>
        <v>Beneficiaros 21</v>
      </c>
      <c r="CC24" s="27">
        <f>'Por Valoracion (3) Dimension 2'!B24</f>
        <v>19</v>
      </c>
      <c r="CD24" s="27">
        <f>'Por Valoracion (3) Dimension'!H24</f>
        <v>37</v>
      </c>
      <c r="CY24" s="37"/>
    </row>
    <row r="25" spans="1:103" x14ac:dyDescent="0.25">
      <c r="A25" s="36"/>
      <c r="C25" s="53" t="str">
        <f>('Gestión de abastecimiento'!A26)</f>
        <v>Beneficiaros 22</v>
      </c>
      <c r="D25" s="27">
        <f>'Por Valoracion (3) Dimension'!B25</f>
        <v>16</v>
      </c>
      <c r="E25" s="27">
        <f>'Por Valoracion (3) Dimension 2'!D25</f>
        <v>23</v>
      </c>
      <c r="Z25" s="36"/>
      <c r="AB25" s="53" t="str">
        <f>('Gestión de abastecimiento'!A26)</f>
        <v>Beneficiaros 22</v>
      </c>
      <c r="AC25" s="27">
        <f>'Por Valoracion (3) Dimension'!D25</f>
        <v>13</v>
      </c>
      <c r="AD25" s="27">
        <f>'Por Valoracion (3) Dimension 2'!D25</f>
        <v>23</v>
      </c>
      <c r="AY25" s="36"/>
      <c r="BA25" s="53" t="str">
        <f>('Gestión de abastecimiento'!A26)</f>
        <v>Beneficiaros 22</v>
      </c>
      <c r="BB25" s="27">
        <f>'Por Valoracion (3) Dimension'!F25</f>
        <v>13</v>
      </c>
      <c r="BC25" s="27">
        <f>'Por Valoracion (3) Dimension 2'!D25</f>
        <v>23</v>
      </c>
      <c r="BX25" s="36"/>
      <c r="BZ25" s="37"/>
      <c r="CB25" s="53" t="str">
        <f>('Gestión de abastecimiento'!A26)</f>
        <v>Beneficiaros 22</v>
      </c>
      <c r="CC25" s="27">
        <f>'Por Valoracion (3) Dimension 2'!B25</f>
        <v>23</v>
      </c>
      <c r="CD25" s="27">
        <f>'Por Valoracion (3) Dimension'!H25</f>
        <v>42</v>
      </c>
      <c r="CY25" s="37"/>
    </row>
    <row r="26" spans="1:103" x14ac:dyDescent="0.25">
      <c r="A26" s="36"/>
      <c r="C26" s="53" t="str">
        <f>('Gestión de abastecimiento'!A27)</f>
        <v>Beneficiaros 23</v>
      </c>
      <c r="D26" s="27">
        <f>'Por Valoracion (3) Dimension'!B26</f>
        <v>18</v>
      </c>
      <c r="E26" s="27">
        <f>'Por Valoracion (3) Dimension 2'!D26</f>
        <v>25</v>
      </c>
      <c r="Z26" s="36"/>
      <c r="AB26" s="53" t="str">
        <f>('Gestión de abastecimiento'!A27)</f>
        <v>Beneficiaros 23</v>
      </c>
      <c r="AC26" s="27">
        <f>'Por Valoracion (3) Dimension'!D26</f>
        <v>17</v>
      </c>
      <c r="AD26" s="27">
        <f>'Por Valoracion (3) Dimension 2'!D26</f>
        <v>25</v>
      </c>
      <c r="AY26" s="36"/>
      <c r="BA26" s="53" t="str">
        <f>('Gestión de abastecimiento'!A27)</f>
        <v>Beneficiaros 23</v>
      </c>
      <c r="BB26" s="27">
        <f>'Por Valoracion (3) Dimension'!F26</f>
        <v>16</v>
      </c>
      <c r="BC26" s="27">
        <f>'Por Valoracion (3) Dimension 2'!D26</f>
        <v>25</v>
      </c>
      <c r="BX26" s="36"/>
      <c r="BZ26" s="37"/>
      <c r="CB26" s="53" t="str">
        <f>('Gestión de abastecimiento'!A27)</f>
        <v>Beneficiaros 23</v>
      </c>
      <c r="CC26" s="27">
        <f>'Por Valoracion (3) Dimension 2'!B26</f>
        <v>25</v>
      </c>
      <c r="CD26" s="27">
        <f>'Por Valoracion (3) Dimension'!H26</f>
        <v>51</v>
      </c>
      <c r="CY26" s="37"/>
    </row>
    <row r="27" spans="1:103" x14ac:dyDescent="0.25">
      <c r="A27" s="36"/>
      <c r="C27" s="53" t="str">
        <f>('Gestión de abastecimiento'!A28)</f>
        <v>Beneficiaros 24</v>
      </c>
      <c r="D27" s="27">
        <f>'Por Valoracion (3) Dimension'!B27</f>
        <v>26</v>
      </c>
      <c r="E27" s="27">
        <f>'Por Valoracion (3) Dimension 2'!D27</f>
        <v>39</v>
      </c>
      <c r="Z27" s="36"/>
      <c r="AB27" s="53" t="str">
        <f>('Gestión de abastecimiento'!A28)</f>
        <v>Beneficiaros 24</v>
      </c>
      <c r="AC27" s="27">
        <f>'Por Valoracion (3) Dimension'!D27</f>
        <v>25</v>
      </c>
      <c r="AD27" s="27">
        <f>'Por Valoracion (3) Dimension 2'!D27</f>
        <v>39</v>
      </c>
      <c r="AY27" s="36"/>
      <c r="BA27" s="53" t="str">
        <f>('Gestión de abastecimiento'!A28)</f>
        <v>Beneficiaros 24</v>
      </c>
      <c r="BB27" s="27">
        <f>'Por Valoracion (3) Dimension'!F27</f>
        <v>24</v>
      </c>
      <c r="BC27" s="27">
        <f>'Por Valoracion (3) Dimension 2'!D27</f>
        <v>39</v>
      </c>
      <c r="BX27" s="36"/>
      <c r="BZ27" s="37"/>
      <c r="CB27" s="53" t="str">
        <f>('Gestión de abastecimiento'!A28)</f>
        <v>Beneficiaros 24</v>
      </c>
      <c r="CC27" s="27">
        <f>'Por Valoracion (3) Dimension 2'!B27</f>
        <v>39</v>
      </c>
      <c r="CD27" s="27">
        <f>'Por Valoracion (3) Dimension'!H27</f>
        <v>75</v>
      </c>
      <c r="CY27" s="37"/>
    </row>
    <row r="28" spans="1:103" x14ac:dyDescent="0.25">
      <c r="A28" s="36"/>
      <c r="C28" s="53" t="str">
        <f>('Gestión de abastecimiento'!A29)</f>
        <v>Beneficiaros 25</v>
      </c>
      <c r="D28" s="27">
        <f>'Por Valoracion (3) Dimension'!B28</f>
        <v>12</v>
      </c>
      <c r="E28" s="27">
        <f>'Por Valoracion (3) Dimension 2'!D28</f>
        <v>18</v>
      </c>
      <c r="Z28" s="36"/>
      <c r="AB28" s="53" t="str">
        <f>('Gestión de abastecimiento'!A29)</f>
        <v>Beneficiaros 25</v>
      </c>
      <c r="AC28" s="27">
        <f>'Por Valoracion (3) Dimension'!D28</f>
        <v>13</v>
      </c>
      <c r="AD28" s="27">
        <f>'Por Valoracion (3) Dimension 2'!D28</f>
        <v>18</v>
      </c>
      <c r="AY28" s="36"/>
      <c r="BA28" s="53" t="str">
        <f>('Gestión de abastecimiento'!A29)</f>
        <v>Beneficiaros 25</v>
      </c>
      <c r="BB28" s="27">
        <f>'Por Valoracion (3) Dimension'!F28</f>
        <v>12</v>
      </c>
      <c r="BC28" s="27">
        <f>'Por Valoracion (3) Dimension 2'!D28</f>
        <v>18</v>
      </c>
      <c r="BX28" s="36"/>
      <c r="BZ28" s="37"/>
      <c r="CB28" s="53" t="str">
        <f>('Gestión de abastecimiento'!A29)</f>
        <v>Beneficiaros 25</v>
      </c>
      <c r="CC28" s="27">
        <f>'Por Valoracion (3) Dimension 2'!B28</f>
        <v>18</v>
      </c>
      <c r="CD28" s="27">
        <f>'Por Valoracion (3) Dimension'!H28</f>
        <v>37</v>
      </c>
      <c r="CY28" s="37"/>
    </row>
    <row r="29" spans="1:103" x14ac:dyDescent="0.25">
      <c r="A29" s="36"/>
      <c r="C29" s="53" t="str">
        <f>('Gestión de abastecimiento'!A30)</f>
        <v>Beneficiaros 26</v>
      </c>
      <c r="D29" s="27">
        <f>'Por Valoracion (3) Dimension'!B29</f>
        <v>13</v>
      </c>
      <c r="E29" s="27">
        <f>'Por Valoracion (3) Dimension 2'!D29</f>
        <v>20</v>
      </c>
      <c r="Z29" s="36"/>
      <c r="AB29" s="53" t="str">
        <f>('Gestión de abastecimiento'!A30)</f>
        <v>Beneficiaros 26</v>
      </c>
      <c r="AC29" s="27">
        <f>'Por Valoracion (3) Dimension'!D29</f>
        <v>12</v>
      </c>
      <c r="AD29" s="27">
        <f>'Por Valoracion (3) Dimension 2'!D29</f>
        <v>20</v>
      </c>
      <c r="AY29" s="36"/>
      <c r="BA29" s="53" t="str">
        <f>('Gestión de abastecimiento'!A30)</f>
        <v>Beneficiaros 26</v>
      </c>
      <c r="BB29" s="27">
        <f>'Por Valoracion (3) Dimension'!F29</f>
        <v>11</v>
      </c>
      <c r="BC29" s="27">
        <f>'Por Valoracion (3) Dimension 2'!D29</f>
        <v>20</v>
      </c>
      <c r="BX29" s="36"/>
      <c r="BZ29" s="37"/>
      <c r="CB29" s="53" t="str">
        <f>('Gestión de abastecimiento'!A30)</f>
        <v>Beneficiaros 26</v>
      </c>
      <c r="CC29" s="27">
        <f>'Por Valoracion (3) Dimension 2'!B29</f>
        <v>20</v>
      </c>
      <c r="CD29" s="27">
        <f>'Por Valoracion (3) Dimension'!H29</f>
        <v>36</v>
      </c>
      <c r="CY29" s="37"/>
    </row>
    <row r="30" spans="1:103" x14ac:dyDescent="0.25">
      <c r="A30" s="36"/>
      <c r="C30" s="53" t="str">
        <f>('Gestión de abastecimiento'!A31)</f>
        <v>Beneficiaros 27</v>
      </c>
      <c r="D30" s="27">
        <f>'Por Valoracion (3) Dimension'!B30</f>
        <v>17</v>
      </c>
      <c r="E30" s="27">
        <f>'Por Valoracion (3) Dimension 2'!D30</f>
        <v>26</v>
      </c>
      <c r="Z30" s="36"/>
      <c r="AB30" s="53" t="str">
        <f>('Gestión de abastecimiento'!A31)</f>
        <v>Beneficiaros 27</v>
      </c>
      <c r="AC30" s="27">
        <f>'Por Valoracion (3) Dimension'!D30</f>
        <v>16</v>
      </c>
      <c r="AD30" s="27">
        <f>'Por Valoracion (3) Dimension 2'!D30</f>
        <v>26</v>
      </c>
      <c r="AY30" s="36"/>
      <c r="BA30" s="53" t="str">
        <f>('Gestión de abastecimiento'!A31)</f>
        <v>Beneficiaros 27</v>
      </c>
      <c r="BB30" s="27">
        <f>'Por Valoracion (3) Dimension'!F30</f>
        <v>16</v>
      </c>
      <c r="BC30" s="27">
        <f>'Por Valoracion (3) Dimension 2'!D30</f>
        <v>26</v>
      </c>
      <c r="BX30" s="36"/>
      <c r="BZ30" s="37"/>
      <c r="CB30" s="53" t="str">
        <f>('Gestión de abastecimiento'!A31)</f>
        <v>Beneficiaros 27</v>
      </c>
      <c r="CC30" s="27">
        <f>'Por Valoracion (3) Dimension 2'!B30</f>
        <v>26</v>
      </c>
      <c r="CD30" s="27">
        <f>'Por Valoracion (3) Dimension'!H30</f>
        <v>49</v>
      </c>
      <c r="CY30" s="37"/>
    </row>
    <row r="31" spans="1:103" x14ac:dyDescent="0.25">
      <c r="A31" s="36"/>
      <c r="C31" s="53" t="str">
        <f>('Gestión de abastecimiento'!A32)</f>
        <v>Beneficiaros 28</v>
      </c>
      <c r="D31" s="27">
        <f>'Por Valoracion (3) Dimension'!B31</f>
        <v>21</v>
      </c>
      <c r="E31" s="27">
        <f>'Por Valoracion (3) Dimension 2'!D31</f>
        <v>31</v>
      </c>
      <c r="Z31" s="36"/>
      <c r="AB31" s="53" t="str">
        <f>('Gestión de abastecimiento'!A32)</f>
        <v>Beneficiaros 28</v>
      </c>
      <c r="AC31" s="27">
        <f>'Por Valoracion (3) Dimension'!D31</f>
        <v>24</v>
      </c>
      <c r="AD31" s="27">
        <f>'Por Valoracion (3) Dimension 2'!D31</f>
        <v>31</v>
      </c>
      <c r="AY31" s="36"/>
      <c r="BA31" s="53" t="str">
        <f>('Gestión de abastecimiento'!A32)</f>
        <v>Beneficiaros 28</v>
      </c>
      <c r="BB31" s="27">
        <f>'Por Valoracion (3) Dimension'!F31</f>
        <v>20</v>
      </c>
      <c r="BC31" s="27">
        <f>'Por Valoracion (3) Dimension 2'!D31</f>
        <v>31</v>
      </c>
      <c r="BX31" s="36"/>
      <c r="BZ31" s="37"/>
      <c r="CB31" s="53" t="str">
        <f>('Gestión de abastecimiento'!A32)</f>
        <v>Beneficiaros 28</v>
      </c>
      <c r="CC31" s="27">
        <f>'Por Valoracion (3) Dimension 2'!B31</f>
        <v>31</v>
      </c>
      <c r="CD31" s="27">
        <f>'Por Valoracion (3) Dimension'!H31</f>
        <v>65</v>
      </c>
      <c r="CY31" s="37"/>
    </row>
    <row r="32" spans="1:103" x14ac:dyDescent="0.25">
      <c r="A32" s="36"/>
      <c r="C32" s="53" t="str">
        <f>('Gestión de abastecimiento'!A33)</f>
        <v>Beneficiaros 29</v>
      </c>
      <c r="D32" s="27">
        <f>'Por Valoracion (3) Dimension'!B32</f>
        <v>24</v>
      </c>
      <c r="E32" s="27">
        <f>'Por Valoracion (3) Dimension 2'!D32</f>
        <v>35</v>
      </c>
      <c r="Z32" s="36"/>
      <c r="AB32" s="53" t="str">
        <f>('Gestión de abastecimiento'!A33)</f>
        <v>Beneficiaros 29</v>
      </c>
      <c r="AC32" s="27">
        <f>'Por Valoracion (3) Dimension'!D32</f>
        <v>22</v>
      </c>
      <c r="AD32" s="27">
        <f>'Por Valoracion (3) Dimension 2'!D32</f>
        <v>35</v>
      </c>
      <c r="AY32" s="36"/>
      <c r="BA32" s="53" t="str">
        <f>('Gestión de abastecimiento'!A33)</f>
        <v>Beneficiaros 29</v>
      </c>
      <c r="BB32" s="27">
        <f>'Por Valoracion (3) Dimension'!F32</f>
        <v>24</v>
      </c>
      <c r="BC32" s="27">
        <f>'Por Valoracion (3) Dimension 2'!D32</f>
        <v>35</v>
      </c>
      <c r="BX32" s="36"/>
      <c r="BZ32" s="37"/>
      <c r="CB32" s="53" t="str">
        <f>('Gestión de abastecimiento'!A33)</f>
        <v>Beneficiaros 29</v>
      </c>
      <c r="CC32" s="27">
        <f>'Por Valoracion (3) Dimension 2'!B32</f>
        <v>35</v>
      </c>
      <c r="CD32" s="27">
        <f>'Por Valoracion (3) Dimension'!H32</f>
        <v>70</v>
      </c>
      <c r="CY32" s="37"/>
    </row>
    <row r="33" spans="1:103" x14ac:dyDescent="0.25">
      <c r="A33" s="36"/>
      <c r="C33" s="53" t="str">
        <f>('Gestión de abastecimiento'!A34)</f>
        <v>Beneficiaros 30</v>
      </c>
      <c r="D33" s="27">
        <f>'Por Valoracion (3) Dimension'!B33</f>
        <v>18</v>
      </c>
      <c r="E33" s="27">
        <f>'Por Valoracion (3) Dimension 2'!D33</f>
        <v>27</v>
      </c>
      <c r="Z33" s="36"/>
      <c r="AB33" s="53" t="str">
        <f>('Gestión de abastecimiento'!A34)</f>
        <v>Beneficiaros 30</v>
      </c>
      <c r="AC33" s="27">
        <f>'Por Valoracion (3) Dimension'!D33</f>
        <v>17</v>
      </c>
      <c r="AD33" s="27">
        <f>'Por Valoracion (3) Dimension 2'!D33</f>
        <v>27</v>
      </c>
      <c r="AY33" s="36"/>
      <c r="BA33" s="53" t="str">
        <f>('Gestión de abastecimiento'!A34)</f>
        <v>Beneficiaros 30</v>
      </c>
      <c r="BB33" s="27">
        <f>'Por Valoracion (3) Dimension'!F33</f>
        <v>17</v>
      </c>
      <c r="BC33" s="27">
        <f>'Por Valoracion (3) Dimension 2'!D33</f>
        <v>27</v>
      </c>
      <c r="BX33" s="36"/>
      <c r="BZ33" s="37"/>
      <c r="CB33" s="53" t="str">
        <f>('Gestión de abastecimiento'!A34)</f>
        <v>Beneficiaros 30</v>
      </c>
      <c r="CC33" s="27">
        <f>'Por Valoracion (3) Dimension 2'!B33</f>
        <v>27</v>
      </c>
      <c r="CD33" s="27">
        <f>'Por Valoracion (3) Dimension'!H33</f>
        <v>52</v>
      </c>
      <c r="CY33" s="37"/>
    </row>
    <row r="34" spans="1:103" x14ac:dyDescent="0.25">
      <c r="A34" s="36"/>
      <c r="C34" s="53" t="str">
        <f>('Gestión de abastecimiento'!A35)</f>
        <v>Beneficiaros 31</v>
      </c>
      <c r="D34" s="27">
        <f>'Por Valoracion (3) Dimension'!B34</f>
        <v>24</v>
      </c>
      <c r="E34" s="27">
        <f>'Por Valoracion (3) Dimension 2'!D34</f>
        <v>39</v>
      </c>
      <c r="Z34" s="36"/>
      <c r="AB34" s="53" t="str">
        <f>('Gestión de abastecimiento'!A35)</f>
        <v>Beneficiaros 31</v>
      </c>
      <c r="AC34" s="27">
        <f>'Por Valoracion (3) Dimension'!D34</f>
        <v>24</v>
      </c>
      <c r="AD34" s="27">
        <f>'Por Valoracion (3) Dimension 2'!D34</f>
        <v>39</v>
      </c>
      <c r="AY34" s="36"/>
      <c r="BA34" s="53" t="str">
        <f>('Gestión de abastecimiento'!A35)</f>
        <v>Beneficiaros 31</v>
      </c>
      <c r="BB34" s="27">
        <f>'Por Valoracion (3) Dimension'!F34</f>
        <v>25</v>
      </c>
      <c r="BC34" s="27">
        <f>'Por Valoracion (3) Dimension 2'!D34</f>
        <v>39</v>
      </c>
      <c r="BX34" s="36"/>
      <c r="BZ34" s="37"/>
      <c r="CB34" s="53" t="str">
        <f>('Gestión de abastecimiento'!A35)</f>
        <v>Beneficiaros 31</v>
      </c>
      <c r="CC34" s="27">
        <f>'Por Valoracion (3) Dimension 2'!B34</f>
        <v>39</v>
      </c>
      <c r="CD34" s="27">
        <f>'Por Valoracion (3) Dimension'!H34</f>
        <v>73</v>
      </c>
      <c r="CY34" s="37"/>
    </row>
    <row r="35" spans="1:103" x14ac:dyDescent="0.25">
      <c r="A35" s="36"/>
      <c r="C35" s="53" t="str">
        <f>('Gestión de abastecimiento'!A36)</f>
        <v>Beneficiaros 32</v>
      </c>
      <c r="D35" s="27">
        <f>'Por Valoracion (3) Dimension'!B35</f>
        <v>27</v>
      </c>
      <c r="E35" s="27">
        <f>'Por Valoracion (3) Dimension 2'!D35</f>
        <v>38</v>
      </c>
      <c r="Z35" s="36"/>
      <c r="AB35" s="53" t="str">
        <f>('Gestión de abastecimiento'!A36)</f>
        <v>Beneficiaros 32</v>
      </c>
      <c r="AC35" s="27">
        <f>'Por Valoracion (3) Dimension'!D35</f>
        <v>25</v>
      </c>
      <c r="AD35" s="27">
        <f>'Por Valoracion (3) Dimension 2'!D35</f>
        <v>38</v>
      </c>
      <c r="AY35" s="36"/>
      <c r="BA35" s="53" t="str">
        <f>('Gestión de abastecimiento'!A36)</f>
        <v>Beneficiaros 32</v>
      </c>
      <c r="BB35" s="27">
        <f>'Por Valoracion (3) Dimension'!F35</f>
        <v>25</v>
      </c>
      <c r="BC35" s="27">
        <f>'Por Valoracion (3) Dimension 2'!D35</f>
        <v>38</v>
      </c>
      <c r="BX35" s="36"/>
      <c r="BZ35" s="37"/>
      <c r="CB35" s="53" t="str">
        <f>('Gestión de abastecimiento'!A36)</f>
        <v>Beneficiaros 32</v>
      </c>
      <c r="CC35" s="27">
        <f>'Por Valoracion (3) Dimension 2'!B35</f>
        <v>38</v>
      </c>
      <c r="CD35" s="27">
        <f>'Por Valoracion (3) Dimension'!H35</f>
        <v>77</v>
      </c>
      <c r="CY35" s="37"/>
    </row>
    <row r="36" spans="1:103" x14ac:dyDescent="0.25">
      <c r="A36" s="36"/>
      <c r="C36" s="53" t="str">
        <f>('Gestión de abastecimiento'!A37)</f>
        <v>Beneficiaros 33</v>
      </c>
      <c r="D36" s="27">
        <f>'Por Valoracion (3) Dimension'!B36</f>
        <v>15</v>
      </c>
      <c r="E36" s="27">
        <f>'Por Valoracion (3) Dimension 2'!D36</f>
        <v>21</v>
      </c>
      <c r="Z36" s="36"/>
      <c r="AB36" s="53" t="str">
        <f>('Gestión de abastecimiento'!A37)</f>
        <v>Beneficiaros 33</v>
      </c>
      <c r="AC36" s="27">
        <f>'Por Valoracion (3) Dimension'!D36</f>
        <v>15</v>
      </c>
      <c r="AD36" s="27">
        <f>'Por Valoracion (3) Dimension 2'!D36</f>
        <v>21</v>
      </c>
      <c r="AY36" s="36"/>
      <c r="BA36" s="53" t="str">
        <f>('Gestión de abastecimiento'!A37)</f>
        <v>Beneficiaros 33</v>
      </c>
      <c r="BB36" s="27">
        <f>'Por Valoracion (3) Dimension'!F36</f>
        <v>15</v>
      </c>
      <c r="BC36" s="27">
        <f>'Por Valoracion (3) Dimension 2'!D36</f>
        <v>21</v>
      </c>
      <c r="BX36" s="36"/>
      <c r="BZ36" s="37"/>
      <c r="CB36" s="53" t="str">
        <f>('Gestión de abastecimiento'!A37)</f>
        <v>Beneficiaros 33</v>
      </c>
      <c r="CC36" s="27">
        <f>'Por Valoracion (3) Dimension 2'!B36</f>
        <v>21</v>
      </c>
      <c r="CD36" s="27">
        <f>'Por Valoracion (3) Dimension'!H36</f>
        <v>45</v>
      </c>
      <c r="CY36" s="37"/>
    </row>
    <row r="37" spans="1:103" x14ac:dyDescent="0.25">
      <c r="A37" s="36"/>
      <c r="C37" s="53" t="str">
        <f>('Gestión de abastecimiento'!A38)</f>
        <v>Beneficiaros 34</v>
      </c>
      <c r="D37" s="27">
        <f>'Por Valoracion (3) Dimension'!B37</f>
        <v>14</v>
      </c>
      <c r="E37" s="27">
        <f>'Por Valoracion (3) Dimension 2'!D37</f>
        <v>25</v>
      </c>
      <c r="Z37" s="36"/>
      <c r="AB37" s="53" t="str">
        <f>('Gestión de abastecimiento'!A38)</f>
        <v>Beneficiaros 34</v>
      </c>
      <c r="AC37" s="27">
        <f>'Por Valoracion (3) Dimension'!D37</f>
        <v>16</v>
      </c>
      <c r="AD37" s="27">
        <f>'Por Valoracion (3) Dimension 2'!D37</f>
        <v>25</v>
      </c>
      <c r="AY37" s="36"/>
      <c r="BA37" s="53" t="str">
        <f>('Gestión de abastecimiento'!A38)</f>
        <v>Beneficiaros 34</v>
      </c>
      <c r="BB37" s="27">
        <f>'Por Valoracion (3) Dimension'!F37</f>
        <v>16</v>
      </c>
      <c r="BC37" s="27">
        <f>'Por Valoracion (3) Dimension 2'!D37</f>
        <v>25</v>
      </c>
      <c r="BX37" s="36"/>
      <c r="BZ37" s="37"/>
      <c r="CB37" s="53" t="str">
        <f>('Gestión de abastecimiento'!A38)</f>
        <v>Beneficiaros 34</v>
      </c>
      <c r="CC37" s="27">
        <f>'Por Valoracion (3) Dimension 2'!B37</f>
        <v>25</v>
      </c>
      <c r="CD37" s="27">
        <f>'Por Valoracion (3) Dimension'!H37</f>
        <v>46</v>
      </c>
      <c r="CY37" s="37"/>
    </row>
    <row r="38" spans="1:103" x14ac:dyDescent="0.25">
      <c r="A38" s="36"/>
      <c r="C38" s="53" t="str">
        <f>('Gestión de abastecimiento'!A39)</f>
        <v>Beneficiaros 35</v>
      </c>
      <c r="D38" s="27">
        <f>'Por Valoracion (3) Dimension'!B38</f>
        <v>18</v>
      </c>
      <c r="E38" s="27">
        <f>'Por Valoracion (3) Dimension 2'!D38</f>
        <v>27</v>
      </c>
      <c r="Z38" s="36"/>
      <c r="AB38" s="53" t="str">
        <f>('Gestión de abastecimiento'!A39)</f>
        <v>Beneficiaros 35</v>
      </c>
      <c r="AC38" s="27">
        <f>'Por Valoracion (3) Dimension'!D38</f>
        <v>19</v>
      </c>
      <c r="AD38" s="27">
        <f>'Por Valoracion (3) Dimension 2'!D38</f>
        <v>27</v>
      </c>
      <c r="AY38" s="36"/>
      <c r="BA38" s="53" t="str">
        <f>('Gestión de abastecimiento'!A39)</f>
        <v>Beneficiaros 35</v>
      </c>
      <c r="BB38" s="27">
        <f>'Por Valoracion (3) Dimension'!F38</f>
        <v>18</v>
      </c>
      <c r="BC38" s="27">
        <f>'Por Valoracion (3) Dimension 2'!D38</f>
        <v>27</v>
      </c>
      <c r="BX38" s="36"/>
      <c r="BZ38" s="37"/>
      <c r="CB38" s="53" t="str">
        <f>('Gestión de abastecimiento'!A39)</f>
        <v>Beneficiaros 35</v>
      </c>
      <c r="CC38" s="27">
        <f>'Por Valoracion (3) Dimension 2'!B38</f>
        <v>27</v>
      </c>
      <c r="CD38" s="27">
        <f>'Por Valoracion (3) Dimension'!H38</f>
        <v>55</v>
      </c>
      <c r="CY38" s="37"/>
    </row>
    <row r="39" spans="1:103" x14ac:dyDescent="0.25">
      <c r="A39" s="36"/>
      <c r="C39" s="53" t="str">
        <f>('Gestión de abastecimiento'!A40)</f>
        <v>Beneficiaros 36</v>
      </c>
      <c r="D39" s="27">
        <f>'Por Valoracion (3) Dimension'!B39</f>
        <v>19</v>
      </c>
      <c r="E39" s="27">
        <f>'Por Valoracion (3) Dimension 2'!D39</f>
        <v>27</v>
      </c>
      <c r="Z39" s="36"/>
      <c r="AB39" s="53" t="str">
        <f>('Gestión de abastecimiento'!A40)</f>
        <v>Beneficiaros 36</v>
      </c>
      <c r="AC39" s="27">
        <f>'Por Valoracion (3) Dimension'!D39</f>
        <v>18</v>
      </c>
      <c r="AD39" s="27">
        <f>'Por Valoracion (3) Dimension 2'!D39</f>
        <v>27</v>
      </c>
      <c r="AY39" s="36"/>
      <c r="BA39" s="53" t="str">
        <f>('Gestión de abastecimiento'!A40)</f>
        <v>Beneficiaros 36</v>
      </c>
      <c r="BB39" s="27">
        <f>'Por Valoracion (3) Dimension'!F39</f>
        <v>18</v>
      </c>
      <c r="BC39" s="27">
        <f>'Por Valoracion (3) Dimension 2'!D39</f>
        <v>27</v>
      </c>
      <c r="BX39" s="36"/>
      <c r="BZ39" s="37"/>
      <c r="CB39" s="53" t="str">
        <f>('Gestión de abastecimiento'!A40)</f>
        <v>Beneficiaros 36</v>
      </c>
      <c r="CC39" s="27">
        <f>'Por Valoracion (3) Dimension 2'!B39</f>
        <v>27</v>
      </c>
      <c r="CD39" s="27">
        <f>'Por Valoracion (3) Dimension'!H39</f>
        <v>55</v>
      </c>
      <c r="CY39" s="37"/>
    </row>
    <row r="40" spans="1:103" x14ac:dyDescent="0.25">
      <c r="A40" s="36"/>
      <c r="C40" s="53" t="str">
        <f>('Gestión de abastecimiento'!A41)</f>
        <v>Beneficiaros 37</v>
      </c>
      <c r="D40" s="27">
        <f>'Por Valoracion (3) Dimension'!B40</f>
        <v>12</v>
      </c>
      <c r="E40" s="27">
        <f>'Por Valoracion (3) Dimension 2'!D40</f>
        <v>17</v>
      </c>
      <c r="Z40" s="36"/>
      <c r="AB40" s="53" t="str">
        <f>('Gestión de abastecimiento'!A41)</f>
        <v>Beneficiaros 37</v>
      </c>
      <c r="AC40" s="27">
        <f>'Por Valoracion (3) Dimension'!D40</f>
        <v>12</v>
      </c>
      <c r="AD40" s="27">
        <f>'Por Valoracion (3) Dimension 2'!D40</f>
        <v>17</v>
      </c>
      <c r="AY40" s="36"/>
      <c r="BA40" s="53" t="str">
        <f>('Gestión de abastecimiento'!A41)</f>
        <v>Beneficiaros 37</v>
      </c>
      <c r="BB40" s="27">
        <f>'Por Valoracion (3) Dimension'!F40</f>
        <v>11</v>
      </c>
      <c r="BC40" s="27">
        <f>'Por Valoracion (3) Dimension 2'!D40</f>
        <v>17</v>
      </c>
      <c r="BX40" s="36"/>
      <c r="BZ40" s="37"/>
      <c r="CB40" s="53" t="str">
        <f>('Gestión de abastecimiento'!A41)</f>
        <v>Beneficiaros 37</v>
      </c>
      <c r="CC40" s="27">
        <f>'Por Valoracion (3) Dimension 2'!B40</f>
        <v>17</v>
      </c>
      <c r="CD40" s="27">
        <f>'Por Valoracion (3) Dimension'!H40</f>
        <v>35</v>
      </c>
      <c r="CY40" s="37"/>
    </row>
    <row r="41" spans="1:103" x14ac:dyDescent="0.25">
      <c r="A41" s="36"/>
      <c r="C41" s="53" t="str">
        <f>('Gestión de abastecimiento'!A42)</f>
        <v>Beneficiaros 38</v>
      </c>
      <c r="D41" s="27">
        <f>'Por Valoracion (3) Dimension'!B41</f>
        <v>19</v>
      </c>
      <c r="E41" s="27">
        <f>'Por Valoracion (3) Dimension 2'!D41</f>
        <v>28</v>
      </c>
      <c r="Z41" s="36"/>
      <c r="AB41" s="53" t="str">
        <f>('Gestión de abastecimiento'!A42)</f>
        <v>Beneficiaros 38</v>
      </c>
      <c r="AC41" s="27">
        <f>'Por Valoracion (3) Dimension'!D41</f>
        <v>19</v>
      </c>
      <c r="AD41" s="27">
        <f>'Por Valoracion (3) Dimension 2'!D41</f>
        <v>28</v>
      </c>
      <c r="AY41" s="36"/>
      <c r="BA41" s="53" t="str">
        <f>('Gestión de abastecimiento'!A42)</f>
        <v>Beneficiaros 38</v>
      </c>
      <c r="BB41" s="27">
        <f>'Por Valoracion (3) Dimension'!F41</f>
        <v>18</v>
      </c>
      <c r="BC41" s="27">
        <f>'Por Valoracion (3) Dimension 2'!D41</f>
        <v>28</v>
      </c>
      <c r="BX41" s="36"/>
      <c r="BZ41" s="37"/>
      <c r="CB41" s="53" t="str">
        <f>('Gestión de abastecimiento'!A42)</f>
        <v>Beneficiaros 38</v>
      </c>
      <c r="CC41" s="27">
        <f>'Por Valoracion (3) Dimension 2'!B41</f>
        <v>28</v>
      </c>
      <c r="CD41" s="27">
        <f>'Por Valoracion (3) Dimension'!H41</f>
        <v>56</v>
      </c>
      <c r="CY41" s="37"/>
    </row>
    <row r="42" spans="1:103" x14ac:dyDescent="0.25">
      <c r="A42" s="36"/>
      <c r="C42" s="53" t="str">
        <f>('Gestión de abastecimiento'!A43)</f>
        <v>Beneficiaros 39</v>
      </c>
      <c r="D42" s="27">
        <f>'Por Valoracion (3) Dimension'!B42</f>
        <v>23</v>
      </c>
      <c r="E42" s="27">
        <f>'Por Valoracion (3) Dimension 2'!D42</f>
        <v>30</v>
      </c>
      <c r="Z42" s="36"/>
      <c r="AB42" s="53" t="str">
        <f>('Gestión de abastecimiento'!A43)</f>
        <v>Beneficiaros 39</v>
      </c>
      <c r="AC42" s="27">
        <f>'Por Valoracion (3) Dimension'!D42</f>
        <v>20</v>
      </c>
      <c r="AD42" s="27">
        <f>'Por Valoracion (3) Dimension 2'!D42</f>
        <v>30</v>
      </c>
      <c r="AY42" s="36"/>
      <c r="BA42" s="53" t="str">
        <f>('Gestión de abastecimiento'!A43)</f>
        <v>Beneficiaros 39</v>
      </c>
      <c r="BB42" s="27">
        <f>'Por Valoracion (3) Dimension'!F42</f>
        <v>22</v>
      </c>
      <c r="BC42" s="27">
        <f>'Por Valoracion (3) Dimension 2'!D42</f>
        <v>30</v>
      </c>
      <c r="BX42" s="36"/>
      <c r="BZ42" s="37"/>
      <c r="CB42" s="53" t="str">
        <f>('Gestión de abastecimiento'!A43)</f>
        <v>Beneficiaros 39</v>
      </c>
      <c r="CC42" s="27">
        <f>'Por Valoracion (3) Dimension 2'!B42</f>
        <v>30</v>
      </c>
      <c r="CD42" s="27">
        <f>'Por Valoracion (3) Dimension'!H42</f>
        <v>65</v>
      </c>
      <c r="CY42" s="37"/>
    </row>
    <row r="43" spans="1:103" x14ac:dyDescent="0.25">
      <c r="A43" s="36"/>
      <c r="C43" s="53" t="str">
        <f>('Gestión de abastecimiento'!A44)</f>
        <v>Beneficiaros 40</v>
      </c>
      <c r="D43" s="27">
        <f>'Por Valoracion (3) Dimension'!B43</f>
        <v>25</v>
      </c>
      <c r="E43" s="27">
        <f>'Por Valoracion (3) Dimension 2'!D43</f>
        <v>36</v>
      </c>
      <c r="Z43" s="36"/>
      <c r="AB43" s="53" t="str">
        <f>('Gestión de abastecimiento'!A44)</f>
        <v>Beneficiaros 40</v>
      </c>
      <c r="AC43" s="27">
        <f>'Por Valoracion (3) Dimension'!D43</f>
        <v>24</v>
      </c>
      <c r="AD43" s="27">
        <f>'Por Valoracion (3) Dimension 2'!D43</f>
        <v>36</v>
      </c>
      <c r="AY43" s="36"/>
      <c r="BA43" s="53" t="str">
        <f>('Gestión de abastecimiento'!A44)</f>
        <v>Beneficiaros 40</v>
      </c>
      <c r="BB43" s="27">
        <f>'Por Valoracion (3) Dimension'!F43</f>
        <v>24</v>
      </c>
      <c r="BC43" s="27">
        <f>'Por Valoracion (3) Dimension 2'!D43</f>
        <v>36</v>
      </c>
      <c r="BX43" s="36"/>
      <c r="BZ43" s="37"/>
      <c r="CB43" s="53" t="str">
        <f>('Gestión de abastecimiento'!A44)</f>
        <v>Beneficiaros 40</v>
      </c>
      <c r="CC43" s="27">
        <f>'Por Valoracion (3) Dimension 2'!B43</f>
        <v>36</v>
      </c>
      <c r="CD43" s="27">
        <f>'Por Valoracion (3) Dimension'!H43</f>
        <v>73</v>
      </c>
      <c r="CY43" s="37"/>
    </row>
    <row r="44" spans="1:103" x14ac:dyDescent="0.25">
      <c r="A44" s="36"/>
      <c r="C44" s="53" t="str">
        <f>('Gestión de abastecimiento'!A45)</f>
        <v>Beneficiaros 41</v>
      </c>
      <c r="D44" s="27">
        <f>'Por Valoracion (3) Dimension'!B44</f>
        <v>19</v>
      </c>
      <c r="E44" s="27">
        <f>'Por Valoracion (3) Dimension 2'!D44</f>
        <v>28</v>
      </c>
      <c r="Z44" s="36"/>
      <c r="AB44" s="53" t="str">
        <f>('Gestión de abastecimiento'!A45)</f>
        <v>Beneficiaros 41</v>
      </c>
      <c r="AC44" s="27">
        <f>'Por Valoracion (3) Dimension'!D44</f>
        <v>20</v>
      </c>
      <c r="AD44" s="27">
        <f>'Por Valoracion (3) Dimension 2'!D44</f>
        <v>28</v>
      </c>
      <c r="AY44" s="36"/>
      <c r="BA44" s="53" t="str">
        <f>('Gestión de abastecimiento'!A45)</f>
        <v>Beneficiaros 41</v>
      </c>
      <c r="BB44" s="27">
        <f>'Por Valoracion (3) Dimension'!F44</f>
        <v>18</v>
      </c>
      <c r="BC44" s="27">
        <f>'Por Valoracion (3) Dimension 2'!D44</f>
        <v>28</v>
      </c>
      <c r="BX44" s="36"/>
      <c r="BZ44" s="37"/>
      <c r="CB44" s="53" t="str">
        <f>('Gestión de abastecimiento'!A45)</f>
        <v>Beneficiaros 41</v>
      </c>
      <c r="CC44" s="27">
        <f>'Por Valoracion (3) Dimension 2'!B44</f>
        <v>28</v>
      </c>
      <c r="CD44" s="27">
        <f>'Por Valoracion (3) Dimension'!H44</f>
        <v>57</v>
      </c>
      <c r="CY44" s="37"/>
    </row>
    <row r="45" spans="1:103" x14ac:dyDescent="0.25">
      <c r="A45" s="36"/>
      <c r="C45" s="53" t="str">
        <f>('Gestión de abastecimiento'!A46)</f>
        <v>Beneficiaros 42</v>
      </c>
      <c r="D45" s="27">
        <f>'Por Valoracion (3) Dimension'!B45</f>
        <v>30</v>
      </c>
      <c r="E45" s="27">
        <f>'Por Valoracion (3) Dimension 2'!D45</f>
        <v>44</v>
      </c>
      <c r="Z45" s="36"/>
      <c r="AB45" s="53" t="str">
        <f>('Gestión de abastecimiento'!A46)</f>
        <v>Beneficiaros 42</v>
      </c>
      <c r="AC45" s="27">
        <f>'Por Valoracion (3) Dimension'!D45</f>
        <v>30</v>
      </c>
      <c r="AD45" s="27">
        <f>'Por Valoracion (3) Dimension 2'!D45</f>
        <v>44</v>
      </c>
      <c r="AY45" s="36"/>
      <c r="BA45" s="53" t="str">
        <f>('Gestión de abastecimiento'!A46)</f>
        <v>Beneficiaros 42</v>
      </c>
      <c r="BB45" s="27">
        <f>'Por Valoracion (3) Dimension'!F45</f>
        <v>30</v>
      </c>
      <c r="BC45" s="27">
        <f>'Por Valoracion (3) Dimension 2'!D45</f>
        <v>44</v>
      </c>
      <c r="BX45" s="36"/>
      <c r="BZ45" s="37"/>
      <c r="CB45" s="53" t="str">
        <f>('Gestión de abastecimiento'!A46)</f>
        <v>Beneficiaros 42</v>
      </c>
      <c r="CC45" s="27">
        <f>'Por Valoracion (3) Dimension 2'!B45</f>
        <v>44</v>
      </c>
      <c r="CD45" s="27">
        <f>'Por Valoracion (3) Dimension'!H45</f>
        <v>90</v>
      </c>
      <c r="CY45" s="37"/>
    </row>
    <row r="46" spans="1:103" x14ac:dyDescent="0.25">
      <c r="A46" s="36"/>
      <c r="C46" s="53" t="str">
        <f>('Gestión de abastecimiento'!A47)</f>
        <v>Beneficiaros 43</v>
      </c>
      <c r="D46" s="27">
        <f>'Por Valoracion (3) Dimension'!B46</f>
        <v>13</v>
      </c>
      <c r="E46" s="27">
        <f>'Por Valoracion (3) Dimension 2'!D46</f>
        <v>18</v>
      </c>
      <c r="Z46" s="36"/>
      <c r="AB46" s="53" t="str">
        <f>('Gestión de abastecimiento'!A47)</f>
        <v>Beneficiaros 43</v>
      </c>
      <c r="AC46" s="27">
        <f>'Por Valoracion (3) Dimension'!D46</f>
        <v>13</v>
      </c>
      <c r="AD46" s="27">
        <f>'Por Valoracion (3) Dimension 2'!D46</f>
        <v>18</v>
      </c>
      <c r="AY46" s="36"/>
      <c r="BA46" s="53" t="str">
        <f>('Gestión de abastecimiento'!A47)</f>
        <v>Beneficiaros 43</v>
      </c>
      <c r="BB46" s="27">
        <f>'Por Valoracion (3) Dimension'!F46</f>
        <v>12</v>
      </c>
      <c r="BC46" s="27">
        <f>'Por Valoracion (3) Dimension 2'!D46</f>
        <v>18</v>
      </c>
      <c r="BX46" s="36"/>
      <c r="BZ46" s="37"/>
      <c r="CB46" s="53" t="str">
        <f>('Gestión de abastecimiento'!A47)</f>
        <v>Beneficiaros 43</v>
      </c>
      <c r="CC46" s="27">
        <f>'Por Valoracion (3) Dimension 2'!B46</f>
        <v>18</v>
      </c>
      <c r="CD46" s="27">
        <f>'Por Valoracion (3) Dimension'!H46</f>
        <v>38</v>
      </c>
      <c r="CY46" s="37"/>
    </row>
    <row r="47" spans="1:103" x14ac:dyDescent="0.25">
      <c r="A47" s="36"/>
      <c r="C47" s="53" t="str">
        <f>('Gestión de abastecimiento'!A48)</f>
        <v>Beneficiaros 44</v>
      </c>
      <c r="D47" s="27">
        <f>'Por Valoracion (3) Dimension'!B47</f>
        <v>24</v>
      </c>
      <c r="E47" s="27">
        <f>'Por Valoracion (3) Dimension 2'!D47</f>
        <v>35</v>
      </c>
      <c r="Z47" s="36"/>
      <c r="AB47" s="53" t="str">
        <f>('Gestión de abastecimiento'!A48)</f>
        <v>Beneficiaros 44</v>
      </c>
      <c r="AC47" s="27">
        <f>'Por Valoracion (3) Dimension'!D47</f>
        <v>23</v>
      </c>
      <c r="AD47" s="27">
        <f>'Por Valoracion (3) Dimension 2'!D47</f>
        <v>35</v>
      </c>
      <c r="AY47" s="36"/>
      <c r="BA47" s="53" t="str">
        <f>('Gestión de abastecimiento'!A48)</f>
        <v>Beneficiaros 44</v>
      </c>
      <c r="BB47" s="27">
        <f>'Por Valoracion (3) Dimension'!F47</f>
        <v>23</v>
      </c>
      <c r="BC47" s="27">
        <f>'Por Valoracion (3) Dimension 2'!D47</f>
        <v>35</v>
      </c>
      <c r="BX47" s="36"/>
      <c r="BZ47" s="37"/>
      <c r="CB47" s="53" t="str">
        <f>('Gestión de abastecimiento'!A48)</f>
        <v>Beneficiaros 44</v>
      </c>
      <c r="CC47" s="27">
        <f>'Por Valoracion (3) Dimension 2'!B47</f>
        <v>35</v>
      </c>
      <c r="CD47" s="27">
        <f>'Por Valoracion (3) Dimension'!H47</f>
        <v>70</v>
      </c>
      <c r="CY47" s="37"/>
    </row>
    <row r="48" spans="1:103" x14ac:dyDescent="0.25">
      <c r="A48" s="36"/>
      <c r="C48" s="53" t="str">
        <f>('Gestión de abastecimiento'!A49)</f>
        <v>Beneficiaros 45</v>
      </c>
      <c r="D48" s="27">
        <f>'Por Valoracion (3) Dimension'!B48</f>
        <v>24</v>
      </c>
      <c r="E48" s="27">
        <f>'Por Valoracion (3) Dimension 2'!D48</f>
        <v>37</v>
      </c>
      <c r="Z48" s="36"/>
      <c r="AB48" s="53" t="str">
        <f>('Gestión de abastecimiento'!A49)</f>
        <v>Beneficiaros 45</v>
      </c>
      <c r="AC48" s="27">
        <f>'Por Valoracion (3) Dimension'!D48</f>
        <v>24</v>
      </c>
      <c r="AD48" s="27">
        <f>'Por Valoracion (3) Dimension 2'!D48</f>
        <v>37</v>
      </c>
      <c r="AY48" s="36"/>
      <c r="BA48" s="53" t="str">
        <f>('Gestión de abastecimiento'!A49)</f>
        <v>Beneficiaros 45</v>
      </c>
      <c r="BB48" s="27">
        <f>'Por Valoracion (3) Dimension'!F48</f>
        <v>26</v>
      </c>
      <c r="BC48" s="27">
        <f>'Por Valoracion (3) Dimension 2'!D48</f>
        <v>37</v>
      </c>
      <c r="BX48" s="36"/>
      <c r="BZ48" s="37"/>
      <c r="CB48" s="53" t="str">
        <f>('Gestión de abastecimiento'!A49)</f>
        <v>Beneficiaros 45</v>
      </c>
      <c r="CC48" s="27">
        <f>'Por Valoracion (3) Dimension 2'!B48</f>
        <v>37</v>
      </c>
      <c r="CD48" s="27">
        <f>'Por Valoracion (3) Dimension'!H48</f>
        <v>74</v>
      </c>
      <c r="CY48" s="37"/>
    </row>
    <row r="49" spans="1:103" x14ac:dyDescent="0.25">
      <c r="A49" s="36"/>
      <c r="C49" s="53" t="str">
        <f>('Gestión de abastecimiento'!A50)</f>
        <v>Beneficiaros 46</v>
      </c>
      <c r="D49" s="27">
        <f>'Por Valoracion (3) Dimension'!B49</f>
        <v>15</v>
      </c>
      <c r="E49" s="27">
        <f>'Por Valoracion (3) Dimension 2'!D49</f>
        <v>22</v>
      </c>
      <c r="Z49" s="36"/>
      <c r="AB49" s="53" t="str">
        <f>('Gestión de abastecimiento'!A50)</f>
        <v>Beneficiaros 46</v>
      </c>
      <c r="AC49" s="27">
        <f>'Por Valoracion (3) Dimension'!D49</f>
        <v>15</v>
      </c>
      <c r="AD49" s="27">
        <f>'Por Valoracion (3) Dimension 2'!D49</f>
        <v>22</v>
      </c>
      <c r="AY49" s="36"/>
      <c r="BA49" s="53" t="str">
        <f>('Gestión de abastecimiento'!A50)</f>
        <v>Beneficiaros 46</v>
      </c>
      <c r="BB49" s="27">
        <f>'Por Valoracion (3) Dimension'!F49</f>
        <v>14</v>
      </c>
      <c r="BC49" s="27">
        <f>'Por Valoracion (3) Dimension 2'!D49</f>
        <v>22</v>
      </c>
      <c r="BX49" s="36"/>
      <c r="BZ49" s="37"/>
      <c r="CB49" s="53" t="str">
        <f>('Gestión de abastecimiento'!A50)</f>
        <v>Beneficiaros 46</v>
      </c>
      <c r="CC49" s="27">
        <f>'Por Valoracion (3) Dimension 2'!B49</f>
        <v>22</v>
      </c>
      <c r="CD49" s="27">
        <f>'Por Valoracion (3) Dimension'!H49</f>
        <v>44</v>
      </c>
      <c r="CY49" s="37"/>
    </row>
    <row r="50" spans="1:103" x14ac:dyDescent="0.25">
      <c r="A50" s="36"/>
      <c r="C50" s="53" t="str">
        <f>('Gestión de abastecimiento'!A51)</f>
        <v>Beneficiaros 47</v>
      </c>
      <c r="D50" s="27">
        <f>'Por Valoracion (3) Dimension'!B50</f>
        <v>18</v>
      </c>
      <c r="E50" s="27">
        <f>'Por Valoracion (3) Dimension 2'!D50</f>
        <v>25</v>
      </c>
      <c r="Z50" s="36"/>
      <c r="AB50" s="53" t="str">
        <f>('Gestión de abastecimiento'!A51)</f>
        <v>Beneficiaros 47</v>
      </c>
      <c r="AC50" s="27">
        <f>'Por Valoracion (3) Dimension'!D50</f>
        <v>17</v>
      </c>
      <c r="AD50" s="27">
        <f>'Por Valoracion (3) Dimension 2'!D50</f>
        <v>25</v>
      </c>
      <c r="AY50" s="36"/>
      <c r="BA50" s="53" t="str">
        <f>('Gestión de abastecimiento'!A51)</f>
        <v>Beneficiaros 47</v>
      </c>
      <c r="BB50" s="27">
        <f>'Por Valoracion (3) Dimension'!F50</f>
        <v>18</v>
      </c>
      <c r="BC50" s="27">
        <f>'Por Valoracion (3) Dimension 2'!D50</f>
        <v>25</v>
      </c>
      <c r="BX50" s="36"/>
      <c r="BZ50" s="37"/>
      <c r="CB50" s="53" t="str">
        <f>('Gestión de abastecimiento'!A51)</f>
        <v>Beneficiaros 47</v>
      </c>
      <c r="CC50" s="27">
        <f>'Por Valoracion (3) Dimension 2'!B50</f>
        <v>25</v>
      </c>
      <c r="CD50" s="27">
        <f>'Por Valoracion (3) Dimension'!H50</f>
        <v>53</v>
      </c>
      <c r="CY50" s="37"/>
    </row>
    <row r="51" spans="1:103" x14ac:dyDescent="0.25">
      <c r="A51" s="36"/>
      <c r="C51" s="53" t="str">
        <f>('Gestión de abastecimiento'!A52)</f>
        <v>Beneficiaros 48</v>
      </c>
      <c r="D51" s="27">
        <f>'Por Valoracion (3) Dimension'!B51</f>
        <v>20</v>
      </c>
      <c r="E51" s="27">
        <f>'Por Valoracion (3) Dimension 2'!D51</f>
        <v>28</v>
      </c>
      <c r="Z51" s="36"/>
      <c r="AB51" s="53" t="str">
        <f>('Gestión de abastecimiento'!A52)</f>
        <v>Beneficiaros 48</v>
      </c>
      <c r="AC51" s="27">
        <f>'Por Valoracion (3) Dimension'!D51</f>
        <v>18</v>
      </c>
      <c r="AD51" s="27">
        <f>'Por Valoracion (3) Dimension 2'!D51</f>
        <v>28</v>
      </c>
      <c r="AY51" s="36"/>
      <c r="BA51" s="53" t="str">
        <f>('Gestión de abastecimiento'!A52)</f>
        <v>Beneficiaros 48</v>
      </c>
      <c r="BB51" s="27">
        <f>'Por Valoracion (3) Dimension'!F51</f>
        <v>18</v>
      </c>
      <c r="BC51" s="27">
        <f>'Por Valoracion (3) Dimension 2'!D51</f>
        <v>28</v>
      </c>
      <c r="BX51" s="36"/>
      <c r="BZ51" s="37"/>
      <c r="CB51" s="53" t="str">
        <f>('Gestión de abastecimiento'!A52)</f>
        <v>Beneficiaros 48</v>
      </c>
      <c r="CC51" s="27">
        <f>'Por Valoracion (3) Dimension 2'!B51</f>
        <v>28</v>
      </c>
      <c r="CD51" s="27">
        <f>'Por Valoracion (3) Dimension'!H51</f>
        <v>56</v>
      </c>
      <c r="CY51" s="37"/>
    </row>
    <row r="52" spans="1:103" x14ac:dyDescent="0.25">
      <c r="A52" s="36"/>
      <c r="C52" s="53" t="str">
        <f>('Gestión de abastecimiento'!A53)</f>
        <v>Beneficiaros 49</v>
      </c>
      <c r="D52" s="27">
        <f>'Por Valoracion (3) Dimension'!B52</f>
        <v>17</v>
      </c>
      <c r="E52" s="27">
        <f>'Por Valoracion (3) Dimension 2'!D52</f>
        <v>25</v>
      </c>
      <c r="Z52" s="36"/>
      <c r="AB52" s="53" t="str">
        <f>('Gestión de abastecimiento'!A53)</f>
        <v>Beneficiaros 49</v>
      </c>
      <c r="AC52" s="27">
        <f>'Por Valoracion (3) Dimension'!D52</f>
        <v>17</v>
      </c>
      <c r="AD52" s="27">
        <f>'Por Valoracion (3) Dimension 2'!D52</f>
        <v>25</v>
      </c>
      <c r="AY52" s="36"/>
      <c r="BA52" s="53" t="str">
        <f>('Gestión de abastecimiento'!A53)</f>
        <v>Beneficiaros 49</v>
      </c>
      <c r="BB52" s="27">
        <f>'Por Valoracion (3) Dimension'!F52</f>
        <v>18</v>
      </c>
      <c r="BC52" s="27">
        <f>'Por Valoracion (3) Dimension 2'!D52</f>
        <v>25</v>
      </c>
      <c r="BX52" s="36"/>
      <c r="BZ52" s="37"/>
      <c r="CB52" s="53" t="str">
        <f>('Gestión de abastecimiento'!A53)</f>
        <v>Beneficiaros 49</v>
      </c>
      <c r="CC52" s="27">
        <f>'Por Valoracion (3) Dimension 2'!B52</f>
        <v>25</v>
      </c>
      <c r="CD52" s="27">
        <f>'Por Valoracion (3) Dimension'!H52</f>
        <v>52</v>
      </c>
      <c r="CY52" s="37"/>
    </row>
    <row r="53" spans="1:103" x14ac:dyDescent="0.25">
      <c r="A53" s="36"/>
      <c r="C53" s="53" t="str">
        <f>('Gestión de abastecimiento'!A54)</f>
        <v>Beneficiaros 50</v>
      </c>
      <c r="D53" s="27">
        <f>'Por Valoracion (3) Dimension'!B53</f>
        <v>12</v>
      </c>
      <c r="E53" s="27">
        <f>'Por Valoracion (3) Dimension 2'!D53</f>
        <v>18</v>
      </c>
      <c r="Z53" s="36"/>
      <c r="AB53" s="53" t="str">
        <f>('Gestión de abastecimiento'!A54)</f>
        <v>Beneficiaros 50</v>
      </c>
      <c r="AC53" s="27">
        <f>'Por Valoracion (3) Dimension'!D53</f>
        <v>12</v>
      </c>
      <c r="AD53" s="27">
        <f>'Por Valoracion (3) Dimension 2'!D53</f>
        <v>18</v>
      </c>
      <c r="AY53" s="36"/>
      <c r="BA53" s="53" t="str">
        <f>('Gestión de abastecimiento'!A54)</f>
        <v>Beneficiaros 50</v>
      </c>
      <c r="BB53" s="27">
        <f>'Por Valoracion (3) Dimension'!F53</f>
        <v>12</v>
      </c>
      <c r="BC53" s="27">
        <f>'Por Valoracion (3) Dimension 2'!D53</f>
        <v>18</v>
      </c>
      <c r="BX53" s="36"/>
      <c r="BZ53" s="37"/>
      <c r="CB53" s="53" t="str">
        <f>('Gestión de abastecimiento'!A54)</f>
        <v>Beneficiaros 50</v>
      </c>
      <c r="CC53" s="27">
        <f>'Por Valoracion (3) Dimension 2'!B53</f>
        <v>18</v>
      </c>
      <c r="CD53" s="27">
        <f>'Por Valoracion (3) Dimension'!H53</f>
        <v>36</v>
      </c>
      <c r="CY53" s="37"/>
    </row>
    <row r="54" spans="1:103" x14ac:dyDescent="0.25">
      <c r="A54" s="36"/>
      <c r="C54" s="53" t="str">
        <f>('Gestión de abastecimiento'!A55)</f>
        <v>Beneficiaros 51</v>
      </c>
      <c r="D54" s="27">
        <f>'Por Valoracion (3) Dimension'!B54</f>
        <v>16</v>
      </c>
      <c r="E54" s="27">
        <f>'Por Valoracion (3) Dimension 2'!D54</f>
        <v>23</v>
      </c>
      <c r="Z54" s="36"/>
      <c r="AB54" s="53" t="str">
        <f>('Gestión de abastecimiento'!A55)</f>
        <v>Beneficiaros 51</v>
      </c>
      <c r="AC54" s="27">
        <f>'Por Valoracion (3) Dimension'!D54</f>
        <v>14</v>
      </c>
      <c r="AD54" s="27">
        <f>'Por Valoracion (3) Dimension 2'!D54</f>
        <v>23</v>
      </c>
      <c r="AY54" s="36"/>
      <c r="BA54" s="53" t="str">
        <f>('Gestión de abastecimiento'!A55)</f>
        <v>Beneficiaros 51</v>
      </c>
      <c r="BB54" s="27">
        <f>'Por Valoracion (3) Dimension'!F54</f>
        <v>13</v>
      </c>
      <c r="BC54" s="27">
        <f>'Por Valoracion (3) Dimension 2'!D54</f>
        <v>23</v>
      </c>
      <c r="BX54" s="36"/>
      <c r="BZ54" s="37"/>
      <c r="CB54" s="53" t="str">
        <f>('Gestión de abastecimiento'!A55)</f>
        <v>Beneficiaros 51</v>
      </c>
      <c r="CC54" s="27">
        <f>'Por Valoracion (3) Dimension 2'!B54</f>
        <v>23</v>
      </c>
      <c r="CD54" s="27">
        <f>'Por Valoracion (3) Dimension'!H54</f>
        <v>43</v>
      </c>
      <c r="CY54" s="37"/>
    </row>
    <row r="55" spans="1:103" x14ac:dyDescent="0.25">
      <c r="A55" s="36"/>
      <c r="C55" s="53" t="str">
        <f>('Gestión de abastecimiento'!A56)</f>
        <v>Beneficiaros 52</v>
      </c>
      <c r="D55" s="27">
        <f>'Por Valoracion (3) Dimension'!B55</f>
        <v>23</v>
      </c>
      <c r="E55" s="27">
        <f>'Por Valoracion (3) Dimension 2'!D55</f>
        <v>36</v>
      </c>
      <c r="Z55" s="36"/>
      <c r="AB55" s="53" t="str">
        <f>('Gestión de abastecimiento'!A56)</f>
        <v>Beneficiaros 52</v>
      </c>
      <c r="AC55" s="27">
        <f>'Por Valoracion (3) Dimension'!D55</f>
        <v>24</v>
      </c>
      <c r="AD55" s="27">
        <f>'Por Valoracion (3) Dimension 2'!D55</f>
        <v>36</v>
      </c>
      <c r="AY55" s="36"/>
      <c r="BA55" s="53" t="str">
        <f>('Gestión de abastecimiento'!A56)</f>
        <v>Beneficiaros 52</v>
      </c>
      <c r="BB55" s="27">
        <f>'Por Valoracion (3) Dimension'!F55</f>
        <v>24</v>
      </c>
      <c r="BC55" s="27">
        <f>'Por Valoracion (3) Dimension 2'!D55</f>
        <v>36</v>
      </c>
      <c r="BX55" s="36"/>
      <c r="BZ55" s="37"/>
      <c r="CB55" s="53" t="str">
        <f>('Gestión de abastecimiento'!A56)</f>
        <v>Beneficiaros 52</v>
      </c>
      <c r="CC55" s="27">
        <f>'Por Valoracion (3) Dimension 2'!B55</f>
        <v>36</v>
      </c>
      <c r="CD55" s="27">
        <f>'Por Valoracion (3) Dimension'!H55</f>
        <v>71</v>
      </c>
      <c r="CY55" s="37"/>
    </row>
    <row r="56" spans="1:103" x14ac:dyDescent="0.25">
      <c r="A56" s="36"/>
      <c r="C56" s="53" t="str">
        <f>('Gestión de abastecimiento'!A57)</f>
        <v>Beneficiaros 53</v>
      </c>
      <c r="D56" s="27">
        <f>'Por Valoracion (3) Dimension'!B56</f>
        <v>18</v>
      </c>
      <c r="E56" s="27">
        <f>'Por Valoracion (3) Dimension 2'!D56</f>
        <v>27</v>
      </c>
      <c r="Z56" s="36"/>
      <c r="AB56" s="53" t="str">
        <f>('Gestión de abastecimiento'!A57)</f>
        <v>Beneficiaros 53</v>
      </c>
      <c r="AC56" s="27">
        <f>'Por Valoracion (3) Dimension'!D56</f>
        <v>18</v>
      </c>
      <c r="AD56" s="27">
        <f>'Por Valoracion (3) Dimension 2'!D56</f>
        <v>27</v>
      </c>
      <c r="AY56" s="36"/>
      <c r="BA56" s="53" t="str">
        <f>('Gestión de abastecimiento'!A57)</f>
        <v>Beneficiaros 53</v>
      </c>
      <c r="BB56" s="27">
        <f>'Por Valoracion (3) Dimension'!F56</f>
        <v>18</v>
      </c>
      <c r="BC56" s="27">
        <f>'Por Valoracion (3) Dimension 2'!D56</f>
        <v>27</v>
      </c>
      <c r="BX56" s="36"/>
      <c r="BZ56" s="37"/>
      <c r="CB56" s="53" t="str">
        <f>('Gestión de abastecimiento'!A57)</f>
        <v>Beneficiaros 53</v>
      </c>
      <c r="CC56" s="27">
        <f>'Por Valoracion (3) Dimension 2'!B56</f>
        <v>27</v>
      </c>
      <c r="CD56" s="27">
        <f>'Por Valoracion (3) Dimension'!H56</f>
        <v>54</v>
      </c>
      <c r="CY56" s="37"/>
    </row>
    <row r="57" spans="1:103" x14ac:dyDescent="0.25">
      <c r="A57" s="36"/>
      <c r="C57" s="53" t="str">
        <f>('Gestión de abastecimiento'!A58)</f>
        <v>Beneficiaros 54</v>
      </c>
      <c r="D57" s="27">
        <f>'Por Valoracion (3) Dimension'!B57</f>
        <v>23</v>
      </c>
      <c r="E57" s="27">
        <f>'Por Valoracion (3) Dimension 2'!D57</f>
        <v>36</v>
      </c>
      <c r="Z57" s="36"/>
      <c r="AB57" s="53" t="str">
        <f>('Gestión de abastecimiento'!A58)</f>
        <v>Beneficiaros 54</v>
      </c>
      <c r="AC57" s="27">
        <f>'Por Valoracion (3) Dimension'!D57</f>
        <v>24</v>
      </c>
      <c r="AD57" s="27">
        <f>'Por Valoracion (3) Dimension 2'!D57</f>
        <v>36</v>
      </c>
      <c r="AY57" s="36"/>
      <c r="BA57" s="53" t="str">
        <f>('Gestión de abastecimiento'!A58)</f>
        <v>Beneficiaros 54</v>
      </c>
      <c r="BB57" s="27">
        <f>'Por Valoracion (3) Dimension'!F57</f>
        <v>24</v>
      </c>
      <c r="BC57" s="27">
        <f>'Por Valoracion (3) Dimension 2'!D57</f>
        <v>36</v>
      </c>
      <c r="BX57" s="36"/>
      <c r="BZ57" s="37"/>
      <c r="CB57" s="53" t="str">
        <f>('Gestión de abastecimiento'!A58)</f>
        <v>Beneficiaros 54</v>
      </c>
      <c r="CC57" s="27">
        <f>'Por Valoracion (3) Dimension 2'!B57</f>
        <v>36</v>
      </c>
      <c r="CD57" s="27">
        <f>'Por Valoracion (3) Dimension'!H57</f>
        <v>71</v>
      </c>
      <c r="CY57" s="37"/>
    </row>
    <row r="58" spans="1:103" x14ac:dyDescent="0.25">
      <c r="A58" s="36"/>
      <c r="C58" s="53" t="str">
        <f>('Gestión de abastecimiento'!A59)</f>
        <v>Beneficiaros 55</v>
      </c>
      <c r="D58" s="27">
        <f>'Por Valoracion (3) Dimension'!B58</f>
        <v>17</v>
      </c>
      <c r="E58" s="27">
        <f>'Por Valoracion (3) Dimension 2'!D58</f>
        <v>26</v>
      </c>
      <c r="Z58" s="36"/>
      <c r="AB58" s="53" t="str">
        <f>('Gestión de abastecimiento'!A59)</f>
        <v>Beneficiaros 55</v>
      </c>
      <c r="AC58" s="27">
        <f>'Por Valoracion (3) Dimension'!D58</f>
        <v>18</v>
      </c>
      <c r="AD58" s="27">
        <f>'Por Valoracion (3) Dimension 2'!D58</f>
        <v>26</v>
      </c>
      <c r="AY58" s="36"/>
      <c r="BA58" s="53" t="str">
        <f>('Gestión de abastecimiento'!A59)</f>
        <v>Beneficiaros 55</v>
      </c>
      <c r="BB58" s="27">
        <f>'Por Valoracion (3) Dimension'!F58</f>
        <v>17</v>
      </c>
      <c r="BC58" s="27">
        <f>'Por Valoracion (3) Dimension 2'!D58</f>
        <v>26</v>
      </c>
      <c r="BX58" s="36"/>
      <c r="BZ58" s="37"/>
      <c r="CB58" s="53" t="str">
        <f>('Gestión de abastecimiento'!A59)</f>
        <v>Beneficiaros 55</v>
      </c>
      <c r="CC58" s="27">
        <f>'Por Valoracion (3) Dimension 2'!B58</f>
        <v>26</v>
      </c>
      <c r="CD58" s="27">
        <f>'Por Valoracion (3) Dimension'!H58</f>
        <v>52</v>
      </c>
      <c r="CY58" s="37"/>
    </row>
    <row r="59" spans="1:103" x14ac:dyDescent="0.25">
      <c r="A59" s="36"/>
      <c r="C59" s="53" t="str">
        <f>('Gestión de abastecimiento'!A60)</f>
        <v>Beneficiaros 56</v>
      </c>
      <c r="D59" s="27">
        <f>'Por Valoracion (3) Dimension'!B59</f>
        <v>12</v>
      </c>
      <c r="E59" s="27">
        <f>'Por Valoracion (3) Dimension 2'!D59</f>
        <v>18</v>
      </c>
      <c r="Z59" s="36"/>
      <c r="AB59" s="53" t="str">
        <f>('Gestión de abastecimiento'!A60)</f>
        <v>Beneficiaros 56</v>
      </c>
      <c r="AC59" s="27">
        <f>'Por Valoracion (3) Dimension'!D59</f>
        <v>12</v>
      </c>
      <c r="AD59" s="27">
        <f>'Por Valoracion (3) Dimension 2'!D59</f>
        <v>18</v>
      </c>
      <c r="AY59" s="36"/>
      <c r="BA59" s="53" t="str">
        <f>('Gestión de abastecimiento'!A60)</f>
        <v>Beneficiaros 56</v>
      </c>
      <c r="BB59" s="27">
        <f>'Por Valoracion (3) Dimension'!F59</f>
        <v>12</v>
      </c>
      <c r="BC59" s="27">
        <f>'Por Valoracion (3) Dimension 2'!D59</f>
        <v>18</v>
      </c>
      <c r="BX59" s="36"/>
      <c r="BZ59" s="37"/>
      <c r="CB59" s="53" t="str">
        <f>('Gestión de abastecimiento'!A60)</f>
        <v>Beneficiaros 56</v>
      </c>
      <c r="CC59" s="27">
        <f>'Por Valoracion (3) Dimension 2'!B59</f>
        <v>18</v>
      </c>
      <c r="CD59" s="27">
        <f>'Por Valoracion (3) Dimension'!H59</f>
        <v>36</v>
      </c>
      <c r="CY59" s="37"/>
    </row>
    <row r="60" spans="1:103" x14ac:dyDescent="0.25">
      <c r="A60" s="36"/>
      <c r="C60" s="53" t="str">
        <f>('Gestión de abastecimiento'!A61)</f>
        <v>Beneficiaros 57</v>
      </c>
      <c r="D60" s="27">
        <f>'Por Valoracion (3) Dimension'!B60</f>
        <v>18</v>
      </c>
      <c r="E60" s="27">
        <f>'Por Valoracion (3) Dimension 2'!D60</f>
        <v>25</v>
      </c>
      <c r="Z60" s="36"/>
      <c r="AB60" s="53" t="str">
        <f>('Gestión de abastecimiento'!A61)</f>
        <v>Beneficiaros 57</v>
      </c>
      <c r="AC60" s="27">
        <f>'Por Valoracion (3) Dimension'!D60</f>
        <v>16</v>
      </c>
      <c r="AD60" s="27">
        <f>'Por Valoracion (3) Dimension 2'!D60</f>
        <v>25</v>
      </c>
      <c r="AY60" s="36"/>
      <c r="BA60" s="53" t="str">
        <f>('Gestión de abastecimiento'!A61)</f>
        <v>Beneficiaros 57</v>
      </c>
      <c r="BB60" s="27">
        <f>'Por Valoracion (3) Dimension'!F60</f>
        <v>14</v>
      </c>
      <c r="BC60" s="27">
        <f>'Por Valoracion (3) Dimension 2'!D60</f>
        <v>25</v>
      </c>
      <c r="BX60" s="36"/>
      <c r="BZ60" s="37"/>
      <c r="CB60" s="53" t="str">
        <f>('Gestión de abastecimiento'!A61)</f>
        <v>Beneficiaros 57</v>
      </c>
      <c r="CC60" s="27">
        <f>'Por Valoracion (3) Dimension 2'!B60</f>
        <v>25</v>
      </c>
      <c r="CD60" s="27">
        <f>'Por Valoracion (3) Dimension'!H60</f>
        <v>48</v>
      </c>
      <c r="CY60" s="37"/>
    </row>
    <row r="61" spans="1:103" x14ac:dyDescent="0.25">
      <c r="A61" s="36"/>
      <c r="C61" s="53" t="str">
        <f>('Gestión de abastecimiento'!A62)</f>
        <v>Beneficiaros 58</v>
      </c>
      <c r="D61" s="27">
        <f>'Por Valoracion (3) Dimension'!B61</f>
        <v>20</v>
      </c>
      <c r="E61" s="27">
        <f>'Por Valoracion (3) Dimension 2'!D61</f>
        <v>34</v>
      </c>
      <c r="Z61" s="36"/>
      <c r="AB61" s="53" t="str">
        <f>('Gestión de abastecimiento'!A62)</f>
        <v>Beneficiaros 58</v>
      </c>
      <c r="AC61" s="27">
        <f>'Por Valoracion (3) Dimension'!D61</f>
        <v>22</v>
      </c>
      <c r="AD61" s="27">
        <f>'Por Valoracion (3) Dimension 2'!D61</f>
        <v>34</v>
      </c>
      <c r="AY61" s="36"/>
      <c r="BA61" s="53" t="str">
        <f>('Gestión de abastecimiento'!A62)</f>
        <v>Beneficiaros 58</v>
      </c>
      <c r="BB61" s="27">
        <f>'Por Valoracion (3) Dimension'!F61</f>
        <v>21</v>
      </c>
      <c r="BC61" s="27">
        <f>'Por Valoracion (3) Dimension 2'!D61</f>
        <v>34</v>
      </c>
      <c r="BX61" s="36"/>
      <c r="BZ61" s="37"/>
      <c r="CB61" s="53" t="str">
        <f>('Gestión de abastecimiento'!A62)</f>
        <v>Beneficiaros 58</v>
      </c>
      <c r="CC61" s="27">
        <f>'Por Valoracion (3) Dimension 2'!B61</f>
        <v>34</v>
      </c>
      <c r="CD61" s="27">
        <f>'Por Valoracion (3) Dimension'!H61</f>
        <v>63</v>
      </c>
      <c r="CY61" s="37"/>
    </row>
    <row r="62" spans="1:103" x14ac:dyDescent="0.25">
      <c r="A62" s="36"/>
      <c r="C62" s="53" t="str">
        <f>('Gestión de abastecimiento'!A63)</f>
        <v>Beneficiaros 59</v>
      </c>
      <c r="D62" s="27">
        <f>'Por Valoracion (3) Dimension'!B62</f>
        <v>18</v>
      </c>
      <c r="E62" s="27">
        <f>'Por Valoracion (3) Dimension 2'!D62</f>
        <v>28</v>
      </c>
      <c r="Z62" s="36"/>
      <c r="AB62" s="53" t="str">
        <f>('Gestión de abastecimiento'!A63)</f>
        <v>Beneficiaros 59</v>
      </c>
      <c r="AC62" s="27">
        <f>'Por Valoracion (3) Dimension'!D62</f>
        <v>18</v>
      </c>
      <c r="AD62" s="27">
        <f>'Por Valoracion (3) Dimension 2'!D62</f>
        <v>28</v>
      </c>
      <c r="AY62" s="36"/>
      <c r="BA62" s="53" t="str">
        <f>('Gestión de abastecimiento'!A63)</f>
        <v>Beneficiaros 59</v>
      </c>
      <c r="BB62" s="27">
        <f>'Por Valoracion (3) Dimension'!F62</f>
        <v>18</v>
      </c>
      <c r="BC62" s="27">
        <f>'Por Valoracion (3) Dimension 2'!D62</f>
        <v>28</v>
      </c>
      <c r="BX62" s="36"/>
      <c r="BZ62" s="37"/>
      <c r="CB62" s="53" t="str">
        <f>('Gestión de abastecimiento'!A63)</f>
        <v>Beneficiaros 59</v>
      </c>
      <c r="CC62" s="27">
        <f>'Por Valoracion (3) Dimension 2'!B62</f>
        <v>28</v>
      </c>
      <c r="CD62" s="27">
        <f>'Por Valoracion (3) Dimension'!H62</f>
        <v>54</v>
      </c>
      <c r="CY62" s="37"/>
    </row>
    <row r="63" spans="1:103" x14ac:dyDescent="0.25">
      <c r="A63" s="36"/>
      <c r="C63" s="53" t="str">
        <f>('Gestión de abastecimiento'!A64)</f>
        <v>Beneficiaros 60</v>
      </c>
      <c r="D63" s="27">
        <f>'Por Valoracion (3) Dimension'!B63</f>
        <v>16</v>
      </c>
      <c r="E63" s="27">
        <f>'Por Valoracion (3) Dimension 2'!D63</f>
        <v>24</v>
      </c>
      <c r="Z63" s="36"/>
      <c r="AB63" s="53" t="str">
        <f>('Gestión de abastecimiento'!A64)</f>
        <v>Beneficiaros 60</v>
      </c>
      <c r="AC63" s="27">
        <f>'Por Valoracion (3) Dimension'!D63</f>
        <v>15</v>
      </c>
      <c r="AD63" s="27">
        <f>'Por Valoracion (3) Dimension 2'!D63</f>
        <v>24</v>
      </c>
      <c r="AY63" s="36"/>
      <c r="BA63" s="53" t="str">
        <f>('Gestión de abastecimiento'!A64)</f>
        <v>Beneficiaros 60</v>
      </c>
      <c r="BB63" s="27">
        <f>'Por Valoracion (3) Dimension'!F63</f>
        <v>15</v>
      </c>
      <c r="BC63" s="27">
        <f>'Por Valoracion (3) Dimension 2'!D63</f>
        <v>24</v>
      </c>
      <c r="BX63" s="36"/>
      <c r="BZ63" s="37"/>
      <c r="CB63" s="53" t="str">
        <f>('Gestión de abastecimiento'!A64)</f>
        <v>Beneficiaros 60</v>
      </c>
      <c r="CC63" s="27">
        <f>'Por Valoracion (3) Dimension 2'!B63</f>
        <v>24</v>
      </c>
      <c r="CD63" s="27">
        <f>'Por Valoracion (3) Dimension'!H63</f>
        <v>46</v>
      </c>
      <c r="CY63" s="37"/>
    </row>
    <row r="64" spans="1:103" x14ac:dyDescent="0.25">
      <c r="A64" s="36"/>
      <c r="C64" s="53" t="str">
        <f>('Gestión de abastecimiento'!A65)</f>
        <v>Beneficiaros 61</v>
      </c>
      <c r="D64" s="27">
        <f>'Por Valoracion (3) Dimension'!B64</f>
        <v>18</v>
      </c>
      <c r="E64" s="27">
        <f>'Por Valoracion (3) Dimension 2'!D64</f>
        <v>29</v>
      </c>
      <c r="Z64" s="36"/>
      <c r="AB64" s="53" t="str">
        <f>('Gestión de abastecimiento'!A65)</f>
        <v>Beneficiaros 61</v>
      </c>
      <c r="AC64" s="27">
        <f>'Por Valoracion (3) Dimension'!D64</f>
        <v>18</v>
      </c>
      <c r="AD64" s="27">
        <f>'Por Valoracion (3) Dimension 2'!D64</f>
        <v>29</v>
      </c>
      <c r="AY64" s="36"/>
      <c r="BA64" s="53" t="str">
        <f>('Gestión de abastecimiento'!A65)</f>
        <v>Beneficiaros 61</v>
      </c>
      <c r="BB64" s="27">
        <f>'Por Valoracion (3) Dimension'!F64</f>
        <v>18</v>
      </c>
      <c r="BC64" s="27">
        <f>'Por Valoracion (3) Dimension 2'!D64</f>
        <v>29</v>
      </c>
      <c r="BX64" s="36"/>
      <c r="BZ64" s="37"/>
      <c r="CB64" s="53" t="str">
        <f>('Gestión de abastecimiento'!A65)</f>
        <v>Beneficiaros 61</v>
      </c>
      <c r="CC64" s="27">
        <f>'Por Valoracion (3) Dimension 2'!B64</f>
        <v>29</v>
      </c>
      <c r="CD64" s="27">
        <f>'Por Valoracion (3) Dimension'!H64</f>
        <v>54</v>
      </c>
      <c r="CY64" s="37"/>
    </row>
    <row r="65" spans="1:103" x14ac:dyDescent="0.25">
      <c r="A65" s="36"/>
      <c r="C65" s="53" t="str">
        <f>('Gestión de abastecimiento'!A66)</f>
        <v>Beneficiaros 62</v>
      </c>
      <c r="D65" s="27">
        <f>'Por Valoracion (3) Dimension'!B65</f>
        <v>18</v>
      </c>
      <c r="E65" s="27">
        <f>'Por Valoracion (3) Dimension 2'!D65</f>
        <v>26</v>
      </c>
      <c r="Z65" s="36"/>
      <c r="AB65" s="53" t="str">
        <f>('Gestión de abastecimiento'!A66)</f>
        <v>Beneficiaros 62</v>
      </c>
      <c r="AC65" s="27">
        <f>'Por Valoracion (3) Dimension'!D65</f>
        <v>18</v>
      </c>
      <c r="AD65" s="27">
        <f>'Por Valoracion (3) Dimension 2'!D65</f>
        <v>26</v>
      </c>
      <c r="AY65" s="36"/>
      <c r="BA65" s="53" t="str">
        <f>('Gestión de abastecimiento'!A66)</f>
        <v>Beneficiaros 62</v>
      </c>
      <c r="BB65" s="27">
        <f>'Por Valoracion (3) Dimension'!F65</f>
        <v>18</v>
      </c>
      <c r="BC65" s="27">
        <f>'Por Valoracion (3) Dimension 2'!D65</f>
        <v>26</v>
      </c>
      <c r="BX65" s="36"/>
      <c r="BZ65" s="37"/>
      <c r="CB65" s="53" t="str">
        <f>('Gestión de abastecimiento'!A66)</f>
        <v>Beneficiaros 62</v>
      </c>
      <c r="CC65" s="27">
        <f>'Por Valoracion (3) Dimension 2'!B65</f>
        <v>26</v>
      </c>
      <c r="CD65" s="27">
        <f>'Por Valoracion (3) Dimension'!H65</f>
        <v>54</v>
      </c>
      <c r="CY65" s="37"/>
    </row>
    <row r="66" spans="1:103" x14ac:dyDescent="0.25">
      <c r="A66" s="36"/>
      <c r="C66" s="53" t="str">
        <f>('Gestión de abastecimiento'!A67)</f>
        <v>Beneficiaros 63</v>
      </c>
      <c r="D66" s="27">
        <f>'Por Valoracion (3) Dimension'!B66</f>
        <v>20</v>
      </c>
      <c r="E66" s="27">
        <f>'Por Valoracion (3) Dimension 2'!D66</f>
        <v>27</v>
      </c>
      <c r="Z66" s="36"/>
      <c r="AB66" s="53" t="str">
        <f>('Gestión de abastecimiento'!A67)</f>
        <v>Beneficiaros 63</v>
      </c>
      <c r="AC66" s="27">
        <f>'Por Valoracion (3) Dimension'!D66</f>
        <v>20</v>
      </c>
      <c r="AD66" s="27">
        <f>'Por Valoracion (3) Dimension 2'!D66</f>
        <v>27</v>
      </c>
      <c r="AY66" s="36"/>
      <c r="BA66" s="53" t="str">
        <f>('Gestión de abastecimiento'!A67)</f>
        <v>Beneficiaros 63</v>
      </c>
      <c r="BB66" s="27">
        <f>'Por Valoracion (3) Dimension'!F66</f>
        <v>18</v>
      </c>
      <c r="BC66" s="27">
        <f>'Por Valoracion (3) Dimension 2'!D66</f>
        <v>27</v>
      </c>
      <c r="BX66" s="36"/>
      <c r="BZ66" s="37"/>
      <c r="CB66" s="53" t="str">
        <f>('Gestión de abastecimiento'!A67)</f>
        <v>Beneficiaros 63</v>
      </c>
      <c r="CC66" s="27">
        <f>'Por Valoracion (3) Dimension 2'!B66</f>
        <v>27</v>
      </c>
      <c r="CD66" s="27">
        <f>'Por Valoracion (3) Dimension'!H66</f>
        <v>58</v>
      </c>
      <c r="CY66" s="37"/>
    </row>
    <row r="67" spans="1:103" x14ac:dyDescent="0.25">
      <c r="A67" s="36"/>
      <c r="C67" s="53" t="str">
        <f>('Gestión de abastecimiento'!A68)</f>
        <v>Beneficiaros 64</v>
      </c>
      <c r="D67" s="27">
        <f>'Por Valoracion (3) Dimension'!B67</f>
        <v>13</v>
      </c>
      <c r="E67" s="27">
        <f>'Por Valoracion (3) Dimension 2'!D67</f>
        <v>21</v>
      </c>
      <c r="Z67" s="36"/>
      <c r="AB67" s="53" t="str">
        <f>('Gestión de abastecimiento'!A68)</f>
        <v>Beneficiaros 64</v>
      </c>
      <c r="AC67" s="27">
        <f>'Por Valoracion (3) Dimension'!D67</f>
        <v>12</v>
      </c>
      <c r="AD67" s="27">
        <f>'Por Valoracion (3) Dimension 2'!D67</f>
        <v>21</v>
      </c>
      <c r="AY67" s="36"/>
      <c r="BA67" s="53" t="str">
        <f>('Gestión de abastecimiento'!A68)</f>
        <v>Beneficiaros 64</v>
      </c>
      <c r="BB67" s="27">
        <f>'Por Valoracion (3) Dimension'!F67</f>
        <v>12</v>
      </c>
      <c r="BC67" s="27">
        <f>'Por Valoracion (3) Dimension 2'!D67</f>
        <v>21</v>
      </c>
      <c r="BX67" s="36"/>
      <c r="BZ67" s="37"/>
      <c r="CB67" s="53" t="str">
        <f>('Gestión de abastecimiento'!A68)</f>
        <v>Beneficiaros 64</v>
      </c>
      <c r="CC67" s="27">
        <f>'Por Valoracion (3) Dimension 2'!B67</f>
        <v>21</v>
      </c>
      <c r="CD67" s="27">
        <f>'Por Valoracion (3) Dimension'!H67</f>
        <v>37</v>
      </c>
      <c r="CY67" s="37"/>
    </row>
    <row r="68" spans="1:103" x14ac:dyDescent="0.25">
      <c r="A68" s="36"/>
      <c r="C68" s="53" t="str">
        <f>('Gestión de abastecimiento'!A69)</f>
        <v>Beneficiaros 65</v>
      </c>
      <c r="D68" s="27">
        <f>'Por Valoracion (3) Dimension'!B68</f>
        <v>29</v>
      </c>
      <c r="E68" s="27">
        <f>'Por Valoracion (3) Dimension 2'!D68</f>
        <v>45</v>
      </c>
      <c r="Z68" s="36"/>
      <c r="AB68" s="53" t="str">
        <f>('Gestión de abastecimiento'!A69)</f>
        <v>Beneficiaros 65</v>
      </c>
      <c r="AC68" s="27">
        <f>'Por Valoracion (3) Dimension'!D68</f>
        <v>30</v>
      </c>
      <c r="AD68" s="27">
        <f>'Por Valoracion (3) Dimension 2'!D68</f>
        <v>45</v>
      </c>
      <c r="AY68" s="36"/>
      <c r="BA68" s="53" t="str">
        <f>('Gestión de abastecimiento'!A69)</f>
        <v>Beneficiaros 65</v>
      </c>
      <c r="BB68" s="27">
        <f>'Por Valoracion (3) Dimension'!F68</f>
        <v>30</v>
      </c>
      <c r="BC68" s="27">
        <f>'Por Valoracion (3) Dimension 2'!D68</f>
        <v>45</v>
      </c>
      <c r="BX68" s="36"/>
      <c r="BZ68" s="37"/>
      <c r="CB68" s="53" t="str">
        <f>('Gestión de abastecimiento'!A69)</f>
        <v>Beneficiaros 65</v>
      </c>
      <c r="CC68" s="27">
        <f>'Por Valoracion (3) Dimension 2'!B68</f>
        <v>45</v>
      </c>
      <c r="CD68" s="27">
        <f>'Por Valoracion (3) Dimension'!H68</f>
        <v>89</v>
      </c>
      <c r="CY68" s="37"/>
    </row>
    <row r="69" spans="1:103" x14ac:dyDescent="0.25">
      <c r="A69" s="36"/>
      <c r="C69" s="53" t="str">
        <f>('Gestión de abastecimiento'!A70)</f>
        <v>Beneficiaros 66</v>
      </c>
      <c r="D69" s="27">
        <f>'Por Valoracion (3) Dimension'!B69</f>
        <v>16</v>
      </c>
      <c r="E69" s="27">
        <f>'Por Valoracion (3) Dimension 2'!D69</f>
        <v>21</v>
      </c>
      <c r="Z69" s="36"/>
      <c r="AB69" s="53" t="str">
        <f>('Gestión de abastecimiento'!A70)</f>
        <v>Beneficiaros 66</v>
      </c>
      <c r="AC69" s="27">
        <f>'Por Valoracion (3) Dimension'!D69</f>
        <v>17</v>
      </c>
      <c r="AD69" s="27">
        <f>'Por Valoracion (3) Dimension 2'!D69</f>
        <v>21</v>
      </c>
      <c r="AY69" s="36"/>
      <c r="BA69" s="53" t="str">
        <f>('Gestión de abastecimiento'!A70)</f>
        <v>Beneficiaros 66</v>
      </c>
      <c r="BB69" s="27">
        <f>'Por Valoracion (3) Dimension'!F69</f>
        <v>13</v>
      </c>
      <c r="BC69" s="27">
        <f>'Por Valoracion (3) Dimension 2'!D69</f>
        <v>21</v>
      </c>
      <c r="BX69" s="36"/>
      <c r="BZ69" s="37"/>
      <c r="CB69" s="53" t="str">
        <f>('Gestión de abastecimiento'!A70)</f>
        <v>Beneficiaros 66</v>
      </c>
      <c r="CC69" s="27">
        <f>'Por Valoracion (3) Dimension 2'!B69</f>
        <v>21</v>
      </c>
      <c r="CD69" s="27">
        <f>'Por Valoracion (3) Dimension'!H69</f>
        <v>46</v>
      </c>
      <c r="CY69" s="37"/>
    </row>
    <row r="70" spans="1:103" x14ac:dyDescent="0.25">
      <c r="A70" s="36"/>
      <c r="C70" s="53" t="str">
        <f>('Gestión de abastecimiento'!A71)</f>
        <v>Beneficiaros 67</v>
      </c>
      <c r="D70" s="27">
        <f>'Por Valoracion (3) Dimension'!B70</f>
        <v>17</v>
      </c>
      <c r="E70" s="27">
        <f>'Por Valoracion (3) Dimension 2'!D70</f>
        <v>26</v>
      </c>
      <c r="Z70" s="36"/>
      <c r="AB70" s="53" t="str">
        <f>('Gestión de abastecimiento'!A71)</f>
        <v>Beneficiaros 67</v>
      </c>
      <c r="AC70" s="27">
        <f>'Por Valoracion (3) Dimension'!D70</f>
        <v>17</v>
      </c>
      <c r="AD70" s="27">
        <f>'Por Valoracion (3) Dimension 2'!D70</f>
        <v>26</v>
      </c>
      <c r="AY70" s="36"/>
      <c r="BA70" s="53" t="str">
        <f>('Gestión de abastecimiento'!A71)</f>
        <v>Beneficiaros 67</v>
      </c>
      <c r="BB70" s="27">
        <f>'Por Valoracion (3) Dimension'!F70</f>
        <v>15</v>
      </c>
      <c r="BC70" s="27">
        <f>'Por Valoracion (3) Dimension 2'!D70</f>
        <v>26</v>
      </c>
      <c r="BX70" s="36"/>
      <c r="BZ70" s="37"/>
      <c r="CB70" s="53" t="str">
        <f>('Gestión de abastecimiento'!A71)</f>
        <v>Beneficiaros 67</v>
      </c>
      <c r="CC70" s="27">
        <f>'Por Valoracion (3) Dimension 2'!B70</f>
        <v>26</v>
      </c>
      <c r="CD70" s="27">
        <f>'Por Valoracion (3) Dimension'!H70</f>
        <v>49</v>
      </c>
      <c r="CY70" s="37"/>
    </row>
    <row r="71" spans="1:103" x14ac:dyDescent="0.25">
      <c r="A71" s="36"/>
      <c r="C71" s="53" t="str">
        <f>('Gestión de abastecimiento'!A72)</f>
        <v>Beneficiaros 68</v>
      </c>
      <c r="D71" s="27">
        <f>'Por Valoracion (3) Dimension'!B71</f>
        <v>25</v>
      </c>
      <c r="E71" s="27">
        <f>'Por Valoracion (3) Dimension 2'!D71</f>
        <v>36</v>
      </c>
      <c r="Z71" s="36"/>
      <c r="AB71" s="53" t="str">
        <f>('Gestión de abastecimiento'!A72)</f>
        <v>Beneficiaros 68</v>
      </c>
      <c r="AC71" s="27">
        <f>'Por Valoracion (3) Dimension'!D71</f>
        <v>25</v>
      </c>
      <c r="AD71" s="27">
        <f>'Por Valoracion (3) Dimension 2'!D71</f>
        <v>36</v>
      </c>
      <c r="AY71" s="36"/>
      <c r="BA71" s="53" t="str">
        <f>('Gestión de abastecimiento'!A72)</f>
        <v>Beneficiaros 68</v>
      </c>
      <c r="BB71" s="27">
        <f>'Por Valoracion (3) Dimension'!F71</f>
        <v>25</v>
      </c>
      <c r="BC71" s="27">
        <f>'Por Valoracion (3) Dimension 2'!D71</f>
        <v>36</v>
      </c>
      <c r="BX71" s="36"/>
      <c r="BZ71" s="37"/>
      <c r="CB71" s="53" t="str">
        <f>('Gestión de abastecimiento'!A72)</f>
        <v>Beneficiaros 68</v>
      </c>
      <c r="CC71" s="27">
        <f>'Por Valoracion (3) Dimension 2'!B71</f>
        <v>36</v>
      </c>
      <c r="CD71" s="27">
        <f>'Por Valoracion (3) Dimension'!H71</f>
        <v>75</v>
      </c>
      <c r="CY71" s="37"/>
    </row>
    <row r="72" spans="1:103" x14ac:dyDescent="0.25">
      <c r="A72" s="36"/>
      <c r="C72" s="53" t="str">
        <f>('Gestión de abastecimiento'!A73)</f>
        <v>Beneficiaros 69</v>
      </c>
      <c r="D72" s="27">
        <f>'Por Valoracion (3) Dimension'!B72</f>
        <v>18</v>
      </c>
      <c r="E72" s="27">
        <f>'Por Valoracion (3) Dimension 2'!D72</f>
        <v>28</v>
      </c>
      <c r="Z72" s="36"/>
      <c r="AB72" s="53" t="str">
        <f>('Gestión de abastecimiento'!A73)</f>
        <v>Beneficiaros 69</v>
      </c>
      <c r="AC72" s="27">
        <f>'Por Valoracion (3) Dimension'!D72</f>
        <v>19</v>
      </c>
      <c r="AD72" s="27">
        <f>'Por Valoracion (3) Dimension 2'!D72</f>
        <v>28</v>
      </c>
      <c r="AY72" s="36"/>
      <c r="BA72" s="53" t="str">
        <f>('Gestión de abastecimiento'!A73)</f>
        <v>Beneficiaros 69</v>
      </c>
      <c r="BB72" s="27">
        <f>'Por Valoracion (3) Dimension'!F72</f>
        <v>19</v>
      </c>
      <c r="BC72" s="27">
        <f>'Por Valoracion (3) Dimension 2'!D72</f>
        <v>28</v>
      </c>
      <c r="BX72" s="36"/>
      <c r="BZ72" s="37"/>
      <c r="CB72" s="53" t="str">
        <f>('Gestión de abastecimiento'!A73)</f>
        <v>Beneficiaros 69</v>
      </c>
      <c r="CC72" s="27">
        <f>'Por Valoracion (3) Dimension 2'!B72</f>
        <v>28</v>
      </c>
      <c r="CD72" s="27">
        <f>'Por Valoracion (3) Dimension'!H72</f>
        <v>56</v>
      </c>
      <c r="CY72" s="37"/>
    </row>
    <row r="73" spans="1:103" x14ac:dyDescent="0.25">
      <c r="A73" s="36"/>
      <c r="C73" s="53" t="str">
        <f>('Gestión de abastecimiento'!A74)</f>
        <v>Beneficiaros 70</v>
      </c>
      <c r="D73" s="27">
        <f>'Por Valoracion (3) Dimension'!B73</f>
        <v>20</v>
      </c>
      <c r="E73" s="27">
        <f>'Por Valoracion (3) Dimension 2'!D73</f>
        <v>29</v>
      </c>
      <c r="Z73" s="36"/>
      <c r="AB73" s="53" t="str">
        <f>('Gestión de abastecimiento'!A74)</f>
        <v>Beneficiaros 70</v>
      </c>
      <c r="AC73" s="27">
        <f>'Por Valoracion (3) Dimension'!D73</f>
        <v>20</v>
      </c>
      <c r="AD73" s="27">
        <f>'Por Valoracion (3) Dimension 2'!D73</f>
        <v>29</v>
      </c>
      <c r="AY73" s="36"/>
      <c r="BA73" s="53" t="str">
        <f>('Gestión de abastecimiento'!A74)</f>
        <v>Beneficiaros 70</v>
      </c>
      <c r="BB73" s="27">
        <f>'Por Valoracion (3) Dimension'!F73</f>
        <v>20</v>
      </c>
      <c r="BC73" s="27">
        <f>'Por Valoracion (3) Dimension 2'!D73</f>
        <v>29</v>
      </c>
      <c r="BX73" s="36"/>
      <c r="BZ73" s="37"/>
      <c r="CB73" s="53" t="str">
        <f>('Gestión de abastecimiento'!A74)</f>
        <v>Beneficiaros 70</v>
      </c>
      <c r="CC73" s="27">
        <f>'Por Valoracion (3) Dimension 2'!B73</f>
        <v>29</v>
      </c>
      <c r="CD73" s="27">
        <f>'Por Valoracion (3) Dimension'!H73</f>
        <v>60</v>
      </c>
      <c r="CY73" s="37"/>
    </row>
    <row r="74" spans="1:103" x14ac:dyDescent="0.25">
      <c r="A74" s="36"/>
      <c r="C74" s="53" t="str">
        <f>('Gestión de abastecimiento'!A75)</f>
        <v>Beneficiaros 71</v>
      </c>
      <c r="D74" s="27">
        <f>'Por Valoracion (3) Dimension'!B74</f>
        <v>16</v>
      </c>
      <c r="E74" s="27">
        <f>'Por Valoracion (3) Dimension 2'!D74</f>
        <v>23</v>
      </c>
      <c r="Z74" s="36"/>
      <c r="AB74" s="53" t="str">
        <f>('Gestión de abastecimiento'!A75)</f>
        <v>Beneficiaros 71</v>
      </c>
      <c r="AC74" s="27">
        <f>'Por Valoracion (3) Dimension'!D74</f>
        <v>16</v>
      </c>
      <c r="AD74" s="27">
        <f>'Por Valoracion (3) Dimension 2'!D74</f>
        <v>23</v>
      </c>
      <c r="AY74" s="36"/>
      <c r="BA74" s="53" t="str">
        <f>('Gestión de abastecimiento'!A75)</f>
        <v>Beneficiaros 71</v>
      </c>
      <c r="BB74" s="27">
        <f>'Por Valoracion (3) Dimension'!F74</f>
        <v>14</v>
      </c>
      <c r="BC74" s="27">
        <f>'Por Valoracion (3) Dimension 2'!D74</f>
        <v>23</v>
      </c>
      <c r="BX74" s="36"/>
      <c r="BZ74" s="37"/>
      <c r="CB74" s="53" t="str">
        <f>('Gestión de abastecimiento'!A75)</f>
        <v>Beneficiaros 71</v>
      </c>
      <c r="CC74" s="27">
        <f>'Por Valoracion (3) Dimension 2'!B74</f>
        <v>23</v>
      </c>
      <c r="CD74" s="27">
        <f>'Por Valoracion (3) Dimension'!H74</f>
        <v>46</v>
      </c>
      <c r="CY74" s="37"/>
    </row>
    <row r="75" spans="1:103" x14ac:dyDescent="0.25">
      <c r="A75" s="36"/>
      <c r="C75" s="53" t="str">
        <f>('Gestión de abastecimiento'!A76)</f>
        <v>Beneficiaros 72</v>
      </c>
      <c r="D75" s="27">
        <f>'Por Valoracion (3) Dimension'!B75</f>
        <v>7</v>
      </c>
      <c r="E75" s="27">
        <f>'Por Valoracion (3) Dimension 2'!D75</f>
        <v>13</v>
      </c>
      <c r="Z75" s="36"/>
      <c r="AB75" s="53" t="str">
        <f>('Gestión de abastecimiento'!A76)</f>
        <v>Beneficiaros 72</v>
      </c>
      <c r="AC75" s="27">
        <f>'Por Valoracion (3) Dimension'!D75</f>
        <v>8</v>
      </c>
      <c r="AD75" s="27">
        <f>'Por Valoracion (3) Dimension 2'!D75</f>
        <v>13</v>
      </c>
      <c r="AY75" s="36"/>
      <c r="BA75" s="53" t="str">
        <f>('Gestión de abastecimiento'!A76)</f>
        <v>Beneficiaros 72</v>
      </c>
      <c r="BB75" s="27">
        <f>'Por Valoracion (3) Dimension'!F75</f>
        <v>7</v>
      </c>
      <c r="BC75" s="27">
        <f>'Por Valoracion (3) Dimension 2'!D75</f>
        <v>13</v>
      </c>
      <c r="BX75" s="36"/>
      <c r="BZ75" s="37"/>
      <c r="CB75" s="53" t="str">
        <f>('Gestión de abastecimiento'!A76)</f>
        <v>Beneficiaros 72</v>
      </c>
      <c r="CC75" s="27">
        <f>'Por Valoracion (3) Dimension 2'!B75</f>
        <v>13</v>
      </c>
      <c r="CD75" s="27">
        <f>'Por Valoracion (3) Dimension'!H75</f>
        <v>22</v>
      </c>
      <c r="CY75" s="37"/>
    </row>
    <row r="76" spans="1:103" x14ac:dyDescent="0.25">
      <c r="A76" s="36"/>
      <c r="C76" s="53" t="str">
        <f>('Gestión de abastecimiento'!A77)</f>
        <v>Beneficiaros 73</v>
      </c>
      <c r="D76" s="27">
        <f>'Por Valoracion (3) Dimension'!B76</f>
        <v>18</v>
      </c>
      <c r="E76" s="27">
        <f>'Por Valoracion (3) Dimension 2'!D76</f>
        <v>24</v>
      </c>
      <c r="Z76" s="36"/>
      <c r="AB76" s="53" t="str">
        <f>('Gestión de abastecimiento'!A77)</f>
        <v>Beneficiaros 73</v>
      </c>
      <c r="AC76" s="27">
        <f>'Por Valoracion (3) Dimension'!D76</f>
        <v>17</v>
      </c>
      <c r="AD76" s="27">
        <f>'Por Valoracion (3) Dimension 2'!D76</f>
        <v>24</v>
      </c>
      <c r="AY76" s="36"/>
      <c r="BA76" s="53" t="str">
        <f>('Gestión de abastecimiento'!A77)</f>
        <v>Beneficiaros 73</v>
      </c>
      <c r="BB76" s="27">
        <f>'Por Valoracion (3) Dimension'!F76</f>
        <v>14</v>
      </c>
      <c r="BC76" s="27">
        <f>'Por Valoracion (3) Dimension 2'!D76</f>
        <v>24</v>
      </c>
      <c r="BX76" s="36"/>
      <c r="BZ76" s="37"/>
      <c r="CB76" s="53" t="str">
        <f>('Gestión de abastecimiento'!A77)</f>
        <v>Beneficiaros 73</v>
      </c>
      <c r="CC76" s="27">
        <f>'Por Valoracion (3) Dimension 2'!B76</f>
        <v>24</v>
      </c>
      <c r="CD76" s="27">
        <f>'Por Valoracion (3) Dimension'!H76</f>
        <v>49</v>
      </c>
      <c r="CY76" s="37"/>
    </row>
    <row r="77" spans="1:103" x14ac:dyDescent="0.25">
      <c r="A77" s="36"/>
      <c r="C77" s="53" t="str">
        <f>('Gestión de abastecimiento'!A78)</f>
        <v>Beneficiaros 74</v>
      </c>
      <c r="D77" s="27">
        <f>'Por Valoracion (3) Dimension'!B77</f>
        <v>18</v>
      </c>
      <c r="E77" s="27">
        <f>'Por Valoracion (3) Dimension 2'!D77</f>
        <v>25</v>
      </c>
      <c r="Z77" s="36"/>
      <c r="AB77" s="53" t="str">
        <f>('Gestión de abastecimiento'!A78)</f>
        <v>Beneficiaros 74</v>
      </c>
      <c r="AC77" s="27">
        <f>'Por Valoracion (3) Dimension'!D77</f>
        <v>17</v>
      </c>
      <c r="AD77" s="27">
        <f>'Por Valoracion (3) Dimension 2'!D77</f>
        <v>25</v>
      </c>
      <c r="AY77" s="36"/>
      <c r="BA77" s="53" t="str">
        <f>('Gestión de abastecimiento'!A78)</f>
        <v>Beneficiaros 74</v>
      </c>
      <c r="BB77" s="27">
        <f>'Por Valoracion (3) Dimension'!F77</f>
        <v>17</v>
      </c>
      <c r="BC77" s="27">
        <f>'Por Valoracion (3) Dimension 2'!D77</f>
        <v>25</v>
      </c>
      <c r="BX77" s="36"/>
      <c r="BZ77" s="37"/>
      <c r="CB77" s="53" t="str">
        <f>('Gestión de abastecimiento'!A78)</f>
        <v>Beneficiaros 74</v>
      </c>
      <c r="CC77" s="27">
        <f>'Por Valoracion (3) Dimension 2'!B77</f>
        <v>25</v>
      </c>
      <c r="CD77" s="27">
        <f>'Por Valoracion (3) Dimension'!H77</f>
        <v>52</v>
      </c>
      <c r="CY77" s="37"/>
    </row>
    <row r="78" spans="1:103" x14ac:dyDescent="0.25">
      <c r="A78" s="36"/>
      <c r="C78" s="53" t="str">
        <f>('Gestión de abastecimiento'!A79)</f>
        <v>Beneficiaros 75</v>
      </c>
      <c r="D78" s="27">
        <f>'Por Valoracion (3) Dimension'!B78</f>
        <v>18</v>
      </c>
      <c r="E78" s="27">
        <f>'Por Valoracion (3) Dimension 2'!D78</f>
        <v>23</v>
      </c>
      <c r="Z78" s="36"/>
      <c r="AB78" s="53" t="str">
        <f>('Gestión de abastecimiento'!A79)</f>
        <v>Beneficiaros 75</v>
      </c>
      <c r="AC78" s="27">
        <f>'Por Valoracion (3) Dimension'!D78</f>
        <v>17</v>
      </c>
      <c r="AD78" s="27">
        <f>'Por Valoracion (3) Dimension 2'!D78</f>
        <v>23</v>
      </c>
      <c r="AY78" s="36"/>
      <c r="BA78" s="53" t="str">
        <f>('Gestión de abastecimiento'!A79)</f>
        <v>Beneficiaros 75</v>
      </c>
      <c r="BB78" s="27">
        <f>'Por Valoracion (3) Dimension'!F78</f>
        <v>13</v>
      </c>
      <c r="BC78" s="27">
        <f>'Por Valoracion (3) Dimension 2'!D78</f>
        <v>23</v>
      </c>
      <c r="BX78" s="36"/>
      <c r="BZ78" s="37"/>
      <c r="CB78" s="53" t="str">
        <f>('Gestión de abastecimiento'!A79)</f>
        <v>Beneficiaros 75</v>
      </c>
      <c r="CC78" s="27">
        <f>'Por Valoracion (3) Dimension 2'!B78</f>
        <v>23</v>
      </c>
      <c r="CD78" s="27">
        <f>'Por Valoracion (3) Dimension'!H78</f>
        <v>48</v>
      </c>
      <c r="CY78" s="37"/>
    </row>
    <row r="79" spans="1:103" x14ac:dyDescent="0.25">
      <c r="A79" s="36"/>
      <c r="C79" s="53" t="str">
        <f>('Gestión de abastecimiento'!A80)</f>
        <v>Beneficiaros 76</v>
      </c>
      <c r="D79" s="27">
        <f>'Por Valoracion (3) Dimension'!B79</f>
        <v>18</v>
      </c>
      <c r="E79" s="27">
        <f>'Por Valoracion (3) Dimension 2'!D79</f>
        <v>27</v>
      </c>
      <c r="Z79" s="36"/>
      <c r="AB79" s="53" t="str">
        <f>('Gestión de abastecimiento'!A80)</f>
        <v>Beneficiaros 76</v>
      </c>
      <c r="AC79" s="27">
        <f>'Por Valoracion (3) Dimension'!D79</f>
        <v>18</v>
      </c>
      <c r="AD79" s="27">
        <f>'Por Valoracion (3) Dimension 2'!D79</f>
        <v>27</v>
      </c>
      <c r="AY79" s="36"/>
      <c r="BA79" s="53" t="str">
        <f>('Gestión de abastecimiento'!A80)</f>
        <v>Beneficiaros 76</v>
      </c>
      <c r="BB79" s="27">
        <f>'Por Valoracion (3) Dimension'!F79</f>
        <v>18</v>
      </c>
      <c r="BC79" s="27">
        <f>'Por Valoracion (3) Dimension 2'!D79</f>
        <v>27</v>
      </c>
      <c r="BX79" s="36"/>
      <c r="BZ79" s="37"/>
      <c r="CB79" s="53" t="str">
        <f>('Gestión de abastecimiento'!A80)</f>
        <v>Beneficiaros 76</v>
      </c>
      <c r="CC79" s="27">
        <f>'Por Valoracion (3) Dimension 2'!B79</f>
        <v>27</v>
      </c>
      <c r="CD79" s="27">
        <f>'Por Valoracion (3) Dimension'!H79</f>
        <v>54</v>
      </c>
      <c r="CY79" s="37"/>
    </row>
    <row r="80" spans="1:103" x14ac:dyDescent="0.25">
      <c r="A80" s="36"/>
      <c r="C80" s="53" t="str">
        <f>('Gestión de abastecimiento'!A81)</f>
        <v>Beneficiaros 77</v>
      </c>
      <c r="D80" s="27">
        <f>'Por Valoracion (3) Dimension'!B80</f>
        <v>18</v>
      </c>
      <c r="E80" s="27">
        <f>'Por Valoracion (3) Dimension 2'!D80</f>
        <v>28</v>
      </c>
      <c r="Z80" s="36"/>
      <c r="AB80" s="53" t="str">
        <f>('Gestión de abastecimiento'!A81)</f>
        <v>Beneficiaros 77</v>
      </c>
      <c r="AC80" s="27">
        <f>'Por Valoracion (3) Dimension'!D80</f>
        <v>18</v>
      </c>
      <c r="AD80" s="27">
        <f>'Por Valoracion (3) Dimension 2'!D80</f>
        <v>28</v>
      </c>
      <c r="AY80" s="36"/>
      <c r="BA80" s="53" t="str">
        <f>('Gestión de abastecimiento'!A81)</f>
        <v>Beneficiaros 77</v>
      </c>
      <c r="BB80" s="27">
        <f>'Por Valoracion (3) Dimension'!F80</f>
        <v>18</v>
      </c>
      <c r="BC80" s="27">
        <f>'Por Valoracion (3) Dimension 2'!D80</f>
        <v>28</v>
      </c>
      <c r="BX80" s="36"/>
      <c r="BZ80" s="37"/>
      <c r="CB80" s="53" t="str">
        <f>('Gestión de abastecimiento'!A81)</f>
        <v>Beneficiaros 77</v>
      </c>
      <c r="CC80" s="27">
        <f>'Por Valoracion (3) Dimension 2'!B80</f>
        <v>28</v>
      </c>
      <c r="CD80" s="27">
        <f>'Por Valoracion (3) Dimension'!H80</f>
        <v>54</v>
      </c>
      <c r="CY80" s="37"/>
    </row>
    <row r="81" spans="1:103" x14ac:dyDescent="0.25">
      <c r="A81" s="36"/>
      <c r="C81" s="53" t="str">
        <f>('Gestión de abastecimiento'!A82)</f>
        <v>Beneficiaros 78</v>
      </c>
      <c r="D81" s="27">
        <f>'Por Valoracion (3) Dimension'!B81</f>
        <v>20</v>
      </c>
      <c r="E81" s="27">
        <f>'Por Valoracion (3) Dimension 2'!D81</f>
        <v>29</v>
      </c>
      <c r="Z81" s="36"/>
      <c r="AB81" s="53" t="str">
        <f>('Gestión de abastecimiento'!A82)</f>
        <v>Beneficiaros 78</v>
      </c>
      <c r="AC81" s="27">
        <f>'Por Valoracion (3) Dimension'!D81</f>
        <v>20</v>
      </c>
      <c r="AD81" s="27">
        <f>'Por Valoracion (3) Dimension 2'!D81</f>
        <v>29</v>
      </c>
      <c r="AY81" s="36"/>
      <c r="BA81" s="53" t="str">
        <f>('Gestión de abastecimiento'!A82)</f>
        <v>Beneficiaros 78</v>
      </c>
      <c r="BB81" s="27">
        <f>'Por Valoracion (3) Dimension'!F81</f>
        <v>21</v>
      </c>
      <c r="BC81" s="27">
        <f>'Por Valoracion (3) Dimension 2'!D81</f>
        <v>29</v>
      </c>
      <c r="BX81" s="36"/>
      <c r="BZ81" s="37"/>
      <c r="CB81" s="53" t="str">
        <f>('Gestión de abastecimiento'!A82)</f>
        <v>Beneficiaros 78</v>
      </c>
      <c r="CC81" s="27">
        <f>'Por Valoracion (3) Dimension 2'!B81</f>
        <v>29</v>
      </c>
      <c r="CD81" s="27">
        <f>'Por Valoracion (3) Dimension'!H81</f>
        <v>61</v>
      </c>
      <c r="CY81" s="37"/>
    </row>
    <row r="82" spans="1:103" x14ac:dyDescent="0.25">
      <c r="A82" s="36"/>
      <c r="C82" s="53" t="str">
        <f>('Gestión de abastecimiento'!A83)</f>
        <v>Beneficiaros 79</v>
      </c>
      <c r="D82" s="27">
        <f>'Por Valoracion (3) Dimension'!B82</f>
        <v>17</v>
      </c>
      <c r="E82" s="27">
        <f>'Por Valoracion (3) Dimension 2'!D82</f>
        <v>24</v>
      </c>
      <c r="Z82" s="36"/>
      <c r="AB82" s="53" t="str">
        <f>('Gestión de abastecimiento'!A83)</f>
        <v>Beneficiaros 79</v>
      </c>
      <c r="AC82" s="27">
        <f>'Por Valoracion (3) Dimension'!D82</f>
        <v>18</v>
      </c>
      <c r="AD82" s="27">
        <f>'Por Valoracion (3) Dimension 2'!D82</f>
        <v>24</v>
      </c>
      <c r="AY82" s="36"/>
      <c r="BA82" s="53" t="str">
        <f>('Gestión de abastecimiento'!A83)</f>
        <v>Beneficiaros 79</v>
      </c>
      <c r="BB82" s="27">
        <f>'Por Valoracion (3) Dimension'!F82</f>
        <v>18</v>
      </c>
      <c r="BC82" s="27">
        <f>'Por Valoracion (3) Dimension 2'!D82</f>
        <v>24</v>
      </c>
      <c r="BX82" s="36"/>
      <c r="BZ82" s="37"/>
      <c r="CB82" s="53" t="str">
        <f>('Gestión de abastecimiento'!A83)</f>
        <v>Beneficiaros 79</v>
      </c>
      <c r="CC82" s="27">
        <f>'Por Valoracion (3) Dimension 2'!B82</f>
        <v>24</v>
      </c>
      <c r="CD82" s="27">
        <f>'Por Valoracion (3) Dimension'!H82</f>
        <v>53</v>
      </c>
      <c r="CY82" s="37"/>
    </row>
    <row r="83" spans="1:103" x14ac:dyDescent="0.25">
      <c r="A83" s="36"/>
      <c r="C83" s="53" t="str">
        <f>('Gestión de abastecimiento'!A84)</f>
        <v>Beneficiaros 80</v>
      </c>
      <c r="D83" s="27">
        <f>'Por Valoracion (3) Dimension'!B83</f>
        <v>24</v>
      </c>
      <c r="E83" s="27">
        <f>'Por Valoracion (3) Dimension 2'!D83</f>
        <v>33</v>
      </c>
      <c r="Z83" s="36"/>
      <c r="AB83" s="53" t="str">
        <f>('Gestión de abastecimiento'!A84)</f>
        <v>Beneficiaros 80</v>
      </c>
      <c r="AC83" s="27">
        <f>'Por Valoracion (3) Dimension'!D83</f>
        <v>21</v>
      </c>
      <c r="AD83" s="27">
        <f>'Por Valoracion (3) Dimension 2'!D83</f>
        <v>33</v>
      </c>
      <c r="AY83" s="36"/>
      <c r="BA83" s="53" t="str">
        <f>('Gestión de abastecimiento'!A84)</f>
        <v>Beneficiaros 80</v>
      </c>
      <c r="BB83" s="27">
        <f>'Por Valoracion (3) Dimension'!F83</f>
        <v>21</v>
      </c>
      <c r="BC83" s="27">
        <f>'Por Valoracion (3) Dimension 2'!D83</f>
        <v>33</v>
      </c>
      <c r="BX83" s="36"/>
      <c r="BZ83" s="37"/>
      <c r="CB83" s="53" t="str">
        <f>('Gestión de abastecimiento'!A84)</f>
        <v>Beneficiaros 80</v>
      </c>
      <c r="CC83" s="27">
        <f>'Por Valoracion (3) Dimension 2'!B83</f>
        <v>33</v>
      </c>
      <c r="CD83" s="27">
        <f>'Por Valoracion (3) Dimension'!H83</f>
        <v>66</v>
      </c>
      <c r="CY83" s="37"/>
    </row>
    <row r="84" spans="1:103" x14ac:dyDescent="0.25">
      <c r="A84" s="36"/>
      <c r="C84" s="53" t="str">
        <f>('Gestión de abastecimiento'!A85)</f>
        <v>Beneficiaros 81</v>
      </c>
      <c r="D84" s="27">
        <f>'Por Valoracion (3) Dimension'!B84</f>
        <v>17</v>
      </c>
      <c r="E84" s="27">
        <f>'Por Valoracion (3) Dimension 2'!D84</f>
        <v>25</v>
      </c>
      <c r="Z84" s="36"/>
      <c r="AB84" s="53" t="str">
        <f>('Gestión de abastecimiento'!A85)</f>
        <v>Beneficiaros 81</v>
      </c>
      <c r="AC84" s="27">
        <f>'Por Valoracion (3) Dimension'!D84</f>
        <v>18</v>
      </c>
      <c r="AD84" s="27">
        <f>'Por Valoracion (3) Dimension 2'!D84</f>
        <v>25</v>
      </c>
      <c r="AY84" s="36"/>
      <c r="BA84" s="53" t="str">
        <f>('Gestión de abastecimiento'!A85)</f>
        <v>Beneficiaros 81</v>
      </c>
      <c r="BB84" s="27">
        <f>'Por Valoracion (3) Dimension'!F84</f>
        <v>16</v>
      </c>
      <c r="BC84" s="27">
        <f>'Por Valoracion (3) Dimension 2'!D84</f>
        <v>25</v>
      </c>
      <c r="BX84" s="36"/>
      <c r="BZ84" s="37"/>
      <c r="CB84" s="53" t="str">
        <f>('Gestión de abastecimiento'!A85)</f>
        <v>Beneficiaros 81</v>
      </c>
      <c r="CC84" s="27">
        <f>'Por Valoracion (3) Dimension 2'!B84</f>
        <v>25</v>
      </c>
      <c r="CD84" s="27">
        <f>'Por Valoracion (3) Dimension'!H84</f>
        <v>51</v>
      </c>
      <c r="CY84" s="37"/>
    </row>
    <row r="85" spans="1:103" x14ac:dyDescent="0.25">
      <c r="A85" s="36"/>
      <c r="C85" s="53" t="str">
        <f>('Gestión de abastecimiento'!A86)</f>
        <v>Beneficiaros 82</v>
      </c>
      <c r="D85" s="27">
        <f>'Por Valoracion (3) Dimension'!B85</f>
        <v>16</v>
      </c>
      <c r="E85" s="27">
        <f>'Por Valoracion (3) Dimension 2'!D85</f>
        <v>26</v>
      </c>
      <c r="Z85" s="36"/>
      <c r="AB85" s="53" t="str">
        <f>('Gestión de abastecimiento'!A86)</f>
        <v>Beneficiaros 82</v>
      </c>
      <c r="AC85" s="27">
        <f>'Por Valoracion (3) Dimension'!D85</f>
        <v>18</v>
      </c>
      <c r="AD85" s="27">
        <f>'Por Valoracion (3) Dimension 2'!D85</f>
        <v>26</v>
      </c>
      <c r="AY85" s="36"/>
      <c r="BA85" s="53" t="str">
        <f>('Gestión de abastecimiento'!A86)</f>
        <v>Beneficiaros 82</v>
      </c>
      <c r="BB85" s="27">
        <f>'Por Valoracion (3) Dimension'!F85</f>
        <v>15</v>
      </c>
      <c r="BC85" s="27">
        <f>'Por Valoracion (3) Dimension 2'!D85</f>
        <v>26</v>
      </c>
      <c r="BX85" s="36"/>
      <c r="BZ85" s="37"/>
      <c r="CB85" s="53" t="str">
        <f>('Gestión de abastecimiento'!A86)</f>
        <v>Beneficiaros 82</v>
      </c>
      <c r="CC85" s="27">
        <f>'Por Valoracion (3) Dimension 2'!B85</f>
        <v>26</v>
      </c>
      <c r="CD85" s="27">
        <f>'Por Valoracion (3) Dimension'!H85</f>
        <v>49</v>
      </c>
      <c r="CY85" s="37"/>
    </row>
    <row r="86" spans="1:103" x14ac:dyDescent="0.25">
      <c r="A86" s="36"/>
      <c r="C86" s="53" t="str">
        <f>('Gestión de abastecimiento'!A87)</f>
        <v>Beneficiaros 83</v>
      </c>
      <c r="D86" s="27">
        <f>'Por Valoracion (3) Dimension'!B86</f>
        <v>15</v>
      </c>
      <c r="E86" s="27">
        <f>'Por Valoracion (3) Dimension 2'!D86</f>
        <v>25</v>
      </c>
      <c r="Z86" s="36"/>
      <c r="AB86" s="53" t="str">
        <f>('Gestión de abastecimiento'!A87)</f>
        <v>Beneficiaros 83</v>
      </c>
      <c r="AC86" s="27">
        <f>'Por Valoracion (3) Dimension'!D86</f>
        <v>15</v>
      </c>
      <c r="AD86" s="27">
        <f>'Por Valoracion (3) Dimension 2'!D86</f>
        <v>25</v>
      </c>
      <c r="AY86" s="36"/>
      <c r="BA86" s="53" t="str">
        <f>('Gestión de abastecimiento'!A87)</f>
        <v>Beneficiaros 83</v>
      </c>
      <c r="BB86" s="27">
        <f>'Por Valoracion (3) Dimension'!F86</f>
        <v>15</v>
      </c>
      <c r="BC86" s="27">
        <f>'Por Valoracion (3) Dimension 2'!D86</f>
        <v>25</v>
      </c>
      <c r="BX86" s="36"/>
      <c r="BZ86" s="37"/>
      <c r="CB86" s="53" t="str">
        <f>('Gestión de abastecimiento'!A87)</f>
        <v>Beneficiaros 83</v>
      </c>
      <c r="CC86" s="27">
        <f>'Por Valoracion (3) Dimension 2'!B86</f>
        <v>25</v>
      </c>
      <c r="CD86" s="27">
        <f>'Por Valoracion (3) Dimension'!H86</f>
        <v>45</v>
      </c>
      <c r="CY86" s="37"/>
    </row>
    <row r="87" spans="1:103" x14ac:dyDescent="0.25">
      <c r="A87" s="36"/>
      <c r="C87" s="53" t="str">
        <f>('Gestión de abastecimiento'!A88)</f>
        <v>Beneficiaros 84</v>
      </c>
      <c r="D87" s="27">
        <f>'Por Valoracion (3) Dimension'!B87</f>
        <v>13</v>
      </c>
      <c r="E87" s="27">
        <f>'Por Valoracion (3) Dimension 2'!D87</f>
        <v>19</v>
      </c>
      <c r="Z87" s="36"/>
      <c r="AB87" s="53" t="str">
        <f>('Gestión de abastecimiento'!A88)</f>
        <v>Beneficiaros 84</v>
      </c>
      <c r="AC87" s="27">
        <f>'Por Valoracion (3) Dimension'!D87</f>
        <v>15</v>
      </c>
      <c r="AD87" s="27">
        <f>'Por Valoracion (3) Dimension 2'!D87</f>
        <v>19</v>
      </c>
      <c r="AY87" s="36"/>
      <c r="BA87" s="53" t="str">
        <f>('Gestión de abastecimiento'!A88)</f>
        <v>Beneficiaros 84</v>
      </c>
      <c r="BB87" s="27">
        <f>'Por Valoracion (3) Dimension'!F87</f>
        <v>13</v>
      </c>
      <c r="BC87" s="27">
        <f>'Por Valoracion (3) Dimension 2'!D87</f>
        <v>19</v>
      </c>
      <c r="BX87" s="36"/>
      <c r="BZ87" s="37"/>
      <c r="CB87" s="53" t="str">
        <f>('Gestión de abastecimiento'!A88)</f>
        <v>Beneficiaros 84</v>
      </c>
      <c r="CC87" s="27">
        <f>'Por Valoracion (3) Dimension 2'!B87</f>
        <v>19</v>
      </c>
      <c r="CD87" s="27">
        <f>'Por Valoracion (3) Dimension'!H87</f>
        <v>41</v>
      </c>
      <c r="CY87" s="37"/>
    </row>
    <row r="88" spans="1:103" x14ac:dyDescent="0.25">
      <c r="A88" s="36"/>
      <c r="C88" s="53" t="str">
        <f>('Gestión de abastecimiento'!A89)</f>
        <v>Beneficiaros 85</v>
      </c>
      <c r="D88" s="27">
        <f>'Por Valoracion (3) Dimension'!B88</f>
        <v>29</v>
      </c>
      <c r="E88" s="27">
        <f>'Por Valoracion (3) Dimension 2'!D88</f>
        <v>40</v>
      </c>
      <c r="Z88" s="36"/>
      <c r="AB88" s="53" t="str">
        <f>('Gestión de abastecimiento'!A89)</f>
        <v>Beneficiaros 85</v>
      </c>
      <c r="AC88" s="27">
        <f>'Por Valoracion (3) Dimension'!D88</f>
        <v>28</v>
      </c>
      <c r="AD88" s="27">
        <f>'Por Valoracion (3) Dimension 2'!D88</f>
        <v>40</v>
      </c>
      <c r="AY88" s="36"/>
      <c r="BA88" s="53" t="str">
        <f>('Gestión de abastecimiento'!A89)</f>
        <v>Beneficiaros 85</v>
      </c>
      <c r="BB88" s="27">
        <f>'Por Valoracion (3) Dimension'!F88</f>
        <v>28</v>
      </c>
      <c r="BC88" s="27">
        <f>'Por Valoracion (3) Dimension 2'!D88</f>
        <v>40</v>
      </c>
      <c r="BX88" s="36"/>
      <c r="BZ88" s="37"/>
      <c r="CB88" s="53" t="str">
        <f>('Gestión de abastecimiento'!A89)</f>
        <v>Beneficiaros 85</v>
      </c>
      <c r="CC88" s="27">
        <f>'Por Valoracion (3) Dimension 2'!B88</f>
        <v>40</v>
      </c>
      <c r="CD88" s="27">
        <f>'Por Valoracion (3) Dimension'!H88</f>
        <v>85</v>
      </c>
      <c r="CY88" s="37"/>
    </row>
    <row r="89" spans="1:103" x14ac:dyDescent="0.25">
      <c r="A89" s="36"/>
      <c r="C89" s="53" t="str">
        <f>('Gestión de abastecimiento'!A90)</f>
        <v>Beneficiaros 86</v>
      </c>
      <c r="D89" s="27">
        <f>'Por Valoracion (3) Dimension'!B89</f>
        <v>19</v>
      </c>
      <c r="E89" s="27">
        <f>'Por Valoracion (3) Dimension 2'!D89</f>
        <v>27</v>
      </c>
      <c r="Z89" s="36"/>
      <c r="AB89" s="53" t="str">
        <f>('Gestión de abastecimiento'!A90)</f>
        <v>Beneficiaros 86</v>
      </c>
      <c r="AC89" s="27">
        <f>'Por Valoracion (3) Dimension'!D89</f>
        <v>20</v>
      </c>
      <c r="AD89" s="27">
        <f>'Por Valoracion (3) Dimension 2'!D89</f>
        <v>27</v>
      </c>
      <c r="AY89" s="36"/>
      <c r="BA89" s="53" t="str">
        <f>('Gestión de abastecimiento'!A90)</f>
        <v>Beneficiaros 86</v>
      </c>
      <c r="BB89" s="27">
        <f>'Por Valoracion (3) Dimension'!F89</f>
        <v>18</v>
      </c>
      <c r="BC89" s="27">
        <f>'Por Valoracion (3) Dimension 2'!D89</f>
        <v>27</v>
      </c>
      <c r="BX89" s="36"/>
      <c r="BZ89" s="37"/>
      <c r="CB89" s="53" t="str">
        <f>('Gestión de abastecimiento'!A90)</f>
        <v>Beneficiaros 86</v>
      </c>
      <c r="CC89" s="27">
        <f>'Por Valoracion (3) Dimension 2'!B89</f>
        <v>27</v>
      </c>
      <c r="CD89" s="27">
        <f>'Por Valoracion (3) Dimension'!H89</f>
        <v>57</v>
      </c>
      <c r="CY89" s="37"/>
    </row>
    <row r="90" spans="1:103" x14ac:dyDescent="0.25">
      <c r="A90" s="36"/>
      <c r="C90" s="53" t="str">
        <f>('Gestión de abastecimiento'!A91)</f>
        <v>Beneficiaros 87</v>
      </c>
      <c r="D90" s="27">
        <f>'Por Valoracion (3) Dimension'!B90</f>
        <v>18</v>
      </c>
      <c r="E90" s="27">
        <f>'Por Valoracion (3) Dimension 2'!D90</f>
        <v>24</v>
      </c>
      <c r="Z90" s="36"/>
      <c r="AB90" s="53" t="str">
        <f>('Gestión de abastecimiento'!A91)</f>
        <v>Beneficiaros 87</v>
      </c>
      <c r="AC90" s="27">
        <f>'Por Valoracion (3) Dimension'!D90</f>
        <v>16</v>
      </c>
      <c r="AD90" s="27">
        <f>'Por Valoracion (3) Dimension 2'!D90</f>
        <v>24</v>
      </c>
      <c r="AY90" s="36"/>
      <c r="BA90" s="53" t="str">
        <f>('Gestión de abastecimiento'!A91)</f>
        <v>Beneficiaros 87</v>
      </c>
      <c r="BB90" s="27">
        <f>'Por Valoracion (3) Dimension'!F90</f>
        <v>16</v>
      </c>
      <c r="BC90" s="27">
        <f>'Por Valoracion (3) Dimension 2'!D90</f>
        <v>24</v>
      </c>
      <c r="BX90" s="36"/>
      <c r="BZ90" s="37"/>
      <c r="CB90" s="53" t="str">
        <f>('Gestión de abastecimiento'!A91)</f>
        <v>Beneficiaros 87</v>
      </c>
      <c r="CC90" s="27">
        <f>'Por Valoracion (3) Dimension 2'!B90</f>
        <v>24</v>
      </c>
      <c r="CD90" s="27">
        <f>'Por Valoracion (3) Dimension'!H90</f>
        <v>50</v>
      </c>
      <c r="CY90" s="37"/>
    </row>
    <row r="91" spans="1:103" x14ac:dyDescent="0.25">
      <c r="A91" s="36"/>
      <c r="C91" s="53" t="str">
        <f>('Gestión de abastecimiento'!A92)</f>
        <v>Beneficiaros 88</v>
      </c>
      <c r="D91" s="27">
        <f>'Por Valoracion (3) Dimension'!B91</f>
        <v>23</v>
      </c>
      <c r="E91" s="27">
        <f>'Por Valoracion (3) Dimension 2'!D91</f>
        <v>35</v>
      </c>
      <c r="Z91" s="36"/>
      <c r="AB91" s="53" t="str">
        <f>('Gestión de abastecimiento'!A92)</f>
        <v>Beneficiaros 88</v>
      </c>
      <c r="AC91" s="27">
        <f>'Por Valoracion (3) Dimension'!D91</f>
        <v>24</v>
      </c>
      <c r="AD91" s="27">
        <f>'Por Valoracion (3) Dimension 2'!D91</f>
        <v>35</v>
      </c>
      <c r="AY91" s="36"/>
      <c r="BA91" s="53" t="str">
        <f>('Gestión de abastecimiento'!A92)</f>
        <v>Beneficiaros 88</v>
      </c>
      <c r="BB91" s="27">
        <f>'Por Valoracion (3) Dimension'!F91</f>
        <v>23</v>
      </c>
      <c r="BC91" s="27">
        <f>'Por Valoracion (3) Dimension 2'!D91</f>
        <v>35</v>
      </c>
      <c r="BX91" s="36"/>
      <c r="BZ91" s="37"/>
      <c r="CB91" s="53" t="str">
        <f>('Gestión de abastecimiento'!A92)</f>
        <v>Beneficiaros 88</v>
      </c>
      <c r="CC91" s="27">
        <f>'Por Valoracion (3) Dimension 2'!B91</f>
        <v>35</v>
      </c>
      <c r="CD91" s="27">
        <f>'Por Valoracion (3) Dimension'!H91</f>
        <v>70</v>
      </c>
      <c r="CY91" s="37"/>
    </row>
    <row r="92" spans="1:103" x14ac:dyDescent="0.25">
      <c r="A92" s="36"/>
      <c r="C92" s="53" t="str">
        <f>('Gestión de abastecimiento'!A93)</f>
        <v>Beneficiaros 89</v>
      </c>
      <c r="D92" s="27">
        <f>'Por Valoracion (3) Dimension'!B92</f>
        <v>12</v>
      </c>
      <c r="E92" s="27">
        <f>'Por Valoracion (3) Dimension 2'!D92</f>
        <v>19</v>
      </c>
      <c r="Z92" s="36"/>
      <c r="AB92" s="53" t="str">
        <f>('Gestión de abastecimiento'!A93)</f>
        <v>Beneficiaros 89</v>
      </c>
      <c r="AC92" s="27">
        <f>'Por Valoracion (3) Dimension'!D92</f>
        <v>13</v>
      </c>
      <c r="AD92" s="27">
        <f>'Por Valoracion (3) Dimension 2'!D92</f>
        <v>19</v>
      </c>
      <c r="AY92" s="36"/>
      <c r="BA92" s="53" t="str">
        <f>('Gestión de abastecimiento'!A93)</f>
        <v>Beneficiaros 89</v>
      </c>
      <c r="BB92" s="27">
        <f>'Por Valoracion (3) Dimension'!F92</f>
        <v>12</v>
      </c>
      <c r="BC92" s="27">
        <f>'Por Valoracion (3) Dimension 2'!D92</f>
        <v>19</v>
      </c>
      <c r="BX92" s="36"/>
      <c r="BZ92" s="37"/>
      <c r="CB92" s="53" t="str">
        <f>('Gestión de abastecimiento'!A93)</f>
        <v>Beneficiaros 89</v>
      </c>
      <c r="CC92" s="27">
        <f>'Por Valoracion (3) Dimension 2'!B92</f>
        <v>19</v>
      </c>
      <c r="CD92" s="27">
        <f>'Por Valoracion (3) Dimension'!H92</f>
        <v>37</v>
      </c>
      <c r="CY92" s="37"/>
    </row>
    <row r="93" spans="1:103" x14ac:dyDescent="0.25">
      <c r="A93" s="36"/>
      <c r="C93" s="53" t="str">
        <f>('Gestión de abastecimiento'!A94)</f>
        <v>Beneficiaros 90</v>
      </c>
      <c r="D93" s="27">
        <f>'Por Valoracion (3) Dimension'!B93</f>
        <v>25</v>
      </c>
      <c r="E93" s="27">
        <f>'Por Valoracion (3) Dimension 2'!D93</f>
        <v>37</v>
      </c>
      <c r="Z93" s="36"/>
      <c r="AB93" s="53" t="str">
        <f>('Gestión de abastecimiento'!A94)</f>
        <v>Beneficiaros 90</v>
      </c>
      <c r="AC93" s="27">
        <f>'Por Valoracion (3) Dimension'!D93</f>
        <v>25</v>
      </c>
      <c r="AD93" s="27">
        <f>'Por Valoracion (3) Dimension 2'!D93</f>
        <v>37</v>
      </c>
      <c r="AY93" s="36"/>
      <c r="BA93" s="53" t="str">
        <f>('Gestión de abastecimiento'!A94)</f>
        <v>Beneficiaros 90</v>
      </c>
      <c r="BB93" s="27">
        <f>'Por Valoracion (3) Dimension'!F93</f>
        <v>23</v>
      </c>
      <c r="BC93" s="27">
        <f>'Por Valoracion (3) Dimension 2'!D93</f>
        <v>37</v>
      </c>
      <c r="BX93" s="36"/>
      <c r="BZ93" s="37"/>
      <c r="CB93" s="53" t="str">
        <f>('Gestión de abastecimiento'!A94)</f>
        <v>Beneficiaros 90</v>
      </c>
      <c r="CC93" s="27">
        <f>'Por Valoracion (3) Dimension 2'!B93</f>
        <v>37</v>
      </c>
      <c r="CD93" s="27">
        <f>'Por Valoracion (3) Dimension'!H93</f>
        <v>73</v>
      </c>
      <c r="CY93" s="37"/>
    </row>
    <row r="94" spans="1:103" x14ac:dyDescent="0.25">
      <c r="A94" s="36"/>
      <c r="C94" s="53" t="str">
        <f>('Gestión de abastecimiento'!A95)</f>
        <v>Beneficiaros 91</v>
      </c>
      <c r="D94" s="27">
        <f>'Por Valoracion (3) Dimension'!B94</f>
        <v>18</v>
      </c>
      <c r="E94" s="27">
        <f>'Por Valoracion (3) Dimension 2'!D94</f>
        <v>28</v>
      </c>
      <c r="Z94" s="36"/>
      <c r="AB94" s="53" t="str">
        <f>('Gestión de abastecimiento'!A95)</f>
        <v>Beneficiaros 91</v>
      </c>
      <c r="AC94" s="27">
        <f>'Por Valoracion (3) Dimension'!D94</f>
        <v>19</v>
      </c>
      <c r="AD94" s="27">
        <f>'Por Valoracion (3) Dimension 2'!D94</f>
        <v>28</v>
      </c>
      <c r="AY94" s="36"/>
      <c r="BA94" s="53" t="str">
        <f>('Gestión de abastecimiento'!A95)</f>
        <v>Beneficiaros 91</v>
      </c>
      <c r="BB94" s="27">
        <f>'Por Valoracion (3) Dimension'!F94</f>
        <v>17</v>
      </c>
      <c r="BC94" s="27">
        <f>'Por Valoracion (3) Dimension 2'!D94</f>
        <v>28</v>
      </c>
      <c r="BX94" s="36"/>
      <c r="BZ94" s="37"/>
      <c r="CB94" s="53" t="str">
        <f>('Gestión de abastecimiento'!A95)</f>
        <v>Beneficiaros 91</v>
      </c>
      <c r="CC94" s="27">
        <f>'Por Valoracion (3) Dimension 2'!B94</f>
        <v>28</v>
      </c>
      <c r="CD94" s="27">
        <f>'Por Valoracion (3) Dimension'!H94</f>
        <v>54</v>
      </c>
      <c r="CY94" s="37"/>
    </row>
    <row r="95" spans="1:103" x14ac:dyDescent="0.25">
      <c r="A95" s="36"/>
      <c r="C95" s="53" t="str">
        <f>('Gestión de abastecimiento'!A96)</f>
        <v>Beneficiaros 92</v>
      </c>
      <c r="D95" s="27">
        <f>'Por Valoracion (3) Dimension'!B95</f>
        <v>16</v>
      </c>
      <c r="E95" s="27">
        <f>'Por Valoracion (3) Dimension 2'!D95</f>
        <v>22</v>
      </c>
      <c r="Z95" s="36"/>
      <c r="AB95" s="53" t="str">
        <f>('Gestión de abastecimiento'!A96)</f>
        <v>Beneficiaros 92</v>
      </c>
      <c r="AC95" s="27">
        <f>'Por Valoracion (3) Dimension'!D95</f>
        <v>14</v>
      </c>
      <c r="AD95" s="27">
        <f>'Por Valoracion (3) Dimension 2'!D95</f>
        <v>22</v>
      </c>
      <c r="AY95" s="36"/>
      <c r="BA95" s="53" t="str">
        <f>('Gestión de abastecimiento'!A96)</f>
        <v>Beneficiaros 92</v>
      </c>
      <c r="BB95" s="27">
        <f>'Por Valoracion (3) Dimension'!F95</f>
        <v>12</v>
      </c>
      <c r="BC95" s="27">
        <f>'Por Valoracion (3) Dimension 2'!D95</f>
        <v>22</v>
      </c>
      <c r="BX95" s="36"/>
      <c r="BZ95" s="37"/>
      <c r="CB95" s="53" t="str">
        <f>('Gestión de abastecimiento'!A96)</f>
        <v>Beneficiaros 92</v>
      </c>
      <c r="CC95" s="27">
        <f>'Por Valoracion (3) Dimension 2'!B95</f>
        <v>22</v>
      </c>
      <c r="CD95" s="27">
        <f>'Por Valoracion (3) Dimension'!H95</f>
        <v>42</v>
      </c>
      <c r="CY95" s="37"/>
    </row>
    <row r="96" spans="1:103" x14ac:dyDescent="0.25">
      <c r="A96" s="36"/>
      <c r="C96" s="53" t="str">
        <f>('Gestión de abastecimiento'!A97)</f>
        <v>Beneficiaros 93</v>
      </c>
      <c r="D96" s="27">
        <f>'Por Valoracion (3) Dimension'!B96</f>
        <v>15</v>
      </c>
      <c r="E96" s="27">
        <f>'Por Valoracion (3) Dimension 2'!D96</f>
        <v>23</v>
      </c>
      <c r="Z96" s="36"/>
      <c r="AB96" s="53" t="str">
        <f>('Gestión de abastecimiento'!A97)</f>
        <v>Beneficiaros 93</v>
      </c>
      <c r="AC96" s="27">
        <f>'Por Valoracion (3) Dimension'!D96</f>
        <v>15</v>
      </c>
      <c r="AD96" s="27">
        <f>'Por Valoracion (3) Dimension 2'!D96</f>
        <v>23</v>
      </c>
      <c r="AY96" s="36"/>
      <c r="BA96" s="53" t="str">
        <f>('Gestión de abastecimiento'!A97)</f>
        <v>Beneficiaros 93</v>
      </c>
      <c r="BB96" s="27">
        <f>'Por Valoracion (3) Dimension'!F96</f>
        <v>16</v>
      </c>
      <c r="BC96" s="27">
        <f>'Por Valoracion (3) Dimension 2'!D96</f>
        <v>23</v>
      </c>
      <c r="BX96" s="36"/>
      <c r="BZ96" s="37"/>
      <c r="CB96" s="53" t="str">
        <f>('Gestión de abastecimiento'!A97)</f>
        <v>Beneficiaros 93</v>
      </c>
      <c r="CC96" s="27">
        <f>'Por Valoracion (3) Dimension 2'!B96</f>
        <v>23</v>
      </c>
      <c r="CD96" s="27">
        <f>'Por Valoracion (3) Dimension'!H96</f>
        <v>46</v>
      </c>
      <c r="CY96" s="37"/>
    </row>
    <row r="97" spans="1:103" x14ac:dyDescent="0.25">
      <c r="A97" s="36"/>
      <c r="C97" s="53" t="str">
        <f>('Gestión de abastecimiento'!A98)</f>
        <v>Beneficiaros 94</v>
      </c>
      <c r="D97" s="27">
        <f>'Por Valoracion (3) Dimension'!B97</f>
        <v>24</v>
      </c>
      <c r="E97" s="27">
        <f>'Por Valoracion (3) Dimension 2'!D97</f>
        <v>35</v>
      </c>
      <c r="Z97" s="36"/>
      <c r="AB97" s="53" t="str">
        <f>('Gestión de abastecimiento'!A98)</f>
        <v>Beneficiaros 94</v>
      </c>
      <c r="AC97" s="27">
        <f>'Por Valoracion (3) Dimension'!D97</f>
        <v>24</v>
      </c>
      <c r="AD97" s="27">
        <f>'Por Valoracion (3) Dimension 2'!D97</f>
        <v>35</v>
      </c>
      <c r="AY97" s="36"/>
      <c r="BA97" s="53" t="str">
        <f>('Gestión de abastecimiento'!A98)</f>
        <v>Beneficiaros 94</v>
      </c>
      <c r="BB97" s="27">
        <f>'Por Valoracion (3) Dimension'!F97</f>
        <v>24</v>
      </c>
      <c r="BC97" s="27">
        <f>'Por Valoracion (3) Dimension 2'!D97</f>
        <v>35</v>
      </c>
      <c r="BX97" s="36"/>
      <c r="BZ97" s="37"/>
      <c r="CB97" s="53" t="str">
        <f>('Gestión de abastecimiento'!A98)</f>
        <v>Beneficiaros 94</v>
      </c>
      <c r="CC97" s="27">
        <f>'Por Valoracion (3) Dimension 2'!B97</f>
        <v>35</v>
      </c>
      <c r="CD97" s="27">
        <f>'Por Valoracion (3) Dimension'!H97</f>
        <v>72</v>
      </c>
      <c r="CY97" s="37"/>
    </row>
    <row r="98" spans="1:103" x14ac:dyDescent="0.25">
      <c r="A98" s="36"/>
      <c r="C98" s="53" t="str">
        <f>('Gestión de abastecimiento'!A99)</f>
        <v>Beneficiaros 95</v>
      </c>
      <c r="D98" s="27">
        <f>'Por Valoracion (3) Dimension'!B98</f>
        <v>19</v>
      </c>
      <c r="E98" s="27">
        <f>'Por Valoracion (3) Dimension 2'!D98</f>
        <v>26</v>
      </c>
      <c r="Z98" s="36"/>
      <c r="AB98" s="53" t="str">
        <f>('Gestión de abastecimiento'!A99)</f>
        <v>Beneficiaros 95</v>
      </c>
      <c r="AC98" s="27">
        <f>'Por Valoracion (3) Dimension'!D98</f>
        <v>18</v>
      </c>
      <c r="AD98" s="27">
        <f>'Por Valoracion (3) Dimension 2'!D98</f>
        <v>26</v>
      </c>
      <c r="AY98" s="36"/>
      <c r="BA98" s="53" t="str">
        <f>('Gestión de abastecimiento'!A99)</f>
        <v>Beneficiaros 95</v>
      </c>
      <c r="BB98" s="27">
        <f>'Por Valoracion (3) Dimension'!F98</f>
        <v>18</v>
      </c>
      <c r="BC98" s="27">
        <f>'Por Valoracion (3) Dimension 2'!D98</f>
        <v>26</v>
      </c>
      <c r="BX98" s="36"/>
      <c r="BZ98" s="37"/>
      <c r="CB98" s="53" t="str">
        <f>('Gestión de abastecimiento'!A99)</f>
        <v>Beneficiaros 95</v>
      </c>
      <c r="CC98" s="27">
        <f>'Por Valoracion (3) Dimension 2'!B98</f>
        <v>26</v>
      </c>
      <c r="CD98" s="27">
        <f>'Por Valoracion (3) Dimension'!H98</f>
        <v>55</v>
      </c>
      <c r="CY98" s="37"/>
    </row>
    <row r="99" spans="1:103" x14ac:dyDescent="0.25">
      <c r="A99" s="36"/>
      <c r="C99" s="53" t="str">
        <f>('Gestión de abastecimiento'!A100)</f>
        <v>Beneficiaros 96</v>
      </c>
      <c r="D99" s="27">
        <f>'Por Valoracion (3) Dimension'!B99</f>
        <v>14</v>
      </c>
      <c r="E99" s="27">
        <f>'Por Valoracion (3) Dimension 2'!D99</f>
        <v>20</v>
      </c>
      <c r="Z99" s="36"/>
      <c r="AB99" s="53" t="str">
        <f>('Gestión de abastecimiento'!A100)</f>
        <v>Beneficiaros 96</v>
      </c>
      <c r="AC99" s="27">
        <f>'Por Valoracion (3) Dimension'!D99</f>
        <v>14</v>
      </c>
      <c r="AD99" s="27">
        <f>'Por Valoracion (3) Dimension 2'!D99</f>
        <v>20</v>
      </c>
      <c r="AY99" s="36"/>
      <c r="BA99" s="53" t="str">
        <f>('Gestión de abastecimiento'!A100)</f>
        <v>Beneficiaros 96</v>
      </c>
      <c r="BB99" s="27">
        <f>'Por Valoracion (3) Dimension'!F99</f>
        <v>13</v>
      </c>
      <c r="BC99" s="27">
        <f>'Por Valoracion (3) Dimension 2'!D99</f>
        <v>20</v>
      </c>
      <c r="BX99" s="36"/>
      <c r="BZ99" s="37"/>
      <c r="CB99" s="53" t="str">
        <f>('Gestión de abastecimiento'!A100)</f>
        <v>Beneficiaros 96</v>
      </c>
      <c r="CC99" s="27">
        <f>'Por Valoracion (3) Dimension 2'!B99</f>
        <v>20</v>
      </c>
      <c r="CD99" s="27">
        <f>'Por Valoracion (3) Dimension'!H99</f>
        <v>41</v>
      </c>
      <c r="CY99" s="37"/>
    </row>
    <row r="100" spans="1:103" x14ac:dyDescent="0.25">
      <c r="A100" s="36"/>
      <c r="C100" s="53" t="str">
        <f>('Gestión de abastecimiento'!A101)</f>
        <v>Beneficiaros 97</v>
      </c>
      <c r="D100" s="27">
        <f>'Por Valoracion (3) Dimension'!B100</f>
        <v>20</v>
      </c>
      <c r="E100" s="27">
        <f>'Por Valoracion (3) Dimension 2'!D100</f>
        <v>28</v>
      </c>
      <c r="Z100" s="36"/>
      <c r="AB100" s="53" t="str">
        <f>('Gestión de abastecimiento'!A101)</f>
        <v>Beneficiaros 97</v>
      </c>
      <c r="AC100" s="27">
        <f>'Por Valoracion (3) Dimension'!D100</f>
        <v>18</v>
      </c>
      <c r="AD100" s="27">
        <f>'Por Valoracion (3) Dimension 2'!D100</f>
        <v>28</v>
      </c>
      <c r="AY100" s="36"/>
      <c r="BA100" s="53" t="str">
        <f>('Gestión de abastecimiento'!A101)</f>
        <v>Beneficiaros 97</v>
      </c>
      <c r="BB100" s="27">
        <f>'Por Valoracion (3) Dimension'!F100</f>
        <v>18</v>
      </c>
      <c r="BC100" s="27">
        <f>'Por Valoracion (3) Dimension 2'!D100</f>
        <v>28</v>
      </c>
      <c r="BX100" s="36"/>
      <c r="BZ100" s="37"/>
      <c r="CB100" s="53" t="str">
        <f>('Gestión de abastecimiento'!A101)</f>
        <v>Beneficiaros 97</v>
      </c>
      <c r="CC100" s="27">
        <f>'Por Valoracion (3) Dimension 2'!B100</f>
        <v>28</v>
      </c>
      <c r="CD100" s="27">
        <f>'Por Valoracion (3) Dimension'!H100</f>
        <v>56</v>
      </c>
      <c r="CY100" s="37"/>
    </row>
    <row r="101" spans="1:103" x14ac:dyDescent="0.25">
      <c r="A101" s="36"/>
      <c r="C101" s="53" t="str">
        <f>('Gestión de abastecimiento'!A102)</f>
        <v>Beneficiaros 98</v>
      </c>
      <c r="D101" s="27">
        <f>'Por Valoracion (3) Dimension'!B101</f>
        <v>15</v>
      </c>
      <c r="E101" s="27">
        <f>'Por Valoracion (3) Dimension 2'!D101</f>
        <v>24</v>
      </c>
      <c r="Z101" s="36"/>
      <c r="AB101" s="53" t="str">
        <f>('Gestión de abastecimiento'!A102)</f>
        <v>Beneficiaros 98</v>
      </c>
      <c r="AC101" s="27">
        <f>'Por Valoracion (3) Dimension'!D101</f>
        <v>18</v>
      </c>
      <c r="AD101" s="27">
        <f>'Por Valoracion (3) Dimension 2'!D101</f>
        <v>24</v>
      </c>
      <c r="AY101" s="36"/>
      <c r="BA101" s="53" t="str">
        <f>('Gestión de abastecimiento'!A102)</f>
        <v>Beneficiaros 98</v>
      </c>
      <c r="BB101" s="27">
        <f>'Por Valoracion (3) Dimension'!F101</f>
        <v>17</v>
      </c>
      <c r="BC101" s="27">
        <f>'Por Valoracion (3) Dimension 2'!D101</f>
        <v>24</v>
      </c>
      <c r="BX101" s="36"/>
      <c r="BZ101" s="37"/>
      <c r="CB101" s="53" t="str">
        <f>('Gestión de abastecimiento'!A102)</f>
        <v>Beneficiaros 98</v>
      </c>
      <c r="CC101" s="27">
        <f>'Por Valoracion (3) Dimension 2'!B101</f>
        <v>24</v>
      </c>
      <c r="CD101" s="27">
        <f>'Por Valoracion (3) Dimension'!H101</f>
        <v>50</v>
      </c>
      <c r="CY101" s="37"/>
    </row>
    <row r="102" spans="1:103" x14ac:dyDescent="0.25">
      <c r="A102" s="36"/>
      <c r="C102" s="53" t="str">
        <f>('Gestión de abastecimiento'!A103)</f>
        <v>Beneficiaros 99</v>
      </c>
      <c r="D102" s="27">
        <f>'Por Valoracion (3) Dimension'!B102</f>
        <v>18</v>
      </c>
      <c r="E102" s="27">
        <f>'Por Valoracion (3) Dimension 2'!D102</f>
        <v>27</v>
      </c>
      <c r="Z102" s="36"/>
      <c r="AB102" s="53" t="str">
        <f>('Gestión de abastecimiento'!A103)</f>
        <v>Beneficiaros 99</v>
      </c>
      <c r="AC102" s="27">
        <f>'Por Valoracion (3) Dimension'!D102</f>
        <v>17</v>
      </c>
      <c r="AD102" s="27">
        <f>'Por Valoracion (3) Dimension 2'!D102</f>
        <v>27</v>
      </c>
      <c r="AY102" s="36"/>
      <c r="BA102" s="53" t="str">
        <f>('Gestión de abastecimiento'!A103)</f>
        <v>Beneficiaros 99</v>
      </c>
      <c r="BB102" s="27">
        <f>'Por Valoracion (3) Dimension'!F102</f>
        <v>17</v>
      </c>
      <c r="BC102" s="27">
        <f>'Por Valoracion (3) Dimension 2'!D102</f>
        <v>27</v>
      </c>
      <c r="BX102" s="36"/>
      <c r="BZ102" s="37"/>
      <c r="CB102" s="53" t="str">
        <f>('Gestión de abastecimiento'!A103)</f>
        <v>Beneficiaros 99</v>
      </c>
      <c r="CC102" s="27">
        <f>'Por Valoracion (3) Dimension 2'!B102</f>
        <v>27</v>
      </c>
      <c r="CD102" s="27">
        <f>'Por Valoracion (3) Dimension'!H102</f>
        <v>52</v>
      </c>
      <c r="CY102" s="37"/>
    </row>
    <row r="103" spans="1:103" x14ac:dyDescent="0.25">
      <c r="A103" s="36"/>
      <c r="C103" s="53" t="str">
        <f>('Gestión de abastecimiento'!A104)</f>
        <v>Beneficiaros 100</v>
      </c>
      <c r="D103" s="27">
        <f>'Por Valoracion (3) Dimension'!B103</f>
        <v>19</v>
      </c>
      <c r="E103" s="27">
        <f>'Por Valoracion (3) Dimension 2'!D103</f>
        <v>28</v>
      </c>
      <c r="Z103" s="36"/>
      <c r="AB103" s="53" t="str">
        <f>('Gestión de abastecimiento'!A104)</f>
        <v>Beneficiaros 100</v>
      </c>
      <c r="AC103" s="27">
        <f>'Por Valoracion (3) Dimension'!D103</f>
        <v>18</v>
      </c>
      <c r="AD103" s="27">
        <f>'Por Valoracion (3) Dimension 2'!D103</f>
        <v>28</v>
      </c>
      <c r="AY103" s="36"/>
      <c r="BA103" s="53" t="str">
        <f>('Gestión de abastecimiento'!A104)</f>
        <v>Beneficiaros 100</v>
      </c>
      <c r="BB103" s="27">
        <f>'Por Valoracion (3) Dimension'!F103</f>
        <v>18</v>
      </c>
      <c r="BC103" s="27">
        <f>'Por Valoracion (3) Dimension 2'!D103</f>
        <v>28</v>
      </c>
      <c r="BX103" s="36"/>
      <c r="BZ103" s="37"/>
      <c r="CB103" s="53" t="str">
        <f>('Gestión de abastecimiento'!A104)</f>
        <v>Beneficiaros 100</v>
      </c>
      <c r="CC103" s="27">
        <f>'Por Valoracion (3) Dimension 2'!B103</f>
        <v>28</v>
      </c>
      <c r="CD103" s="27">
        <f>'Por Valoracion (3) Dimension'!H103</f>
        <v>55</v>
      </c>
      <c r="CY103" s="37"/>
    </row>
    <row r="104" spans="1:103" x14ac:dyDescent="0.25">
      <c r="A104" s="36"/>
      <c r="C104" s="53" t="str">
        <f>('Gestión de abastecimiento'!A105)</f>
        <v>Beneficiaros 101</v>
      </c>
      <c r="D104" s="27">
        <f>'Por Valoracion (3) Dimension'!B104</f>
        <v>16</v>
      </c>
      <c r="E104" s="27">
        <f>'Por Valoracion (3) Dimension 2'!D104</f>
        <v>23</v>
      </c>
      <c r="Z104" s="36"/>
      <c r="AB104" s="53" t="str">
        <f>('Gestión de abastecimiento'!A105)</f>
        <v>Beneficiaros 101</v>
      </c>
      <c r="AC104" s="27">
        <f>'Por Valoracion (3) Dimension'!D104</f>
        <v>16</v>
      </c>
      <c r="AD104" s="27">
        <f>'Por Valoracion (3) Dimension 2'!D104</f>
        <v>23</v>
      </c>
      <c r="AY104" s="36"/>
      <c r="BA104" s="53" t="str">
        <f>('Gestión de abastecimiento'!A105)</f>
        <v>Beneficiaros 101</v>
      </c>
      <c r="BB104" s="27">
        <f>'Por Valoracion (3) Dimension'!F104</f>
        <v>15</v>
      </c>
      <c r="BC104" s="27">
        <f>'Por Valoracion (3) Dimension 2'!D104</f>
        <v>23</v>
      </c>
      <c r="BX104" s="36"/>
      <c r="BZ104" s="37"/>
      <c r="CB104" s="53" t="str">
        <f>('Gestión de abastecimiento'!A105)</f>
        <v>Beneficiaros 101</v>
      </c>
      <c r="CC104" s="27">
        <f>'Por Valoracion (3) Dimension 2'!B104</f>
        <v>23</v>
      </c>
      <c r="CD104" s="27">
        <f>'Por Valoracion (3) Dimension'!H104</f>
        <v>47</v>
      </c>
      <c r="CY104" s="37"/>
    </row>
    <row r="105" spans="1:103" x14ac:dyDescent="0.25">
      <c r="A105" s="36"/>
      <c r="C105" s="53" t="str">
        <f>('Gestión de abastecimiento'!A106)</f>
        <v>Beneficiaros 102</v>
      </c>
      <c r="D105" s="27">
        <f>'Por Valoracion (3) Dimension'!B105</f>
        <v>17</v>
      </c>
      <c r="E105" s="27">
        <f>'Por Valoracion (3) Dimension 2'!D105</f>
        <v>28</v>
      </c>
      <c r="Z105" s="36"/>
      <c r="AB105" s="53" t="str">
        <f>('Gestión de abastecimiento'!A106)</f>
        <v>Beneficiaros 102</v>
      </c>
      <c r="AC105" s="27">
        <f>'Por Valoracion (3) Dimension'!D105</f>
        <v>18</v>
      </c>
      <c r="AD105" s="27">
        <f>'Por Valoracion (3) Dimension 2'!D105</f>
        <v>28</v>
      </c>
      <c r="AY105" s="36"/>
      <c r="BA105" s="53" t="str">
        <f>('Gestión de abastecimiento'!A106)</f>
        <v>Beneficiaros 102</v>
      </c>
      <c r="BB105" s="27">
        <f>'Por Valoracion (3) Dimension'!F105</f>
        <v>19</v>
      </c>
      <c r="BC105" s="27">
        <f>'Por Valoracion (3) Dimension 2'!D105</f>
        <v>28</v>
      </c>
      <c r="BX105" s="36"/>
      <c r="BZ105" s="37"/>
      <c r="CB105" s="53" t="str">
        <f>('Gestión de abastecimiento'!A106)</f>
        <v>Beneficiaros 102</v>
      </c>
      <c r="CC105" s="27">
        <f>'Por Valoracion (3) Dimension 2'!B105</f>
        <v>28</v>
      </c>
      <c r="CD105" s="27">
        <f>'Por Valoracion (3) Dimension'!H105</f>
        <v>54</v>
      </c>
      <c r="CY105" s="37"/>
    </row>
    <row r="106" spans="1:103" x14ac:dyDescent="0.25">
      <c r="A106" s="36"/>
      <c r="C106" s="53" t="str">
        <f>('Gestión de abastecimiento'!A107)</f>
        <v>Beneficiaros 103</v>
      </c>
      <c r="D106" s="27">
        <f>'Por Valoracion (3) Dimension'!B106</f>
        <v>22</v>
      </c>
      <c r="E106" s="27">
        <f>'Por Valoracion (3) Dimension 2'!D106</f>
        <v>30</v>
      </c>
      <c r="Z106" s="36"/>
      <c r="AB106" s="53" t="str">
        <f>('Gestión de abastecimiento'!A107)</f>
        <v>Beneficiaros 103</v>
      </c>
      <c r="AC106" s="27">
        <f>'Por Valoracion (3) Dimension'!D106</f>
        <v>21</v>
      </c>
      <c r="AD106" s="27">
        <f>'Por Valoracion (3) Dimension 2'!D106</f>
        <v>30</v>
      </c>
      <c r="AY106" s="36"/>
      <c r="BA106" s="53" t="str">
        <f>('Gestión de abastecimiento'!A107)</f>
        <v>Beneficiaros 103</v>
      </c>
      <c r="BB106" s="27">
        <f>'Por Valoracion (3) Dimension'!F106</f>
        <v>20</v>
      </c>
      <c r="BC106" s="27">
        <f>'Por Valoracion (3) Dimension 2'!D106</f>
        <v>30</v>
      </c>
      <c r="BX106" s="36"/>
      <c r="BZ106" s="37"/>
      <c r="CB106" s="53" t="str">
        <f>('Gestión de abastecimiento'!A107)</f>
        <v>Beneficiaros 103</v>
      </c>
      <c r="CC106" s="27">
        <f>'Por Valoracion (3) Dimension 2'!B106</f>
        <v>30</v>
      </c>
      <c r="CD106" s="27">
        <f>'Por Valoracion (3) Dimension'!H106</f>
        <v>63</v>
      </c>
      <c r="CY106" s="37"/>
    </row>
    <row r="107" spans="1:103" x14ac:dyDescent="0.25">
      <c r="A107" s="36"/>
      <c r="C107" s="53" t="str">
        <f>('Gestión de abastecimiento'!A108)</f>
        <v>Beneficiaros 104</v>
      </c>
      <c r="D107" s="27">
        <f>'Por Valoracion (3) Dimension'!B107</f>
        <v>21</v>
      </c>
      <c r="E107" s="27">
        <f>'Por Valoracion (3) Dimension 2'!D107</f>
        <v>31</v>
      </c>
      <c r="Z107" s="36"/>
      <c r="AB107" s="53" t="str">
        <f>('Gestión de abastecimiento'!A108)</f>
        <v>Beneficiaros 104</v>
      </c>
      <c r="AC107" s="27">
        <f>'Por Valoracion (3) Dimension'!D107</f>
        <v>21</v>
      </c>
      <c r="AD107" s="27">
        <f>'Por Valoracion (3) Dimension 2'!D107</f>
        <v>31</v>
      </c>
      <c r="AY107" s="36"/>
      <c r="BA107" s="53" t="str">
        <f>('Gestión de abastecimiento'!A108)</f>
        <v>Beneficiaros 104</v>
      </c>
      <c r="BB107" s="27">
        <f>'Por Valoracion (3) Dimension'!F107</f>
        <v>20</v>
      </c>
      <c r="BC107" s="27">
        <f>'Por Valoracion (3) Dimension 2'!D107</f>
        <v>31</v>
      </c>
      <c r="BX107" s="36"/>
      <c r="BZ107" s="37"/>
      <c r="CB107" s="53" t="str">
        <f>('Gestión de abastecimiento'!A108)</f>
        <v>Beneficiaros 104</v>
      </c>
      <c r="CC107" s="27">
        <f>'Por Valoracion (3) Dimension 2'!B107</f>
        <v>31</v>
      </c>
      <c r="CD107" s="27">
        <f>'Por Valoracion (3) Dimension'!H107</f>
        <v>62</v>
      </c>
      <c r="CY107" s="37"/>
    </row>
    <row r="108" spans="1:103" x14ac:dyDescent="0.25">
      <c r="A108" s="36"/>
      <c r="C108" s="53" t="str">
        <f>('Gestión de abastecimiento'!A109)</f>
        <v>Beneficiaros 105</v>
      </c>
      <c r="D108" s="27">
        <f>'Por Valoracion (3) Dimension'!B108</f>
        <v>13</v>
      </c>
      <c r="E108" s="27">
        <f>'Por Valoracion (3) Dimension 2'!D108</f>
        <v>18</v>
      </c>
      <c r="Z108" s="36"/>
      <c r="AB108" s="53" t="str">
        <f>('Gestión de abastecimiento'!A109)</f>
        <v>Beneficiaros 105</v>
      </c>
      <c r="AC108" s="27">
        <f>'Por Valoracion (3) Dimension'!D108</f>
        <v>12</v>
      </c>
      <c r="AD108" s="27">
        <f>'Por Valoracion (3) Dimension 2'!D108</f>
        <v>18</v>
      </c>
      <c r="AY108" s="36"/>
      <c r="BA108" s="53" t="str">
        <f>('Gestión de abastecimiento'!A109)</f>
        <v>Beneficiaros 105</v>
      </c>
      <c r="BB108" s="27">
        <f>'Por Valoracion (3) Dimension'!F108</f>
        <v>13</v>
      </c>
      <c r="BC108" s="27">
        <f>'Por Valoracion (3) Dimension 2'!D108</f>
        <v>18</v>
      </c>
      <c r="BX108" s="36"/>
      <c r="BZ108" s="37"/>
      <c r="CB108" s="53" t="str">
        <f>('Gestión de abastecimiento'!A109)</f>
        <v>Beneficiaros 105</v>
      </c>
      <c r="CC108" s="27">
        <f>'Por Valoracion (3) Dimension 2'!B108</f>
        <v>18</v>
      </c>
      <c r="CD108" s="27">
        <f>'Por Valoracion (3) Dimension'!H108</f>
        <v>38</v>
      </c>
      <c r="CY108" s="37"/>
    </row>
    <row r="109" spans="1:103" x14ac:dyDescent="0.25">
      <c r="A109" s="36"/>
      <c r="C109" s="53" t="str">
        <f>('Gestión de abastecimiento'!A110)</f>
        <v>Beneficiaros 106</v>
      </c>
      <c r="D109" s="27">
        <f>'Por Valoracion (3) Dimension'!B109</f>
        <v>29</v>
      </c>
      <c r="E109" s="27">
        <f>'Por Valoracion (3) Dimension 2'!D109</f>
        <v>43</v>
      </c>
      <c r="Z109" s="36"/>
      <c r="AB109" s="53" t="str">
        <f>('Gestión de abastecimiento'!A110)</f>
        <v>Beneficiaros 106</v>
      </c>
      <c r="AC109" s="27">
        <f>'Por Valoracion (3) Dimension'!D109</f>
        <v>29</v>
      </c>
      <c r="AD109" s="27">
        <f>'Por Valoracion (3) Dimension 2'!D109</f>
        <v>43</v>
      </c>
      <c r="AY109" s="36"/>
      <c r="BA109" s="53" t="str">
        <f>('Gestión de abastecimiento'!A110)</f>
        <v>Beneficiaros 106</v>
      </c>
      <c r="BB109" s="27">
        <f>'Por Valoracion (3) Dimension'!F109</f>
        <v>30</v>
      </c>
      <c r="BC109" s="27">
        <f>'Por Valoracion (3) Dimension 2'!D109</f>
        <v>43</v>
      </c>
      <c r="BX109" s="36"/>
      <c r="BZ109" s="37"/>
      <c r="CB109" s="53" t="str">
        <f>('Gestión de abastecimiento'!A110)</f>
        <v>Beneficiaros 106</v>
      </c>
      <c r="CC109" s="27">
        <f>'Por Valoracion (3) Dimension 2'!B109</f>
        <v>43</v>
      </c>
      <c r="CD109" s="27">
        <f>'Por Valoracion (3) Dimension'!H109</f>
        <v>88</v>
      </c>
      <c r="CY109" s="37"/>
    </row>
    <row r="110" spans="1:103" x14ac:dyDescent="0.25">
      <c r="A110" s="36"/>
      <c r="C110" s="53" t="str">
        <f>('Gestión de abastecimiento'!A111)</f>
        <v>Beneficiaros 107</v>
      </c>
      <c r="D110" s="27">
        <f>'Por Valoracion (3) Dimension'!B110</f>
        <v>20</v>
      </c>
      <c r="E110" s="27">
        <f>'Por Valoracion (3) Dimension 2'!D110</f>
        <v>30</v>
      </c>
      <c r="Z110" s="36"/>
      <c r="AB110" s="53" t="str">
        <f>('Gestión de abastecimiento'!A111)</f>
        <v>Beneficiaros 107</v>
      </c>
      <c r="AC110" s="27">
        <f>'Por Valoracion (3) Dimension'!D110</f>
        <v>20</v>
      </c>
      <c r="AD110" s="27">
        <f>'Por Valoracion (3) Dimension 2'!D110</f>
        <v>30</v>
      </c>
      <c r="AY110" s="36"/>
      <c r="BA110" s="53" t="str">
        <f>('Gestión de abastecimiento'!A111)</f>
        <v>Beneficiaros 107</v>
      </c>
      <c r="BB110" s="27">
        <f>'Por Valoracion (3) Dimension'!F110</f>
        <v>19</v>
      </c>
      <c r="BC110" s="27">
        <f>'Por Valoracion (3) Dimension 2'!D110</f>
        <v>30</v>
      </c>
      <c r="BX110" s="36"/>
      <c r="BZ110" s="37"/>
      <c r="CB110" s="53" t="str">
        <f>('Gestión de abastecimiento'!A111)</f>
        <v>Beneficiaros 107</v>
      </c>
      <c r="CC110" s="27">
        <f>'Por Valoracion (3) Dimension 2'!B110</f>
        <v>30</v>
      </c>
      <c r="CD110" s="27">
        <f>'Por Valoracion (3) Dimension'!H110</f>
        <v>59</v>
      </c>
      <c r="CY110" s="37"/>
    </row>
    <row r="111" spans="1:103" x14ac:dyDescent="0.25">
      <c r="A111" s="36"/>
      <c r="C111" s="53" t="str">
        <f>('Gestión de abastecimiento'!A112)</f>
        <v>Beneficiaros 108</v>
      </c>
      <c r="D111" s="27">
        <f>'Por Valoracion (3) Dimension'!B111</f>
        <v>19</v>
      </c>
      <c r="E111" s="27">
        <f>'Por Valoracion (3) Dimension 2'!D111</f>
        <v>27</v>
      </c>
      <c r="Z111" s="36"/>
      <c r="AB111" s="53" t="str">
        <f>('Gestión de abastecimiento'!A112)</f>
        <v>Beneficiaros 108</v>
      </c>
      <c r="AC111" s="27">
        <f>'Por Valoracion (3) Dimension'!D111</f>
        <v>18</v>
      </c>
      <c r="AD111" s="27">
        <f>'Por Valoracion (3) Dimension 2'!D111</f>
        <v>27</v>
      </c>
      <c r="AY111" s="36"/>
      <c r="BA111" s="53" t="str">
        <f>('Gestión de abastecimiento'!A112)</f>
        <v>Beneficiaros 108</v>
      </c>
      <c r="BB111" s="27">
        <f>'Por Valoracion (3) Dimension'!F111</f>
        <v>18</v>
      </c>
      <c r="BC111" s="27">
        <f>'Por Valoracion (3) Dimension 2'!D111</f>
        <v>27</v>
      </c>
      <c r="BX111" s="36"/>
      <c r="BZ111" s="37"/>
      <c r="CB111" s="53" t="str">
        <f>('Gestión de abastecimiento'!A112)</f>
        <v>Beneficiaros 108</v>
      </c>
      <c r="CC111" s="27">
        <f>'Por Valoracion (3) Dimension 2'!B111</f>
        <v>27</v>
      </c>
      <c r="CD111" s="27">
        <f>'Por Valoracion (3) Dimension'!H111</f>
        <v>55</v>
      </c>
      <c r="CY111" s="37"/>
    </row>
    <row r="112" spans="1:103" x14ac:dyDescent="0.25">
      <c r="A112" s="36"/>
      <c r="C112" s="53" t="str">
        <f>('Gestión de abastecimiento'!A113)</f>
        <v>Beneficiaros 109</v>
      </c>
      <c r="D112" s="27">
        <f>'Por Valoracion (3) Dimension'!B112</f>
        <v>20</v>
      </c>
      <c r="E112" s="27">
        <f>'Por Valoracion (3) Dimension 2'!D112</f>
        <v>31</v>
      </c>
      <c r="Z112" s="36"/>
      <c r="AB112" s="53" t="str">
        <f>('Gestión de abastecimiento'!A113)</f>
        <v>Beneficiaros 109</v>
      </c>
      <c r="AC112" s="27">
        <f>'Por Valoracion (3) Dimension'!D112</f>
        <v>21</v>
      </c>
      <c r="AD112" s="27">
        <f>'Por Valoracion (3) Dimension 2'!D112</f>
        <v>31</v>
      </c>
      <c r="AY112" s="36"/>
      <c r="BA112" s="53" t="str">
        <f>('Gestión de abastecimiento'!A113)</f>
        <v>Beneficiaros 109</v>
      </c>
      <c r="BB112" s="27">
        <f>'Por Valoracion (3) Dimension'!F112</f>
        <v>21</v>
      </c>
      <c r="BC112" s="27">
        <f>'Por Valoracion (3) Dimension 2'!D112</f>
        <v>31</v>
      </c>
      <c r="BX112" s="36"/>
      <c r="BZ112" s="37"/>
      <c r="CB112" s="53" t="str">
        <f>('Gestión de abastecimiento'!A113)</f>
        <v>Beneficiaros 109</v>
      </c>
      <c r="CC112" s="27">
        <f>'Por Valoracion (3) Dimension 2'!B112</f>
        <v>31</v>
      </c>
      <c r="CD112" s="27">
        <f>'Por Valoracion (3) Dimension'!H112</f>
        <v>62</v>
      </c>
      <c r="CY112" s="37"/>
    </row>
    <row r="113" spans="1:103" x14ac:dyDescent="0.25">
      <c r="A113" s="36"/>
      <c r="C113" s="53" t="str">
        <f>('Gestión de abastecimiento'!A114)</f>
        <v>Beneficiaros 110</v>
      </c>
      <c r="D113" s="27">
        <f>'Por Valoracion (3) Dimension'!B113</f>
        <v>19</v>
      </c>
      <c r="E113" s="27">
        <f>'Por Valoracion (3) Dimension 2'!D113</f>
        <v>28</v>
      </c>
      <c r="Z113" s="36"/>
      <c r="AB113" s="53" t="str">
        <f>('Gestión de abastecimiento'!A114)</f>
        <v>Beneficiaros 110</v>
      </c>
      <c r="AC113" s="27">
        <f>'Por Valoracion (3) Dimension'!D113</f>
        <v>20</v>
      </c>
      <c r="AD113" s="27">
        <f>'Por Valoracion (3) Dimension 2'!D113</f>
        <v>28</v>
      </c>
      <c r="AY113" s="36"/>
      <c r="BA113" s="53" t="str">
        <f>('Gestión de abastecimiento'!A114)</f>
        <v>Beneficiaros 110</v>
      </c>
      <c r="BB113" s="27">
        <f>'Por Valoracion (3) Dimension'!F113</f>
        <v>18</v>
      </c>
      <c r="BC113" s="27">
        <f>'Por Valoracion (3) Dimension 2'!D113</f>
        <v>28</v>
      </c>
      <c r="BX113" s="36"/>
      <c r="BZ113" s="37"/>
      <c r="CB113" s="53" t="str">
        <f>('Gestión de abastecimiento'!A114)</f>
        <v>Beneficiaros 110</v>
      </c>
      <c r="CC113" s="27">
        <f>'Por Valoracion (3) Dimension 2'!B113</f>
        <v>28</v>
      </c>
      <c r="CD113" s="27">
        <f>'Por Valoracion (3) Dimension'!H113</f>
        <v>57</v>
      </c>
      <c r="CY113" s="37"/>
    </row>
    <row r="114" spans="1:103" x14ac:dyDescent="0.25">
      <c r="A114" s="36"/>
      <c r="C114" s="53" t="str">
        <f>('Gestión de abastecimiento'!A115)</f>
        <v>Beneficiaros 111</v>
      </c>
      <c r="D114" s="27">
        <f>'Por Valoracion (3) Dimension'!B114</f>
        <v>18</v>
      </c>
      <c r="E114" s="27">
        <f>'Por Valoracion (3) Dimension 2'!D114</f>
        <v>24</v>
      </c>
      <c r="Z114" s="36"/>
      <c r="AB114" s="53" t="str">
        <f>('Gestión de abastecimiento'!A115)</f>
        <v>Beneficiaros 111</v>
      </c>
      <c r="AC114" s="27">
        <f>'Por Valoracion (3) Dimension'!D114</f>
        <v>17</v>
      </c>
      <c r="AD114" s="27">
        <f>'Por Valoracion (3) Dimension 2'!D114</f>
        <v>24</v>
      </c>
      <c r="AY114" s="36"/>
      <c r="BA114" s="53" t="str">
        <f>('Gestión de abastecimiento'!A115)</f>
        <v>Beneficiaros 111</v>
      </c>
      <c r="BB114" s="27">
        <f>'Por Valoracion (3) Dimension'!F114</f>
        <v>16</v>
      </c>
      <c r="BC114" s="27">
        <f>'Por Valoracion (3) Dimension 2'!D114</f>
        <v>24</v>
      </c>
      <c r="BX114" s="36"/>
      <c r="BZ114" s="37"/>
      <c r="CB114" s="53" t="str">
        <f>('Gestión de abastecimiento'!A115)</f>
        <v>Beneficiaros 111</v>
      </c>
      <c r="CC114" s="27">
        <f>'Por Valoracion (3) Dimension 2'!B114</f>
        <v>24</v>
      </c>
      <c r="CD114" s="27">
        <f>'Por Valoracion (3) Dimension'!H114</f>
        <v>51</v>
      </c>
      <c r="CY114" s="37"/>
    </row>
    <row r="115" spans="1:103" x14ac:dyDescent="0.25">
      <c r="A115" s="36"/>
      <c r="C115" s="53" t="str">
        <f>('Gestión de abastecimiento'!A116)</f>
        <v>Beneficiaros 112</v>
      </c>
      <c r="D115" s="27">
        <f>'Por Valoracion (3) Dimension'!B115</f>
        <v>21</v>
      </c>
      <c r="E115" s="27">
        <f>'Por Valoracion (3) Dimension 2'!D115</f>
        <v>30</v>
      </c>
      <c r="Z115" s="36"/>
      <c r="AB115" s="53" t="str">
        <f>('Gestión de abastecimiento'!A116)</f>
        <v>Beneficiaros 112</v>
      </c>
      <c r="AC115" s="27">
        <f>'Por Valoracion (3) Dimension'!D115</f>
        <v>22</v>
      </c>
      <c r="AD115" s="27">
        <f>'Por Valoracion (3) Dimension 2'!D115</f>
        <v>30</v>
      </c>
      <c r="AY115" s="36"/>
      <c r="BA115" s="53" t="str">
        <f>('Gestión de abastecimiento'!A116)</f>
        <v>Beneficiaros 112</v>
      </c>
      <c r="BB115" s="27">
        <f>'Por Valoracion (3) Dimension'!F115</f>
        <v>18</v>
      </c>
      <c r="BC115" s="27">
        <f>'Por Valoracion (3) Dimension 2'!D115</f>
        <v>30</v>
      </c>
      <c r="BX115" s="36"/>
      <c r="BZ115" s="37"/>
      <c r="CB115" s="53" t="str">
        <f>('Gestión de abastecimiento'!A116)</f>
        <v>Beneficiaros 112</v>
      </c>
      <c r="CC115" s="27">
        <f>'Por Valoracion (3) Dimension 2'!B115</f>
        <v>30</v>
      </c>
      <c r="CD115" s="27">
        <f>'Por Valoracion (3) Dimension'!H115</f>
        <v>61</v>
      </c>
      <c r="CY115" s="37"/>
    </row>
    <row r="116" spans="1:103" x14ac:dyDescent="0.25">
      <c r="A116" s="36"/>
      <c r="C116" s="53" t="str">
        <f>('Gestión de abastecimiento'!A117)</f>
        <v>Beneficiaros 113</v>
      </c>
      <c r="D116" s="27">
        <f>'Por Valoracion (3) Dimension'!B116</f>
        <v>23</v>
      </c>
      <c r="E116" s="27">
        <f>'Por Valoracion (3) Dimension 2'!D116</f>
        <v>31</v>
      </c>
      <c r="Z116" s="36"/>
      <c r="AB116" s="53" t="str">
        <f>('Gestión de abastecimiento'!A117)</f>
        <v>Beneficiaros 113</v>
      </c>
      <c r="AC116" s="27">
        <f>'Por Valoracion (3) Dimension'!D116</f>
        <v>22</v>
      </c>
      <c r="AD116" s="27">
        <f>'Por Valoracion (3) Dimension 2'!D116</f>
        <v>31</v>
      </c>
      <c r="AY116" s="36"/>
      <c r="BA116" s="53" t="str">
        <f>('Gestión de abastecimiento'!A117)</f>
        <v>Beneficiaros 113</v>
      </c>
      <c r="BB116" s="27">
        <f>'Por Valoracion (3) Dimension'!F116</f>
        <v>23</v>
      </c>
      <c r="BC116" s="27">
        <f>'Por Valoracion (3) Dimension 2'!D116</f>
        <v>31</v>
      </c>
      <c r="BX116" s="36"/>
      <c r="BZ116" s="37"/>
      <c r="CB116" s="53" t="str">
        <f>('Gestión de abastecimiento'!A117)</f>
        <v>Beneficiaros 113</v>
      </c>
      <c r="CC116" s="27">
        <f>'Por Valoracion (3) Dimension 2'!B116</f>
        <v>31</v>
      </c>
      <c r="CD116" s="27">
        <f>'Por Valoracion (3) Dimension'!H116</f>
        <v>68</v>
      </c>
      <c r="CY116" s="37"/>
    </row>
    <row r="117" spans="1:103" x14ac:dyDescent="0.25">
      <c r="A117" s="36"/>
      <c r="C117" s="53" t="str">
        <f>('Gestión de abastecimiento'!A118)</f>
        <v>Beneficiaros 114</v>
      </c>
      <c r="D117" s="27">
        <f>'Por Valoracion (3) Dimension'!B117</f>
        <v>19</v>
      </c>
      <c r="E117" s="27">
        <f>'Por Valoracion (3) Dimension 2'!D117</f>
        <v>30</v>
      </c>
      <c r="Z117" s="36"/>
      <c r="AB117" s="53" t="str">
        <f>('Gestión de abastecimiento'!A118)</f>
        <v>Beneficiaros 114</v>
      </c>
      <c r="AC117" s="27">
        <f>'Por Valoracion (3) Dimension'!D117</f>
        <v>18</v>
      </c>
      <c r="AD117" s="27">
        <f>'Por Valoracion (3) Dimension 2'!D117</f>
        <v>30</v>
      </c>
      <c r="AY117" s="36"/>
      <c r="BA117" s="53" t="str">
        <f>('Gestión de abastecimiento'!A118)</f>
        <v>Beneficiaros 114</v>
      </c>
      <c r="BB117" s="27">
        <f>'Por Valoracion (3) Dimension'!F117</f>
        <v>18</v>
      </c>
      <c r="BC117" s="27">
        <f>'Por Valoracion (3) Dimension 2'!D117</f>
        <v>30</v>
      </c>
      <c r="BX117" s="36"/>
      <c r="BZ117" s="37"/>
      <c r="CB117" s="53" t="str">
        <f>('Gestión de abastecimiento'!A118)</f>
        <v>Beneficiaros 114</v>
      </c>
      <c r="CC117" s="27">
        <f>'Por Valoracion (3) Dimension 2'!B117</f>
        <v>30</v>
      </c>
      <c r="CD117" s="27">
        <f>'Por Valoracion (3) Dimension'!H117</f>
        <v>55</v>
      </c>
      <c r="CY117" s="37"/>
    </row>
    <row r="118" spans="1:103" x14ac:dyDescent="0.25">
      <c r="A118" s="36"/>
      <c r="C118" s="53" t="str">
        <f>('Gestión de abastecimiento'!A119)</f>
        <v>Beneficiaros 115</v>
      </c>
      <c r="D118" s="27">
        <f>'Por Valoracion (3) Dimension'!B118</f>
        <v>17</v>
      </c>
      <c r="E118" s="27">
        <f>'Por Valoracion (3) Dimension 2'!D118</f>
        <v>23</v>
      </c>
      <c r="Z118" s="36"/>
      <c r="AB118" s="53" t="str">
        <f>('Gestión de abastecimiento'!A119)</f>
        <v>Beneficiaros 115</v>
      </c>
      <c r="AC118" s="27">
        <f>'Por Valoracion (3) Dimension'!D118</f>
        <v>14</v>
      </c>
      <c r="AD118" s="27">
        <f>'Por Valoracion (3) Dimension 2'!D118</f>
        <v>23</v>
      </c>
      <c r="AY118" s="36"/>
      <c r="BA118" s="53" t="str">
        <f>('Gestión de abastecimiento'!A119)</f>
        <v>Beneficiaros 115</v>
      </c>
      <c r="BB118" s="27">
        <f>'Por Valoracion (3) Dimension'!F118</f>
        <v>13</v>
      </c>
      <c r="BC118" s="27">
        <f>'Por Valoracion (3) Dimension 2'!D118</f>
        <v>23</v>
      </c>
      <c r="BX118" s="36"/>
      <c r="BZ118" s="37"/>
      <c r="CB118" s="53" t="str">
        <f>('Gestión de abastecimiento'!A119)</f>
        <v>Beneficiaros 115</v>
      </c>
      <c r="CC118" s="27">
        <f>'Por Valoracion (3) Dimension 2'!B118</f>
        <v>23</v>
      </c>
      <c r="CD118" s="27">
        <f>'Por Valoracion (3) Dimension'!H118</f>
        <v>44</v>
      </c>
      <c r="CY118" s="37"/>
    </row>
    <row r="119" spans="1:103" x14ac:dyDescent="0.25">
      <c r="A119" s="36"/>
      <c r="C119" s="53" t="str">
        <f>('Gestión de abastecimiento'!A120)</f>
        <v>Beneficiaros 116</v>
      </c>
      <c r="D119" s="27">
        <f>'Por Valoracion (3) Dimension'!B119</f>
        <v>24</v>
      </c>
      <c r="E119" s="27">
        <f>'Por Valoracion (3) Dimension 2'!D119</f>
        <v>36</v>
      </c>
      <c r="Z119" s="36"/>
      <c r="AB119" s="53" t="str">
        <f>('Gestión de abastecimiento'!A120)</f>
        <v>Beneficiaros 116</v>
      </c>
      <c r="AC119" s="27">
        <f>'Por Valoracion (3) Dimension'!D119</f>
        <v>24</v>
      </c>
      <c r="AD119" s="27">
        <f>'Por Valoracion (3) Dimension 2'!D119</f>
        <v>36</v>
      </c>
      <c r="AY119" s="36"/>
      <c r="BA119" s="53" t="str">
        <f>('Gestión de abastecimiento'!A120)</f>
        <v>Beneficiaros 116</v>
      </c>
      <c r="BB119" s="27">
        <f>'Por Valoracion (3) Dimension'!F119</f>
        <v>24</v>
      </c>
      <c r="BC119" s="27">
        <f>'Por Valoracion (3) Dimension 2'!D119</f>
        <v>36</v>
      </c>
      <c r="BX119" s="36"/>
      <c r="BZ119" s="37"/>
      <c r="CB119" s="53" t="str">
        <f>('Gestión de abastecimiento'!A120)</f>
        <v>Beneficiaros 116</v>
      </c>
      <c r="CC119" s="27">
        <f>'Por Valoracion (3) Dimension 2'!B119</f>
        <v>36</v>
      </c>
      <c r="CD119" s="27">
        <f>'Por Valoracion (3) Dimension'!H119</f>
        <v>72</v>
      </c>
      <c r="CY119" s="37"/>
    </row>
    <row r="120" spans="1:103" x14ac:dyDescent="0.25">
      <c r="A120" s="36"/>
      <c r="C120" s="53" t="str">
        <f>('Gestión de abastecimiento'!A121)</f>
        <v>Beneficiaros 117</v>
      </c>
      <c r="D120" s="27">
        <f>'Por Valoracion (3) Dimension'!B120</f>
        <v>18</v>
      </c>
      <c r="E120" s="27">
        <f>'Por Valoracion (3) Dimension 2'!D120</f>
        <v>27</v>
      </c>
      <c r="Z120" s="36"/>
      <c r="AB120" s="53" t="str">
        <f>('Gestión de abastecimiento'!A121)</f>
        <v>Beneficiaros 117</v>
      </c>
      <c r="AC120" s="27">
        <f>'Por Valoracion (3) Dimension'!D120</f>
        <v>18</v>
      </c>
      <c r="AD120" s="27">
        <f>'Por Valoracion (3) Dimension 2'!D120</f>
        <v>27</v>
      </c>
      <c r="AY120" s="36"/>
      <c r="BA120" s="53" t="str">
        <f>('Gestión de abastecimiento'!A121)</f>
        <v>Beneficiaros 117</v>
      </c>
      <c r="BB120" s="27">
        <f>'Por Valoracion (3) Dimension'!F120</f>
        <v>17</v>
      </c>
      <c r="BC120" s="27">
        <f>'Por Valoracion (3) Dimension 2'!D120</f>
        <v>27</v>
      </c>
      <c r="BX120" s="36"/>
      <c r="BZ120" s="37"/>
      <c r="CB120" s="53" t="str">
        <f>('Gestión de abastecimiento'!A121)</f>
        <v>Beneficiaros 117</v>
      </c>
      <c r="CC120" s="27">
        <f>'Por Valoracion (3) Dimension 2'!B120</f>
        <v>27</v>
      </c>
      <c r="CD120" s="27">
        <f>'Por Valoracion (3) Dimension'!H120</f>
        <v>53</v>
      </c>
      <c r="CY120" s="37"/>
    </row>
    <row r="121" spans="1:103" x14ac:dyDescent="0.25">
      <c r="A121" s="36"/>
      <c r="C121" s="53" t="str">
        <f>('Gestión de abastecimiento'!A122)</f>
        <v>Beneficiaros 118</v>
      </c>
      <c r="D121" s="27">
        <f>'Por Valoracion (3) Dimension'!B121</f>
        <v>24</v>
      </c>
      <c r="E121" s="27">
        <f>'Por Valoracion (3) Dimension 2'!D121</f>
        <v>36</v>
      </c>
      <c r="Z121" s="36"/>
      <c r="AB121" s="53" t="str">
        <f>('Gestión de abastecimiento'!A122)</f>
        <v>Beneficiaros 118</v>
      </c>
      <c r="AC121" s="27">
        <f>'Por Valoracion (3) Dimension'!D121</f>
        <v>24</v>
      </c>
      <c r="AD121" s="27">
        <f>'Por Valoracion (3) Dimension 2'!D121</f>
        <v>36</v>
      </c>
      <c r="AY121" s="36"/>
      <c r="BA121" s="53" t="str">
        <f>('Gestión de abastecimiento'!A122)</f>
        <v>Beneficiaros 118</v>
      </c>
      <c r="BB121" s="27">
        <f>'Por Valoracion (3) Dimension'!F121</f>
        <v>23</v>
      </c>
      <c r="BC121" s="27">
        <f>'Por Valoracion (3) Dimension 2'!D121</f>
        <v>36</v>
      </c>
      <c r="BX121" s="36"/>
      <c r="BZ121" s="37"/>
      <c r="CB121" s="53" t="str">
        <f>('Gestión de abastecimiento'!A122)</f>
        <v>Beneficiaros 118</v>
      </c>
      <c r="CC121" s="27">
        <f>'Por Valoracion (3) Dimension 2'!B121</f>
        <v>36</v>
      </c>
      <c r="CD121" s="27">
        <f>'Por Valoracion (3) Dimension'!H121</f>
        <v>71</v>
      </c>
      <c r="CY121" s="37"/>
    </row>
    <row r="122" spans="1:103" x14ac:dyDescent="0.25">
      <c r="A122" s="36"/>
      <c r="C122" s="53" t="str">
        <f>('Gestión de abastecimiento'!A123)</f>
        <v>Beneficiaros 119</v>
      </c>
      <c r="D122" s="27">
        <f>'Por Valoracion (3) Dimension'!B122</f>
        <v>12</v>
      </c>
      <c r="E122" s="27">
        <f>'Por Valoracion (3) Dimension 2'!D122</f>
        <v>17</v>
      </c>
      <c r="Z122" s="36"/>
      <c r="AB122" s="53" t="str">
        <f>('Gestión de abastecimiento'!A123)</f>
        <v>Beneficiaros 119</v>
      </c>
      <c r="AC122" s="27">
        <f>'Por Valoracion (3) Dimension'!D122</f>
        <v>12</v>
      </c>
      <c r="AD122" s="27">
        <f>'Por Valoracion (3) Dimension 2'!D122</f>
        <v>17</v>
      </c>
      <c r="AY122" s="36"/>
      <c r="BA122" s="53" t="str">
        <f>('Gestión de abastecimiento'!A123)</f>
        <v>Beneficiaros 119</v>
      </c>
      <c r="BB122" s="27">
        <f>'Por Valoracion (3) Dimension'!F122</f>
        <v>12</v>
      </c>
      <c r="BC122" s="27">
        <f>'Por Valoracion (3) Dimension 2'!D122</f>
        <v>17</v>
      </c>
      <c r="BX122" s="36"/>
      <c r="BZ122" s="37"/>
      <c r="CB122" s="53" t="str">
        <f>('Gestión de abastecimiento'!A123)</f>
        <v>Beneficiaros 119</v>
      </c>
      <c r="CC122" s="27">
        <f>'Por Valoracion (3) Dimension 2'!B122</f>
        <v>17</v>
      </c>
      <c r="CD122" s="27">
        <f>'Por Valoracion (3) Dimension'!H122</f>
        <v>36</v>
      </c>
      <c r="CY122" s="37"/>
    </row>
    <row r="123" spans="1:103" x14ac:dyDescent="0.25">
      <c r="A123" s="36"/>
      <c r="C123" s="53" t="str">
        <f>('Gestión de abastecimiento'!A124)</f>
        <v>Beneficiaros 120</v>
      </c>
      <c r="D123" s="27">
        <f>'Por Valoracion (3) Dimension'!B123</f>
        <v>20</v>
      </c>
      <c r="E123" s="27">
        <f>'Por Valoracion (3) Dimension 2'!D123</f>
        <v>27</v>
      </c>
      <c r="Z123" s="36"/>
      <c r="AB123" s="53" t="str">
        <f>('Gestión de abastecimiento'!A124)</f>
        <v>Beneficiaros 120</v>
      </c>
      <c r="AC123" s="27">
        <f>'Por Valoracion (3) Dimension'!D123</f>
        <v>18</v>
      </c>
      <c r="AD123" s="27">
        <f>'Por Valoracion (3) Dimension 2'!D123</f>
        <v>27</v>
      </c>
      <c r="AY123" s="36"/>
      <c r="BA123" s="53" t="str">
        <f>('Gestión de abastecimiento'!A124)</f>
        <v>Beneficiaros 120</v>
      </c>
      <c r="BB123" s="27">
        <f>'Por Valoracion (3) Dimension'!F123</f>
        <v>20</v>
      </c>
      <c r="BC123" s="27">
        <f>'Por Valoracion (3) Dimension 2'!D123</f>
        <v>27</v>
      </c>
      <c r="BX123" s="36"/>
      <c r="BZ123" s="37"/>
      <c r="CB123" s="53" t="str">
        <f>('Gestión de abastecimiento'!A124)</f>
        <v>Beneficiaros 120</v>
      </c>
      <c r="CC123" s="27">
        <f>'Por Valoracion (3) Dimension 2'!B123</f>
        <v>27</v>
      </c>
      <c r="CD123" s="27">
        <f>'Por Valoracion (3) Dimension'!H123</f>
        <v>58</v>
      </c>
      <c r="CY123" s="37"/>
    </row>
    <row r="124" spans="1:103" x14ac:dyDescent="0.25">
      <c r="A124" s="36"/>
      <c r="C124" s="53" t="str">
        <f>('Gestión de abastecimiento'!A125)</f>
        <v>Beneficiaros 121</v>
      </c>
      <c r="D124" s="27">
        <f>'Por Valoracion (3) Dimension'!B124</f>
        <v>18</v>
      </c>
      <c r="E124" s="27">
        <f>'Por Valoracion (3) Dimension 2'!D124</f>
        <v>28</v>
      </c>
      <c r="Z124" s="36"/>
      <c r="AB124" s="53" t="str">
        <f>('Gestión de abastecimiento'!A125)</f>
        <v>Beneficiaros 121</v>
      </c>
      <c r="AC124" s="27">
        <f>'Por Valoracion (3) Dimension'!D124</f>
        <v>19</v>
      </c>
      <c r="AD124" s="27">
        <f>'Por Valoracion (3) Dimension 2'!D124</f>
        <v>28</v>
      </c>
      <c r="AY124" s="36"/>
      <c r="BA124" s="53" t="str">
        <f>('Gestión de abastecimiento'!A125)</f>
        <v>Beneficiaros 121</v>
      </c>
      <c r="BB124" s="27">
        <f>'Por Valoracion (3) Dimension'!F124</f>
        <v>18</v>
      </c>
      <c r="BC124" s="27">
        <f>'Por Valoracion (3) Dimension 2'!D124</f>
        <v>28</v>
      </c>
      <c r="BX124" s="36"/>
      <c r="BZ124" s="37"/>
      <c r="CB124" s="53" t="str">
        <f>('Gestión de abastecimiento'!A125)</f>
        <v>Beneficiaros 121</v>
      </c>
      <c r="CC124" s="27">
        <f>'Por Valoracion (3) Dimension 2'!B124</f>
        <v>28</v>
      </c>
      <c r="CD124" s="27">
        <f>'Por Valoracion (3) Dimension'!H124</f>
        <v>55</v>
      </c>
      <c r="CY124" s="37"/>
    </row>
    <row r="125" spans="1:103" x14ac:dyDescent="0.25">
      <c r="A125" s="36"/>
      <c r="C125" s="53" t="str">
        <f>('Gestión de abastecimiento'!A126)</f>
        <v>Beneficiaros 122</v>
      </c>
      <c r="D125" s="27">
        <f>'Por Valoracion (3) Dimension'!B125</f>
        <v>24</v>
      </c>
      <c r="E125" s="27">
        <f>'Por Valoracion (3) Dimension 2'!D125</f>
        <v>34</v>
      </c>
      <c r="Z125" s="36"/>
      <c r="AB125" s="53" t="str">
        <f>('Gestión de abastecimiento'!A126)</f>
        <v>Beneficiaros 122</v>
      </c>
      <c r="AC125" s="27">
        <f>'Por Valoracion (3) Dimension'!D125</f>
        <v>24</v>
      </c>
      <c r="AD125" s="27">
        <f>'Por Valoracion (3) Dimension 2'!D125</f>
        <v>34</v>
      </c>
      <c r="AY125" s="36"/>
      <c r="BA125" s="53" t="str">
        <f>('Gestión de abastecimiento'!A126)</f>
        <v>Beneficiaros 122</v>
      </c>
      <c r="BB125" s="27">
        <f>'Por Valoracion (3) Dimension'!F125</f>
        <v>22</v>
      </c>
      <c r="BC125" s="27">
        <f>'Por Valoracion (3) Dimension 2'!D125</f>
        <v>34</v>
      </c>
      <c r="BX125" s="36"/>
      <c r="BZ125" s="37"/>
      <c r="CB125" s="53" t="str">
        <f>('Gestión de abastecimiento'!A126)</f>
        <v>Beneficiaros 122</v>
      </c>
      <c r="CC125" s="27">
        <f>'Por Valoracion (3) Dimension 2'!B125</f>
        <v>34</v>
      </c>
      <c r="CD125" s="27">
        <f>'Por Valoracion (3) Dimension'!H125</f>
        <v>70</v>
      </c>
      <c r="CY125" s="37"/>
    </row>
    <row r="126" spans="1:103" x14ac:dyDescent="0.25">
      <c r="A126" s="36"/>
      <c r="C126" s="53" t="str">
        <f>('Gestión de abastecimiento'!A127)</f>
        <v>Beneficiaros 123</v>
      </c>
      <c r="D126" s="27">
        <f>'Por Valoracion (3) Dimension'!B126</f>
        <v>18</v>
      </c>
      <c r="E126" s="27">
        <f>'Por Valoracion (3) Dimension 2'!D126</f>
        <v>27</v>
      </c>
      <c r="Z126" s="36"/>
      <c r="AB126" s="53" t="str">
        <f>('Gestión de abastecimiento'!A127)</f>
        <v>Beneficiaros 123</v>
      </c>
      <c r="AC126" s="27">
        <f>'Por Valoracion (3) Dimension'!D126</f>
        <v>18</v>
      </c>
      <c r="AD126" s="27">
        <f>'Por Valoracion (3) Dimension 2'!D126</f>
        <v>27</v>
      </c>
      <c r="AY126" s="36"/>
      <c r="BA126" s="53" t="str">
        <f>('Gestión de abastecimiento'!A127)</f>
        <v>Beneficiaros 123</v>
      </c>
      <c r="BB126" s="27">
        <f>'Por Valoracion (3) Dimension'!F126</f>
        <v>18</v>
      </c>
      <c r="BC126" s="27">
        <f>'Por Valoracion (3) Dimension 2'!D126</f>
        <v>27</v>
      </c>
      <c r="BX126" s="36"/>
      <c r="BZ126" s="37"/>
      <c r="CB126" s="53" t="str">
        <f>('Gestión de abastecimiento'!A127)</f>
        <v>Beneficiaros 123</v>
      </c>
      <c r="CC126" s="27">
        <f>'Por Valoracion (3) Dimension 2'!B126</f>
        <v>27</v>
      </c>
      <c r="CD126" s="27">
        <f>'Por Valoracion (3) Dimension'!H126</f>
        <v>54</v>
      </c>
      <c r="CY126" s="37"/>
    </row>
    <row r="127" spans="1:103" x14ac:dyDescent="0.25">
      <c r="A127" s="36"/>
      <c r="C127" s="53" t="str">
        <f>('Gestión de abastecimiento'!A128)</f>
        <v>Beneficiaros 124</v>
      </c>
      <c r="D127" s="27">
        <f>'Por Valoracion (3) Dimension'!B127</f>
        <v>24</v>
      </c>
      <c r="E127" s="27">
        <f>'Por Valoracion (3) Dimension 2'!D127</f>
        <v>35</v>
      </c>
      <c r="Z127" s="36"/>
      <c r="AB127" s="53" t="str">
        <f>('Gestión de abastecimiento'!A128)</f>
        <v>Beneficiaros 124</v>
      </c>
      <c r="AC127" s="27">
        <f>'Por Valoracion (3) Dimension'!D127</f>
        <v>22</v>
      </c>
      <c r="AD127" s="27">
        <f>'Por Valoracion (3) Dimension 2'!D127</f>
        <v>35</v>
      </c>
      <c r="AY127" s="36"/>
      <c r="BA127" s="53" t="str">
        <f>('Gestión de abastecimiento'!A128)</f>
        <v>Beneficiaros 124</v>
      </c>
      <c r="BB127" s="27">
        <f>'Por Valoracion (3) Dimension'!F127</f>
        <v>24</v>
      </c>
      <c r="BC127" s="27">
        <f>'Por Valoracion (3) Dimension 2'!D127</f>
        <v>35</v>
      </c>
      <c r="BX127" s="36"/>
      <c r="BZ127" s="37"/>
      <c r="CB127" s="53" t="str">
        <f>('Gestión de abastecimiento'!A128)</f>
        <v>Beneficiaros 124</v>
      </c>
      <c r="CC127" s="27">
        <f>'Por Valoracion (3) Dimension 2'!B127</f>
        <v>35</v>
      </c>
      <c r="CD127" s="27">
        <f>'Por Valoracion (3) Dimension'!H127</f>
        <v>70</v>
      </c>
      <c r="CY127" s="37"/>
    </row>
    <row r="128" spans="1:103" x14ac:dyDescent="0.25">
      <c r="A128" s="36"/>
      <c r="C128" s="53" t="str">
        <f>('Gestión de abastecimiento'!A129)</f>
        <v>Beneficiaros 125</v>
      </c>
      <c r="D128" s="27">
        <f>'Por Valoracion (3) Dimension'!B128</f>
        <v>15</v>
      </c>
      <c r="E128" s="27">
        <f>'Por Valoracion (3) Dimension 2'!D128</f>
        <v>25</v>
      </c>
      <c r="Z128" s="36"/>
      <c r="AB128" s="53" t="str">
        <f>('Gestión de abastecimiento'!A129)</f>
        <v>Beneficiaros 125</v>
      </c>
      <c r="AC128" s="27">
        <f>'Por Valoracion (3) Dimension'!D128</f>
        <v>18</v>
      </c>
      <c r="AD128" s="27">
        <f>'Por Valoracion (3) Dimension 2'!D128</f>
        <v>25</v>
      </c>
      <c r="AY128" s="36"/>
      <c r="BA128" s="53" t="str">
        <f>('Gestión de abastecimiento'!A129)</f>
        <v>Beneficiaros 125</v>
      </c>
      <c r="BB128" s="27">
        <f>'Por Valoracion (3) Dimension'!F128</f>
        <v>15</v>
      </c>
      <c r="BC128" s="27">
        <f>'Por Valoracion (3) Dimension 2'!D128</f>
        <v>25</v>
      </c>
      <c r="BX128" s="36"/>
      <c r="BZ128" s="37"/>
      <c r="CB128" s="53" t="str">
        <f>('Gestión de abastecimiento'!A129)</f>
        <v>Beneficiaros 125</v>
      </c>
      <c r="CC128" s="27">
        <f>'Por Valoracion (3) Dimension 2'!B128</f>
        <v>25</v>
      </c>
      <c r="CD128" s="27">
        <f>'Por Valoracion (3) Dimension'!H128</f>
        <v>48</v>
      </c>
      <c r="CY128" s="37"/>
    </row>
    <row r="129" spans="1:103" x14ac:dyDescent="0.25">
      <c r="A129" s="36"/>
      <c r="C129" s="53" t="str">
        <f>('Gestión de abastecimiento'!A130)</f>
        <v>Beneficiaros 126</v>
      </c>
      <c r="D129" s="27">
        <f>'Por Valoracion (3) Dimension'!B129</f>
        <v>16</v>
      </c>
      <c r="E129" s="27">
        <f>'Por Valoracion (3) Dimension 2'!D129</f>
        <v>24</v>
      </c>
      <c r="Z129" s="36"/>
      <c r="AB129" s="53" t="str">
        <f>('Gestión de abastecimiento'!A130)</f>
        <v>Beneficiaros 126</v>
      </c>
      <c r="AC129" s="27">
        <f>'Por Valoracion (3) Dimension'!D129</f>
        <v>17</v>
      </c>
      <c r="AD129" s="27">
        <f>'Por Valoracion (3) Dimension 2'!D129</f>
        <v>24</v>
      </c>
      <c r="AY129" s="36"/>
      <c r="BA129" s="53" t="str">
        <f>('Gestión de abastecimiento'!A130)</f>
        <v>Beneficiaros 126</v>
      </c>
      <c r="BB129" s="27">
        <f>'Por Valoracion (3) Dimension'!F129</f>
        <v>13</v>
      </c>
      <c r="BC129" s="27">
        <f>'Por Valoracion (3) Dimension 2'!D129</f>
        <v>24</v>
      </c>
      <c r="BX129" s="36"/>
      <c r="BZ129" s="37"/>
      <c r="CB129" s="53" t="str">
        <f>('Gestión de abastecimiento'!A130)</f>
        <v>Beneficiaros 126</v>
      </c>
      <c r="CC129" s="27">
        <f>'Por Valoracion (3) Dimension 2'!B129</f>
        <v>24</v>
      </c>
      <c r="CD129" s="27">
        <f>'Por Valoracion (3) Dimension'!H129</f>
        <v>46</v>
      </c>
      <c r="CY129" s="37"/>
    </row>
    <row r="130" spans="1:103" x14ac:dyDescent="0.25">
      <c r="A130" s="36"/>
      <c r="C130" s="53" t="str">
        <f>('Gestión de abastecimiento'!A131)</f>
        <v>Beneficiaros 127</v>
      </c>
      <c r="D130" s="27">
        <f>'Por Valoracion (3) Dimension'!B130</f>
        <v>14</v>
      </c>
      <c r="E130" s="27">
        <f>'Por Valoracion (3) Dimension 2'!D130</f>
        <v>20</v>
      </c>
      <c r="Z130" s="36"/>
      <c r="AB130" s="53" t="str">
        <f>('Gestión de abastecimiento'!A131)</f>
        <v>Beneficiaros 127</v>
      </c>
      <c r="AC130" s="27">
        <f>'Por Valoracion (3) Dimension'!D130</f>
        <v>12</v>
      </c>
      <c r="AD130" s="27">
        <f>'Por Valoracion (3) Dimension 2'!D130</f>
        <v>20</v>
      </c>
      <c r="AY130" s="36"/>
      <c r="BA130" s="53" t="str">
        <f>('Gestión de abastecimiento'!A131)</f>
        <v>Beneficiaros 127</v>
      </c>
      <c r="BB130" s="27">
        <f>'Por Valoracion (3) Dimension'!F130</f>
        <v>12</v>
      </c>
      <c r="BC130" s="27">
        <f>'Por Valoracion (3) Dimension 2'!D130</f>
        <v>20</v>
      </c>
      <c r="BX130" s="36"/>
      <c r="BZ130" s="37"/>
      <c r="CB130" s="53" t="str">
        <f>('Gestión de abastecimiento'!A131)</f>
        <v>Beneficiaros 127</v>
      </c>
      <c r="CC130" s="27">
        <f>'Por Valoracion (3) Dimension 2'!B130</f>
        <v>20</v>
      </c>
      <c r="CD130" s="27">
        <f>'Por Valoracion (3) Dimension'!H130</f>
        <v>38</v>
      </c>
      <c r="CY130" s="37"/>
    </row>
    <row r="131" spans="1:103" x14ac:dyDescent="0.25">
      <c r="A131" s="36"/>
      <c r="C131" s="53" t="str">
        <f>('Gestión de abastecimiento'!A132)</f>
        <v>Beneficiaros 128</v>
      </c>
      <c r="D131" s="27">
        <f>'Por Valoracion (3) Dimension'!B131</f>
        <v>14</v>
      </c>
      <c r="E131" s="27">
        <f>'Por Valoracion (3) Dimension 2'!D131</f>
        <v>23</v>
      </c>
      <c r="Z131" s="36"/>
      <c r="AB131" s="53" t="str">
        <f>('Gestión de abastecimiento'!A132)</f>
        <v>Beneficiaros 128</v>
      </c>
      <c r="AC131" s="27">
        <f>'Por Valoracion (3) Dimension'!D131</f>
        <v>16</v>
      </c>
      <c r="AD131" s="27">
        <f>'Por Valoracion (3) Dimension 2'!D131</f>
        <v>23</v>
      </c>
      <c r="AY131" s="36"/>
      <c r="BA131" s="53" t="str">
        <f>('Gestión de abastecimiento'!A132)</f>
        <v>Beneficiaros 128</v>
      </c>
      <c r="BB131" s="27">
        <f>'Por Valoracion (3) Dimension'!F131</f>
        <v>16</v>
      </c>
      <c r="BC131" s="27">
        <f>'Por Valoracion (3) Dimension 2'!D131</f>
        <v>23</v>
      </c>
      <c r="BX131" s="36"/>
      <c r="BZ131" s="37"/>
      <c r="CB131" s="53" t="str">
        <f>('Gestión de abastecimiento'!A132)</f>
        <v>Beneficiaros 128</v>
      </c>
      <c r="CC131" s="27">
        <f>'Por Valoracion (3) Dimension 2'!B131</f>
        <v>23</v>
      </c>
      <c r="CD131" s="27">
        <f>'Por Valoracion (3) Dimension'!H131</f>
        <v>46</v>
      </c>
      <c r="CY131" s="37"/>
    </row>
    <row r="132" spans="1:103" x14ac:dyDescent="0.25">
      <c r="A132" s="36"/>
      <c r="C132" s="53" t="str">
        <f>('Gestión de abastecimiento'!A133)</f>
        <v>Beneficiaros 129</v>
      </c>
      <c r="D132" s="27">
        <f>'Por Valoracion (3) Dimension'!B132</f>
        <v>17</v>
      </c>
      <c r="E132" s="27">
        <f>'Por Valoracion (3) Dimension 2'!D132</f>
        <v>24</v>
      </c>
      <c r="Z132" s="36"/>
      <c r="AB132" s="53" t="str">
        <f>('Gestión de abastecimiento'!A133)</f>
        <v>Beneficiaros 129</v>
      </c>
      <c r="AC132" s="27">
        <f>'Por Valoracion (3) Dimension'!D132</f>
        <v>13</v>
      </c>
      <c r="AD132" s="27">
        <f>'Por Valoracion (3) Dimension 2'!D132</f>
        <v>24</v>
      </c>
      <c r="AY132" s="36"/>
      <c r="BA132" s="53" t="str">
        <f>('Gestión de abastecimiento'!A133)</f>
        <v>Beneficiaros 129</v>
      </c>
      <c r="BB132" s="27">
        <f>'Por Valoracion (3) Dimension'!F132</f>
        <v>13</v>
      </c>
      <c r="BC132" s="27">
        <f>'Por Valoracion (3) Dimension 2'!D132</f>
        <v>24</v>
      </c>
      <c r="BX132" s="36"/>
      <c r="BZ132" s="37"/>
      <c r="CB132" s="53" t="str">
        <f>('Gestión de abastecimiento'!A133)</f>
        <v>Beneficiaros 129</v>
      </c>
      <c r="CC132" s="27">
        <f>'Por Valoracion (3) Dimension 2'!B132</f>
        <v>24</v>
      </c>
      <c r="CD132" s="27">
        <f>'Por Valoracion (3) Dimension'!H132</f>
        <v>43</v>
      </c>
      <c r="CY132" s="37"/>
    </row>
    <row r="133" spans="1:103" x14ac:dyDescent="0.25">
      <c r="A133" s="36"/>
      <c r="C133" s="53" t="str">
        <f>('Gestión de abastecimiento'!A134)</f>
        <v>Beneficiaros 130</v>
      </c>
      <c r="D133" s="27">
        <f>'Por Valoracion (3) Dimension'!B133</f>
        <v>12</v>
      </c>
      <c r="E133" s="27">
        <f>'Por Valoracion (3) Dimension 2'!D133</f>
        <v>20</v>
      </c>
      <c r="Z133" s="36"/>
      <c r="AB133" s="53" t="str">
        <f>('Gestión de abastecimiento'!A134)</f>
        <v>Beneficiaros 130</v>
      </c>
      <c r="AC133" s="27">
        <f>'Por Valoracion (3) Dimension'!D133</f>
        <v>13</v>
      </c>
      <c r="AD133" s="27">
        <f>'Por Valoracion (3) Dimension 2'!D133</f>
        <v>20</v>
      </c>
      <c r="AY133" s="36"/>
      <c r="BA133" s="53" t="str">
        <f>('Gestión de abastecimiento'!A134)</f>
        <v>Beneficiaros 130</v>
      </c>
      <c r="BB133" s="27">
        <f>'Por Valoracion (3) Dimension'!F133</f>
        <v>15</v>
      </c>
      <c r="BC133" s="27">
        <f>'Por Valoracion (3) Dimension 2'!D133</f>
        <v>20</v>
      </c>
      <c r="BX133" s="36"/>
      <c r="BZ133" s="37"/>
      <c r="CB133" s="53" t="str">
        <f>('Gestión de abastecimiento'!A134)</f>
        <v>Beneficiaros 130</v>
      </c>
      <c r="CC133" s="27">
        <f>'Por Valoracion (3) Dimension 2'!B133</f>
        <v>20</v>
      </c>
      <c r="CD133" s="27">
        <f>'Por Valoracion (3) Dimension'!H133</f>
        <v>40</v>
      </c>
      <c r="CY133" s="37"/>
    </row>
    <row r="134" spans="1:103" x14ac:dyDescent="0.25">
      <c r="A134" s="36"/>
      <c r="C134" s="53" t="str">
        <f>('Gestión de abastecimiento'!A135)</f>
        <v>Beneficiaros 131</v>
      </c>
      <c r="D134" s="27">
        <f>'Por Valoracion (3) Dimension'!B134</f>
        <v>22</v>
      </c>
      <c r="E134" s="27">
        <f>'Por Valoracion (3) Dimension 2'!D134</f>
        <v>36</v>
      </c>
      <c r="Z134" s="36"/>
      <c r="AB134" s="53" t="str">
        <f>('Gestión de abastecimiento'!A135)</f>
        <v>Beneficiaros 131</v>
      </c>
      <c r="AC134" s="27">
        <f>'Por Valoracion (3) Dimension'!D134</f>
        <v>22</v>
      </c>
      <c r="AD134" s="27">
        <f>'Por Valoracion (3) Dimension 2'!D134</f>
        <v>36</v>
      </c>
      <c r="AY134" s="36"/>
      <c r="BA134" s="53" t="str">
        <f>('Gestión de abastecimiento'!A135)</f>
        <v>Beneficiaros 131</v>
      </c>
      <c r="BB134" s="27">
        <f>'Por Valoracion (3) Dimension'!F134</f>
        <v>24</v>
      </c>
      <c r="BC134" s="27">
        <f>'Por Valoracion (3) Dimension 2'!D134</f>
        <v>36</v>
      </c>
      <c r="BX134" s="36"/>
      <c r="BZ134" s="37"/>
      <c r="CB134" s="53" t="str">
        <f>('Gestión de abastecimiento'!A135)</f>
        <v>Beneficiaros 131</v>
      </c>
      <c r="CC134" s="27">
        <f>'Por Valoracion (3) Dimension 2'!B134</f>
        <v>36</v>
      </c>
      <c r="CD134" s="27">
        <f>'Por Valoracion (3) Dimension'!H134</f>
        <v>68</v>
      </c>
      <c r="CY134" s="37"/>
    </row>
    <row r="135" spans="1:103" x14ac:dyDescent="0.25">
      <c r="A135" s="36"/>
      <c r="C135" s="53" t="str">
        <f>('Gestión de abastecimiento'!A136)</f>
        <v>Beneficiaros 132</v>
      </c>
      <c r="D135" s="27">
        <f>'Por Valoracion (3) Dimension'!B135</f>
        <v>12</v>
      </c>
      <c r="E135" s="27">
        <f>'Por Valoracion (3) Dimension 2'!D135</f>
        <v>19</v>
      </c>
      <c r="Z135" s="36"/>
      <c r="AB135" s="53" t="str">
        <f>('Gestión de abastecimiento'!A136)</f>
        <v>Beneficiaros 132</v>
      </c>
      <c r="AC135" s="27">
        <f>'Por Valoracion (3) Dimension'!D135</f>
        <v>13</v>
      </c>
      <c r="AD135" s="27">
        <f>'Por Valoracion (3) Dimension 2'!D135</f>
        <v>19</v>
      </c>
      <c r="AY135" s="36"/>
      <c r="BA135" s="53" t="str">
        <f>('Gestión de abastecimiento'!A136)</f>
        <v>Beneficiaros 132</v>
      </c>
      <c r="BB135" s="27">
        <f>'Por Valoracion (3) Dimension'!F135</f>
        <v>11</v>
      </c>
      <c r="BC135" s="27">
        <f>'Por Valoracion (3) Dimension 2'!D135</f>
        <v>19</v>
      </c>
      <c r="BX135" s="36"/>
      <c r="BZ135" s="37"/>
      <c r="CB135" s="53" t="str">
        <f>('Gestión de abastecimiento'!A136)</f>
        <v>Beneficiaros 132</v>
      </c>
      <c r="CC135" s="27">
        <f>'Por Valoracion (3) Dimension 2'!B135</f>
        <v>19</v>
      </c>
      <c r="CD135" s="27">
        <f>'Por Valoracion (3) Dimension'!H135</f>
        <v>36</v>
      </c>
      <c r="CY135" s="37"/>
    </row>
    <row r="136" spans="1:103" x14ac:dyDescent="0.25">
      <c r="A136" s="36"/>
      <c r="C136" s="53" t="str">
        <f>('Gestión de abastecimiento'!A137)</f>
        <v>Beneficiaros 133</v>
      </c>
      <c r="D136" s="27">
        <f>'Por Valoracion (3) Dimension'!B136</f>
        <v>23</v>
      </c>
      <c r="E136" s="27">
        <f>'Por Valoracion (3) Dimension 2'!D136</f>
        <v>33</v>
      </c>
      <c r="Z136" s="36"/>
      <c r="AB136" s="53" t="str">
        <f>('Gestión de abastecimiento'!A137)</f>
        <v>Beneficiaros 133</v>
      </c>
      <c r="AC136" s="27">
        <f>'Por Valoracion (3) Dimension'!D136</f>
        <v>24</v>
      </c>
      <c r="AD136" s="27">
        <f>'Por Valoracion (3) Dimension 2'!D136</f>
        <v>33</v>
      </c>
      <c r="AY136" s="36"/>
      <c r="BA136" s="53" t="str">
        <f>('Gestión de abastecimiento'!A137)</f>
        <v>Beneficiaros 133</v>
      </c>
      <c r="BB136" s="27">
        <f>'Por Valoracion (3) Dimension'!F136</f>
        <v>23</v>
      </c>
      <c r="BC136" s="27">
        <f>'Por Valoracion (3) Dimension 2'!D136</f>
        <v>33</v>
      </c>
      <c r="BX136" s="36"/>
      <c r="BZ136" s="37"/>
      <c r="CB136" s="53" t="str">
        <f>('Gestión de abastecimiento'!A137)</f>
        <v>Beneficiaros 133</v>
      </c>
      <c r="CC136" s="27">
        <f>'Por Valoracion (3) Dimension 2'!B136</f>
        <v>33</v>
      </c>
      <c r="CD136" s="27">
        <f>'Por Valoracion (3) Dimension'!H136</f>
        <v>70</v>
      </c>
      <c r="CY136" s="37"/>
    </row>
    <row r="137" spans="1:103" x14ac:dyDescent="0.25">
      <c r="A137" s="36"/>
      <c r="C137" s="53" t="str">
        <f>('Gestión de abastecimiento'!A138)</f>
        <v>Beneficiaros 134</v>
      </c>
      <c r="D137" s="27">
        <f>'Por Valoracion (3) Dimension'!B137</f>
        <v>24</v>
      </c>
      <c r="E137" s="27">
        <f>'Por Valoracion (3) Dimension 2'!D137</f>
        <v>35</v>
      </c>
      <c r="Z137" s="36"/>
      <c r="AB137" s="53" t="str">
        <f>('Gestión de abastecimiento'!A138)</f>
        <v>Beneficiaros 134</v>
      </c>
      <c r="AC137" s="27">
        <f>'Por Valoracion (3) Dimension'!D137</f>
        <v>24</v>
      </c>
      <c r="AD137" s="27">
        <f>'Por Valoracion (3) Dimension 2'!D137</f>
        <v>35</v>
      </c>
      <c r="AY137" s="36"/>
      <c r="BA137" s="53" t="str">
        <f>('Gestión de abastecimiento'!A138)</f>
        <v>Beneficiaros 134</v>
      </c>
      <c r="BB137" s="27">
        <f>'Por Valoracion (3) Dimension'!F137</f>
        <v>24</v>
      </c>
      <c r="BC137" s="27">
        <f>'Por Valoracion (3) Dimension 2'!D137</f>
        <v>35</v>
      </c>
      <c r="BX137" s="36"/>
      <c r="BZ137" s="37"/>
      <c r="CB137" s="53" t="str">
        <f>('Gestión de abastecimiento'!A138)</f>
        <v>Beneficiaros 134</v>
      </c>
      <c r="CC137" s="27">
        <f>'Por Valoracion (3) Dimension 2'!B137</f>
        <v>35</v>
      </c>
      <c r="CD137" s="27">
        <f>'Por Valoracion (3) Dimension'!H137</f>
        <v>72</v>
      </c>
      <c r="CY137" s="37"/>
    </row>
    <row r="138" spans="1:103" x14ac:dyDescent="0.25">
      <c r="A138" s="36"/>
      <c r="C138" s="53" t="str">
        <f>('Gestión de abastecimiento'!A139)</f>
        <v>Beneficiaros 135</v>
      </c>
      <c r="D138" s="27">
        <f>'Por Valoracion (3) Dimension'!B138</f>
        <v>12</v>
      </c>
      <c r="E138" s="27">
        <f>'Por Valoracion (3) Dimension 2'!D138</f>
        <v>18</v>
      </c>
      <c r="Z138" s="36"/>
      <c r="AB138" s="53" t="str">
        <f>('Gestión de abastecimiento'!A139)</f>
        <v>Beneficiaros 135</v>
      </c>
      <c r="AC138" s="27">
        <f>'Por Valoracion (3) Dimension'!D138</f>
        <v>12</v>
      </c>
      <c r="AD138" s="27">
        <f>'Por Valoracion (3) Dimension 2'!D138</f>
        <v>18</v>
      </c>
      <c r="AY138" s="36"/>
      <c r="BA138" s="53" t="str">
        <f>('Gestión de abastecimiento'!A139)</f>
        <v>Beneficiaros 135</v>
      </c>
      <c r="BB138" s="27">
        <f>'Por Valoracion (3) Dimension'!F138</f>
        <v>12</v>
      </c>
      <c r="BC138" s="27">
        <f>'Por Valoracion (3) Dimension 2'!D138</f>
        <v>18</v>
      </c>
      <c r="BX138" s="36"/>
      <c r="BZ138" s="37"/>
      <c r="CB138" s="53" t="str">
        <f>('Gestión de abastecimiento'!A139)</f>
        <v>Beneficiaros 135</v>
      </c>
      <c r="CC138" s="27">
        <f>'Por Valoracion (3) Dimension 2'!B138</f>
        <v>18</v>
      </c>
      <c r="CD138" s="27">
        <f>'Por Valoracion (3) Dimension'!H138</f>
        <v>36</v>
      </c>
      <c r="CY138" s="37"/>
    </row>
    <row r="139" spans="1:103" x14ac:dyDescent="0.25">
      <c r="A139" s="36"/>
      <c r="C139" s="53" t="str">
        <f>('Gestión de abastecimiento'!A140)</f>
        <v>Beneficiaros 136</v>
      </c>
      <c r="D139" s="27">
        <f>'Por Valoracion (3) Dimension'!B139</f>
        <v>17</v>
      </c>
      <c r="E139" s="27">
        <f>'Por Valoracion (3) Dimension 2'!D139</f>
        <v>23</v>
      </c>
      <c r="Z139" s="36"/>
      <c r="AB139" s="53" t="str">
        <f>('Gestión de abastecimiento'!A140)</f>
        <v>Beneficiaros 136</v>
      </c>
      <c r="AC139" s="27">
        <f>'Por Valoracion (3) Dimension'!D139</f>
        <v>12</v>
      </c>
      <c r="AD139" s="27">
        <f>'Por Valoracion (3) Dimension 2'!D139</f>
        <v>23</v>
      </c>
      <c r="AY139" s="36"/>
      <c r="BA139" s="53" t="str">
        <f>('Gestión de abastecimiento'!A140)</f>
        <v>Beneficiaros 136</v>
      </c>
      <c r="BB139" s="27">
        <f>'Por Valoracion (3) Dimension'!F139</f>
        <v>13</v>
      </c>
      <c r="BC139" s="27">
        <f>'Por Valoracion (3) Dimension 2'!D139</f>
        <v>23</v>
      </c>
      <c r="BX139" s="36"/>
      <c r="BZ139" s="37"/>
      <c r="CB139" s="53" t="str">
        <f>('Gestión de abastecimiento'!A140)</f>
        <v>Beneficiaros 136</v>
      </c>
      <c r="CC139" s="27">
        <f>'Por Valoracion (3) Dimension 2'!B139</f>
        <v>23</v>
      </c>
      <c r="CD139" s="27">
        <f>'Por Valoracion (3) Dimension'!H139</f>
        <v>42</v>
      </c>
      <c r="CY139" s="37"/>
    </row>
    <row r="140" spans="1:103" x14ac:dyDescent="0.25">
      <c r="A140" s="36"/>
      <c r="C140" s="53" t="str">
        <f>('Gestión de abastecimiento'!A141)</f>
        <v>Beneficiaros 137</v>
      </c>
      <c r="D140" s="27">
        <f>'Por Valoracion (3) Dimension'!B140</f>
        <v>15</v>
      </c>
      <c r="E140" s="27">
        <f>'Por Valoracion (3) Dimension 2'!D140</f>
        <v>20</v>
      </c>
      <c r="Z140" s="36"/>
      <c r="AB140" s="53" t="str">
        <f>('Gestión de abastecimiento'!A141)</f>
        <v>Beneficiaros 137</v>
      </c>
      <c r="AC140" s="27">
        <f>'Por Valoracion (3) Dimension'!D140</f>
        <v>16</v>
      </c>
      <c r="AD140" s="27">
        <f>'Por Valoracion (3) Dimension 2'!D140</f>
        <v>20</v>
      </c>
      <c r="AY140" s="36"/>
      <c r="BA140" s="53" t="str">
        <f>('Gestión de abastecimiento'!A141)</f>
        <v>Beneficiaros 137</v>
      </c>
      <c r="BB140" s="27">
        <f>'Por Valoracion (3) Dimension'!F140</f>
        <v>12</v>
      </c>
      <c r="BC140" s="27">
        <f>'Por Valoracion (3) Dimension 2'!D140</f>
        <v>20</v>
      </c>
      <c r="BX140" s="36"/>
      <c r="BZ140" s="37"/>
      <c r="CB140" s="53" t="str">
        <f>('Gestión de abastecimiento'!A141)</f>
        <v>Beneficiaros 137</v>
      </c>
      <c r="CC140" s="27">
        <f>'Por Valoracion (3) Dimension 2'!B140</f>
        <v>20</v>
      </c>
      <c r="CD140" s="27">
        <f>'Por Valoracion (3) Dimension'!H140</f>
        <v>43</v>
      </c>
      <c r="CY140" s="37"/>
    </row>
    <row r="141" spans="1:103" x14ac:dyDescent="0.25">
      <c r="A141" s="36"/>
      <c r="C141" s="53" t="str">
        <f>('Gestión de abastecimiento'!A142)</f>
        <v>Beneficiaros 138</v>
      </c>
      <c r="D141" s="27">
        <f>'Por Valoracion (3) Dimension'!B141</f>
        <v>15</v>
      </c>
      <c r="E141" s="27">
        <f>'Por Valoracion (3) Dimension 2'!D141</f>
        <v>18</v>
      </c>
      <c r="Z141" s="36"/>
      <c r="AB141" s="53" t="str">
        <f>('Gestión de abastecimiento'!A142)</f>
        <v>Beneficiaros 138</v>
      </c>
      <c r="AC141" s="27">
        <f>'Por Valoracion (3) Dimension'!D141</f>
        <v>12</v>
      </c>
      <c r="AD141" s="27">
        <f>'Por Valoracion (3) Dimension 2'!D141</f>
        <v>18</v>
      </c>
      <c r="AY141" s="36"/>
      <c r="BA141" s="53" t="str">
        <f>('Gestión de abastecimiento'!A142)</f>
        <v>Beneficiaros 138</v>
      </c>
      <c r="BB141" s="27">
        <f>'Por Valoracion (3) Dimension'!F141</f>
        <v>13</v>
      </c>
      <c r="BC141" s="27">
        <f>'Por Valoracion (3) Dimension 2'!D141</f>
        <v>18</v>
      </c>
      <c r="BX141" s="36"/>
      <c r="BZ141" s="37"/>
      <c r="CB141" s="53" t="str">
        <f>('Gestión de abastecimiento'!A142)</f>
        <v>Beneficiaros 138</v>
      </c>
      <c r="CC141" s="27">
        <f>'Por Valoracion (3) Dimension 2'!B141</f>
        <v>18</v>
      </c>
      <c r="CD141" s="27">
        <f>'Por Valoracion (3) Dimension'!H141</f>
        <v>40</v>
      </c>
      <c r="CY141" s="37"/>
    </row>
    <row r="142" spans="1:103" x14ac:dyDescent="0.25">
      <c r="A142" s="36"/>
      <c r="C142" s="53" t="str">
        <f>('Gestión de abastecimiento'!A143)</f>
        <v>Beneficiaros 139</v>
      </c>
      <c r="D142" s="27">
        <f>'Por Valoracion (3) Dimension'!B142</f>
        <v>18</v>
      </c>
      <c r="E142" s="27">
        <f>'Por Valoracion (3) Dimension 2'!D142</f>
        <v>27</v>
      </c>
      <c r="Z142" s="36"/>
      <c r="AB142" s="53" t="str">
        <f>('Gestión de abastecimiento'!A143)</f>
        <v>Beneficiaros 139</v>
      </c>
      <c r="AC142" s="27">
        <f>'Por Valoracion (3) Dimension'!D142</f>
        <v>19</v>
      </c>
      <c r="AD142" s="27">
        <f>'Por Valoracion (3) Dimension 2'!D142</f>
        <v>27</v>
      </c>
      <c r="AY142" s="36"/>
      <c r="BA142" s="53" t="str">
        <f>('Gestión de abastecimiento'!A143)</f>
        <v>Beneficiaros 139</v>
      </c>
      <c r="BB142" s="27">
        <f>'Por Valoracion (3) Dimension'!F142</f>
        <v>18</v>
      </c>
      <c r="BC142" s="27">
        <f>'Por Valoracion (3) Dimension 2'!D142</f>
        <v>27</v>
      </c>
      <c r="BX142" s="36"/>
      <c r="BZ142" s="37"/>
      <c r="CB142" s="53" t="str">
        <f>('Gestión de abastecimiento'!A143)</f>
        <v>Beneficiaros 139</v>
      </c>
      <c r="CC142" s="27">
        <f>'Por Valoracion (3) Dimension 2'!B142</f>
        <v>27</v>
      </c>
      <c r="CD142" s="27">
        <f>'Por Valoracion (3) Dimension'!H142</f>
        <v>55</v>
      </c>
      <c r="CY142" s="37"/>
    </row>
    <row r="143" spans="1:103" x14ac:dyDescent="0.25">
      <c r="A143" s="36"/>
      <c r="C143" s="53" t="str">
        <f>('Gestión de abastecimiento'!A144)</f>
        <v>Beneficiaros 140</v>
      </c>
      <c r="D143" s="27">
        <f>'Por Valoracion (3) Dimension'!B143</f>
        <v>16</v>
      </c>
      <c r="E143" s="27">
        <f>'Por Valoracion (3) Dimension 2'!D143</f>
        <v>25</v>
      </c>
      <c r="Z143" s="36"/>
      <c r="AB143" s="53" t="str">
        <f>('Gestión de abastecimiento'!A144)</f>
        <v>Beneficiaros 140</v>
      </c>
      <c r="AC143" s="27">
        <f>'Por Valoracion (3) Dimension'!D143</f>
        <v>17</v>
      </c>
      <c r="AD143" s="27">
        <f>'Por Valoracion (3) Dimension 2'!D143</f>
        <v>25</v>
      </c>
      <c r="AY143" s="36"/>
      <c r="BA143" s="53" t="str">
        <f>('Gestión de abastecimiento'!A144)</f>
        <v>Beneficiaros 140</v>
      </c>
      <c r="BB143" s="27">
        <f>'Por Valoracion (3) Dimension'!F143</f>
        <v>16</v>
      </c>
      <c r="BC143" s="27">
        <f>'Por Valoracion (3) Dimension 2'!D143</f>
        <v>25</v>
      </c>
      <c r="BX143" s="36"/>
      <c r="BZ143" s="37"/>
      <c r="CB143" s="53" t="str">
        <f>('Gestión de abastecimiento'!A144)</f>
        <v>Beneficiaros 140</v>
      </c>
      <c r="CC143" s="27">
        <f>'Por Valoracion (3) Dimension 2'!B143</f>
        <v>25</v>
      </c>
      <c r="CD143" s="27">
        <f>'Por Valoracion (3) Dimension'!H143</f>
        <v>49</v>
      </c>
      <c r="CY143" s="37"/>
    </row>
    <row r="144" spans="1:103" x14ac:dyDescent="0.25">
      <c r="A144" s="36"/>
      <c r="C144" s="53" t="str">
        <f>('Gestión de abastecimiento'!A145)</f>
        <v>Beneficiaros 141</v>
      </c>
      <c r="D144" s="27">
        <f>'Por Valoracion (3) Dimension'!B144</f>
        <v>21</v>
      </c>
      <c r="E144" s="27">
        <f>'Por Valoracion (3) Dimension 2'!D144</f>
        <v>29</v>
      </c>
      <c r="Z144" s="36"/>
      <c r="AB144" s="53" t="str">
        <f>('Gestión de abastecimiento'!A145)</f>
        <v>Beneficiaros 141</v>
      </c>
      <c r="AC144" s="27">
        <f>'Por Valoracion (3) Dimension'!D144</f>
        <v>22</v>
      </c>
      <c r="AD144" s="27">
        <f>'Por Valoracion (3) Dimension 2'!D144</f>
        <v>29</v>
      </c>
      <c r="AY144" s="36"/>
      <c r="BA144" s="53" t="str">
        <f>('Gestión de abastecimiento'!A145)</f>
        <v>Beneficiaros 141</v>
      </c>
      <c r="BB144" s="27">
        <f>'Por Valoracion (3) Dimension'!F144</f>
        <v>19</v>
      </c>
      <c r="BC144" s="27">
        <f>'Por Valoracion (3) Dimension 2'!D144</f>
        <v>29</v>
      </c>
      <c r="BX144" s="36"/>
      <c r="BZ144" s="37"/>
      <c r="CB144" s="53" t="str">
        <f>('Gestión de abastecimiento'!A145)</f>
        <v>Beneficiaros 141</v>
      </c>
      <c r="CC144" s="27">
        <f>'Por Valoracion (3) Dimension 2'!B144</f>
        <v>29</v>
      </c>
      <c r="CD144" s="27">
        <f>'Por Valoracion (3) Dimension'!H144</f>
        <v>62</v>
      </c>
      <c r="CY144" s="37"/>
    </row>
    <row r="145" spans="1:103" x14ac:dyDescent="0.25">
      <c r="A145" s="36"/>
      <c r="C145" s="53" t="str">
        <f>('Gestión de abastecimiento'!A146)</f>
        <v>Beneficiaros 142</v>
      </c>
      <c r="D145" s="27">
        <f>'Por Valoracion (3) Dimension'!B145</f>
        <v>17</v>
      </c>
      <c r="E145" s="27">
        <f>'Por Valoracion (3) Dimension 2'!D145</f>
        <v>27</v>
      </c>
      <c r="Z145" s="36"/>
      <c r="AB145" s="53" t="str">
        <f>('Gestión de abastecimiento'!A146)</f>
        <v>Beneficiaros 142</v>
      </c>
      <c r="AC145" s="27">
        <f>'Por Valoracion (3) Dimension'!D145</f>
        <v>18</v>
      </c>
      <c r="AD145" s="27">
        <f>'Por Valoracion (3) Dimension 2'!D145</f>
        <v>27</v>
      </c>
      <c r="AY145" s="36"/>
      <c r="BA145" s="53" t="str">
        <f>('Gestión de abastecimiento'!A146)</f>
        <v>Beneficiaros 142</v>
      </c>
      <c r="BB145" s="27">
        <f>'Por Valoracion (3) Dimension'!F145</f>
        <v>18</v>
      </c>
      <c r="BC145" s="27">
        <f>'Por Valoracion (3) Dimension 2'!D145</f>
        <v>27</v>
      </c>
      <c r="BX145" s="36"/>
      <c r="BZ145" s="37"/>
      <c r="CB145" s="53" t="str">
        <f>('Gestión de abastecimiento'!A146)</f>
        <v>Beneficiaros 142</v>
      </c>
      <c r="CC145" s="27">
        <f>'Por Valoracion (3) Dimension 2'!B145</f>
        <v>27</v>
      </c>
      <c r="CD145" s="27">
        <f>'Por Valoracion (3) Dimension'!H145</f>
        <v>53</v>
      </c>
      <c r="CY145" s="37"/>
    </row>
    <row r="146" spans="1:103" x14ac:dyDescent="0.25">
      <c r="A146" s="36"/>
      <c r="C146" s="53" t="str">
        <f>('Gestión de abastecimiento'!A147)</f>
        <v>Beneficiaros 143</v>
      </c>
      <c r="D146" s="27">
        <f>'Por Valoracion (3) Dimension'!B146</f>
        <v>21</v>
      </c>
      <c r="E146" s="27">
        <f>'Por Valoracion (3) Dimension 2'!D146</f>
        <v>30</v>
      </c>
      <c r="Z146" s="36"/>
      <c r="AB146" s="53" t="str">
        <f>('Gestión de abastecimiento'!A147)</f>
        <v>Beneficiaros 143</v>
      </c>
      <c r="AC146" s="27">
        <f>'Por Valoracion (3) Dimension'!D146</f>
        <v>20</v>
      </c>
      <c r="AD146" s="27">
        <f>'Por Valoracion (3) Dimension 2'!D146</f>
        <v>30</v>
      </c>
      <c r="AY146" s="36"/>
      <c r="BA146" s="53" t="str">
        <f>('Gestión de abastecimiento'!A147)</f>
        <v>Beneficiaros 143</v>
      </c>
      <c r="BB146" s="27">
        <f>'Por Valoracion (3) Dimension'!F146</f>
        <v>18</v>
      </c>
      <c r="BC146" s="27">
        <f>'Por Valoracion (3) Dimension 2'!D146</f>
        <v>30</v>
      </c>
      <c r="BX146" s="36"/>
      <c r="BZ146" s="37"/>
      <c r="CB146" s="53" t="str">
        <f>('Gestión de abastecimiento'!A147)</f>
        <v>Beneficiaros 143</v>
      </c>
      <c r="CC146" s="27">
        <f>'Por Valoracion (3) Dimension 2'!B146</f>
        <v>30</v>
      </c>
      <c r="CD146" s="27">
        <f>'Por Valoracion (3) Dimension'!H146</f>
        <v>59</v>
      </c>
      <c r="CY146" s="37"/>
    </row>
    <row r="147" spans="1:103" x14ac:dyDescent="0.25">
      <c r="A147" s="36"/>
      <c r="C147" s="53" t="str">
        <f>('Gestión de abastecimiento'!A148)</f>
        <v>Beneficiaros 144</v>
      </c>
      <c r="D147" s="27">
        <f>'Por Valoracion (3) Dimension'!B147</f>
        <v>24</v>
      </c>
      <c r="E147" s="27">
        <f>'Por Valoracion (3) Dimension 2'!D147</f>
        <v>35</v>
      </c>
      <c r="Z147" s="36"/>
      <c r="AB147" s="53" t="str">
        <f>('Gestión de abastecimiento'!A148)</f>
        <v>Beneficiaros 144</v>
      </c>
      <c r="AC147" s="27">
        <f>'Por Valoracion (3) Dimension'!D147</f>
        <v>24</v>
      </c>
      <c r="AD147" s="27">
        <f>'Por Valoracion (3) Dimension 2'!D147</f>
        <v>35</v>
      </c>
      <c r="AY147" s="36"/>
      <c r="BA147" s="53" t="str">
        <f>('Gestión de abastecimiento'!A148)</f>
        <v>Beneficiaros 144</v>
      </c>
      <c r="BB147" s="27">
        <f>'Por Valoracion (3) Dimension'!F147</f>
        <v>24</v>
      </c>
      <c r="BC147" s="27">
        <f>'Por Valoracion (3) Dimension 2'!D147</f>
        <v>35</v>
      </c>
      <c r="BX147" s="36"/>
      <c r="BZ147" s="37"/>
      <c r="CB147" s="53" t="str">
        <f>('Gestión de abastecimiento'!A148)</f>
        <v>Beneficiaros 144</v>
      </c>
      <c r="CC147" s="27">
        <f>'Por Valoracion (3) Dimension 2'!B147</f>
        <v>35</v>
      </c>
      <c r="CD147" s="27">
        <f>'Por Valoracion (3) Dimension'!H147</f>
        <v>72</v>
      </c>
      <c r="CY147" s="37"/>
    </row>
    <row r="148" spans="1:103" x14ac:dyDescent="0.25">
      <c r="A148" s="36"/>
      <c r="C148" s="53" t="str">
        <f>('Gestión de abastecimiento'!A149)</f>
        <v>Beneficiaros 145</v>
      </c>
      <c r="D148" s="27">
        <f>'Por Valoracion (3) Dimension'!B148</f>
        <v>12</v>
      </c>
      <c r="E148" s="27">
        <f>'Por Valoracion (3) Dimension 2'!D148</f>
        <v>19</v>
      </c>
      <c r="Z148" s="36"/>
      <c r="AB148" s="53" t="str">
        <f>('Gestión de abastecimiento'!A149)</f>
        <v>Beneficiaros 145</v>
      </c>
      <c r="AC148" s="27">
        <f>'Por Valoracion (3) Dimension'!D148</f>
        <v>12</v>
      </c>
      <c r="AD148" s="27">
        <f>'Por Valoracion (3) Dimension 2'!D148</f>
        <v>19</v>
      </c>
      <c r="AY148" s="36"/>
      <c r="BA148" s="53" t="str">
        <f>('Gestión de abastecimiento'!A149)</f>
        <v>Beneficiaros 145</v>
      </c>
      <c r="BB148" s="27">
        <f>'Por Valoracion (3) Dimension'!F148</f>
        <v>12</v>
      </c>
      <c r="BC148" s="27">
        <f>'Por Valoracion (3) Dimension 2'!D148</f>
        <v>19</v>
      </c>
      <c r="BX148" s="36"/>
      <c r="BZ148" s="37"/>
      <c r="CB148" s="53" t="str">
        <f>('Gestión de abastecimiento'!A149)</f>
        <v>Beneficiaros 145</v>
      </c>
      <c r="CC148" s="27">
        <f>'Por Valoracion (3) Dimension 2'!B148</f>
        <v>19</v>
      </c>
      <c r="CD148" s="27">
        <f>'Por Valoracion (3) Dimension'!H148</f>
        <v>36</v>
      </c>
      <c r="CY148" s="37"/>
    </row>
    <row r="149" spans="1:103" x14ac:dyDescent="0.25">
      <c r="A149" s="36"/>
      <c r="C149" s="53" t="str">
        <f>('Gestión de abastecimiento'!A150)</f>
        <v>Beneficiaros 146</v>
      </c>
      <c r="D149" s="27">
        <f>'Por Valoracion (3) Dimension'!B149</f>
        <v>12</v>
      </c>
      <c r="E149" s="27">
        <f>'Por Valoracion (3) Dimension 2'!D149</f>
        <v>18</v>
      </c>
      <c r="Z149" s="36"/>
      <c r="AB149" s="53" t="str">
        <f>('Gestión de abastecimiento'!A150)</f>
        <v>Beneficiaros 146</v>
      </c>
      <c r="AC149" s="27">
        <f>'Por Valoracion (3) Dimension'!D149</f>
        <v>12</v>
      </c>
      <c r="AD149" s="27">
        <f>'Por Valoracion (3) Dimension 2'!D149</f>
        <v>18</v>
      </c>
      <c r="AY149" s="36"/>
      <c r="BA149" s="53" t="str">
        <f>('Gestión de abastecimiento'!A150)</f>
        <v>Beneficiaros 146</v>
      </c>
      <c r="BB149" s="27">
        <f>'Por Valoracion (3) Dimension'!F149</f>
        <v>12</v>
      </c>
      <c r="BC149" s="27">
        <f>'Por Valoracion (3) Dimension 2'!D149</f>
        <v>18</v>
      </c>
      <c r="BX149" s="36"/>
      <c r="BZ149" s="37"/>
      <c r="CB149" s="53" t="str">
        <f>('Gestión de abastecimiento'!A150)</f>
        <v>Beneficiaros 146</v>
      </c>
      <c r="CC149" s="27">
        <f>'Por Valoracion (3) Dimension 2'!B149</f>
        <v>18</v>
      </c>
      <c r="CD149" s="27">
        <f>'Por Valoracion (3) Dimension'!H149</f>
        <v>36</v>
      </c>
      <c r="CY149" s="37"/>
    </row>
    <row r="150" spans="1:103" x14ac:dyDescent="0.25">
      <c r="A150" s="36"/>
      <c r="C150" s="53" t="str">
        <f>('Gestión de abastecimiento'!A151)</f>
        <v>Beneficiaros 147</v>
      </c>
      <c r="D150" s="27">
        <f>'Por Valoracion (3) Dimension'!B150</f>
        <v>17</v>
      </c>
      <c r="E150" s="27">
        <f>'Por Valoracion (3) Dimension 2'!D150</f>
        <v>26</v>
      </c>
      <c r="Z150" s="36"/>
      <c r="AB150" s="53" t="str">
        <f>('Gestión de abastecimiento'!A151)</f>
        <v>Beneficiaros 147</v>
      </c>
      <c r="AC150" s="27">
        <f>'Por Valoracion (3) Dimension'!D150</f>
        <v>18</v>
      </c>
      <c r="AD150" s="27">
        <f>'Por Valoracion (3) Dimension 2'!D150</f>
        <v>26</v>
      </c>
      <c r="AY150" s="36"/>
      <c r="BA150" s="53" t="str">
        <f>('Gestión de abastecimiento'!A151)</f>
        <v>Beneficiaros 147</v>
      </c>
      <c r="BB150" s="27">
        <f>'Por Valoracion (3) Dimension'!F150</f>
        <v>17</v>
      </c>
      <c r="BC150" s="27">
        <f>'Por Valoracion (3) Dimension 2'!D150</f>
        <v>26</v>
      </c>
      <c r="BX150" s="36"/>
      <c r="BZ150" s="37"/>
      <c r="CB150" s="53" t="str">
        <f>('Gestión de abastecimiento'!A151)</f>
        <v>Beneficiaros 147</v>
      </c>
      <c r="CC150" s="27">
        <f>'Por Valoracion (3) Dimension 2'!B150</f>
        <v>26</v>
      </c>
      <c r="CD150" s="27">
        <f>'Por Valoracion (3) Dimension'!H150</f>
        <v>52</v>
      </c>
      <c r="CY150" s="37"/>
    </row>
    <row r="151" spans="1:103" x14ac:dyDescent="0.25">
      <c r="A151" s="36"/>
      <c r="C151" s="53" t="str">
        <f>('Gestión de abastecimiento'!A152)</f>
        <v>Beneficiaros 148</v>
      </c>
      <c r="D151" s="27">
        <f>'Por Valoracion (3) Dimension'!B151</f>
        <v>24</v>
      </c>
      <c r="E151" s="27">
        <f>'Por Valoracion (3) Dimension 2'!D151</f>
        <v>30</v>
      </c>
      <c r="Z151" s="36"/>
      <c r="AB151" s="53" t="str">
        <f>('Gestión de abastecimiento'!A152)</f>
        <v>Beneficiaros 148</v>
      </c>
      <c r="AC151" s="27">
        <f>'Por Valoracion (3) Dimension'!D151</f>
        <v>23</v>
      </c>
      <c r="AD151" s="27">
        <f>'Por Valoracion (3) Dimension 2'!D151</f>
        <v>30</v>
      </c>
      <c r="AY151" s="36"/>
      <c r="BA151" s="53" t="str">
        <f>('Gestión de abastecimiento'!A152)</f>
        <v>Beneficiaros 148</v>
      </c>
      <c r="BB151" s="27">
        <f>'Por Valoracion (3) Dimension'!F151</f>
        <v>21</v>
      </c>
      <c r="BC151" s="27">
        <f>'Por Valoracion (3) Dimension 2'!D151</f>
        <v>30</v>
      </c>
      <c r="BX151" s="36"/>
      <c r="BZ151" s="37"/>
      <c r="CB151" s="53" t="str">
        <f>('Gestión de abastecimiento'!A152)</f>
        <v>Beneficiaros 148</v>
      </c>
      <c r="CC151" s="27">
        <f>'Por Valoracion (3) Dimension 2'!B151</f>
        <v>30</v>
      </c>
      <c r="CD151" s="27">
        <f>'Por Valoracion (3) Dimension'!H151</f>
        <v>68</v>
      </c>
      <c r="CY151" s="37"/>
    </row>
    <row r="152" spans="1:103" x14ac:dyDescent="0.25">
      <c r="A152" s="36"/>
      <c r="C152" s="53" t="str">
        <f>('Gestión de abastecimiento'!A153)</f>
        <v>Beneficiaros 149</v>
      </c>
      <c r="D152" s="27">
        <f>'Por Valoracion (3) Dimension'!B152</f>
        <v>18</v>
      </c>
      <c r="E152" s="27">
        <f>'Por Valoracion (3) Dimension 2'!D152</f>
        <v>28</v>
      </c>
      <c r="Z152" s="36"/>
      <c r="AB152" s="53" t="str">
        <f>('Gestión de abastecimiento'!A153)</f>
        <v>Beneficiaros 149</v>
      </c>
      <c r="AC152" s="27">
        <f>'Por Valoracion (3) Dimension'!D152</f>
        <v>19</v>
      </c>
      <c r="AD152" s="27">
        <f>'Por Valoracion (3) Dimension 2'!D152</f>
        <v>28</v>
      </c>
      <c r="AY152" s="36"/>
      <c r="BA152" s="53" t="str">
        <f>('Gestión de abastecimiento'!A153)</f>
        <v>Beneficiaros 149</v>
      </c>
      <c r="BB152" s="27">
        <f>'Por Valoracion (3) Dimension'!F152</f>
        <v>19</v>
      </c>
      <c r="BC152" s="27">
        <f>'Por Valoracion (3) Dimension 2'!D152</f>
        <v>28</v>
      </c>
      <c r="BX152" s="36"/>
      <c r="BZ152" s="37"/>
      <c r="CB152" s="53" t="str">
        <f>('Gestión de abastecimiento'!A153)</f>
        <v>Beneficiaros 149</v>
      </c>
      <c r="CC152" s="27">
        <f>'Por Valoracion (3) Dimension 2'!B152</f>
        <v>28</v>
      </c>
      <c r="CD152" s="27">
        <f>'Por Valoracion (3) Dimension'!H152</f>
        <v>56</v>
      </c>
      <c r="CY152" s="37"/>
    </row>
    <row r="153" spans="1:103" x14ac:dyDescent="0.25">
      <c r="A153" s="36"/>
      <c r="C153" s="53" t="str">
        <f>('Gestión de abastecimiento'!A154)</f>
        <v>Beneficiaros 150</v>
      </c>
      <c r="D153" s="27">
        <f>'Por Valoracion (3) Dimension'!B153</f>
        <v>19</v>
      </c>
      <c r="E153" s="27">
        <f>'Por Valoracion (3) Dimension 2'!D153</f>
        <v>27</v>
      </c>
      <c r="Z153" s="36"/>
      <c r="AB153" s="53" t="str">
        <f>('Gestión de abastecimiento'!A154)</f>
        <v>Beneficiaros 150</v>
      </c>
      <c r="AC153" s="27">
        <f>'Por Valoracion (3) Dimension'!D153</f>
        <v>18</v>
      </c>
      <c r="AD153" s="27">
        <f>'Por Valoracion (3) Dimension 2'!D153</f>
        <v>27</v>
      </c>
      <c r="AY153" s="36"/>
      <c r="BA153" s="53" t="str">
        <f>('Gestión de abastecimiento'!A154)</f>
        <v>Beneficiaros 150</v>
      </c>
      <c r="BB153" s="27">
        <f>'Por Valoracion (3) Dimension'!F153</f>
        <v>18</v>
      </c>
      <c r="BC153" s="27">
        <f>'Por Valoracion (3) Dimension 2'!D153</f>
        <v>27</v>
      </c>
      <c r="BX153" s="36"/>
      <c r="BZ153" s="37"/>
      <c r="CB153" s="53" t="str">
        <f>('Gestión de abastecimiento'!A154)</f>
        <v>Beneficiaros 150</v>
      </c>
      <c r="CC153" s="27">
        <f>'Por Valoracion (3) Dimension 2'!B153</f>
        <v>27</v>
      </c>
      <c r="CD153" s="27">
        <f>'Por Valoracion (3) Dimension'!H153</f>
        <v>55</v>
      </c>
      <c r="CY153" s="37"/>
    </row>
    <row r="154" spans="1:103" x14ac:dyDescent="0.25">
      <c r="A154" s="36"/>
      <c r="C154" s="53" t="str">
        <f>('Gestión de abastecimiento'!A155)</f>
        <v>Beneficiaros 151</v>
      </c>
      <c r="D154" s="27">
        <f>'Por Valoracion (3) Dimension'!B154</f>
        <v>23</v>
      </c>
      <c r="E154" s="27">
        <f>'Por Valoracion (3) Dimension 2'!D154</f>
        <v>36</v>
      </c>
      <c r="Z154" s="36"/>
      <c r="AB154" s="53" t="str">
        <f>('Gestión de abastecimiento'!A155)</f>
        <v>Beneficiaros 151</v>
      </c>
      <c r="AC154" s="27">
        <f>'Por Valoracion (3) Dimension'!D154</f>
        <v>24</v>
      </c>
      <c r="AD154" s="27">
        <f>'Por Valoracion (3) Dimension 2'!D154</f>
        <v>36</v>
      </c>
      <c r="AY154" s="36"/>
      <c r="BA154" s="53" t="str">
        <f>('Gestión de abastecimiento'!A155)</f>
        <v>Beneficiaros 151</v>
      </c>
      <c r="BB154" s="27">
        <f>'Por Valoracion (3) Dimension'!F154</f>
        <v>24</v>
      </c>
      <c r="BC154" s="27">
        <f>'Por Valoracion (3) Dimension 2'!D154</f>
        <v>36</v>
      </c>
      <c r="BX154" s="36"/>
      <c r="BZ154" s="37"/>
      <c r="CB154" s="53" t="str">
        <f>('Gestión de abastecimiento'!A155)</f>
        <v>Beneficiaros 151</v>
      </c>
      <c r="CC154" s="27">
        <f>'Por Valoracion (3) Dimension 2'!B154</f>
        <v>36</v>
      </c>
      <c r="CD154" s="27">
        <f>'Por Valoracion (3) Dimension'!H154</f>
        <v>71</v>
      </c>
      <c r="CY154" s="37"/>
    </row>
    <row r="155" spans="1:103" x14ac:dyDescent="0.25">
      <c r="A155" s="36"/>
      <c r="C155" s="53" t="str">
        <f>('Gestión de abastecimiento'!A156)</f>
        <v>Beneficiaros 152</v>
      </c>
      <c r="D155" s="27">
        <f>'Por Valoracion (3) Dimension'!B155</f>
        <v>26</v>
      </c>
      <c r="E155" s="27">
        <f>'Por Valoracion (3) Dimension 2'!D155</f>
        <v>42</v>
      </c>
      <c r="Z155" s="36"/>
      <c r="AB155" s="53" t="str">
        <f>('Gestión de abastecimiento'!A156)</f>
        <v>Beneficiaros 152</v>
      </c>
      <c r="AC155" s="27">
        <f>'Por Valoracion (3) Dimension'!D155</f>
        <v>28</v>
      </c>
      <c r="AD155" s="27">
        <f>'Por Valoracion (3) Dimension 2'!D155</f>
        <v>42</v>
      </c>
      <c r="AY155" s="36"/>
      <c r="BA155" s="53" t="str">
        <f>('Gestión de abastecimiento'!A156)</f>
        <v>Beneficiaros 152</v>
      </c>
      <c r="BB155" s="27">
        <f>'Por Valoracion (3) Dimension'!F155</f>
        <v>27</v>
      </c>
      <c r="BC155" s="27">
        <f>'Por Valoracion (3) Dimension 2'!D155</f>
        <v>42</v>
      </c>
      <c r="BX155" s="36"/>
      <c r="BZ155" s="37"/>
      <c r="CB155" s="53" t="str">
        <f>('Gestión de abastecimiento'!A156)</f>
        <v>Beneficiaros 152</v>
      </c>
      <c r="CC155" s="27">
        <f>'Por Valoracion (3) Dimension 2'!B155</f>
        <v>42</v>
      </c>
      <c r="CD155" s="27">
        <f>'Por Valoracion (3) Dimension'!H155</f>
        <v>81</v>
      </c>
      <c r="CY155" s="37"/>
    </row>
    <row r="156" spans="1:103" x14ac:dyDescent="0.25">
      <c r="A156" s="36"/>
      <c r="C156" s="53" t="str">
        <f>('Gestión de abastecimiento'!A157)</f>
        <v>Beneficiaros 153</v>
      </c>
      <c r="D156" s="27">
        <f>'Por Valoracion (3) Dimension'!B156</f>
        <v>16</v>
      </c>
      <c r="E156" s="27">
        <f>'Por Valoracion (3) Dimension 2'!D156</f>
        <v>25</v>
      </c>
      <c r="Z156" s="36"/>
      <c r="AB156" s="53" t="str">
        <f>('Gestión de abastecimiento'!A157)</f>
        <v>Beneficiaros 153</v>
      </c>
      <c r="AC156" s="27">
        <f>'Por Valoracion (3) Dimension'!D156</f>
        <v>18</v>
      </c>
      <c r="AD156" s="27">
        <f>'Por Valoracion (3) Dimension 2'!D156</f>
        <v>25</v>
      </c>
      <c r="AY156" s="36"/>
      <c r="BA156" s="53" t="str">
        <f>('Gestión de abastecimiento'!A157)</f>
        <v>Beneficiaros 153</v>
      </c>
      <c r="BB156" s="27">
        <f>'Por Valoracion (3) Dimension'!F156</f>
        <v>17</v>
      </c>
      <c r="BC156" s="27">
        <f>'Por Valoracion (3) Dimension 2'!D156</f>
        <v>25</v>
      </c>
      <c r="BX156" s="36"/>
      <c r="BZ156" s="37"/>
      <c r="CB156" s="53" t="str">
        <f>('Gestión de abastecimiento'!A157)</f>
        <v>Beneficiaros 153</v>
      </c>
      <c r="CC156" s="27">
        <f>'Por Valoracion (3) Dimension 2'!B156</f>
        <v>25</v>
      </c>
      <c r="CD156" s="27">
        <f>'Por Valoracion (3) Dimension'!H156</f>
        <v>51</v>
      </c>
      <c r="CY156" s="37"/>
    </row>
    <row r="157" spans="1:103" x14ac:dyDescent="0.25">
      <c r="A157" s="36"/>
      <c r="C157" s="53" t="str">
        <f>('Gestión de abastecimiento'!A158)</f>
        <v>Beneficiaros 154</v>
      </c>
      <c r="D157" s="27">
        <f>'Por Valoracion (3) Dimension'!B157</f>
        <v>18</v>
      </c>
      <c r="E157" s="27">
        <f>'Por Valoracion (3) Dimension 2'!D157</f>
        <v>27</v>
      </c>
      <c r="Z157" s="36"/>
      <c r="AB157" s="53" t="str">
        <f>('Gestión de abastecimiento'!A158)</f>
        <v>Beneficiaros 154</v>
      </c>
      <c r="AC157" s="27">
        <f>'Por Valoracion (3) Dimension'!D157</f>
        <v>17</v>
      </c>
      <c r="AD157" s="27">
        <f>'Por Valoracion (3) Dimension 2'!D157</f>
        <v>27</v>
      </c>
      <c r="AY157" s="36"/>
      <c r="BA157" s="53" t="str">
        <f>('Gestión de abastecimiento'!A158)</f>
        <v>Beneficiaros 154</v>
      </c>
      <c r="BB157" s="27">
        <f>'Por Valoracion (3) Dimension'!F157</f>
        <v>18</v>
      </c>
      <c r="BC157" s="27">
        <f>'Por Valoracion (3) Dimension 2'!D157</f>
        <v>27</v>
      </c>
      <c r="BX157" s="36"/>
      <c r="BZ157" s="37"/>
      <c r="CB157" s="53" t="str">
        <f>('Gestión de abastecimiento'!A158)</f>
        <v>Beneficiaros 154</v>
      </c>
      <c r="CC157" s="27">
        <f>'Por Valoracion (3) Dimension 2'!B157</f>
        <v>27</v>
      </c>
      <c r="CD157" s="27">
        <f>'Por Valoracion (3) Dimension'!H157</f>
        <v>53</v>
      </c>
      <c r="CY157" s="37"/>
    </row>
    <row r="158" spans="1:103" x14ac:dyDescent="0.25">
      <c r="A158" s="36"/>
      <c r="C158" s="53" t="str">
        <f>('Gestión de abastecimiento'!A159)</f>
        <v>Beneficiaros 155</v>
      </c>
      <c r="D158" s="27">
        <f>'Por Valoracion (3) Dimension'!B158</f>
        <v>18</v>
      </c>
      <c r="E158" s="27">
        <f>'Por Valoracion (3) Dimension 2'!D158</f>
        <v>27</v>
      </c>
      <c r="Z158" s="36"/>
      <c r="AB158" s="53" t="str">
        <f>('Gestión de abastecimiento'!A159)</f>
        <v>Beneficiaros 155</v>
      </c>
      <c r="AC158" s="27">
        <f>'Por Valoracion (3) Dimension'!D158</f>
        <v>19</v>
      </c>
      <c r="AD158" s="27">
        <f>'Por Valoracion (3) Dimension 2'!D158</f>
        <v>27</v>
      </c>
      <c r="AY158" s="36"/>
      <c r="BA158" s="53" t="str">
        <f>('Gestión de abastecimiento'!A159)</f>
        <v>Beneficiaros 155</v>
      </c>
      <c r="BB158" s="27">
        <f>'Por Valoracion (3) Dimension'!F158</f>
        <v>18</v>
      </c>
      <c r="BC158" s="27">
        <f>'Por Valoracion (3) Dimension 2'!D158</f>
        <v>27</v>
      </c>
      <c r="BX158" s="36"/>
      <c r="BZ158" s="37"/>
      <c r="CB158" s="53" t="str">
        <f>('Gestión de abastecimiento'!A159)</f>
        <v>Beneficiaros 155</v>
      </c>
      <c r="CC158" s="27">
        <f>'Por Valoracion (3) Dimension 2'!B158</f>
        <v>27</v>
      </c>
      <c r="CD158" s="27">
        <f>'Por Valoracion (3) Dimension'!H158</f>
        <v>55</v>
      </c>
      <c r="CY158" s="37"/>
    </row>
    <row r="159" spans="1:103" x14ac:dyDescent="0.25">
      <c r="A159" s="36"/>
      <c r="C159" s="53" t="str">
        <f>('Gestión de abastecimiento'!A160)</f>
        <v>Beneficiaros 156</v>
      </c>
      <c r="D159" s="27">
        <f>'Por Valoracion (3) Dimension'!B159</f>
        <v>16</v>
      </c>
      <c r="E159" s="27">
        <f>'Por Valoracion (3) Dimension 2'!D159</f>
        <v>24</v>
      </c>
      <c r="Z159" s="36"/>
      <c r="AB159" s="53" t="str">
        <f>('Gestión de abastecimiento'!A160)</f>
        <v>Beneficiaros 156</v>
      </c>
      <c r="AC159" s="27">
        <f>'Por Valoracion (3) Dimension'!D159</f>
        <v>17</v>
      </c>
      <c r="AD159" s="27">
        <f>'Por Valoracion (3) Dimension 2'!D159</f>
        <v>24</v>
      </c>
      <c r="AY159" s="36"/>
      <c r="BA159" s="53" t="str">
        <f>('Gestión de abastecimiento'!A160)</f>
        <v>Beneficiaros 156</v>
      </c>
      <c r="BB159" s="27">
        <f>'Por Valoracion (3) Dimension'!F159</f>
        <v>16</v>
      </c>
      <c r="BC159" s="27">
        <f>'Por Valoracion (3) Dimension 2'!D159</f>
        <v>24</v>
      </c>
      <c r="BX159" s="36"/>
      <c r="BZ159" s="37"/>
      <c r="CB159" s="53" t="str">
        <f>('Gestión de abastecimiento'!A160)</f>
        <v>Beneficiaros 156</v>
      </c>
      <c r="CC159" s="27">
        <f>'Por Valoracion (3) Dimension 2'!B159</f>
        <v>24</v>
      </c>
      <c r="CD159" s="27">
        <f>'Por Valoracion (3) Dimension'!H159</f>
        <v>49</v>
      </c>
      <c r="CY159" s="37"/>
    </row>
    <row r="160" spans="1:103" x14ac:dyDescent="0.25">
      <c r="A160" s="36"/>
      <c r="C160" s="53" t="str">
        <f>('Gestión de abastecimiento'!A161)</f>
        <v>Beneficiaros 157</v>
      </c>
      <c r="D160" s="27">
        <f>'Por Valoracion (3) Dimension'!B160</f>
        <v>18</v>
      </c>
      <c r="E160" s="27">
        <f>'Por Valoracion (3) Dimension 2'!D160</f>
        <v>27</v>
      </c>
      <c r="Z160" s="36"/>
      <c r="AB160" s="53" t="str">
        <f>('Gestión de abastecimiento'!A161)</f>
        <v>Beneficiaros 157</v>
      </c>
      <c r="AC160" s="27">
        <f>'Por Valoracion (3) Dimension'!D160</f>
        <v>18</v>
      </c>
      <c r="AD160" s="27">
        <f>'Por Valoracion (3) Dimension 2'!D160</f>
        <v>27</v>
      </c>
      <c r="AY160" s="36"/>
      <c r="BA160" s="53" t="str">
        <f>('Gestión de abastecimiento'!A161)</f>
        <v>Beneficiaros 157</v>
      </c>
      <c r="BB160" s="27">
        <f>'Por Valoracion (3) Dimension'!F160</f>
        <v>17</v>
      </c>
      <c r="BC160" s="27">
        <f>'Por Valoracion (3) Dimension 2'!D160</f>
        <v>27</v>
      </c>
      <c r="BX160" s="36"/>
      <c r="BZ160" s="37"/>
      <c r="CB160" s="53" t="str">
        <f>('Gestión de abastecimiento'!A161)</f>
        <v>Beneficiaros 157</v>
      </c>
      <c r="CC160" s="27">
        <f>'Por Valoracion (3) Dimension 2'!B160</f>
        <v>27</v>
      </c>
      <c r="CD160" s="27">
        <f>'Por Valoracion (3) Dimension'!H160</f>
        <v>53</v>
      </c>
      <c r="CY160" s="37"/>
    </row>
    <row r="161" spans="1:103" x14ac:dyDescent="0.25">
      <c r="A161" s="36"/>
      <c r="C161" s="53" t="str">
        <f>('Gestión de abastecimiento'!A162)</f>
        <v>Beneficiaros 158</v>
      </c>
      <c r="D161" s="27">
        <f>'Por Valoracion (3) Dimension'!B161</f>
        <v>15</v>
      </c>
      <c r="E161" s="27">
        <f>'Por Valoracion (3) Dimension 2'!D161</f>
        <v>23</v>
      </c>
      <c r="Z161" s="36"/>
      <c r="AB161" s="53" t="str">
        <f>('Gestión de abastecimiento'!A162)</f>
        <v>Beneficiaros 158</v>
      </c>
      <c r="AC161" s="27">
        <f>'Por Valoracion (3) Dimension'!D161</f>
        <v>16</v>
      </c>
      <c r="AD161" s="27">
        <f>'Por Valoracion (3) Dimension 2'!D161</f>
        <v>23</v>
      </c>
      <c r="AY161" s="36"/>
      <c r="BA161" s="53" t="str">
        <f>('Gestión de abastecimiento'!A162)</f>
        <v>Beneficiaros 158</v>
      </c>
      <c r="BB161" s="27">
        <f>'Por Valoracion (3) Dimension'!F161</f>
        <v>15</v>
      </c>
      <c r="BC161" s="27">
        <f>'Por Valoracion (3) Dimension 2'!D161</f>
        <v>23</v>
      </c>
      <c r="BX161" s="36"/>
      <c r="BZ161" s="37"/>
      <c r="CB161" s="53" t="str">
        <f>('Gestión de abastecimiento'!A162)</f>
        <v>Beneficiaros 158</v>
      </c>
      <c r="CC161" s="27">
        <f>'Por Valoracion (3) Dimension 2'!B161</f>
        <v>23</v>
      </c>
      <c r="CD161" s="27">
        <f>'Por Valoracion (3) Dimension'!H161</f>
        <v>46</v>
      </c>
      <c r="CY161" s="37"/>
    </row>
    <row r="162" spans="1:103" x14ac:dyDescent="0.25">
      <c r="A162" s="36"/>
      <c r="C162" s="53" t="str">
        <f>('Gestión de abastecimiento'!A163)</f>
        <v>Beneficiaros 159</v>
      </c>
      <c r="D162" s="27">
        <f>'Por Valoracion (3) Dimension'!B162</f>
        <v>21</v>
      </c>
      <c r="E162" s="27">
        <f>'Por Valoracion (3) Dimension 2'!D162</f>
        <v>30</v>
      </c>
      <c r="Z162" s="36"/>
      <c r="AB162" s="53" t="str">
        <f>('Gestión de abastecimiento'!A163)</f>
        <v>Beneficiaros 159</v>
      </c>
      <c r="AC162" s="27">
        <f>'Por Valoracion (3) Dimension'!D162</f>
        <v>18</v>
      </c>
      <c r="AD162" s="27">
        <f>'Por Valoracion (3) Dimension 2'!D162</f>
        <v>30</v>
      </c>
      <c r="AY162" s="36"/>
      <c r="BA162" s="53" t="str">
        <f>('Gestión de abastecimiento'!A163)</f>
        <v>Beneficiaros 159</v>
      </c>
      <c r="BB162" s="27">
        <f>'Por Valoracion (3) Dimension'!F162</f>
        <v>19</v>
      </c>
      <c r="BC162" s="27">
        <f>'Por Valoracion (3) Dimension 2'!D162</f>
        <v>30</v>
      </c>
      <c r="BX162" s="36"/>
      <c r="BZ162" s="37"/>
      <c r="CB162" s="53" t="str">
        <f>('Gestión de abastecimiento'!A163)</f>
        <v>Beneficiaros 159</v>
      </c>
      <c r="CC162" s="27">
        <f>'Por Valoracion (3) Dimension 2'!B162</f>
        <v>30</v>
      </c>
      <c r="CD162" s="27">
        <f>'Por Valoracion (3) Dimension'!H162</f>
        <v>58</v>
      </c>
      <c r="CY162" s="37"/>
    </row>
    <row r="163" spans="1:103" x14ac:dyDescent="0.25">
      <c r="A163" s="36"/>
      <c r="C163" s="53" t="str">
        <f>('Gestión de abastecimiento'!A164)</f>
        <v>Beneficiaros 160</v>
      </c>
      <c r="D163" s="27">
        <f>'Por Valoracion (3) Dimension'!B163</f>
        <v>18</v>
      </c>
      <c r="E163" s="27">
        <f>'Por Valoracion (3) Dimension 2'!D163</f>
        <v>26</v>
      </c>
      <c r="Z163" s="36"/>
      <c r="AB163" s="53" t="str">
        <f>('Gestión de abastecimiento'!A164)</f>
        <v>Beneficiaros 160</v>
      </c>
      <c r="AC163" s="27">
        <f>'Por Valoracion (3) Dimension'!D163</f>
        <v>18</v>
      </c>
      <c r="AD163" s="27">
        <f>'Por Valoracion (3) Dimension 2'!D163</f>
        <v>26</v>
      </c>
      <c r="AY163" s="36"/>
      <c r="BA163" s="53" t="str">
        <f>('Gestión de abastecimiento'!A164)</f>
        <v>Beneficiaros 160</v>
      </c>
      <c r="BB163" s="27">
        <f>'Por Valoracion (3) Dimension'!F163</f>
        <v>16</v>
      </c>
      <c r="BC163" s="27">
        <f>'Por Valoracion (3) Dimension 2'!D163</f>
        <v>26</v>
      </c>
      <c r="BX163" s="36"/>
      <c r="BZ163" s="37"/>
      <c r="CB163" s="53" t="str">
        <f>('Gestión de abastecimiento'!A164)</f>
        <v>Beneficiaros 160</v>
      </c>
      <c r="CC163" s="27">
        <f>'Por Valoracion (3) Dimension 2'!B163</f>
        <v>26</v>
      </c>
      <c r="CD163" s="27">
        <f>'Por Valoracion (3) Dimension'!H163</f>
        <v>52</v>
      </c>
      <c r="CY163" s="37"/>
    </row>
    <row r="164" spans="1:103" x14ac:dyDescent="0.25">
      <c r="A164" s="36"/>
      <c r="C164" s="53" t="str">
        <f>('Gestión de abastecimiento'!A165)</f>
        <v>Beneficiaros 161</v>
      </c>
      <c r="D164" s="27">
        <f>'Por Valoracion (3) Dimension'!B164</f>
        <v>26</v>
      </c>
      <c r="E164" s="27">
        <f>'Por Valoracion (3) Dimension 2'!D164</f>
        <v>36</v>
      </c>
      <c r="Z164" s="36"/>
      <c r="AB164" s="53" t="str">
        <f>('Gestión de abastecimiento'!A165)</f>
        <v>Beneficiaros 161</v>
      </c>
      <c r="AC164" s="27">
        <f>'Por Valoracion (3) Dimension'!D164</f>
        <v>24</v>
      </c>
      <c r="AD164" s="27">
        <f>'Por Valoracion (3) Dimension 2'!D164</f>
        <v>36</v>
      </c>
      <c r="AY164" s="36"/>
      <c r="BA164" s="53" t="str">
        <f>('Gestión de abastecimiento'!A165)</f>
        <v>Beneficiaros 161</v>
      </c>
      <c r="BB164" s="27">
        <f>'Por Valoracion (3) Dimension'!F164</f>
        <v>24</v>
      </c>
      <c r="BC164" s="27">
        <f>'Por Valoracion (3) Dimension 2'!D164</f>
        <v>36</v>
      </c>
      <c r="BX164" s="36"/>
      <c r="BZ164" s="37"/>
      <c r="CB164" s="53" t="str">
        <f>('Gestión de abastecimiento'!A165)</f>
        <v>Beneficiaros 161</v>
      </c>
      <c r="CC164" s="27">
        <f>'Por Valoracion (3) Dimension 2'!B164</f>
        <v>36</v>
      </c>
      <c r="CD164" s="27">
        <f>'Por Valoracion (3) Dimension'!H164</f>
        <v>74</v>
      </c>
      <c r="CY164" s="37"/>
    </row>
    <row r="165" spans="1:103" x14ac:dyDescent="0.25">
      <c r="A165" s="36"/>
      <c r="C165" s="53" t="str">
        <f>('Gestión de abastecimiento'!A166)</f>
        <v>Beneficiaros 162</v>
      </c>
      <c r="D165" s="27">
        <f>'Por Valoracion (3) Dimension'!B165</f>
        <v>25</v>
      </c>
      <c r="E165" s="27">
        <f>'Por Valoracion (3) Dimension 2'!D165</f>
        <v>32</v>
      </c>
      <c r="Z165" s="36"/>
      <c r="AB165" s="53" t="str">
        <f>('Gestión de abastecimiento'!A166)</f>
        <v>Beneficiaros 162</v>
      </c>
      <c r="AC165" s="27">
        <f>'Por Valoracion (3) Dimension'!D165</f>
        <v>24</v>
      </c>
      <c r="AD165" s="27">
        <f>'Por Valoracion (3) Dimension 2'!D165</f>
        <v>32</v>
      </c>
      <c r="AY165" s="36"/>
      <c r="BA165" s="53" t="str">
        <f>('Gestión de abastecimiento'!A166)</f>
        <v>Beneficiaros 162</v>
      </c>
      <c r="BB165" s="27">
        <f>'Por Valoracion (3) Dimension'!F165</f>
        <v>24</v>
      </c>
      <c r="BC165" s="27">
        <f>'Por Valoracion (3) Dimension 2'!D165</f>
        <v>32</v>
      </c>
      <c r="BX165" s="36"/>
      <c r="BZ165" s="37"/>
      <c r="CB165" s="53" t="str">
        <f>('Gestión de abastecimiento'!A166)</f>
        <v>Beneficiaros 162</v>
      </c>
      <c r="CC165" s="27">
        <f>'Por Valoracion (3) Dimension 2'!B165</f>
        <v>32</v>
      </c>
      <c r="CD165" s="27">
        <f>'Por Valoracion (3) Dimension'!H165</f>
        <v>73</v>
      </c>
      <c r="CY165" s="37"/>
    </row>
    <row r="166" spans="1:103" x14ac:dyDescent="0.25">
      <c r="A166" s="36"/>
      <c r="C166" s="53" t="str">
        <f>('Gestión de abastecimiento'!A167)</f>
        <v>Beneficiaros 163</v>
      </c>
      <c r="D166" s="27">
        <f>'Por Valoracion (3) Dimension'!B166</f>
        <v>19</v>
      </c>
      <c r="E166" s="27">
        <f>'Por Valoracion (3) Dimension 2'!D166</f>
        <v>27</v>
      </c>
      <c r="Z166" s="36"/>
      <c r="AB166" s="53" t="str">
        <f>('Gestión de abastecimiento'!A167)</f>
        <v>Beneficiaros 163</v>
      </c>
      <c r="AC166" s="27">
        <f>'Por Valoracion (3) Dimension'!D166</f>
        <v>19</v>
      </c>
      <c r="AD166" s="27">
        <f>'Por Valoracion (3) Dimension 2'!D166</f>
        <v>27</v>
      </c>
      <c r="AY166" s="36"/>
      <c r="BA166" s="53" t="str">
        <f>('Gestión de abastecimiento'!A167)</f>
        <v>Beneficiaros 163</v>
      </c>
      <c r="BB166" s="27">
        <f>'Por Valoracion (3) Dimension'!F166</f>
        <v>18</v>
      </c>
      <c r="BC166" s="27">
        <f>'Por Valoracion (3) Dimension 2'!D166</f>
        <v>27</v>
      </c>
      <c r="BX166" s="36"/>
      <c r="BZ166" s="37"/>
      <c r="CB166" s="53" t="str">
        <f>('Gestión de abastecimiento'!A167)</f>
        <v>Beneficiaros 163</v>
      </c>
      <c r="CC166" s="27">
        <f>'Por Valoracion (3) Dimension 2'!B166</f>
        <v>27</v>
      </c>
      <c r="CD166" s="27">
        <f>'Por Valoracion (3) Dimension'!H166</f>
        <v>56</v>
      </c>
      <c r="CY166" s="37"/>
    </row>
    <row r="167" spans="1:103" x14ac:dyDescent="0.25">
      <c r="A167" s="36"/>
      <c r="C167" s="53" t="str">
        <f>('Gestión de abastecimiento'!A168)</f>
        <v>Beneficiaros 164</v>
      </c>
      <c r="D167" s="27">
        <f>'Por Valoracion (3) Dimension'!B167</f>
        <v>18</v>
      </c>
      <c r="E167" s="27">
        <f>'Por Valoracion (3) Dimension 2'!D167</f>
        <v>28</v>
      </c>
      <c r="Z167" s="36"/>
      <c r="AB167" s="53" t="str">
        <f>('Gestión de abastecimiento'!A168)</f>
        <v>Beneficiaros 164</v>
      </c>
      <c r="AC167" s="27">
        <f>'Por Valoracion (3) Dimension'!D167</f>
        <v>19</v>
      </c>
      <c r="AD167" s="27">
        <f>'Por Valoracion (3) Dimension 2'!D167</f>
        <v>28</v>
      </c>
      <c r="AY167" s="36"/>
      <c r="BA167" s="53" t="str">
        <f>('Gestión de abastecimiento'!A168)</f>
        <v>Beneficiaros 164</v>
      </c>
      <c r="BB167" s="27">
        <f>'Por Valoracion (3) Dimension'!F167</f>
        <v>21</v>
      </c>
      <c r="BC167" s="27">
        <f>'Por Valoracion (3) Dimension 2'!D167</f>
        <v>28</v>
      </c>
      <c r="BX167" s="36"/>
      <c r="BZ167" s="37"/>
      <c r="CB167" s="53" t="str">
        <f>('Gestión de abastecimiento'!A168)</f>
        <v>Beneficiaros 164</v>
      </c>
      <c r="CC167" s="27">
        <f>'Por Valoracion (3) Dimension 2'!B167</f>
        <v>28</v>
      </c>
      <c r="CD167" s="27">
        <f>'Por Valoracion (3) Dimension'!H167</f>
        <v>58</v>
      </c>
      <c r="CY167" s="37"/>
    </row>
    <row r="168" spans="1:103" x14ac:dyDescent="0.25">
      <c r="A168" s="36"/>
      <c r="C168" s="53" t="str">
        <f>('Gestión de abastecimiento'!A169)</f>
        <v>Beneficiaros 165</v>
      </c>
      <c r="D168" s="27">
        <f>'Por Valoracion (3) Dimension'!B168</f>
        <v>20</v>
      </c>
      <c r="E168" s="27">
        <f>'Por Valoracion (3) Dimension 2'!D168</f>
        <v>29</v>
      </c>
      <c r="Z168" s="36"/>
      <c r="AB168" s="53" t="str">
        <f>('Gestión de abastecimiento'!A169)</f>
        <v>Beneficiaros 165</v>
      </c>
      <c r="AC168" s="27">
        <f>'Por Valoracion (3) Dimension'!D168</f>
        <v>20</v>
      </c>
      <c r="AD168" s="27">
        <f>'Por Valoracion (3) Dimension 2'!D168</f>
        <v>29</v>
      </c>
      <c r="AY168" s="36"/>
      <c r="BA168" s="53" t="str">
        <f>('Gestión de abastecimiento'!A169)</f>
        <v>Beneficiaros 165</v>
      </c>
      <c r="BB168" s="27">
        <f>'Por Valoracion (3) Dimension'!F168</f>
        <v>18</v>
      </c>
      <c r="BC168" s="27">
        <f>'Por Valoracion (3) Dimension 2'!D168</f>
        <v>29</v>
      </c>
      <c r="BX168" s="36"/>
      <c r="BZ168" s="37"/>
      <c r="CB168" s="53" t="str">
        <f>('Gestión de abastecimiento'!A169)</f>
        <v>Beneficiaros 165</v>
      </c>
      <c r="CC168" s="27">
        <f>'Por Valoracion (3) Dimension 2'!B168</f>
        <v>29</v>
      </c>
      <c r="CD168" s="27">
        <f>'Por Valoracion (3) Dimension'!H168</f>
        <v>58</v>
      </c>
      <c r="CY168" s="37"/>
    </row>
    <row r="169" spans="1:103" x14ac:dyDescent="0.25">
      <c r="A169" s="36"/>
      <c r="C169" s="53" t="str">
        <f>('Gestión de abastecimiento'!A170)</f>
        <v>Beneficiaros 166</v>
      </c>
      <c r="D169" s="27">
        <f>'Por Valoracion (3) Dimension'!B169</f>
        <v>20</v>
      </c>
      <c r="E169" s="27">
        <f>'Por Valoracion (3) Dimension 2'!D169</f>
        <v>29</v>
      </c>
      <c r="Z169" s="36"/>
      <c r="AB169" s="53" t="str">
        <f>('Gestión de abastecimiento'!A170)</f>
        <v>Beneficiaros 166</v>
      </c>
      <c r="AC169" s="27">
        <f>'Por Valoracion (3) Dimension'!D169</f>
        <v>19</v>
      </c>
      <c r="AD169" s="27">
        <f>'Por Valoracion (3) Dimension 2'!D169</f>
        <v>29</v>
      </c>
      <c r="AY169" s="36"/>
      <c r="BA169" s="53" t="str">
        <f>('Gestión de abastecimiento'!A170)</f>
        <v>Beneficiaros 166</v>
      </c>
      <c r="BB169" s="27">
        <f>'Por Valoracion (3) Dimension'!F169</f>
        <v>18</v>
      </c>
      <c r="BC169" s="27">
        <f>'Por Valoracion (3) Dimension 2'!D169</f>
        <v>29</v>
      </c>
      <c r="BX169" s="36"/>
      <c r="BZ169" s="37"/>
      <c r="CB169" s="53" t="str">
        <f>('Gestión de abastecimiento'!A170)</f>
        <v>Beneficiaros 166</v>
      </c>
      <c r="CC169" s="27">
        <f>'Por Valoracion (3) Dimension 2'!B169</f>
        <v>29</v>
      </c>
      <c r="CD169" s="27">
        <f>'Por Valoracion (3) Dimension'!H169</f>
        <v>57</v>
      </c>
      <c r="CY169" s="37"/>
    </row>
    <row r="170" spans="1:103" x14ac:dyDescent="0.25">
      <c r="A170" s="36"/>
      <c r="C170" s="53" t="str">
        <f>('Gestión de abastecimiento'!A171)</f>
        <v>Beneficiaros 167</v>
      </c>
      <c r="D170" s="27">
        <f>'Por Valoracion (3) Dimension'!B170</f>
        <v>19</v>
      </c>
      <c r="E170" s="27">
        <f>'Por Valoracion (3) Dimension 2'!D170</f>
        <v>28</v>
      </c>
      <c r="Z170" s="36"/>
      <c r="AB170" s="53" t="str">
        <f>('Gestión de abastecimiento'!A171)</f>
        <v>Beneficiaros 167</v>
      </c>
      <c r="AC170" s="27">
        <f>'Por Valoracion (3) Dimension'!D170</f>
        <v>18</v>
      </c>
      <c r="AD170" s="27">
        <f>'Por Valoracion (3) Dimension 2'!D170</f>
        <v>28</v>
      </c>
      <c r="AY170" s="36"/>
      <c r="BA170" s="53" t="str">
        <f>('Gestión de abastecimiento'!A171)</f>
        <v>Beneficiaros 167</v>
      </c>
      <c r="BB170" s="27">
        <f>'Por Valoracion (3) Dimension'!F170</f>
        <v>17</v>
      </c>
      <c r="BC170" s="27">
        <f>'Por Valoracion (3) Dimension 2'!D170</f>
        <v>28</v>
      </c>
      <c r="BX170" s="36"/>
      <c r="BZ170" s="37"/>
      <c r="CB170" s="53" t="str">
        <f>('Gestión de abastecimiento'!A171)</f>
        <v>Beneficiaros 167</v>
      </c>
      <c r="CC170" s="27">
        <f>'Por Valoracion (3) Dimension 2'!B170</f>
        <v>28</v>
      </c>
      <c r="CD170" s="27">
        <f>'Por Valoracion (3) Dimension'!H170</f>
        <v>54</v>
      </c>
      <c r="CY170" s="37"/>
    </row>
    <row r="171" spans="1:103" x14ac:dyDescent="0.25">
      <c r="A171" s="36"/>
      <c r="C171" s="53" t="str">
        <f>('Gestión de abastecimiento'!A172)</f>
        <v>Beneficiaros 168</v>
      </c>
      <c r="D171" s="27">
        <f>'Por Valoracion (3) Dimension'!B171</f>
        <v>23</v>
      </c>
      <c r="E171" s="27">
        <f>'Por Valoracion (3) Dimension 2'!D171</f>
        <v>33</v>
      </c>
      <c r="Z171" s="36"/>
      <c r="AB171" s="53" t="str">
        <f>('Gestión de abastecimiento'!A172)</f>
        <v>Beneficiaros 168</v>
      </c>
      <c r="AC171" s="27">
        <f>'Por Valoracion (3) Dimension'!D171</f>
        <v>23</v>
      </c>
      <c r="AD171" s="27">
        <f>'Por Valoracion (3) Dimension 2'!D171</f>
        <v>33</v>
      </c>
      <c r="AY171" s="36"/>
      <c r="BA171" s="53" t="str">
        <f>('Gestión de abastecimiento'!A172)</f>
        <v>Beneficiaros 168</v>
      </c>
      <c r="BB171" s="27">
        <f>'Por Valoracion (3) Dimension'!F171</f>
        <v>20</v>
      </c>
      <c r="BC171" s="27">
        <f>'Por Valoracion (3) Dimension 2'!D171</f>
        <v>33</v>
      </c>
      <c r="BX171" s="36"/>
      <c r="BZ171" s="37"/>
      <c r="CB171" s="53" t="str">
        <f>('Gestión de abastecimiento'!A172)</f>
        <v>Beneficiaros 168</v>
      </c>
      <c r="CC171" s="27">
        <f>'Por Valoracion (3) Dimension 2'!B171</f>
        <v>33</v>
      </c>
      <c r="CD171" s="27">
        <f>'Por Valoracion (3) Dimension'!H171</f>
        <v>66</v>
      </c>
      <c r="CY171" s="37"/>
    </row>
    <row r="172" spans="1:103" x14ac:dyDescent="0.25">
      <c r="A172" s="36"/>
      <c r="C172" s="53" t="str">
        <f>('Gestión de abastecimiento'!A173)</f>
        <v>Beneficiaros 169</v>
      </c>
      <c r="D172" s="27">
        <f>'Por Valoracion (3) Dimension'!B172</f>
        <v>20</v>
      </c>
      <c r="E172" s="27">
        <f>'Por Valoracion (3) Dimension 2'!D172</f>
        <v>28</v>
      </c>
      <c r="Z172" s="36"/>
      <c r="AB172" s="53" t="str">
        <f>('Gestión de abastecimiento'!A173)</f>
        <v>Beneficiaros 169</v>
      </c>
      <c r="AC172" s="27">
        <f>'Por Valoracion (3) Dimension'!D172</f>
        <v>20</v>
      </c>
      <c r="AD172" s="27">
        <f>'Por Valoracion (3) Dimension 2'!D172</f>
        <v>28</v>
      </c>
      <c r="AY172" s="36"/>
      <c r="BA172" s="53" t="str">
        <f>('Gestión de abastecimiento'!A173)</f>
        <v>Beneficiaros 169</v>
      </c>
      <c r="BB172" s="27">
        <f>'Por Valoracion (3) Dimension'!F172</f>
        <v>18</v>
      </c>
      <c r="BC172" s="27">
        <f>'Por Valoracion (3) Dimension 2'!D172</f>
        <v>28</v>
      </c>
      <c r="BX172" s="36"/>
      <c r="BZ172" s="37"/>
      <c r="CB172" s="53" t="str">
        <f>('Gestión de abastecimiento'!A173)</f>
        <v>Beneficiaros 169</v>
      </c>
      <c r="CC172" s="27">
        <f>'Por Valoracion (3) Dimension 2'!B172</f>
        <v>28</v>
      </c>
      <c r="CD172" s="27">
        <f>'Por Valoracion (3) Dimension'!H172</f>
        <v>58</v>
      </c>
      <c r="CY172" s="37"/>
    </row>
    <row r="173" spans="1:103" x14ac:dyDescent="0.25">
      <c r="A173" s="36"/>
      <c r="C173" s="53" t="str">
        <f>('Gestión de abastecimiento'!A174)</f>
        <v>Beneficiaros 170</v>
      </c>
      <c r="D173" s="27">
        <f>'Por Valoracion (3) Dimension'!B173</f>
        <v>13</v>
      </c>
      <c r="E173" s="27">
        <f>'Por Valoracion (3) Dimension 2'!D173</f>
        <v>18</v>
      </c>
      <c r="Z173" s="36"/>
      <c r="AB173" s="53" t="str">
        <f>('Gestión de abastecimiento'!A174)</f>
        <v>Beneficiaros 170</v>
      </c>
      <c r="AC173" s="27">
        <f>'Por Valoracion (3) Dimension'!D173</f>
        <v>13</v>
      </c>
      <c r="AD173" s="27">
        <f>'Por Valoracion (3) Dimension 2'!D173</f>
        <v>18</v>
      </c>
      <c r="AY173" s="36"/>
      <c r="BA173" s="53" t="str">
        <f>('Gestión de abastecimiento'!A174)</f>
        <v>Beneficiaros 170</v>
      </c>
      <c r="BB173" s="27">
        <f>'Por Valoracion (3) Dimension'!F173</f>
        <v>11</v>
      </c>
      <c r="BC173" s="27">
        <f>'Por Valoracion (3) Dimension 2'!D173</f>
        <v>18</v>
      </c>
      <c r="BX173" s="36"/>
      <c r="BZ173" s="37"/>
      <c r="CB173" s="53" t="str">
        <f>('Gestión de abastecimiento'!A174)</f>
        <v>Beneficiaros 170</v>
      </c>
      <c r="CC173" s="27">
        <f>'Por Valoracion (3) Dimension 2'!B173</f>
        <v>18</v>
      </c>
      <c r="CD173" s="27">
        <f>'Por Valoracion (3) Dimension'!H173</f>
        <v>37</v>
      </c>
      <c r="CY173" s="37"/>
    </row>
    <row r="174" spans="1:103" x14ac:dyDescent="0.25">
      <c r="A174" s="36"/>
      <c r="C174" s="53" t="str">
        <f>('Gestión de abastecimiento'!A175)</f>
        <v>Beneficiaros 171</v>
      </c>
      <c r="D174" s="27">
        <f>'Por Valoracion (3) Dimension'!B174</f>
        <v>18</v>
      </c>
      <c r="E174" s="27">
        <f>'Por Valoracion (3) Dimension 2'!D174</f>
        <v>27</v>
      </c>
      <c r="Z174" s="36"/>
      <c r="AB174" s="53" t="str">
        <f>('Gestión de abastecimiento'!A175)</f>
        <v>Beneficiaros 171</v>
      </c>
      <c r="AC174" s="27">
        <f>'Por Valoracion (3) Dimension'!D174</f>
        <v>17</v>
      </c>
      <c r="AD174" s="27">
        <f>'Por Valoracion (3) Dimension 2'!D174</f>
        <v>27</v>
      </c>
      <c r="AY174" s="36"/>
      <c r="BA174" s="53" t="str">
        <f>('Gestión de abastecimiento'!A175)</f>
        <v>Beneficiaros 171</v>
      </c>
      <c r="BB174" s="27">
        <f>'Por Valoracion (3) Dimension'!F174</f>
        <v>16</v>
      </c>
      <c r="BC174" s="27">
        <f>'Por Valoracion (3) Dimension 2'!D174</f>
        <v>27</v>
      </c>
      <c r="BX174" s="36"/>
      <c r="BZ174" s="37"/>
      <c r="CB174" s="53" t="str">
        <f>('Gestión de abastecimiento'!A175)</f>
        <v>Beneficiaros 171</v>
      </c>
      <c r="CC174" s="27">
        <f>'Por Valoracion (3) Dimension 2'!B174</f>
        <v>27</v>
      </c>
      <c r="CD174" s="27">
        <f>'Por Valoracion (3) Dimension'!H174</f>
        <v>51</v>
      </c>
      <c r="CY174" s="37"/>
    </row>
    <row r="175" spans="1:103" x14ac:dyDescent="0.25">
      <c r="A175" s="36"/>
      <c r="C175" s="53" t="str">
        <f>('Gestión de abastecimiento'!A176)</f>
        <v>Beneficiaros 172</v>
      </c>
      <c r="D175" s="27">
        <f>'Por Valoracion (3) Dimension'!B175</f>
        <v>12</v>
      </c>
      <c r="E175" s="27">
        <f>'Por Valoracion (3) Dimension 2'!D175</f>
        <v>17</v>
      </c>
      <c r="Z175" s="36"/>
      <c r="AB175" s="53" t="str">
        <f>('Gestión de abastecimiento'!A176)</f>
        <v>Beneficiaros 172</v>
      </c>
      <c r="AC175" s="27">
        <f>'Por Valoracion (3) Dimension'!D175</f>
        <v>12</v>
      </c>
      <c r="AD175" s="27">
        <f>'Por Valoracion (3) Dimension 2'!D175</f>
        <v>17</v>
      </c>
      <c r="AY175" s="36"/>
      <c r="BA175" s="53" t="str">
        <f>('Gestión de abastecimiento'!A176)</f>
        <v>Beneficiaros 172</v>
      </c>
      <c r="BB175" s="27">
        <f>'Por Valoracion (3) Dimension'!F175</f>
        <v>11</v>
      </c>
      <c r="BC175" s="27">
        <f>'Por Valoracion (3) Dimension 2'!D175</f>
        <v>17</v>
      </c>
      <c r="BX175" s="36"/>
      <c r="BZ175" s="37"/>
      <c r="CB175" s="53" t="str">
        <f>('Gestión de abastecimiento'!A176)</f>
        <v>Beneficiaros 172</v>
      </c>
      <c r="CC175" s="27">
        <f>'Por Valoracion (3) Dimension 2'!B175</f>
        <v>17</v>
      </c>
      <c r="CD175" s="27">
        <f>'Por Valoracion (3) Dimension'!H175</f>
        <v>35</v>
      </c>
      <c r="CY175" s="37"/>
    </row>
    <row r="176" spans="1:103" x14ac:dyDescent="0.25">
      <c r="A176" s="36"/>
      <c r="C176" s="53" t="str">
        <f>('Gestión de abastecimiento'!A177)</f>
        <v>Beneficiaros 173</v>
      </c>
      <c r="D176" s="27">
        <f>'Por Valoracion (3) Dimension'!B176</f>
        <v>20</v>
      </c>
      <c r="E176" s="27">
        <f>'Por Valoracion (3) Dimension 2'!D176</f>
        <v>28</v>
      </c>
      <c r="Z176" s="36"/>
      <c r="AB176" s="53" t="str">
        <f>('Gestión de abastecimiento'!A177)</f>
        <v>Beneficiaros 173</v>
      </c>
      <c r="AC176" s="27">
        <f>'Por Valoracion (3) Dimension'!D176</f>
        <v>19</v>
      </c>
      <c r="AD176" s="27">
        <f>'Por Valoracion (3) Dimension 2'!D176</f>
        <v>28</v>
      </c>
      <c r="AY176" s="36"/>
      <c r="BA176" s="53" t="str">
        <f>('Gestión de abastecimiento'!A177)</f>
        <v>Beneficiaros 173</v>
      </c>
      <c r="BB176" s="27">
        <f>'Por Valoracion (3) Dimension'!F176</f>
        <v>19</v>
      </c>
      <c r="BC176" s="27">
        <f>'Por Valoracion (3) Dimension 2'!D176</f>
        <v>28</v>
      </c>
      <c r="BX176" s="36"/>
      <c r="BZ176" s="37"/>
      <c r="CB176" s="53" t="str">
        <f>('Gestión de abastecimiento'!A177)</f>
        <v>Beneficiaros 173</v>
      </c>
      <c r="CC176" s="27">
        <f>'Por Valoracion (3) Dimension 2'!B176</f>
        <v>28</v>
      </c>
      <c r="CD176" s="27">
        <f>'Por Valoracion (3) Dimension'!H176</f>
        <v>58</v>
      </c>
      <c r="CY176" s="37"/>
    </row>
    <row r="177" spans="1:103" x14ac:dyDescent="0.25">
      <c r="A177" s="36"/>
      <c r="C177" s="53" t="str">
        <f>('Gestión de abastecimiento'!A178)</f>
        <v>Beneficiaros 174</v>
      </c>
      <c r="D177" s="27">
        <f>'Por Valoracion (3) Dimension'!B177</f>
        <v>17</v>
      </c>
      <c r="E177" s="27">
        <f>'Por Valoracion (3) Dimension 2'!D177</f>
        <v>25</v>
      </c>
      <c r="Z177" s="36"/>
      <c r="AB177" s="53" t="str">
        <f>('Gestión de abastecimiento'!A178)</f>
        <v>Beneficiaros 174</v>
      </c>
      <c r="AC177" s="27">
        <f>'Por Valoracion (3) Dimension'!D177</f>
        <v>17</v>
      </c>
      <c r="AD177" s="27">
        <f>'Por Valoracion (3) Dimension 2'!D177</f>
        <v>25</v>
      </c>
      <c r="AY177" s="36"/>
      <c r="BA177" s="53" t="str">
        <f>('Gestión de abastecimiento'!A178)</f>
        <v>Beneficiaros 174</v>
      </c>
      <c r="BB177" s="27">
        <f>'Por Valoracion (3) Dimension'!F177</f>
        <v>15</v>
      </c>
      <c r="BC177" s="27">
        <f>'Por Valoracion (3) Dimension 2'!D177</f>
        <v>25</v>
      </c>
      <c r="BX177" s="36"/>
      <c r="BZ177" s="37"/>
      <c r="CB177" s="53" t="str">
        <f>('Gestión de abastecimiento'!A178)</f>
        <v>Beneficiaros 174</v>
      </c>
      <c r="CC177" s="27">
        <f>'Por Valoracion (3) Dimension 2'!B177</f>
        <v>25</v>
      </c>
      <c r="CD177" s="27">
        <f>'Por Valoracion (3) Dimension'!H177</f>
        <v>49</v>
      </c>
      <c r="CY177" s="37"/>
    </row>
    <row r="178" spans="1:103" x14ac:dyDescent="0.25">
      <c r="A178" s="36"/>
      <c r="C178" s="53" t="str">
        <f>('Gestión de abastecimiento'!A179)</f>
        <v>Beneficiaros 175</v>
      </c>
      <c r="D178" s="27">
        <f>'Por Valoracion (3) Dimension'!B178</f>
        <v>15</v>
      </c>
      <c r="E178" s="27">
        <f>'Por Valoracion (3) Dimension 2'!D178</f>
        <v>21</v>
      </c>
      <c r="Z178" s="36"/>
      <c r="AB178" s="53" t="str">
        <f>('Gestión de abastecimiento'!A179)</f>
        <v>Beneficiaros 175</v>
      </c>
      <c r="AC178" s="27">
        <f>'Por Valoracion (3) Dimension'!D178</f>
        <v>15</v>
      </c>
      <c r="AD178" s="27">
        <f>'Por Valoracion (3) Dimension 2'!D178</f>
        <v>21</v>
      </c>
      <c r="AY178" s="36"/>
      <c r="BA178" s="53" t="str">
        <f>('Gestión de abastecimiento'!A179)</f>
        <v>Beneficiaros 175</v>
      </c>
      <c r="BB178" s="27">
        <f>'Por Valoracion (3) Dimension'!F178</f>
        <v>13</v>
      </c>
      <c r="BC178" s="27">
        <f>'Por Valoracion (3) Dimension 2'!D178</f>
        <v>21</v>
      </c>
      <c r="BX178" s="36"/>
      <c r="BZ178" s="37"/>
      <c r="CB178" s="53" t="str">
        <f>('Gestión de abastecimiento'!A179)</f>
        <v>Beneficiaros 175</v>
      </c>
      <c r="CC178" s="27">
        <f>'Por Valoracion (3) Dimension 2'!B178</f>
        <v>21</v>
      </c>
      <c r="CD178" s="27">
        <f>'Por Valoracion (3) Dimension'!H178</f>
        <v>43</v>
      </c>
      <c r="CY178" s="37"/>
    </row>
    <row r="179" spans="1:103" x14ac:dyDescent="0.25">
      <c r="A179" s="36"/>
      <c r="C179" s="53" t="str">
        <f>('Gestión de abastecimiento'!A180)</f>
        <v>Beneficiaros 176</v>
      </c>
      <c r="D179" s="27">
        <f>'Por Valoracion (3) Dimension'!B179</f>
        <v>22</v>
      </c>
      <c r="E179" s="27">
        <f>'Por Valoracion (3) Dimension 2'!D179</f>
        <v>30</v>
      </c>
      <c r="Z179" s="36"/>
      <c r="AB179" s="53" t="str">
        <f>('Gestión de abastecimiento'!A180)</f>
        <v>Beneficiaros 176</v>
      </c>
      <c r="AC179" s="27">
        <f>'Por Valoracion (3) Dimension'!D179</f>
        <v>23</v>
      </c>
      <c r="AD179" s="27">
        <f>'Por Valoracion (3) Dimension 2'!D179</f>
        <v>30</v>
      </c>
      <c r="AY179" s="36"/>
      <c r="BA179" s="53" t="str">
        <f>('Gestión de abastecimiento'!A180)</f>
        <v>Beneficiaros 176</v>
      </c>
      <c r="BB179" s="27">
        <f>'Por Valoracion (3) Dimension'!F179</f>
        <v>20</v>
      </c>
      <c r="BC179" s="27">
        <f>'Por Valoracion (3) Dimension 2'!D179</f>
        <v>30</v>
      </c>
      <c r="BX179" s="36"/>
      <c r="BZ179" s="37"/>
      <c r="CB179" s="53" t="str">
        <f>('Gestión de abastecimiento'!A180)</f>
        <v>Beneficiaros 176</v>
      </c>
      <c r="CC179" s="27">
        <f>'Por Valoracion (3) Dimension 2'!B179</f>
        <v>30</v>
      </c>
      <c r="CD179" s="27">
        <f>'Por Valoracion (3) Dimension'!H179</f>
        <v>65</v>
      </c>
      <c r="CY179" s="37"/>
    </row>
    <row r="180" spans="1:103" x14ac:dyDescent="0.25">
      <c r="A180" s="36"/>
      <c r="C180" s="53" t="str">
        <f>('Gestión de abastecimiento'!A181)</f>
        <v>Beneficiaros 177</v>
      </c>
      <c r="D180" s="27">
        <f>'Por Valoracion (3) Dimension'!B180</f>
        <v>24</v>
      </c>
      <c r="E180" s="27">
        <f>'Por Valoracion (3) Dimension 2'!D180</f>
        <v>36</v>
      </c>
      <c r="Z180" s="36"/>
      <c r="AB180" s="53" t="str">
        <f>('Gestión de abastecimiento'!A181)</f>
        <v>Beneficiaros 177</v>
      </c>
      <c r="AC180" s="27">
        <f>'Por Valoracion (3) Dimension'!D180</f>
        <v>24</v>
      </c>
      <c r="AD180" s="27">
        <f>'Por Valoracion (3) Dimension 2'!D180</f>
        <v>36</v>
      </c>
      <c r="AY180" s="36"/>
      <c r="BA180" s="53" t="str">
        <f>('Gestión de abastecimiento'!A181)</f>
        <v>Beneficiaros 177</v>
      </c>
      <c r="BB180" s="27">
        <f>'Por Valoracion (3) Dimension'!F180</f>
        <v>24</v>
      </c>
      <c r="BC180" s="27">
        <f>'Por Valoracion (3) Dimension 2'!D180</f>
        <v>36</v>
      </c>
      <c r="BX180" s="36"/>
      <c r="BZ180" s="37"/>
      <c r="CB180" s="53" t="str">
        <f>('Gestión de abastecimiento'!A181)</f>
        <v>Beneficiaros 177</v>
      </c>
      <c r="CC180" s="27">
        <f>'Por Valoracion (3) Dimension 2'!B180</f>
        <v>36</v>
      </c>
      <c r="CD180" s="27">
        <f>'Por Valoracion (3) Dimension'!H180</f>
        <v>72</v>
      </c>
      <c r="CY180" s="37"/>
    </row>
    <row r="181" spans="1:103" x14ac:dyDescent="0.25">
      <c r="A181" s="36"/>
      <c r="C181" s="53" t="str">
        <f>('Gestión de abastecimiento'!A182)</f>
        <v>Beneficiaros 178</v>
      </c>
      <c r="D181" s="27">
        <f>'Por Valoracion (3) Dimension'!B181</f>
        <v>19</v>
      </c>
      <c r="E181" s="27">
        <f>'Por Valoracion (3) Dimension 2'!D181</f>
        <v>27</v>
      </c>
      <c r="Z181" s="36"/>
      <c r="AB181" s="53" t="str">
        <f>('Gestión de abastecimiento'!A182)</f>
        <v>Beneficiaros 178</v>
      </c>
      <c r="AC181" s="27">
        <f>'Por Valoracion (3) Dimension'!D181</f>
        <v>19</v>
      </c>
      <c r="AD181" s="27">
        <f>'Por Valoracion (3) Dimension 2'!D181</f>
        <v>27</v>
      </c>
      <c r="AY181" s="36"/>
      <c r="BA181" s="53" t="str">
        <f>('Gestión de abastecimiento'!A182)</f>
        <v>Beneficiaros 178</v>
      </c>
      <c r="BB181" s="27">
        <f>'Por Valoracion (3) Dimension'!F181</f>
        <v>18</v>
      </c>
      <c r="BC181" s="27">
        <f>'Por Valoracion (3) Dimension 2'!D181</f>
        <v>27</v>
      </c>
      <c r="BX181" s="36"/>
      <c r="BZ181" s="37"/>
      <c r="CB181" s="53" t="str">
        <f>('Gestión de abastecimiento'!A182)</f>
        <v>Beneficiaros 178</v>
      </c>
      <c r="CC181" s="27">
        <f>'Por Valoracion (3) Dimension 2'!B181</f>
        <v>27</v>
      </c>
      <c r="CD181" s="27">
        <f>'Por Valoracion (3) Dimension'!H181</f>
        <v>56</v>
      </c>
      <c r="CY181" s="37"/>
    </row>
    <row r="182" spans="1:103" x14ac:dyDescent="0.25">
      <c r="A182" s="36"/>
      <c r="C182" s="53" t="str">
        <f>('Gestión de abastecimiento'!A183)</f>
        <v>Beneficiaros 179</v>
      </c>
      <c r="D182" s="27">
        <f>'Por Valoracion (3) Dimension'!B182</f>
        <v>21</v>
      </c>
      <c r="E182" s="27">
        <f>'Por Valoracion (3) Dimension 2'!D182</f>
        <v>28</v>
      </c>
      <c r="Z182" s="36"/>
      <c r="AB182" s="53" t="str">
        <f>('Gestión de abastecimiento'!A183)</f>
        <v>Beneficiaros 179</v>
      </c>
      <c r="AC182" s="27">
        <f>'Por Valoracion (3) Dimension'!D182</f>
        <v>19</v>
      </c>
      <c r="AD182" s="27">
        <f>'Por Valoracion (3) Dimension 2'!D182</f>
        <v>28</v>
      </c>
      <c r="AY182" s="36"/>
      <c r="BA182" s="53" t="str">
        <f>('Gestión de abastecimiento'!A183)</f>
        <v>Beneficiaros 179</v>
      </c>
      <c r="BB182" s="27">
        <f>'Por Valoracion (3) Dimension'!F182</f>
        <v>19</v>
      </c>
      <c r="BC182" s="27">
        <f>'Por Valoracion (3) Dimension 2'!D182</f>
        <v>28</v>
      </c>
      <c r="BX182" s="36"/>
      <c r="BZ182" s="37"/>
      <c r="CB182" s="53" t="str">
        <f>('Gestión de abastecimiento'!A183)</f>
        <v>Beneficiaros 179</v>
      </c>
      <c r="CC182" s="27">
        <f>'Por Valoracion (3) Dimension 2'!B182</f>
        <v>28</v>
      </c>
      <c r="CD182" s="27">
        <f>'Por Valoracion (3) Dimension'!H182</f>
        <v>59</v>
      </c>
      <c r="CY182" s="37"/>
    </row>
    <row r="183" spans="1:103" x14ac:dyDescent="0.25">
      <c r="A183" s="36"/>
      <c r="C183" s="53" t="str">
        <f>('Gestión de abastecimiento'!A184)</f>
        <v>Beneficiaros 180</v>
      </c>
      <c r="D183" s="27">
        <f>'Por Valoracion (3) Dimension'!B183</f>
        <v>16</v>
      </c>
      <c r="E183" s="27">
        <f>'Por Valoracion (3) Dimension 2'!D183</f>
        <v>24</v>
      </c>
      <c r="Z183" s="36"/>
      <c r="AB183" s="53" t="str">
        <f>('Gestión de abastecimiento'!A184)</f>
        <v>Beneficiaros 180</v>
      </c>
      <c r="AC183" s="27">
        <f>'Por Valoracion (3) Dimension'!D183</f>
        <v>12</v>
      </c>
      <c r="AD183" s="27">
        <f>'Por Valoracion (3) Dimension 2'!D183</f>
        <v>24</v>
      </c>
      <c r="AY183" s="36"/>
      <c r="BA183" s="53" t="str">
        <f>('Gestión de abastecimiento'!A184)</f>
        <v>Beneficiaros 180</v>
      </c>
      <c r="BB183" s="27">
        <f>'Por Valoracion (3) Dimension'!F183</f>
        <v>15</v>
      </c>
      <c r="BC183" s="27">
        <f>'Por Valoracion (3) Dimension 2'!D183</f>
        <v>24</v>
      </c>
      <c r="BX183" s="36"/>
      <c r="BZ183" s="37"/>
      <c r="CB183" s="53" t="str">
        <f>('Gestión de abastecimiento'!A184)</f>
        <v>Beneficiaros 180</v>
      </c>
      <c r="CC183" s="27">
        <f>'Por Valoracion (3) Dimension 2'!B183</f>
        <v>24</v>
      </c>
      <c r="CD183" s="27">
        <f>'Por Valoracion (3) Dimension'!H183</f>
        <v>43</v>
      </c>
      <c r="CY183" s="37"/>
    </row>
    <row r="184" spans="1:103" x14ac:dyDescent="0.25">
      <c r="A184" s="36"/>
      <c r="C184" s="53" t="str">
        <f>('Gestión de abastecimiento'!A185)</f>
        <v>Beneficiaros 181</v>
      </c>
      <c r="D184" s="27">
        <f>'Por Valoracion (3) Dimension'!B184</f>
        <v>23</v>
      </c>
      <c r="E184" s="27">
        <f>'Por Valoracion (3) Dimension 2'!D184</f>
        <v>31</v>
      </c>
      <c r="Z184" s="36"/>
      <c r="AB184" s="53" t="str">
        <f>('Gestión de abastecimiento'!A185)</f>
        <v>Beneficiaros 181</v>
      </c>
      <c r="AC184" s="27">
        <f>'Por Valoracion (3) Dimension'!D184</f>
        <v>22</v>
      </c>
      <c r="AD184" s="27">
        <f>'Por Valoracion (3) Dimension 2'!D184</f>
        <v>31</v>
      </c>
      <c r="AY184" s="36"/>
      <c r="BA184" s="53" t="str">
        <f>('Gestión de abastecimiento'!A185)</f>
        <v>Beneficiaros 181</v>
      </c>
      <c r="BB184" s="27">
        <f>'Por Valoracion (3) Dimension'!F184</f>
        <v>21</v>
      </c>
      <c r="BC184" s="27">
        <f>'Por Valoracion (3) Dimension 2'!D184</f>
        <v>31</v>
      </c>
      <c r="BX184" s="36"/>
      <c r="BZ184" s="37"/>
      <c r="CB184" s="53" t="str">
        <f>('Gestión de abastecimiento'!A185)</f>
        <v>Beneficiaros 181</v>
      </c>
      <c r="CC184" s="27">
        <f>'Por Valoracion (3) Dimension 2'!B184</f>
        <v>31</v>
      </c>
      <c r="CD184" s="27">
        <f>'Por Valoracion (3) Dimension'!H184</f>
        <v>66</v>
      </c>
      <c r="CY184" s="37"/>
    </row>
    <row r="185" spans="1:103" x14ac:dyDescent="0.25">
      <c r="A185" s="36"/>
      <c r="C185" s="53" t="str">
        <f>('Gestión de abastecimiento'!A186)</f>
        <v>Beneficiaros 182</v>
      </c>
      <c r="D185" s="27">
        <f>'Por Valoracion (3) Dimension'!B185</f>
        <v>22</v>
      </c>
      <c r="E185" s="27">
        <f>'Por Valoracion (3) Dimension 2'!D185</f>
        <v>31</v>
      </c>
      <c r="Z185" s="36"/>
      <c r="AB185" s="53" t="str">
        <f>('Gestión de abastecimiento'!A186)</f>
        <v>Beneficiaros 182</v>
      </c>
      <c r="AC185" s="27">
        <f>'Por Valoracion (3) Dimension'!D185</f>
        <v>22</v>
      </c>
      <c r="AD185" s="27">
        <f>'Por Valoracion (3) Dimension 2'!D185</f>
        <v>31</v>
      </c>
      <c r="AY185" s="36"/>
      <c r="BA185" s="53" t="str">
        <f>('Gestión de abastecimiento'!A186)</f>
        <v>Beneficiaros 182</v>
      </c>
      <c r="BB185" s="27">
        <f>'Por Valoracion (3) Dimension'!F185</f>
        <v>23</v>
      </c>
      <c r="BC185" s="27">
        <f>'Por Valoracion (3) Dimension 2'!D185</f>
        <v>31</v>
      </c>
      <c r="BX185" s="36"/>
      <c r="BZ185" s="37"/>
      <c r="CB185" s="53" t="str">
        <f>('Gestión de abastecimiento'!A186)</f>
        <v>Beneficiaros 182</v>
      </c>
      <c r="CC185" s="27">
        <f>'Por Valoracion (3) Dimension 2'!B185</f>
        <v>31</v>
      </c>
      <c r="CD185" s="27">
        <f>'Por Valoracion (3) Dimension'!H185</f>
        <v>67</v>
      </c>
      <c r="CY185" s="37"/>
    </row>
    <row r="186" spans="1:103" x14ac:dyDescent="0.25">
      <c r="A186" s="36"/>
      <c r="C186" s="53" t="str">
        <f>('Gestión de abastecimiento'!A187)</f>
        <v>Beneficiaros 183</v>
      </c>
      <c r="D186" s="27">
        <f>'Por Valoracion (3) Dimension'!B186</f>
        <v>21</v>
      </c>
      <c r="E186" s="27">
        <f>'Por Valoracion (3) Dimension 2'!D186</f>
        <v>32</v>
      </c>
      <c r="Z186" s="36"/>
      <c r="AB186" s="53" t="str">
        <f>('Gestión de abastecimiento'!A187)</f>
        <v>Beneficiaros 183</v>
      </c>
      <c r="AC186" s="27">
        <f>'Por Valoracion (3) Dimension'!D186</f>
        <v>22</v>
      </c>
      <c r="AD186" s="27">
        <f>'Por Valoracion (3) Dimension 2'!D186</f>
        <v>32</v>
      </c>
      <c r="AY186" s="36"/>
      <c r="BA186" s="53" t="str">
        <f>('Gestión de abastecimiento'!A187)</f>
        <v>Beneficiaros 183</v>
      </c>
      <c r="BB186" s="27">
        <f>'Por Valoracion (3) Dimension'!F186</f>
        <v>19</v>
      </c>
      <c r="BC186" s="27">
        <f>'Por Valoracion (3) Dimension 2'!D186</f>
        <v>32</v>
      </c>
      <c r="BX186" s="36"/>
      <c r="BZ186" s="37"/>
      <c r="CB186" s="53" t="str">
        <f>('Gestión de abastecimiento'!A187)</f>
        <v>Beneficiaros 183</v>
      </c>
      <c r="CC186" s="27">
        <f>'Por Valoracion (3) Dimension 2'!B186</f>
        <v>32</v>
      </c>
      <c r="CD186" s="27">
        <f>'Por Valoracion (3) Dimension'!H186</f>
        <v>62</v>
      </c>
      <c r="CY186" s="37"/>
    </row>
    <row r="187" spans="1:103" x14ac:dyDescent="0.25">
      <c r="A187" s="36"/>
      <c r="C187" s="53" t="str">
        <f>('Gestión de abastecimiento'!A188)</f>
        <v>Beneficiaros 184</v>
      </c>
      <c r="D187" s="27">
        <f>'Por Valoracion (3) Dimension'!B187</f>
        <v>18</v>
      </c>
      <c r="E187" s="27">
        <f>'Por Valoracion (3) Dimension 2'!D187</f>
        <v>27</v>
      </c>
      <c r="Z187" s="36"/>
      <c r="AB187" s="53" t="str">
        <f>('Gestión de abastecimiento'!A188)</f>
        <v>Beneficiaros 184</v>
      </c>
      <c r="AC187" s="27">
        <f>'Por Valoracion (3) Dimension'!D187</f>
        <v>18</v>
      </c>
      <c r="AD187" s="27">
        <f>'Por Valoracion (3) Dimension 2'!D187</f>
        <v>27</v>
      </c>
      <c r="AY187" s="36"/>
      <c r="BA187" s="53" t="str">
        <f>('Gestión de abastecimiento'!A188)</f>
        <v>Beneficiaros 184</v>
      </c>
      <c r="BB187" s="27">
        <f>'Por Valoracion (3) Dimension'!F187</f>
        <v>20</v>
      </c>
      <c r="BC187" s="27">
        <f>'Por Valoracion (3) Dimension 2'!D187</f>
        <v>27</v>
      </c>
      <c r="BX187" s="36"/>
      <c r="BZ187" s="37"/>
      <c r="CB187" s="53" t="str">
        <f>('Gestión de abastecimiento'!A188)</f>
        <v>Beneficiaros 184</v>
      </c>
      <c r="CC187" s="27">
        <f>'Por Valoracion (3) Dimension 2'!B187</f>
        <v>27</v>
      </c>
      <c r="CD187" s="27">
        <f>'Por Valoracion (3) Dimension'!H187</f>
        <v>56</v>
      </c>
      <c r="CY187" s="37"/>
    </row>
    <row r="188" spans="1:103" x14ac:dyDescent="0.25">
      <c r="A188" s="36"/>
      <c r="C188" s="53" t="str">
        <f>('Gestión de abastecimiento'!A189)</f>
        <v>Beneficiaros 185</v>
      </c>
      <c r="D188" s="27">
        <f>'Por Valoracion (3) Dimension'!B188</f>
        <v>20</v>
      </c>
      <c r="E188" s="27">
        <f>'Por Valoracion (3) Dimension 2'!D188</f>
        <v>28</v>
      </c>
      <c r="Z188" s="36"/>
      <c r="AB188" s="53" t="str">
        <f>('Gestión de abastecimiento'!A189)</f>
        <v>Beneficiaros 185</v>
      </c>
      <c r="AC188" s="27">
        <f>'Por Valoracion (3) Dimension'!D188</f>
        <v>20</v>
      </c>
      <c r="AD188" s="27">
        <f>'Por Valoracion (3) Dimension 2'!D188</f>
        <v>28</v>
      </c>
      <c r="AY188" s="36"/>
      <c r="BA188" s="53" t="str">
        <f>('Gestión de abastecimiento'!A189)</f>
        <v>Beneficiaros 185</v>
      </c>
      <c r="BB188" s="27">
        <f>'Por Valoracion (3) Dimension'!F188</f>
        <v>18</v>
      </c>
      <c r="BC188" s="27">
        <f>'Por Valoracion (3) Dimension 2'!D188</f>
        <v>28</v>
      </c>
      <c r="BX188" s="36"/>
      <c r="BZ188" s="37"/>
      <c r="CB188" s="53" t="str">
        <f>('Gestión de abastecimiento'!A189)</f>
        <v>Beneficiaros 185</v>
      </c>
      <c r="CC188" s="27">
        <f>'Por Valoracion (3) Dimension 2'!B188</f>
        <v>28</v>
      </c>
      <c r="CD188" s="27">
        <f>'Por Valoracion (3) Dimension'!H188</f>
        <v>58</v>
      </c>
      <c r="CY188" s="37"/>
    </row>
    <row r="189" spans="1:103" x14ac:dyDescent="0.25">
      <c r="A189" s="36"/>
      <c r="C189" s="53" t="str">
        <f>('Gestión de abastecimiento'!A190)</f>
        <v>Beneficiaros 186</v>
      </c>
      <c r="D189" s="27">
        <f>'Por Valoracion (3) Dimension'!B189</f>
        <v>20</v>
      </c>
      <c r="E189" s="27">
        <f>'Por Valoracion (3) Dimension 2'!D189</f>
        <v>29</v>
      </c>
      <c r="Z189" s="36"/>
      <c r="AB189" s="53" t="str">
        <f>('Gestión de abastecimiento'!A190)</f>
        <v>Beneficiaros 186</v>
      </c>
      <c r="AC189" s="27">
        <f>'Por Valoracion (3) Dimension'!D189</f>
        <v>20</v>
      </c>
      <c r="AD189" s="27">
        <f>'Por Valoracion (3) Dimension 2'!D189</f>
        <v>29</v>
      </c>
      <c r="AY189" s="36"/>
      <c r="BA189" s="53" t="str">
        <f>('Gestión de abastecimiento'!A190)</f>
        <v>Beneficiaros 186</v>
      </c>
      <c r="BB189" s="27">
        <f>'Por Valoracion (3) Dimension'!F189</f>
        <v>19</v>
      </c>
      <c r="BC189" s="27">
        <f>'Por Valoracion (3) Dimension 2'!D189</f>
        <v>29</v>
      </c>
      <c r="BX189" s="36"/>
      <c r="BZ189" s="37"/>
      <c r="CB189" s="53" t="str">
        <f>('Gestión de abastecimiento'!A190)</f>
        <v>Beneficiaros 186</v>
      </c>
      <c r="CC189" s="27">
        <f>'Por Valoracion (3) Dimension 2'!B189</f>
        <v>29</v>
      </c>
      <c r="CD189" s="27">
        <f>'Por Valoracion (3) Dimension'!H189</f>
        <v>59</v>
      </c>
      <c r="CY189" s="37"/>
    </row>
    <row r="190" spans="1:103" x14ac:dyDescent="0.25">
      <c r="A190" s="36"/>
      <c r="C190" s="53" t="str">
        <f>('Gestión de abastecimiento'!A191)</f>
        <v>Beneficiaros 187</v>
      </c>
      <c r="D190" s="27">
        <f>'Por Valoracion (3) Dimension'!B190</f>
        <v>21</v>
      </c>
      <c r="E190" s="27">
        <f>'Por Valoracion (3) Dimension 2'!D190</f>
        <v>29</v>
      </c>
      <c r="Z190" s="36"/>
      <c r="AB190" s="53" t="str">
        <f>('Gestión de abastecimiento'!A191)</f>
        <v>Beneficiaros 187</v>
      </c>
      <c r="AC190" s="27">
        <f>'Por Valoracion (3) Dimension'!D190</f>
        <v>18</v>
      </c>
      <c r="AD190" s="27">
        <f>'Por Valoracion (3) Dimension 2'!D190</f>
        <v>29</v>
      </c>
      <c r="AY190" s="36"/>
      <c r="BA190" s="53" t="str">
        <f>('Gestión de abastecimiento'!A191)</f>
        <v>Beneficiaros 187</v>
      </c>
      <c r="BB190" s="27">
        <f>'Por Valoracion (3) Dimension'!F190</f>
        <v>19</v>
      </c>
      <c r="BC190" s="27">
        <f>'Por Valoracion (3) Dimension 2'!D190</f>
        <v>29</v>
      </c>
      <c r="BX190" s="36"/>
      <c r="BZ190" s="37"/>
      <c r="CB190" s="53" t="str">
        <f>('Gestión de abastecimiento'!A191)</f>
        <v>Beneficiaros 187</v>
      </c>
      <c r="CC190" s="27">
        <f>'Por Valoracion (3) Dimension 2'!B190</f>
        <v>29</v>
      </c>
      <c r="CD190" s="27">
        <f>'Por Valoracion (3) Dimension'!H190</f>
        <v>58</v>
      </c>
      <c r="CY190" s="37"/>
    </row>
    <row r="191" spans="1:103" x14ac:dyDescent="0.25">
      <c r="A191" s="36"/>
      <c r="C191" s="53" t="str">
        <f>('Gestión de abastecimiento'!A192)</f>
        <v>Beneficiaros 188</v>
      </c>
      <c r="D191" s="27">
        <f>'Por Valoracion (3) Dimension'!B191</f>
        <v>22</v>
      </c>
      <c r="E191" s="27">
        <f>'Por Valoracion (3) Dimension 2'!D191</f>
        <v>34</v>
      </c>
      <c r="Z191" s="36"/>
      <c r="AB191" s="53" t="str">
        <f>('Gestión de abastecimiento'!A192)</f>
        <v>Beneficiaros 188</v>
      </c>
      <c r="AC191" s="27">
        <f>'Por Valoracion (3) Dimension'!D191</f>
        <v>23</v>
      </c>
      <c r="AD191" s="27">
        <f>'Por Valoracion (3) Dimension 2'!D191</f>
        <v>34</v>
      </c>
      <c r="AY191" s="36"/>
      <c r="BA191" s="53" t="str">
        <f>('Gestión de abastecimiento'!A192)</f>
        <v>Beneficiaros 188</v>
      </c>
      <c r="BB191" s="27">
        <f>'Por Valoracion (3) Dimension'!F191</f>
        <v>23</v>
      </c>
      <c r="BC191" s="27">
        <f>'Por Valoracion (3) Dimension 2'!D191</f>
        <v>34</v>
      </c>
      <c r="BX191" s="36"/>
      <c r="BZ191" s="37"/>
      <c r="CB191" s="53" t="str">
        <f>('Gestión de abastecimiento'!A192)</f>
        <v>Beneficiaros 188</v>
      </c>
      <c r="CC191" s="27">
        <f>'Por Valoracion (3) Dimension 2'!B191</f>
        <v>34</v>
      </c>
      <c r="CD191" s="27">
        <f>'Por Valoracion (3) Dimension'!H191</f>
        <v>68</v>
      </c>
      <c r="CY191" s="37"/>
    </row>
    <row r="192" spans="1:103" x14ac:dyDescent="0.25">
      <c r="A192" s="36"/>
      <c r="C192" s="53" t="str">
        <f>('Gestión de abastecimiento'!A193)</f>
        <v>Beneficiaros 189</v>
      </c>
      <c r="D192" s="27">
        <f>'Por Valoracion (3) Dimension'!B192</f>
        <v>22</v>
      </c>
      <c r="E192" s="27">
        <f>'Por Valoracion (3) Dimension 2'!D192</f>
        <v>31</v>
      </c>
      <c r="Z192" s="36"/>
      <c r="AB192" s="53" t="str">
        <f>('Gestión de abastecimiento'!A193)</f>
        <v>Beneficiaros 189</v>
      </c>
      <c r="AC192" s="27">
        <f>'Por Valoracion (3) Dimension'!D192</f>
        <v>22</v>
      </c>
      <c r="AD192" s="27">
        <f>'Por Valoracion (3) Dimension 2'!D192</f>
        <v>31</v>
      </c>
      <c r="AY192" s="36"/>
      <c r="BA192" s="53" t="str">
        <f>('Gestión de abastecimiento'!A193)</f>
        <v>Beneficiaros 189</v>
      </c>
      <c r="BB192" s="27">
        <f>'Por Valoracion (3) Dimension'!F192</f>
        <v>20</v>
      </c>
      <c r="BC192" s="27">
        <f>'Por Valoracion (3) Dimension 2'!D192</f>
        <v>31</v>
      </c>
      <c r="BX192" s="36"/>
      <c r="BZ192" s="37"/>
      <c r="CB192" s="53" t="str">
        <f>('Gestión de abastecimiento'!A193)</f>
        <v>Beneficiaros 189</v>
      </c>
      <c r="CC192" s="27">
        <f>'Por Valoracion (3) Dimension 2'!B192</f>
        <v>31</v>
      </c>
      <c r="CD192" s="27">
        <f>'Por Valoracion (3) Dimension'!H192</f>
        <v>64</v>
      </c>
      <c r="CY192" s="37"/>
    </row>
    <row r="193" spans="1:103" x14ac:dyDescent="0.25">
      <c r="A193" s="36"/>
      <c r="C193" s="53" t="str">
        <f>('Gestión de abastecimiento'!A194)</f>
        <v>Beneficiaros 190</v>
      </c>
      <c r="D193" s="27">
        <f>'Por Valoracion (3) Dimension'!B193</f>
        <v>11</v>
      </c>
      <c r="E193" s="27">
        <f>'Por Valoracion (3) Dimension 2'!D193</f>
        <v>17</v>
      </c>
      <c r="Z193" s="36"/>
      <c r="AB193" s="53" t="str">
        <f>('Gestión de abastecimiento'!A194)</f>
        <v>Beneficiaros 190</v>
      </c>
      <c r="AC193" s="27">
        <f>'Por Valoracion (3) Dimension'!D193</f>
        <v>12</v>
      </c>
      <c r="AD193" s="27">
        <f>'Por Valoracion (3) Dimension 2'!D193</f>
        <v>17</v>
      </c>
      <c r="AY193" s="36"/>
      <c r="BA193" s="53" t="str">
        <f>('Gestión de abastecimiento'!A194)</f>
        <v>Beneficiaros 190</v>
      </c>
      <c r="BB193" s="27">
        <f>'Por Valoracion (3) Dimension'!F193</f>
        <v>11</v>
      </c>
      <c r="BC193" s="27">
        <f>'Por Valoracion (3) Dimension 2'!D193</f>
        <v>17</v>
      </c>
      <c r="BX193" s="36"/>
      <c r="BZ193" s="37"/>
      <c r="CB193" s="53" t="str">
        <f>('Gestión de abastecimiento'!A194)</f>
        <v>Beneficiaros 190</v>
      </c>
      <c r="CC193" s="27">
        <f>'Por Valoracion (3) Dimension 2'!B193</f>
        <v>17</v>
      </c>
      <c r="CD193" s="27">
        <f>'Por Valoracion (3) Dimension'!H193</f>
        <v>34</v>
      </c>
      <c r="CY193" s="37"/>
    </row>
    <row r="194" spans="1:103" x14ac:dyDescent="0.25">
      <c r="A194" s="36"/>
      <c r="C194" s="53" t="str">
        <f>('Gestión de abastecimiento'!A195)</f>
        <v>Beneficiaros 191</v>
      </c>
      <c r="D194" s="27">
        <f>'Por Valoracion (3) Dimension'!B194</f>
        <v>22</v>
      </c>
      <c r="E194" s="27">
        <f>'Por Valoracion (3) Dimension 2'!D194</f>
        <v>33</v>
      </c>
      <c r="Z194" s="36"/>
      <c r="AB194" s="53" t="str">
        <f>('Gestión de abastecimiento'!A195)</f>
        <v>Beneficiaros 191</v>
      </c>
      <c r="AC194" s="27">
        <f>'Por Valoracion (3) Dimension'!D194</f>
        <v>22</v>
      </c>
      <c r="AD194" s="27">
        <f>'Por Valoracion (3) Dimension 2'!D194</f>
        <v>33</v>
      </c>
      <c r="AY194" s="36"/>
      <c r="BA194" s="53" t="str">
        <f>('Gestión de abastecimiento'!A195)</f>
        <v>Beneficiaros 191</v>
      </c>
      <c r="BB194" s="27">
        <f>'Por Valoracion (3) Dimension'!F194</f>
        <v>21</v>
      </c>
      <c r="BC194" s="27">
        <f>'Por Valoracion (3) Dimension 2'!D194</f>
        <v>33</v>
      </c>
      <c r="BX194" s="36"/>
      <c r="BZ194" s="37"/>
      <c r="CB194" s="53" t="str">
        <f>('Gestión de abastecimiento'!A195)</f>
        <v>Beneficiaros 191</v>
      </c>
      <c r="CC194" s="27">
        <f>'Por Valoracion (3) Dimension 2'!B194</f>
        <v>33</v>
      </c>
      <c r="CD194" s="27">
        <f>'Por Valoracion (3) Dimension'!H194</f>
        <v>65</v>
      </c>
      <c r="CY194" s="37"/>
    </row>
    <row r="195" spans="1:103" x14ac:dyDescent="0.25">
      <c r="A195" s="36"/>
      <c r="C195" s="53" t="str">
        <f>('Gestión de abastecimiento'!A196)</f>
        <v>Beneficiaros 192</v>
      </c>
      <c r="D195" s="27">
        <f>'Por Valoracion (3) Dimension'!B195</f>
        <v>24</v>
      </c>
      <c r="E195" s="27">
        <f>'Por Valoracion (3) Dimension 2'!D195</f>
        <v>36</v>
      </c>
      <c r="Z195" s="36"/>
      <c r="AB195" s="53" t="str">
        <f>('Gestión de abastecimiento'!A196)</f>
        <v>Beneficiaros 192</v>
      </c>
      <c r="AC195" s="27">
        <f>'Por Valoracion (3) Dimension'!D195</f>
        <v>24</v>
      </c>
      <c r="AD195" s="27">
        <f>'Por Valoracion (3) Dimension 2'!D195</f>
        <v>36</v>
      </c>
      <c r="AY195" s="36"/>
      <c r="BA195" s="53" t="str">
        <f>('Gestión de abastecimiento'!A196)</f>
        <v>Beneficiaros 192</v>
      </c>
      <c r="BB195" s="27">
        <f>'Por Valoracion (3) Dimension'!F195</f>
        <v>25</v>
      </c>
      <c r="BC195" s="27">
        <f>'Por Valoracion (3) Dimension 2'!D195</f>
        <v>36</v>
      </c>
      <c r="BX195" s="36"/>
      <c r="BZ195" s="37"/>
      <c r="CB195" s="53" t="str">
        <f>('Gestión de abastecimiento'!A196)</f>
        <v>Beneficiaros 192</v>
      </c>
      <c r="CC195" s="27">
        <f>'Por Valoracion (3) Dimension 2'!B195</f>
        <v>36</v>
      </c>
      <c r="CD195" s="27">
        <f>'Por Valoracion (3) Dimension'!H195</f>
        <v>73</v>
      </c>
      <c r="CY195" s="37"/>
    </row>
    <row r="196" spans="1:103" x14ac:dyDescent="0.25">
      <c r="A196" s="36"/>
      <c r="C196" s="53" t="str">
        <f>('Gestión de abastecimiento'!A197)</f>
        <v>Beneficiaros 193</v>
      </c>
      <c r="D196" s="27">
        <f>'Por Valoracion (3) Dimension'!B196</f>
        <v>18</v>
      </c>
      <c r="E196" s="27">
        <f>'Por Valoracion (3) Dimension 2'!D196</f>
        <v>27</v>
      </c>
      <c r="Z196" s="36"/>
      <c r="AB196" s="53" t="str">
        <f>('Gestión de abastecimiento'!A197)</f>
        <v>Beneficiaros 193</v>
      </c>
      <c r="AC196" s="27">
        <f>'Por Valoracion (3) Dimension'!D196</f>
        <v>17</v>
      </c>
      <c r="AD196" s="27">
        <f>'Por Valoracion (3) Dimension 2'!D196</f>
        <v>27</v>
      </c>
      <c r="AY196" s="36"/>
      <c r="BA196" s="53" t="str">
        <f>('Gestión de abastecimiento'!A197)</f>
        <v>Beneficiaros 193</v>
      </c>
      <c r="BB196" s="27">
        <f>'Por Valoracion (3) Dimension'!F196</f>
        <v>17</v>
      </c>
      <c r="BC196" s="27">
        <f>'Por Valoracion (3) Dimension 2'!D196</f>
        <v>27</v>
      </c>
      <c r="BX196" s="36"/>
      <c r="BZ196" s="37"/>
      <c r="CB196" s="53" t="str">
        <f>('Gestión de abastecimiento'!A197)</f>
        <v>Beneficiaros 193</v>
      </c>
      <c r="CC196" s="27">
        <f>'Por Valoracion (3) Dimension 2'!B196</f>
        <v>27</v>
      </c>
      <c r="CD196" s="27">
        <f>'Por Valoracion (3) Dimension'!H196</f>
        <v>52</v>
      </c>
      <c r="CY196" s="37"/>
    </row>
    <row r="197" spans="1:103" x14ac:dyDescent="0.25">
      <c r="A197" s="36"/>
      <c r="C197" s="53" t="str">
        <f>('Gestión de abastecimiento'!A198)</f>
        <v>Beneficiaros 194</v>
      </c>
      <c r="D197" s="27">
        <f>'Por Valoracion (3) Dimension'!B197</f>
        <v>23</v>
      </c>
      <c r="E197" s="27">
        <f>'Por Valoracion (3) Dimension 2'!D197</f>
        <v>33</v>
      </c>
      <c r="Z197" s="36"/>
      <c r="AB197" s="53" t="str">
        <f>('Gestión de abastecimiento'!A198)</f>
        <v>Beneficiaros 194</v>
      </c>
      <c r="AC197" s="27">
        <f>'Por Valoracion (3) Dimension'!D197</f>
        <v>22</v>
      </c>
      <c r="AD197" s="27">
        <f>'Por Valoracion (3) Dimension 2'!D197</f>
        <v>33</v>
      </c>
      <c r="AY197" s="36"/>
      <c r="BA197" s="53" t="str">
        <f>('Gestión de abastecimiento'!A198)</f>
        <v>Beneficiaros 194</v>
      </c>
      <c r="BB197" s="27">
        <f>'Por Valoracion (3) Dimension'!F197</f>
        <v>22</v>
      </c>
      <c r="BC197" s="27">
        <f>'Por Valoracion (3) Dimension 2'!D197</f>
        <v>33</v>
      </c>
      <c r="BX197" s="36"/>
      <c r="BZ197" s="37"/>
      <c r="CB197" s="53" t="str">
        <f>('Gestión de abastecimiento'!A198)</f>
        <v>Beneficiaros 194</v>
      </c>
      <c r="CC197" s="27">
        <f>'Por Valoracion (3) Dimension 2'!B197</f>
        <v>33</v>
      </c>
      <c r="CD197" s="27">
        <f>'Por Valoracion (3) Dimension'!H197</f>
        <v>67</v>
      </c>
      <c r="CY197" s="37"/>
    </row>
    <row r="198" spans="1:103" x14ac:dyDescent="0.25">
      <c r="A198" s="36"/>
      <c r="C198" s="53" t="str">
        <f>('Gestión de abastecimiento'!A199)</f>
        <v>Beneficiaros 195</v>
      </c>
      <c r="D198" s="27">
        <f>'Por Valoracion (3) Dimension'!B198</f>
        <v>22</v>
      </c>
      <c r="E198" s="27">
        <f>'Por Valoracion (3) Dimension 2'!D198</f>
        <v>34</v>
      </c>
      <c r="Z198" s="36"/>
      <c r="AB198" s="53" t="str">
        <f>('Gestión de abastecimiento'!A199)</f>
        <v>Beneficiaros 195</v>
      </c>
      <c r="AC198" s="27">
        <f>'Por Valoracion (3) Dimension'!D198</f>
        <v>24</v>
      </c>
      <c r="AD198" s="27">
        <f>'Por Valoracion (3) Dimension 2'!D198</f>
        <v>34</v>
      </c>
      <c r="AY198" s="36"/>
      <c r="BA198" s="53" t="str">
        <f>('Gestión de abastecimiento'!A199)</f>
        <v>Beneficiaros 195</v>
      </c>
      <c r="BB198" s="27">
        <f>'Por Valoracion (3) Dimension'!F198</f>
        <v>21</v>
      </c>
      <c r="BC198" s="27">
        <f>'Por Valoracion (3) Dimension 2'!D198</f>
        <v>34</v>
      </c>
      <c r="BX198" s="36"/>
      <c r="BZ198" s="37"/>
      <c r="CB198" s="53" t="str">
        <f>('Gestión de abastecimiento'!A199)</f>
        <v>Beneficiaros 195</v>
      </c>
      <c r="CC198" s="27">
        <f>'Por Valoracion (3) Dimension 2'!B198</f>
        <v>34</v>
      </c>
      <c r="CD198" s="27">
        <f>'Por Valoracion (3) Dimension'!H198</f>
        <v>67</v>
      </c>
      <c r="CY198" s="37"/>
    </row>
    <row r="199" spans="1:103" x14ac:dyDescent="0.25">
      <c r="A199" s="36"/>
      <c r="C199" s="53" t="str">
        <f>('Gestión de abastecimiento'!A200)</f>
        <v>Beneficiaros 196</v>
      </c>
      <c r="D199" s="27">
        <f>'Por Valoracion (3) Dimension'!B199</f>
        <v>11</v>
      </c>
      <c r="E199" s="27">
        <f>'Por Valoracion (3) Dimension 2'!D199</f>
        <v>17</v>
      </c>
      <c r="Z199" s="36"/>
      <c r="AB199" s="53" t="str">
        <f>('Gestión de abastecimiento'!A200)</f>
        <v>Beneficiaros 196</v>
      </c>
      <c r="AC199" s="27">
        <f>'Por Valoracion (3) Dimension'!D199</f>
        <v>12</v>
      </c>
      <c r="AD199" s="27">
        <f>'Por Valoracion (3) Dimension 2'!D199</f>
        <v>17</v>
      </c>
      <c r="AY199" s="36"/>
      <c r="BA199" s="53" t="str">
        <f>('Gestión de abastecimiento'!A200)</f>
        <v>Beneficiaros 196</v>
      </c>
      <c r="BB199" s="27">
        <f>'Por Valoracion (3) Dimension'!F199</f>
        <v>10</v>
      </c>
      <c r="BC199" s="27">
        <f>'Por Valoracion (3) Dimension 2'!D199</f>
        <v>17</v>
      </c>
      <c r="BX199" s="36"/>
      <c r="BZ199" s="37"/>
      <c r="CB199" s="53" t="str">
        <f>('Gestión de abastecimiento'!A200)</f>
        <v>Beneficiaros 196</v>
      </c>
      <c r="CC199" s="27">
        <f>'Por Valoracion (3) Dimension 2'!B199</f>
        <v>17</v>
      </c>
      <c r="CD199" s="27">
        <f>'Por Valoracion (3) Dimension'!H199</f>
        <v>33</v>
      </c>
      <c r="CY199" s="37"/>
    </row>
    <row r="200" spans="1:103" x14ac:dyDescent="0.25">
      <c r="A200" s="36"/>
      <c r="C200" s="53" t="str">
        <f>('Gestión de abastecimiento'!A201)</f>
        <v>Beneficiaros 197</v>
      </c>
      <c r="D200" s="27">
        <f>'Por Valoracion (3) Dimension'!B200</f>
        <v>21</v>
      </c>
      <c r="E200" s="27">
        <f>'Por Valoracion (3) Dimension 2'!D200</f>
        <v>29</v>
      </c>
      <c r="Z200" s="36"/>
      <c r="AB200" s="53" t="str">
        <f>('Gestión de abastecimiento'!A201)</f>
        <v>Beneficiaros 197</v>
      </c>
      <c r="AC200" s="27">
        <f>'Por Valoracion (3) Dimension'!D200</f>
        <v>21</v>
      </c>
      <c r="AD200" s="27">
        <f>'Por Valoracion (3) Dimension 2'!D200</f>
        <v>29</v>
      </c>
      <c r="AY200" s="36"/>
      <c r="BA200" s="53" t="str">
        <f>('Gestión de abastecimiento'!A201)</f>
        <v>Beneficiaros 197</v>
      </c>
      <c r="BB200" s="27">
        <f>'Por Valoracion (3) Dimension'!F200</f>
        <v>20</v>
      </c>
      <c r="BC200" s="27">
        <f>'Por Valoracion (3) Dimension 2'!D200</f>
        <v>29</v>
      </c>
      <c r="BX200" s="36"/>
      <c r="BZ200" s="37"/>
      <c r="CB200" s="53" t="str">
        <f>('Gestión de abastecimiento'!A201)</f>
        <v>Beneficiaros 197</v>
      </c>
      <c r="CC200" s="27">
        <f>'Por Valoracion (3) Dimension 2'!B200</f>
        <v>29</v>
      </c>
      <c r="CD200" s="27">
        <f>'Por Valoracion (3) Dimension'!H200</f>
        <v>62</v>
      </c>
      <c r="CY200" s="37"/>
    </row>
    <row r="201" spans="1:103" x14ac:dyDescent="0.25">
      <c r="A201" s="36"/>
      <c r="C201" s="53" t="str">
        <f>('Gestión de abastecimiento'!A202)</f>
        <v>Beneficiaros 198</v>
      </c>
      <c r="D201" s="27">
        <f>'Por Valoracion (3) Dimension'!B201</f>
        <v>18</v>
      </c>
      <c r="E201" s="27">
        <f>'Por Valoracion (3) Dimension 2'!D201</f>
        <v>27</v>
      </c>
      <c r="Z201" s="36"/>
      <c r="AB201" s="53" t="str">
        <f>('Gestión de abastecimiento'!A202)</f>
        <v>Beneficiaros 198</v>
      </c>
      <c r="AC201" s="27">
        <f>'Por Valoracion (3) Dimension'!D201</f>
        <v>18</v>
      </c>
      <c r="AD201" s="27">
        <f>'Por Valoracion (3) Dimension 2'!D201</f>
        <v>27</v>
      </c>
      <c r="AY201" s="36"/>
      <c r="BA201" s="53" t="str">
        <f>('Gestión de abastecimiento'!A202)</f>
        <v>Beneficiaros 198</v>
      </c>
      <c r="BB201" s="27">
        <f>'Por Valoracion (3) Dimension'!F201</f>
        <v>17</v>
      </c>
      <c r="BC201" s="27">
        <f>'Por Valoracion (3) Dimension 2'!D201</f>
        <v>27</v>
      </c>
      <c r="BX201" s="36"/>
      <c r="BZ201" s="37"/>
      <c r="CB201" s="53" t="str">
        <f>('Gestión de abastecimiento'!A202)</f>
        <v>Beneficiaros 198</v>
      </c>
      <c r="CC201" s="27">
        <f>'Por Valoracion (3) Dimension 2'!B201</f>
        <v>27</v>
      </c>
      <c r="CD201" s="27">
        <f>'Por Valoracion (3) Dimension'!H201</f>
        <v>53</v>
      </c>
      <c r="CY201" s="37"/>
    </row>
    <row r="202" spans="1:103" x14ac:dyDescent="0.25">
      <c r="A202" s="36"/>
      <c r="C202" s="53" t="str">
        <f>('Gestión de abastecimiento'!A203)</f>
        <v>Beneficiaros 199</v>
      </c>
      <c r="D202" s="27">
        <f>'Por Valoracion (3) Dimension'!B202</f>
        <v>16</v>
      </c>
      <c r="E202" s="27">
        <f>'Por Valoracion (3) Dimension 2'!D202</f>
        <v>26</v>
      </c>
      <c r="Z202" s="36"/>
      <c r="AB202" s="53" t="str">
        <f>('Gestión de abastecimiento'!A203)</f>
        <v>Beneficiaros 199</v>
      </c>
      <c r="AC202" s="27">
        <f>'Por Valoracion (3) Dimension'!D202</f>
        <v>18</v>
      </c>
      <c r="AD202" s="27">
        <f>'Por Valoracion (3) Dimension 2'!D202</f>
        <v>26</v>
      </c>
      <c r="AY202" s="36"/>
      <c r="BA202" s="53" t="str">
        <f>('Gestión de abastecimiento'!A203)</f>
        <v>Beneficiaros 199</v>
      </c>
      <c r="BB202" s="27">
        <f>'Por Valoracion (3) Dimension'!F202</f>
        <v>15</v>
      </c>
      <c r="BC202" s="27">
        <f>'Por Valoracion (3) Dimension 2'!D202</f>
        <v>26</v>
      </c>
      <c r="BX202" s="36"/>
      <c r="BZ202" s="37"/>
      <c r="CB202" s="53" t="str">
        <f>('Gestión de abastecimiento'!A203)</f>
        <v>Beneficiaros 199</v>
      </c>
      <c r="CC202" s="27">
        <f>'Por Valoracion (3) Dimension 2'!B202</f>
        <v>26</v>
      </c>
      <c r="CD202" s="27">
        <f>'Por Valoracion (3) Dimension'!H202</f>
        <v>49</v>
      </c>
      <c r="CY202" s="37"/>
    </row>
    <row r="203" spans="1:103" x14ac:dyDescent="0.25">
      <c r="A203" s="36"/>
      <c r="C203" s="53" t="str">
        <f>('Gestión de abastecimiento'!A204)</f>
        <v>Beneficiaros 200</v>
      </c>
      <c r="D203" s="27">
        <f>'Por Valoracion (3) Dimension'!B203</f>
        <v>18</v>
      </c>
      <c r="E203" s="27">
        <f>'Por Valoracion (3) Dimension 2'!D203</f>
        <v>28</v>
      </c>
      <c r="Z203" s="36"/>
      <c r="AB203" s="53" t="str">
        <f>('Gestión de abastecimiento'!A204)</f>
        <v>Beneficiaros 200</v>
      </c>
      <c r="AC203" s="27">
        <f>'Por Valoracion (3) Dimension'!D203</f>
        <v>19</v>
      </c>
      <c r="AD203" s="27">
        <f>'Por Valoracion (3) Dimension 2'!D203</f>
        <v>28</v>
      </c>
      <c r="AY203" s="36"/>
      <c r="BA203" s="53" t="str">
        <f>('Gestión de abastecimiento'!A204)</f>
        <v>Beneficiaros 200</v>
      </c>
      <c r="BB203" s="27">
        <f>'Por Valoracion (3) Dimension'!F203</f>
        <v>19</v>
      </c>
      <c r="BC203" s="27">
        <f>'Por Valoracion (3) Dimension 2'!D203</f>
        <v>28</v>
      </c>
      <c r="BX203" s="36"/>
      <c r="BZ203" s="37"/>
      <c r="CB203" s="53" t="str">
        <f>('Gestión de abastecimiento'!A204)</f>
        <v>Beneficiaros 200</v>
      </c>
      <c r="CC203" s="27">
        <f>'Por Valoracion (3) Dimension 2'!B203</f>
        <v>28</v>
      </c>
      <c r="CD203" s="27">
        <f>'Por Valoracion (3) Dimension'!H203</f>
        <v>56</v>
      </c>
      <c r="CY203" s="37"/>
    </row>
    <row r="204" spans="1:103" x14ac:dyDescent="0.25">
      <c r="A204" s="36"/>
      <c r="C204" s="53" t="str">
        <f>('Gestión de abastecimiento'!A205)</f>
        <v>Beneficiaros 201</v>
      </c>
      <c r="D204" s="27">
        <f>'Por Valoracion (3) Dimension'!B204</f>
        <v>18</v>
      </c>
      <c r="E204" s="27">
        <f>'Por Valoracion (3) Dimension 2'!D204</f>
        <v>27</v>
      </c>
      <c r="Z204" s="36"/>
      <c r="AB204" s="53" t="str">
        <f>('Gestión de abastecimiento'!A205)</f>
        <v>Beneficiaros 201</v>
      </c>
      <c r="AC204" s="27">
        <f>'Por Valoracion (3) Dimension'!D204</f>
        <v>18</v>
      </c>
      <c r="AD204" s="27">
        <f>'Por Valoracion (3) Dimension 2'!D204</f>
        <v>27</v>
      </c>
      <c r="AY204" s="36"/>
      <c r="BA204" s="53" t="str">
        <f>('Gestión de abastecimiento'!A205)</f>
        <v>Beneficiaros 201</v>
      </c>
      <c r="BB204" s="27">
        <f>'Por Valoracion (3) Dimension'!F204</f>
        <v>18</v>
      </c>
      <c r="BC204" s="27">
        <f>'Por Valoracion (3) Dimension 2'!D204</f>
        <v>27</v>
      </c>
      <c r="BX204" s="36"/>
      <c r="BZ204" s="37"/>
      <c r="CB204" s="53" t="str">
        <f>('Gestión de abastecimiento'!A205)</f>
        <v>Beneficiaros 201</v>
      </c>
      <c r="CC204" s="27">
        <f>'Por Valoracion (3) Dimension 2'!B204</f>
        <v>27</v>
      </c>
      <c r="CD204" s="27">
        <f>'Por Valoracion (3) Dimension'!H204</f>
        <v>54</v>
      </c>
      <c r="CY204" s="37"/>
    </row>
    <row r="205" spans="1:103" x14ac:dyDescent="0.25">
      <c r="A205" s="36"/>
      <c r="C205" s="53" t="str">
        <f>('Gestión de abastecimiento'!A206)</f>
        <v>Beneficiaros 202</v>
      </c>
      <c r="D205" s="27">
        <f>'Por Valoracion (3) Dimension'!B205</f>
        <v>23</v>
      </c>
      <c r="E205" s="27">
        <f>'Por Valoracion (3) Dimension 2'!D205</f>
        <v>30</v>
      </c>
      <c r="Z205" s="36"/>
      <c r="AB205" s="53" t="str">
        <f>('Gestión de abastecimiento'!A206)</f>
        <v>Beneficiaros 202</v>
      </c>
      <c r="AC205" s="27">
        <f>'Por Valoracion (3) Dimension'!D205</f>
        <v>21</v>
      </c>
      <c r="AD205" s="27">
        <f>'Por Valoracion (3) Dimension 2'!D205</f>
        <v>30</v>
      </c>
      <c r="AY205" s="36"/>
      <c r="BA205" s="53" t="str">
        <f>('Gestión de abastecimiento'!A206)</f>
        <v>Beneficiaros 202</v>
      </c>
      <c r="BB205" s="27">
        <f>'Por Valoracion (3) Dimension'!F205</f>
        <v>20</v>
      </c>
      <c r="BC205" s="27">
        <f>'Por Valoracion (3) Dimension 2'!D205</f>
        <v>30</v>
      </c>
      <c r="BX205" s="36"/>
      <c r="BZ205" s="37"/>
      <c r="CB205" s="53" t="str">
        <f>('Gestión de abastecimiento'!A206)</f>
        <v>Beneficiaros 202</v>
      </c>
      <c r="CC205" s="27">
        <f>'Por Valoracion (3) Dimension 2'!B205</f>
        <v>30</v>
      </c>
      <c r="CD205" s="27">
        <f>'Por Valoracion (3) Dimension'!H205</f>
        <v>64</v>
      </c>
      <c r="CY205" s="37"/>
    </row>
    <row r="206" spans="1:103" x14ac:dyDescent="0.25">
      <c r="A206" s="36"/>
      <c r="C206" s="53" t="str">
        <f>('Gestión de abastecimiento'!A207)</f>
        <v>Beneficiaros 203</v>
      </c>
      <c r="D206" s="27">
        <f>'Por Valoracion (3) Dimension'!B206</f>
        <v>16</v>
      </c>
      <c r="E206" s="27">
        <f>'Por Valoracion (3) Dimension 2'!D206</f>
        <v>26</v>
      </c>
      <c r="Z206" s="36"/>
      <c r="AB206" s="53" t="str">
        <f>('Gestión de abastecimiento'!A207)</f>
        <v>Beneficiaros 203</v>
      </c>
      <c r="AC206" s="27">
        <f>'Por Valoracion (3) Dimension'!D206</f>
        <v>17</v>
      </c>
      <c r="AD206" s="27">
        <f>'Por Valoracion (3) Dimension 2'!D206</f>
        <v>26</v>
      </c>
      <c r="AY206" s="36"/>
      <c r="BA206" s="53" t="str">
        <f>('Gestión de abastecimiento'!A207)</f>
        <v>Beneficiaros 203</v>
      </c>
      <c r="BB206" s="27">
        <f>'Por Valoracion (3) Dimension'!F206</f>
        <v>17</v>
      </c>
      <c r="BC206" s="27">
        <f>'Por Valoracion (3) Dimension 2'!D206</f>
        <v>26</v>
      </c>
      <c r="BX206" s="36"/>
      <c r="BZ206" s="37"/>
      <c r="CB206" s="53" t="str">
        <f>('Gestión de abastecimiento'!A207)</f>
        <v>Beneficiaros 203</v>
      </c>
      <c r="CC206" s="27">
        <f>'Por Valoracion (3) Dimension 2'!B206</f>
        <v>26</v>
      </c>
      <c r="CD206" s="27">
        <f>'Por Valoracion (3) Dimension'!H206</f>
        <v>50</v>
      </c>
      <c r="CY206" s="37"/>
    </row>
    <row r="207" spans="1:103" x14ac:dyDescent="0.25">
      <c r="A207" s="36"/>
      <c r="C207" s="53" t="str">
        <f>('Gestión de abastecimiento'!A208)</f>
        <v>Beneficiaros 204</v>
      </c>
      <c r="D207" s="27">
        <f>'Por Valoracion (3) Dimension'!B207</f>
        <v>24</v>
      </c>
      <c r="E207" s="27">
        <f>'Por Valoracion (3) Dimension 2'!D207</f>
        <v>35</v>
      </c>
      <c r="Z207" s="36"/>
      <c r="AB207" s="53" t="str">
        <f>('Gestión de abastecimiento'!A208)</f>
        <v>Beneficiaros 204</v>
      </c>
      <c r="AC207" s="27">
        <f>'Por Valoracion (3) Dimension'!D207</f>
        <v>24</v>
      </c>
      <c r="AD207" s="27">
        <f>'Por Valoracion (3) Dimension 2'!D207</f>
        <v>35</v>
      </c>
      <c r="AY207" s="36"/>
      <c r="BA207" s="53" t="str">
        <f>('Gestión de abastecimiento'!A208)</f>
        <v>Beneficiaros 204</v>
      </c>
      <c r="BB207" s="27">
        <f>'Por Valoracion (3) Dimension'!F207</f>
        <v>23</v>
      </c>
      <c r="BC207" s="27">
        <f>'Por Valoracion (3) Dimension 2'!D207</f>
        <v>35</v>
      </c>
      <c r="BX207" s="36"/>
      <c r="BZ207" s="37"/>
      <c r="CB207" s="53" t="str">
        <f>('Gestión de abastecimiento'!A208)</f>
        <v>Beneficiaros 204</v>
      </c>
      <c r="CC207" s="27">
        <f>'Por Valoracion (3) Dimension 2'!B207</f>
        <v>35</v>
      </c>
      <c r="CD207" s="27">
        <f>'Por Valoracion (3) Dimension'!H207</f>
        <v>71</v>
      </c>
      <c r="CY207" s="37"/>
    </row>
    <row r="208" spans="1:103" x14ac:dyDescent="0.25">
      <c r="A208" s="36"/>
      <c r="C208" s="53" t="str">
        <f>('Gestión de abastecimiento'!A209)</f>
        <v>Beneficiaros 205</v>
      </c>
      <c r="D208" s="27">
        <f>'Por Valoracion (3) Dimension'!B208</f>
        <v>18</v>
      </c>
      <c r="E208" s="27">
        <f>'Por Valoracion (3) Dimension 2'!D208</f>
        <v>27</v>
      </c>
      <c r="Z208" s="36"/>
      <c r="AB208" s="53" t="str">
        <f>('Gestión de abastecimiento'!A209)</f>
        <v>Beneficiaros 205</v>
      </c>
      <c r="AC208" s="27">
        <f>'Por Valoracion (3) Dimension'!D208</f>
        <v>18</v>
      </c>
      <c r="AD208" s="27">
        <f>'Por Valoracion (3) Dimension 2'!D208</f>
        <v>27</v>
      </c>
      <c r="AY208" s="36"/>
      <c r="BA208" s="53" t="str">
        <f>('Gestión de abastecimiento'!A209)</f>
        <v>Beneficiaros 205</v>
      </c>
      <c r="BB208" s="27">
        <f>'Por Valoracion (3) Dimension'!F208</f>
        <v>17</v>
      </c>
      <c r="BC208" s="27">
        <f>'Por Valoracion (3) Dimension 2'!D208</f>
        <v>27</v>
      </c>
      <c r="BX208" s="36"/>
      <c r="BZ208" s="37"/>
      <c r="CB208" s="53" t="str">
        <f>('Gestión de abastecimiento'!A209)</f>
        <v>Beneficiaros 205</v>
      </c>
      <c r="CC208" s="27">
        <f>'Por Valoracion (3) Dimension 2'!B208</f>
        <v>27</v>
      </c>
      <c r="CD208" s="27">
        <f>'Por Valoracion (3) Dimension'!H208</f>
        <v>53</v>
      </c>
      <c r="CY208" s="37"/>
    </row>
    <row r="209" spans="1:103" x14ac:dyDescent="0.25">
      <c r="A209" s="36"/>
      <c r="C209" s="53" t="str">
        <f>('Gestión de abastecimiento'!A210)</f>
        <v>Beneficiaros 206</v>
      </c>
      <c r="D209" s="27">
        <f>'Por Valoracion (3) Dimension'!B209</f>
        <v>18</v>
      </c>
      <c r="E209" s="27">
        <f>'Por Valoracion (3) Dimension 2'!D209</f>
        <v>25</v>
      </c>
      <c r="Z209" s="36"/>
      <c r="AB209" s="53" t="str">
        <f>('Gestión de abastecimiento'!A210)</f>
        <v>Beneficiaros 206</v>
      </c>
      <c r="AC209" s="27">
        <f>'Por Valoracion (3) Dimension'!D209</f>
        <v>17</v>
      </c>
      <c r="AD209" s="27">
        <f>'Por Valoracion (3) Dimension 2'!D209</f>
        <v>25</v>
      </c>
      <c r="AY209" s="36"/>
      <c r="BA209" s="53" t="str">
        <f>('Gestión de abastecimiento'!A210)</f>
        <v>Beneficiaros 206</v>
      </c>
      <c r="BB209" s="27">
        <f>'Por Valoracion (3) Dimension'!F209</f>
        <v>17</v>
      </c>
      <c r="BC209" s="27">
        <f>'Por Valoracion (3) Dimension 2'!D209</f>
        <v>25</v>
      </c>
      <c r="BX209" s="36"/>
      <c r="BZ209" s="37"/>
      <c r="CB209" s="53" t="str">
        <f>('Gestión de abastecimiento'!A210)</f>
        <v>Beneficiaros 206</v>
      </c>
      <c r="CC209" s="27">
        <f>'Por Valoracion (3) Dimension 2'!B209</f>
        <v>25</v>
      </c>
      <c r="CD209" s="27">
        <f>'Por Valoracion (3) Dimension'!H209</f>
        <v>52</v>
      </c>
      <c r="CY209" s="37"/>
    </row>
    <row r="210" spans="1:103" x14ac:dyDescent="0.25">
      <c r="A210" s="36"/>
      <c r="C210" s="53" t="str">
        <f>('Gestión de abastecimiento'!A211)</f>
        <v>Beneficiaros 207</v>
      </c>
      <c r="D210" s="27">
        <f>'Por Valoracion (3) Dimension'!B210</f>
        <v>18</v>
      </c>
      <c r="E210" s="27">
        <f>'Por Valoracion (3) Dimension 2'!D210</f>
        <v>27</v>
      </c>
      <c r="Z210" s="36"/>
      <c r="AB210" s="53" t="str">
        <f>('Gestión de abastecimiento'!A211)</f>
        <v>Beneficiaros 207</v>
      </c>
      <c r="AC210" s="27">
        <f>'Por Valoracion (3) Dimension'!D210</f>
        <v>16</v>
      </c>
      <c r="AD210" s="27">
        <f>'Por Valoracion (3) Dimension 2'!D210</f>
        <v>27</v>
      </c>
      <c r="AY210" s="36"/>
      <c r="BA210" s="53" t="str">
        <f>('Gestión de abastecimiento'!A211)</f>
        <v>Beneficiaros 207</v>
      </c>
      <c r="BB210" s="27">
        <f>'Por Valoracion (3) Dimension'!F210</f>
        <v>16</v>
      </c>
      <c r="BC210" s="27">
        <f>'Por Valoracion (3) Dimension 2'!D210</f>
        <v>27</v>
      </c>
      <c r="BX210" s="36"/>
      <c r="BZ210" s="37"/>
      <c r="CB210" s="53" t="str">
        <f>('Gestión de abastecimiento'!A211)</f>
        <v>Beneficiaros 207</v>
      </c>
      <c r="CC210" s="27">
        <f>'Por Valoracion (3) Dimension 2'!B210</f>
        <v>27</v>
      </c>
      <c r="CD210" s="27">
        <f>'Por Valoracion (3) Dimension'!H210</f>
        <v>50</v>
      </c>
      <c r="CY210" s="37"/>
    </row>
    <row r="211" spans="1:103" x14ac:dyDescent="0.25">
      <c r="A211" s="36"/>
      <c r="C211" s="53" t="str">
        <f>('Gestión de abastecimiento'!A212)</f>
        <v>Beneficiaros 208</v>
      </c>
      <c r="D211" s="27">
        <f>'Por Valoracion (3) Dimension'!B211</f>
        <v>18</v>
      </c>
      <c r="E211" s="27">
        <f>'Por Valoracion (3) Dimension 2'!D211</f>
        <v>26</v>
      </c>
      <c r="Z211" s="36"/>
      <c r="AB211" s="53" t="str">
        <f>('Gestión de abastecimiento'!A212)</f>
        <v>Beneficiaros 208</v>
      </c>
      <c r="AC211" s="27">
        <f>'Por Valoracion (3) Dimension'!D211</f>
        <v>18</v>
      </c>
      <c r="AD211" s="27">
        <f>'Por Valoracion (3) Dimension 2'!D211</f>
        <v>26</v>
      </c>
      <c r="AY211" s="36"/>
      <c r="BA211" s="53" t="str">
        <f>('Gestión de abastecimiento'!A212)</f>
        <v>Beneficiaros 208</v>
      </c>
      <c r="BB211" s="27">
        <f>'Por Valoracion (3) Dimension'!F211</f>
        <v>18</v>
      </c>
      <c r="BC211" s="27">
        <f>'Por Valoracion (3) Dimension 2'!D211</f>
        <v>26</v>
      </c>
      <c r="BX211" s="36"/>
      <c r="BZ211" s="37"/>
      <c r="CB211" s="53" t="str">
        <f>('Gestión de abastecimiento'!A212)</f>
        <v>Beneficiaros 208</v>
      </c>
      <c r="CC211" s="27">
        <f>'Por Valoracion (3) Dimension 2'!B211</f>
        <v>26</v>
      </c>
      <c r="CD211" s="27">
        <f>'Por Valoracion (3) Dimension'!H211</f>
        <v>54</v>
      </c>
      <c r="CY211" s="37"/>
    </row>
    <row r="212" spans="1:103" x14ac:dyDescent="0.25">
      <c r="A212" s="36"/>
      <c r="C212" s="53" t="str">
        <f>('Gestión de abastecimiento'!A213)</f>
        <v>Beneficiaros 209</v>
      </c>
      <c r="D212" s="27">
        <f>'Por Valoracion (3) Dimension'!B212</f>
        <v>21</v>
      </c>
      <c r="E212" s="27">
        <f>'Por Valoracion (3) Dimension 2'!D212</f>
        <v>28</v>
      </c>
      <c r="Z212" s="36"/>
      <c r="AB212" s="53" t="str">
        <f>('Gestión de abastecimiento'!A213)</f>
        <v>Beneficiaros 209</v>
      </c>
      <c r="AC212" s="27">
        <f>'Por Valoracion (3) Dimension'!D212</f>
        <v>19</v>
      </c>
      <c r="AD212" s="27">
        <f>'Por Valoracion (3) Dimension 2'!D212</f>
        <v>28</v>
      </c>
      <c r="AY212" s="36"/>
      <c r="BA212" s="53" t="str">
        <f>('Gestión de abastecimiento'!A213)</f>
        <v>Beneficiaros 209</v>
      </c>
      <c r="BB212" s="27">
        <f>'Por Valoracion (3) Dimension'!F212</f>
        <v>19</v>
      </c>
      <c r="BC212" s="27">
        <f>'Por Valoracion (3) Dimension 2'!D212</f>
        <v>28</v>
      </c>
      <c r="BX212" s="36"/>
      <c r="BZ212" s="37"/>
      <c r="CB212" s="53" t="str">
        <f>('Gestión de abastecimiento'!A213)</f>
        <v>Beneficiaros 209</v>
      </c>
      <c r="CC212" s="27">
        <f>'Por Valoracion (3) Dimension 2'!B212</f>
        <v>28</v>
      </c>
      <c r="CD212" s="27">
        <f>'Por Valoracion (3) Dimension'!H212</f>
        <v>59</v>
      </c>
      <c r="CY212" s="37"/>
    </row>
    <row r="213" spans="1:103" x14ac:dyDescent="0.25">
      <c r="A213" s="36"/>
      <c r="C213" s="53" t="str">
        <f>('Gestión de abastecimiento'!A214)</f>
        <v>Beneficiaros 210</v>
      </c>
      <c r="D213" s="27">
        <f>'Por Valoracion (3) Dimension'!B213</f>
        <v>13</v>
      </c>
      <c r="E213" s="27">
        <f>'Por Valoracion (3) Dimension 2'!D213</f>
        <v>21</v>
      </c>
      <c r="Z213" s="36"/>
      <c r="AB213" s="53" t="str">
        <f>('Gestión de abastecimiento'!A214)</f>
        <v>Beneficiaros 210</v>
      </c>
      <c r="AC213" s="27">
        <f>'Por Valoracion (3) Dimension'!D213</f>
        <v>14</v>
      </c>
      <c r="AD213" s="27">
        <f>'Por Valoracion (3) Dimension 2'!D213</f>
        <v>21</v>
      </c>
      <c r="AY213" s="36"/>
      <c r="BA213" s="53" t="str">
        <f>('Gestión de abastecimiento'!A214)</f>
        <v>Beneficiaros 210</v>
      </c>
      <c r="BB213" s="27">
        <f>'Por Valoracion (3) Dimension'!F213</f>
        <v>14</v>
      </c>
      <c r="BC213" s="27">
        <f>'Por Valoracion (3) Dimension 2'!D213</f>
        <v>21</v>
      </c>
      <c r="BX213" s="36"/>
      <c r="BZ213" s="37"/>
      <c r="CB213" s="53" t="str">
        <f>('Gestión de abastecimiento'!A214)</f>
        <v>Beneficiaros 210</v>
      </c>
      <c r="CC213" s="27">
        <f>'Por Valoracion (3) Dimension 2'!B213</f>
        <v>21</v>
      </c>
      <c r="CD213" s="27">
        <f>'Por Valoracion (3) Dimension'!H213</f>
        <v>41</v>
      </c>
      <c r="CY213" s="37"/>
    </row>
    <row r="214" spans="1:103" x14ac:dyDescent="0.25">
      <c r="A214" s="36"/>
      <c r="C214" s="53" t="str">
        <f>('Gestión de abastecimiento'!A215)</f>
        <v>Beneficiaros 211</v>
      </c>
      <c r="D214" s="27">
        <f>'Por Valoracion (3) Dimension'!B214</f>
        <v>18</v>
      </c>
      <c r="E214" s="27">
        <f>'Por Valoracion (3) Dimension 2'!D214</f>
        <v>26</v>
      </c>
      <c r="Z214" s="36"/>
      <c r="AB214" s="53" t="str">
        <f>('Gestión de abastecimiento'!A215)</f>
        <v>Beneficiaros 211</v>
      </c>
      <c r="AC214" s="27">
        <f>'Por Valoracion (3) Dimension'!D214</f>
        <v>18</v>
      </c>
      <c r="AD214" s="27">
        <f>'Por Valoracion (3) Dimension 2'!D214</f>
        <v>26</v>
      </c>
      <c r="AY214" s="36"/>
      <c r="BA214" s="53" t="str">
        <f>('Gestión de abastecimiento'!A215)</f>
        <v>Beneficiaros 211</v>
      </c>
      <c r="BB214" s="27">
        <f>'Por Valoracion (3) Dimension'!F214</f>
        <v>17</v>
      </c>
      <c r="BC214" s="27">
        <f>'Por Valoracion (3) Dimension 2'!D214</f>
        <v>26</v>
      </c>
      <c r="BX214" s="36"/>
      <c r="BZ214" s="37"/>
      <c r="CB214" s="53" t="str">
        <f>('Gestión de abastecimiento'!A215)</f>
        <v>Beneficiaros 211</v>
      </c>
      <c r="CC214" s="27">
        <f>'Por Valoracion (3) Dimension 2'!B214</f>
        <v>26</v>
      </c>
      <c r="CD214" s="27">
        <f>'Por Valoracion (3) Dimension'!H214</f>
        <v>53</v>
      </c>
      <c r="CY214" s="37"/>
    </row>
    <row r="215" spans="1:103" x14ac:dyDescent="0.25">
      <c r="A215" s="36"/>
      <c r="C215" s="53" t="str">
        <f>('Gestión de abastecimiento'!A216)</f>
        <v>Beneficiaros 212</v>
      </c>
      <c r="D215" s="27">
        <f>'Por Valoracion (3) Dimension'!B215</f>
        <v>18</v>
      </c>
      <c r="E215" s="27">
        <f>'Por Valoracion (3) Dimension 2'!D215</f>
        <v>24</v>
      </c>
      <c r="Z215" s="36"/>
      <c r="AB215" s="53" t="str">
        <f>('Gestión de abastecimiento'!A216)</f>
        <v>Beneficiaros 212</v>
      </c>
      <c r="AC215" s="27">
        <f>'Por Valoracion (3) Dimension'!D215</f>
        <v>17</v>
      </c>
      <c r="AD215" s="27">
        <f>'Por Valoracion (3) Dimension 2'!D215</f>
        <v>24</v>
      </c>
      <c r="AY215" s="36"/>
      <c r="BA215" s="53" t="str">
        <f>('Gestión de abastecimiento'!A216)</f>
        <v>Beneficiaros 212</v>
      </c>
      <c r="BB215" s="27">
        <f>'Por Valoracion (3) Dimension'!F215</f>
        <v>18</v>
      </c>
      <c r="BC215" s="27">
        <f>'Por Valoracion (3) Dimension 2'!D215</f>
        <v>24</v>
      </c>
      <c r="BX215" s="36"/>
      <c r="BZ215" s="37"/>
      <c r="CB215" s="53" t="str">
        <f>('Gestión de abastecimiento'!A216)</f>
        <v>Beneficiaros 212</v>
      </c>
      <c r="CC215" s="27">
        <f>'Por Valoracion (3) Dimension 2'!B215</f>
        <v>24</v>
      </c>
      <c r="CD215" s="27">
        <f>'Por Valoracion (3) Dimension'!H215</f>
        <v>53</v>
      </c>
      <c r="CY215" s="37"/>
    </row>
    <row r="216" spans="1:103" x14ac:dyDescent="0.25">
      <c r="A216" s="36"/>
      <c r="C216" s="53" t="str">
        <f>('Gestión de abastecimiento'!A217)</f>
        <v>Beneficiaros 213</v>
      </c>
      <c r="D216" s="27">
        <f>'Por Valoracion (3) Dimension'!B216</f>
        <v>13</v>
      </c>
      <c r="E216" s="27">
        <f>'Por Valoracion (3) Dimension 2'!D216</f>
        <v>21</v>
      </c>
      <c r="Z216" s="36"/>
      <c r="AB216" s="53" t="str">
        <f>('Gestión de abastecimiento'!A217)</f>
        <v>Beneficiaros 213</v>
      </c>
      <c r="AC216" s="27">
        <f>'Por Valoracion (3) Dimension'!D216</f>
        <v>15</v>
      </c>
      <c r="AD216" s="27">
        <f>'Por Valoracion (3) Dimension 2'!D216</f>
        <v>21</v>
      </c>
      <c r="AY216" s="36"/>
      <c r="BA216" s="53" t="str">
        <f>('Gestión de abastecimiento'!A217)</f>
        <v>Beneficiaros 213</v>
      </c>
      <c r="BB216" s="27">
        <f>'Por Valoracion (3) Dimension'!F216</f>
        <v>14</v>
      </c>
      <c r="BC216" s="27">
        <f>'Por Valoracion (3) Dimension 2'!D216</f>
        <v>21</v>
      </c>
      <c r="BX216" s="36"/>
      <c r="BZ216" s="37"/>
      <c r="CB216" s="53" t="str">
        <f>('Gestión de abastecimiento'!A217)</f>
        <v>Beneficiaros 213</v>
      </c>
      <c r="CC216" s="27">
        <f>'Por Valoracion (3) Dimension 2'!B216</f>
        <v>21</v>
      </c>
      <c r="CD216" s="27">
        <f>'Por Valoracion (3) Dimension'!H216</f>
        <v>42</v>
      </c>
      <c r="CY216" s="37"/>
    </row>
    <row r="217" spans="1:103" x14ac:dyDescent="0.25">
      <c r="A217" s="36"/>
      <c r="C217" s="53" t="str">
        <f>('Gestión de abastecimiento'!A218)</f>
        <v>Beneficiaros 214</v>
      </c>
      <c r="D217" s="27">
        <f>'Por Valoracion (3) Dimension'!B217</f>
        <v>23</v>
      </c>
      <c r="E217" s="27">
        <f>'Por Valoracion (3) Dimension 2'!D217</f>
        <v>33</v>
      </c>
      <c r="Z217" s="36"/>
      <c r="AB217" s="53" t="str">
        <f>('Gestión de abastecimiento'!A218)</f>
        <v>Beneficiaros 214</v>
      </c>
      <c r="AC217" s="27">
        <f>'Por Valoracion (3) Dimension'!D217</f>
        <v>21</v>
      </c>
      <c r="AD217" s="27">
        <f>'Por Valoracion (3) Dimension 2'!D217</f>
        <v>33</v>
      </c>
      <c r="AY217" s="36"/>
      <c r="BA217" s="53" t="str">
        <f>('Gestión de abastecimiento'!A218)</f>
        <v>Beneficiaros 214</v>
      </c>
      <c r="BB217" s="27">
        <f>'Por Valoracion (3) Dimension'!F217</f>
        <v>22</v>
      </c>
      <c r="BC217" s="27">
        <f>'Por Valoracion (3) Dimension 2'!D217</f>
        <v>33</v>
      </c>
      <c r="BX217" s="36"/>
      <c r="BZ217" s="37"/>
      <c r="CB217" s="53" t="str">
        <f>('Gestión de abastecimiento'!A218)</f>
        <v>Beneficiaros 214</v>
      </c>
      <c r="CC217" s="27">
        <f>'Por Valoracion (3) Dimension 2'!B217</f>
        <v>33</v>
      </c>
      <c r="CD217" s="27">
        <f>'Por Valoracion (3) Dimension'!H217</f>
        <v>66</v>
      </c>
      <c r="CY217" s="37"/>
    </row>
    <row r="218" spans="1:103" x14ac:dyDescent="0.25">
      <c r="A218" s="36"/>
      <c r="C218" s="53" t="str">
        <f>('Gestión de abastecimiento'!A219)</f>
        <v>Beneficiaros 215</v>
      </c>
      <c r="D218" s="27">
        <f>'Por Valoracion (3) Dimension'!B218</f>
        <v>14</v>
      </c>
      <c r="E218" s="27">
        <f>'Por Valoracion (3) Dimension 2'!D218</f>
        <v>21</v>
      </c>
      <c r="Z218" s="36"/>
      <c r="AB218" s="53" t="str">
        <f>('Gestión de abastecimiento'!A219)</f>
        <v>Beneficiaros 215</v>
      </c>
      <c r="AC218" s="27">
        <f>'Por Valoracion (3) Dimension'!D218</f>
        <v>14</v>
      </c>
      <c r="AD218" s="27">
        <f>'Por Valoracion (3) Dimension 2'!D218</f>
        <v>21</v>
      </c>
      <c r="AY218" s="36"/>
      <c r="BA218" s="53" t="str">
        <f>('Gestión de abastecimiento'!A219)</f>
        <v>Beneficiaros 215</v>
      </c>
      <c r="BB218" s="27">
        <f>'Por Valoracion (3) Dimension'!F218</f>
        <v>13</v>
      </c>
      <c r="BC218" s="27">
        <f>'Por Valoracion (3) Dimension 2'!D218</f>
        <v>21</v>
      </c>
      <c r="BX218" s="36"/>
      <c r="BZ218" s="37"/>
      <c r="CB218" s="53" t="str">
        <f>('Gestión de abastecimiento'!A219)</f>
        <v>Beneficiaros 215</v>
      </c>
      <c r="CC218" s="27">
        <f>'Por Valoracion (3) Dimension 2'!B218</f>
        <v>21</v>
      </c>
      <c r="CD218" s="27">
        <f>'Por Valoracion (3) Dimension'!H218</f>
        <v>41</v>
      </c>
      <c r="CY218" s="37"/>
    </row>
    <row r="219" spans="1:103" x14ac:dyDescent="0.25">
      <c r="A219" s="36"/>
      <c r="C219" s="53" t="str">
        <f>('Gestión de abastecimiento'!A220)</f>
        <v>Beneficiaros 216</v>
      </c>
      <c r="D219" s="27">
        <f>'Por Valoracion (3) Dimension'!B219</f>
        <v>18</v>
      </c>
      <c r="E219" s="27">
        <f>'Por Valoracion (3) Dimension 2'!D219</f>
        <v>28</v>
      </c>
      <c r="Z219" s="36"/>
      <c r="AB219" s="53" t="str">
        <f>('Gestión de abastecimiento'!A220)</f>
        <v>Beneficiaros 216</v>
      </c>
      <c r="AC219" s="27">
        <f>'Por Valoracion (3) Dimension'!D219</f>
        <v>18</v>
      </c>
      <c r="AD219" s="27">
        <f>'Por Valoracion (3) Dimension 2'!D219</f>
        <v>28</v>
      </c>
      <c r="AY219" s="36"/>
      <c r="BA219" s="53" t="str">
        <f>('Gestión de abastecimiento'!A220)</f>
        <v>Beneficiaros 216</v>
      </c>
      <c r="BB219" s="27">
        <f>'Por Valoracion (3) Dimension'!F219</f>
        <v>18</v>
      </c>
      <c r="BC219" s="27">
        <f>'Por Valoracion (3) Dimension 2'!D219</f>
        <v>28</v>
      </c>
      <c r="BX219" s="36"/>
      <c r="BZ219" s="37"/>
      <c r="CB219" s="53" t="str">
        <f>('Gestión de abastecimiento'!A220)</f>
        <v>Beneficiaros 216</v>
      </c>
      <c r="CC219" s="27">
        <f>'Por Valoracion (3) Dimension 2'!B219</f>
        <v>28</v>
      </c>
      <c r="CD219" s="27">
        <f>'Por Valoracion (3) Dimension'!H219</f>
        <v>54</v>
      </c>
      <c r="CY219" s="37"/>
    </row>
    <row r="220" spans="1:103" x14ac:dyDescent="0.25">
      <c r="A220" s="36"/>
      <c r="C220" s="53" t="str">
        <f>('Gestión de abastecimiento'!A221)</f>
        <v>Beneficiaros 217</v>
      </c>
      <c r="D220" s="27">
        <f>'Por Valoracion (3) Dimension'!B220</f>
        <v>12</v>
      </c>
      <c r="E220" s="27">
        <f>'Por Valoracion (3) Dimension 2'!D220</f>
        <v>21</v>
      </c>
      <c r="Z220" s="36"/>
      <c r="AB220" s="53" t="str">
        <f>('Gestión de abastecimiento'!A221)</f>
        <v>Beneficiaros 217</v>
      </c>
      <c r="AC220" s="27">
        <f>'Por Valoracion (3) Dimension'!D220</f>
        <v>13</v>
      </c>
      <c r="AD220" s="27">
        <f>'Por Valoracion (3) Dimension 2'!D220</f>
        <v>21</v>
      </c>
      <c r="AY220" s="36"/>
      <c r="BA220" s="53" t="str">
        <f>('Gestión de abastecimiento'!A221)</f>
        <v>Beneficiaros 217</v>
      </c>
      <c r="BB220" s="27">
        <f>'Por Valoracion (3) Dimension'!F220</f>
        <v>12</v>
      </c>
      <c r="BC220" s="27">
        <f>'Por Valoracion (3) Dimension 2'!D220</f>
        <v>21</v>
      </c>
      <c r="BX220" s="36"/>
      <c r="BZ220" s="37"/>
      <c r="CB220" s="53" t="str">
        <f>('Gestión de abastecimiento'!A221)</f>
        <v>Beneficiaros 217</v>
      </c>
      <c r="CC220" s="27">
        <f>'Por Valoracion (3) Dimension 2'!B220</f>
        <v>21</v>
      </c>
      <c r="CD220" s="27">
        <f>'Por Valoracion (3) Dimension'!H220</f>
        <v>37</v>
      </c>
      <c r="CY220" s="37"/>
    </row>
    <row r="221" spans="1:103" x14ac:dyDescent="0.25">
      <c r="A221" s="36"/>
      <c r="C221" s="53" t="str">
        <f>('Gestión de abastecimiento'!A222)</f>
        <v>Beneficiaros 218</v>
      </c>
      <c r="D221" s="27">
        <f>'Por Valoracion (3) Dimension'!B221</f>
        <v>18</v>
      </c>
      <c r="E221" s="27">
        <f>'Por Valoracion (3) Dimension 2'!D221</f>
        <v>27</v>
      </c>
      <c r="Z221" s="36"/>
      <c r="AB221" s="53" t="str">
        <f>('Gestión de abastecimiento'!A222)</f>
        <v>Beneficiaros 218</v>
      </c>
      <c r="AC221" s="27">
        <f>'Por Valoracion (3) Dimension'!D221</f>
        <v>18</v>
      </c>
      <c r="AD221" s="27">
        <f>'Por Valoracion (3) Dimension 2'!D221</f>
        <v>27</v>
      </c>
      <c r="AY221" s="36"/>
      <c r="BA221" s="53" t="str">
        <f>('Gestión de abastecimiento'!A222)</f>
        <v>Beneficiaros 218</v>
      </c>
      <c r="BB221" s="27">
        <f>'Por Valoracion (3) Dimension'!F221</f>
        <v>19</v>
      </c>
      <c r="BC221" s="27">
        <f>'Por Valoracion (3) Dimension 2'!D221</f>
        <v>27</v>
      </c>
      <c r="BX221" s="36"/>
      <c r="BZ221" s="37"/>
      <c r="CB221" s="53" t="str">
        <f>('Gestión de abastecimiento'!A222)</f>
        <v>Beneficiaros 218</v>
      </c>
      <c r="CC221" s="27">
        <f>'Por Valoracion (3) Dimension 2'!B221</f>
        <v>27</v>
      </c>
      <c r="CD221" s="27">
        <f>'Por Valoracion (3) Dimension'!H221</f>
        <v>55</v>
      </c>
      <c r="CY221" s="37"/>
    </row>
    <row r="222" spans="1:103" x14ac:dyDescent="0.25">
      <c r="A222" s="36"/>
      <c r="C222" s="53" t="str">
        <f>('Gestión de abastecimiento'!A223)</f>
        <v>Beneficiaros 219</v>
      </c>
      <c r="D222" s="27">
        <f>'Por Valoracion (3) Dimension'!B222</f>
        <v>19</v>
      </c>
      <c r="E222" s="27">
        <f>'Por Valoracion (3) Dimension 2'!D222</f>
        <v>27</v>
      </c>
      <c r="Z222" s="36"/>
      <c r="AB222" s="53" t="str">
        <f>('Gestión de abastecimiento'!A223)</f>
        <v>Beneficiaros 219</v>
      </c>
      <c r="AC222" s="27">
        <f>'Por Valoracion (3) Dimension'!D222</f>
        <v>18</v>
      </c>
      <c r="AD222" s="27">
        <f>'Por Valoracion (3) Dimension 2'!D222</f>
        <v>27</v>
      </c>
      <c r="AY222" s="36"/>
      <c r="BA222" s="53" t="str">
        <f>('Gestión de abastecimiento'!A223)</f>
        <v>Beneficiaros 219</v>
      </c>
      <c r="BB222" s="27">
        <f>'Por Valoracion (3) Dimension'!F222</f>
        <v>18</v>
      </c>
      <c r="BC222" s="27">
        <f>'Por Valoracion (3) Dimension 2'!D222</f>
        <v>27</v>
      </c>
      <c r="BX222" s="36"/>
      <c r="BZ222" s="37"/>
      <c r="CB222" s="53" t="str">
        <f>('Gestión de abastecimiento'!A223)</f>
        <v>Beneficiaros 219</v>
      </c>
      <c r="CC222" s="27">
        <f>'Por Valoracion (3) Dimension 2'!B222</f>
        <v>27</v>
      </c>
      <c r="CD222" s="27">
        <f>'Por Valoracion (3) Dimension'!H222</f>
        <v>55</v>
      </c>
      <c r="CY222" s="37"/>
    </row>
    <row r="223" spans="1:103" x14ac:dyDescent="0.25">
      <c r="A223" s="36"/>
      <c r="C223" s="53" t="str">
        <f>('Gestión de abastecimiento'!A224)</f>
        <v>Beneficiaros 220</v>
      </c>
      <c r="D223" s="27">
        <f>'Por Valoracion (3) Dimension'!B223</f>
        <v>18</v>
      </c>
      <c r="E223" s="27">
        <f>'Por Valoracion (3) Dimension 2'!D223</f>
        <v>25</v>
      </c>
      <c r="Z223" s="36"/>
      <c r="AB223" s="53" t="str">
        <f>('Gestión de abastecimiento'!A224)</f>
        <v>Beneficiaros 220</v>
      </c>
      <c r="AC223" s="27">
        <f>'Por Valoracion (3) Dimension'!D223</f>
        <v>17</v>
      </c>
      <c r="AD223" s="27">
        <f>'Por Valoracion (3) Dimension 2'!D223</f>
        <v>25</v>
      </c>
      <c r="AY223" s="36"/>
      <c r="BA223" s="53" t="str">
        <f>('Gestión de abastecimiento'!A224)</f>
        <v>Beneficiaros 220</v>
      </c>
      <c r="BB223" s="27">
        <f>'Por Valoracion (3) Dimension'!F223</f>
        <v>18</v>
      </c>
      <c r="BC223" s="27">
        <f>'Por Valoracion (3) Dimension 2'!D223</f>
        <v>25</v>
      </c>
      <c r="BX223" s="36"/>
      <c r="BZ223" s="37"/>
      <c r="CB223" s="53" t="str">
        <f>('Gestión de abastecimiento'!A224)</f>
        <v>Beneficiaros 220</v>
      </c>
      <c r="CC223" s="27">
        <f>'Por Valoracion (3) Dimension 2'!B223</f>
        <v>25</v>
      </c>
      <c r="CD223" s="27">
        <f>'Por Valoracion (3) Dimension'!H223</f>
        <v>53</v>
      </c>
      <c r="CY223" s="37"/>
    </row>
    <row r="224" spans="1:103" x14ac:dyDescent="0.25">
      <c r="A224" s="36"/>
      <c r="C224" s="53" t="str">
        <f>('Gestión de abastecimiento'!A225)</f>
        <v>Beneficiaros 221</v>
      </c>
      <c r="D224" s="27">
        <f>'Por Valoracion (3) Dimension'!B224</f>
        <v>15</v>
      </c>
      <c r="E224" s="27">
        <f>'Por Valoracion (3) Dimension 2'!D224</f>
        <v>18</v>
      </c>
      <c r="Z224" s="36"/>
      <c r="AB224" s="53" t="str">
        <f>('Gestión de abastecimiento'!A225)</f>
        <v>Beneficiaros 221</v>
      </c>
      <c r="AC224" s="27">
        <f>'Por Valoracion (3) Dimension'!D224</f>
        <v>13</v>
      </c>
      <c r="AD224" s="27">
        <f>'Por Valoracion (3) Dimension 2'!D224</f>
        <v>18</v>
      </c>
      <c r="AY224" s="36"/>
      <c r="BA224" s="53" t="str">
        <f>('Gestión de abastecimiento'!A225)</f>
        <v>Beneficiaros 221</v>
      </c>
      <c r="BB224" s="27">
        <f>'Por Valoracion (3) Dimension'!F224</f>
        <v>12</v>
      </c>
      <c r="BC224" s="27">
        <f>'Por Valoracion (3) Dimension 2'!D224</f>
        <v>18</v>
      </c>
      <c r="BX224" s="36"/>
      <c r="BZ224" s="37"/>
      <c r="CB224" s="53" t="str">
        <f>('Gestión de abastecimiento'!A225)</f>
        <v>Beneficiaros 221</v>
      </c>
      <c r="CC224" s="27">
        <f>'Por Valoracion (3) Dimension 2'!B224</f>
        <v>18</v>
      </c>
      <c r="CD224" s="27">
        <f>'Por Valoracion (3) Dimension'!H224</f>
        <v>40</v>
      </c>
      <c r="CY224" s="37"/>
    </row>
    <row r="225" spans="1:103" x14ac:dyDescent="0.25">
      <c r="A225" s="36"/>
      <c r="C225" s="53" t="str">
        <f>('Gestión de abastecimiento'!A226)</f>
        <v>Beneficiaros 222</v>
      </c>
      <c r="D225" s="27">
        <f>'Por Valoracion (3) Dimension'!B225</f>
        <v>18</v>
      </c>
      <c r="E225" s="27">
        <f>'Por Valoracion (3) Dimension 2'!D225</f>
        <v>26</v>
      </c>
      <c r="Z225" s="36"/>
      <c r="AB225" s="53" t="str">
        <f>('Gestión de abastecimiento'!A226)</f>
        <v>Beneficiaros 222</v>
      </c>
      <c r="AC225" s="27">
        <f>'Por Valoracion (3) Dimension'!D225</f>
        <v>17</v>
      </c>
      <c r="AD225" s="27">
        <f>'Por Valoracion (3) Dimension 2'!D225</f>
        <v>26</v>
      </c>
      <c r="AY225" s="36"/>
      <c r="BA225" s="53" t="str">
        <f>('Gestión de abastecimiento'!A226)</f>
        <v>Beneficiaros 222</v>
      </c>
      <c r="BB225" s="27">
        <f>'Por Valoracion (3) Dimension'!F225</f>
        <v>18</v>
      </c>
      <c r="BC225" s="27">
        <f>'Por Valoracion (3) Dimension 2'!D225</f>
        <v>26</v>
      </c>
      <c r="BX225" s="36"/>
      <c r="BZ225" s="37"/>
      <c r="CB225" s="53" t="str">
        <f>('Gestión de abastecimiento'!A226)</f>
        <v>Beneficiaros 222</v>
      </c>
      <c r="CC225" s="27">
        <f>'Por Valoracion (3) Dimension 2'!B225</f>
        <v>26</v>
      </c>
      <c r="CD225" s="27">
        <f>'Por Valoracion (3) Dimension'!H225</f>
        <v>53</v>
      </c>
      <c r="CY225" s="37"/>
    </row>
    <row r="226" spans="1:103" x14ac:dyDescent="0.25">
      <c r="A226" s="36"/>
      <c r="C226" s="53" t="str">
        <f>('Gestión de abastecimiento'!A227)</f>
        <v>Beneficiaros 223</v>
      </c>
      <c r="D226" s="27">
        <f>'Por Valoracion (3) Dimension'!B226</f>
        <v>18</v>
      </c>
      <c r="E226" s="27">
        <f>'Por Valoracion (3) Dimension 2'!D226</f>
        <v>30</v>
      </c>
      <c r="Z226" s="36"/>
      <c r="AB226" s="53" t="str">
        <f>('Gestión de abastecimiento'!A227)</f>
        <v>Beneficiaros 223</v>
      </c>
      <c r="AC226" s="27">
        <f>'Por Valoracion (3) Dimension'!D226</f>
        <v>22</v>
      </c>
      <c r="AD226" s="27">
        <f>'Por Valoracion (3) Dimension 2'!D226</f>
        <v>30</v>
      </c>
      <c r="AY226" s="36"/>
      <c r="BA226" s="53" t="str">
        <f>('Gestión de abastecimiento'!A227)</f>
        <v>Beneficiaros 223</v>
      </c>
      <c r="BB226" s="27">
        <f>'Por Valoracion (3) Dimension'!F226</f>
        <v>20</v>
      </c>
      <c r="BC226" s="27">
        <f>'Por Valoracion (3) Dimension 2'!D226</f>
        <v>30</v>
      </c>
      <c r="BX226" s="36"/>
      <c r="BZ226" s="37"/>
      <c r="CB226" s="53" t="str">
        <f>('Gestión de abastecimiento'!A227)</f>
        <v>Beneficiaros 223</v>
      </c>
      <c r="CC226" s="27">
        <f>'Por Valoracion (3) Dimension 2'!B226</f>
        <v>30</v>
      </c>
      <c r="CD226" s="27">
        <f>'Por Valoracion (3) Dimension'!H226</f>
        <v>60</v>
      </c>
      <c r="CY226" s="37"/>
    </row>
    <row r="227" spans="1:103" x14ac:dyDescent="0.25">
      <c r="A227" s="36"/>
      <c r="C227" s="53" t="str">
        <f>('Gestión de abastecimiento'!A228)</f>
        <v>Beneficiaros 224</v>
      </c>
      <c r="D227" s="27">
        <f>'Por Valoracion (3) Dimension'!B227</f>
        <v>25</v>
      </c>
      <c r="E227" s="27">
        <f>'Por Valoracion (3) Dimension 2'!D227</f>
        <v>37</v>
      </c>
      <c r="Z227" s="36"/>
      <c r="AB227" s="53" t="str">
        <f>('Gestión de abastecimiento'!A228)</f>
        <v>Beneficiaros 224</v>
      </c>
      <c r="AC227" s="27">
        <f>'Por Valoracion (3) Dimension'!D227</f>
        <v>25</v>
      </c>
      <c r="AD227" s="27">
        <f>'Por Valoracion (3) Dimension 2'!D227</f>
        <v>37</v>
      </c>
      <c r="AY227" s="36"/>
      <c r="BA227" s="53" t="str">
        <f>('Gestión de abastecimiento'!A228)</f>
        <v>Beneficiaros 224</v>
      </c>
      <c r="BB227" s="27">
        <f>'Por Valoracion (3) Dimension'!F227</f>
        <v>24</v>
      </c>
      <c r="BC227" s="27">
        <f>'Por Valoracion (3) Dimension 2'!D227</f>
        <v>37</v>
      </c>
      <c r="BX227" s="36"/>
      <c r="BZ227" s="37"/>
      <c r="CB227" s="53" t="str">
        <f>('Gestión de abastecimiento'!A228)</f>
        <v>Beneficiaros 224</v>
      </c>
      <c r="CC227" s="27">
        <f>'Por Valoracion (3) Dimension 2'!B227</f>
        <v>37</v>
      </c>
      <c r="CD227" s="27">
        <f>'Por Valoracion (3) Dimension'!H227</f>
        <v>74</v>
      </c>
      <c r="CY227" s="37"/>
    </row>
    <row r="228" spans="1:103" x14ac:dyDescent="0.25">
      <c r="A228" s="36"/>
      <c r="C228" s="53" t="str">
        <f>('Gestión de abastecimiento'!A229)</f>
        <v>Beneficiaros 225</v>
      </c>
      <c r="D228" s="27">
        <f>'Por Valoracion (3) Dimension'!B228</f>
        <v>20</v>
      </c>
      <c r="E228" s="27">
        <f>'Por Valoracion (3) Dimension 2'!D228</f>
        <v>32</v>
      </c>
      <c r="Z228" s="36"/>
      <c r="AB228" s="53" t="str">
        <f>('Gestión de abastecimiento'!A229)</f>
        <v>Beneficiaros 225</v>
      </c>
      <c r="AC228" s="27">
        <f>'Por Valoracion (3) Dimension'!D228</f>
        <v>22</v>
      </c>
      <c r="AD228" s="27">
        <f>'Por Valoracion (3) Dimension 2'!D228</f>
        <v>32</v>
      </c>
      <c r="AY228" s="36"/>
      <c r="BA228" s="53" t="str">
        <f>('Gestión de abastecimiento'!A229)</f>
        <v>Beneficiaros 225</v>
      </c>
      <c r="BB228" s="27">
        <f>'Por Valoracion (3) Dimension'!F228</f>
        <v>18</v>
      </c>
      <c r="BC228" s="27">
        <f>'Por Valoracion (3) Dimension 2'!D228</f>
        <v>32</v>
      </c>
      <c r="BX228" s="36"/>
      <c r="BZ228" s="37"/>
      <c r="CB228" s="53" t="str">
        <f>('Gestión de abastecimiento'!A229)</f>
        <v>Beneficiaros 225</v>
      </c>
      <c r="CC228" s="27">
        <f>'Por Valoracion (3) Dimension 2'!B228</f>
        <v>32</v>
      </c>
      <c r="CD228" s="27">
        <f>'Por Valoracion (3) Dimension'!H228</f>
        <v>60</v>
      </c>
      <c r="CY228" s="37"/>
    </row>
    <row r="229" spans="1:103" x14ac:dyDescent="0.25">
      <c r="A229" s="36"/>
      <c r="C229" s="53" t="str">
        <f>('Gestión de abastecimiento'!A230)</f>
        <v>Beneficiaros 226</v>
      </c>
      <c r="D229" s="27">
        <f>'Por Valoracion (3) Dimension'!B229</f>
        <v>18</v>
      </c>
      <c r="E229" s="27">
        <f>'Por Valoracion (3) Dimension 2'!D229</f>
        <v>28</v>
      </c>
      <c r="Z229" s="36"/>
      <c r="AB229" s="53" t="str">
        <f>('Gestión de abastecimiento'!A230)</f>
        <v>Beneficiaros 226</v>
      </c>
      <c r="AC229" s="27">
        <f>'Por Valoracion (3) Dimension'!D229</f>
        <v>19</v>
      </c>
      <c r="AD229" s="27">
        <f>'Por Valoracion (3) Dimension 2'!D229</f>
        <v>28</v>
      </c>
      <c r="AY229" s="36"/>
      <c r="BA229" s="53" t="str">
        <f>('Gestión de abastecimiento'!A230)</f>
        <v>Beneficiaros 226</v>
      </c>
      <c r="BB229" s="27">
        <f>'Por Valoracion (3) Dimension'!F229</f>
        <v>18</v>
      </c>
      <c r="BC229" s="27">
        <f>'Por Valoracion (3) Dimension 2'!D229</f>
        <v>28</v>
      </c>
      <c r="BX229" s="36"/>
      <c r="BZ229" s="37"/>
      <c r="CB229" s="53" t="str">
        <f>('Gestión de abastecimiento'!A230)</f>
        <v>Beneficiaros 226</v>
      </c>
      <c r="CC229" s="27">
        <f>'Por Valoracion (3) Dimension 2'!B229</f>
        <v>28</v>
      </c>
      <c r="CD229" s="27">
        <f>'Por Valoracion (3) Dimension'!H229</f>
        <v>55</v>
      </c>
      <c r="CY229" s="37"/>
    </row>
    <row r="230" spans="1:103" x14ac:dyDescent="0.25">
      <c r="A230" s="36"/>
      <c r="C230" s="53" t="str">
        <f>('Gestión de abastecimiento'!A231)</f>
        <v>Beneficiaros 227</v>
      </c>
      <c r="D230" s="27">
        <f>'Por Valoracion (3) Dimension'!B230</f>
        <v>13</v>
      </c>
      <c r="E230" s="27">
        <f>'Por Valoracion (3) Dimension 2'!D230</f>
        <v>18</v>
      </c>
      <c r="Z230" s="36"/>
      <c r="AB230" s="53" t="str">
        <f>('Gestión de abastecimiento'!A231)</f>
        <v>Beneficiaros 227</v>
      </c>
      <c r="AC230" s="27">
        <f>'Por Valoracion (3) Dimension'!D230</f>
        <v>12</v>
      </c>
      <c r="AD230" s="27">
        <f>'Por Valoracion (3) Dimension 2'!D230</f>
        <v>18</v>
      </c>
      <c r="AY230" s="36"/>
      <c r="BA230" s="53" t="str">
        <f>('Gestión de abastecimiento'!A231)</f>
        <v>Beneficiaros 227</v>
      </c>
      <c r="BB230" s="27">
        <f>'Por Valoracion (3) Dimension'!F230</f>
        <v>12</v>
      </c>
      <c r="BC230" s="27">
        <f>'Por Valoracion (3) Dimension 2'!D230</f>
        <v>18</v>
      </c>
      <c r="BX230" s="36"/>
      <c r="BZ230" s="37"/>
      <c r="CB230" s="53" t="str">
        <f>('Gestión de abastecimiento'!A231)</f>
        <v>Beneficiaros 227</v>
      </c>
      <c r="CC230" s="27">
        <f>'Por Valoracion (3) Dimension 2'!B230</f>
        <v>18</v>
      </c>
      <c r="CD230" s="27">
        <f>'Por Valoracion (3) Dimension'!H230</f>
        <v>37</v>
      </c>
      <c r="CY230" s="37"/>
    </row>
    <row r="231" spans="1:103" x14ac:dyDescent="0.25">
      <c r="A231" s="36"/>
      <c r="C231" s="53" t="str">
        <f>('Gestión de abastecimiento'!A232)</f>
        <v>Beneficiaros 228</v>
      </c>
      <c r="D231" s="27">
        <f>'Por Valoracion (3) Dimension'!B231</f>
        <v>23</v>
      </c>
      <c r="E231" s="27">
        <f>'Por Valoracion (3) Dimension 2'!D231</f>
        <v>35</v>
      </c>
      <c r="Z231" s="36"/>
      <c r="AB231" s="53" t="str">
        <f>('Gestión de abastecimiento'!A232)</f>
        <v>Beneficiaros 228</v>
      </c>
      <c r="AC231" s="27">
        <f>'Por Valoracion (3) Dimension'!D231</f>
        <v>24</v>
      </c>
      <c r="AD231" s="27">
        <f>'Por Valoracion (3) Dimension 2'!D231</f>
        <v>35</v>
      </c>
      <c r="AY231" s="36"/>
      <c r="BA231" s="53" t="str">
        <f>('Gestión de abastecimiento'!A232)</f>
        <v>Beneficiaros 228</v>
      </c>
      <c r="BB231" s="27">
        <f>'Por Valoracion (3) Dimension'!F231</f>
        <v>23</v>
      </c>
      <c r="BC231" s="27">
        <f>'Por Valoracion (3) Dimension 2'!D231</f>
        <v>35</v>
      </c>
      <c r="BX231" s="36"/>
      <c r="BZ231" s="37"/>
      <c r="CB231" s="53" t="str">
        <f>('Gestión de abastecimiento'!A232)</f>
        <v>Beneficiaros 228</v>
      </c>
      <c r="CC231" s="27">
        <f>'Por Valoracion (3) Dimension 2'!B231</f>
        <v>35</v>
      </c>
      <c r="CD231" s="27">
        <f>'Por Valoracion (3) Dimension'!H231</f>
        <v>70</v>
      </c>
      <c r="CY231" s="37"/>
    </row>
    <row r="232" spans="1:103" x14ac:dyDescent="0.25">
      <c r="A232" s="36"/>
      <c r="C232" s="53" t="str">
        <f>('Gestión de abastecimiento'!A233)</f>
        <v>Beneficiaros 229</v>
      </c>
      <c r="D232" s="27">
        <f>'Por Valoracion (3) Dimension'!B232</f>
        <v>20</v>
      </c>
      <c r="E232" s="27">
        <f>'Por Valoracion (3) Dimension 2'!D232</f>
        <v>32</v>
      </c>
      <c r="Z232" s="36"/>
      <c r="AB232" s="53" t="str">
        <f>('Gestión de abastecimiento'!A233)</f>
        <v>Beneficiaros 229</v>
      </c>
      <c r="AC232" s="27">
        <f>'Por Valoracion (3) Dimension'!D232</f>
        <v>21</v>
      </c>
      <c r="AD232" s="27">
        <f>'Por Valoracion (3) Dimension 2'!D232</f>
        <v>32</v>
      </c>
      <c r="AY232" s="36"/>
      <c r="BA232" s="53" t="str">
        <f>('Gestión de abastecimiento'!A233)</f>
        <v>Beneficiaros 229</v>
      </c>
      <c r="BB232" s="27">
        <f>'Por Valoracion (3) Dimension'!F232</f>
        <v>18</v>
      </c>
      <c r="BC232" s="27">
        <f>'Por Valoracion (3) Dimension 2'!D232</f>
        <v>32</v>
      </c>
      <c r="BX232" s="36"/>
      <c r="BZ232" s="37"/>
      <c r="CB232" s="53" t="str">
        <f>('Gestión de abastecimiento'!A233)</f>
        <v>Beneficiaros 229</v>
      </c>
      <c r="CC232" s="27">
        <f>'Por Valoracion (3) Dimension 2'!B232</f>
        <v>32</v>
      </c>
      <c r="CD232" s="27">
        <f>'Por Valoracion (3) Dimension'!H232</f>
        <v>59</v>
      </c>
      <c r="CY232" s="37"/>
    </row>
    <row r="233" spans="1:103" x14ac:dyDescent="0.25">
      <c r="A233" s="36"/>
      <c r="C233" s="53" t="str">
        <f>('Gestión de abastecimiento'!A234)</f>
        <v>Beneficiaros 230</v>
      </c>
      <c r="D233" s="27">
        <f>'Por Valoracion (3) Dimension'!B233</f>
        <v>13</v>
      </c>
      <c r="E233" s="27">
        <f>'Por Valoracion (3) Dimension 2'!D233</f>
        <v>19</v>
      </c>
      <c r="Z233" s="36"/>
      <c r="AB233" s="53" t="str">
        <f>('Gestión de abastecimiento'!A234)</f>
        <v>Beneficiaros 230</v>
      </c>
      <c r="AC233" s="27">
        <f>'Por Valoracion (3) Dimension'!D233</f>
        <v>12</v>
      </c>
      <c r="AD233" s="27">
        <f>'Por Valoracion (3) Dimension 2'!D233</f>
        <v>19</v>
      </c>
      <c r="AY233" s="36"/>
      <c r="BA233" s="53" t="str">
        <f>('Gestión de abastecimiento'!A234)</f>
        <v>Beneficiaros 230</v>
      </c>
      <c r="BB233" s="27">
        <f>'Por Valoracion (3) Dimension'!F233</f>
        <v>12</v>
      </c>
      <c r="BC233" s="27">
        <f>'Por Valoracion (3) Dimension 2'!D233</f>
        <v>19</v>
      </c>
      <c r="BX233" s="36"/>
      <c r="BZ233" s="37"/>
      <c r="CB233" s="53" t="str">
        <f>('Gestión de abastecimiento'!A234)</f>
        <v>Beneficiaros 230</v>
      </c>
      <c r="CC233" s="27">
        <f>'Por Valoracion (3) Dimension 2'!B233</f>
        <v>19</v>
      </c>
      <c r="CD233" s="27">
        <f>'Por Valoracion (3) Dimension'!H233</f>
        <v>37</v>
      </c>
      <c r="CY233" s="37"/>
    </row>
    <row r="234" spans="1:103" x14ac:dyDescent="0.25">
      <c r="A234" s="36"/>
      <c r="C234" s="53" t="str">
        <f>('Gestión de abastecimiento'!A235)</f>
        <v>Beneficiaros 231</v>
      </c>
      <c r="D234" s="27">
        <f>'Por Valoracion (3) Dimension'!B234</f>
        <v>28</v>
      </c>
      <c r="E234" s="27">
        <f>'Por Valoracion (3) Dimension 2'!D234</f>
        <v>41</v>
      </c>
      <c r="Z234" s="36"/>
      <c r="AB234" s="53" t="str">
        <f>('Gestión de abastecimiento'!A235)</f>
        <v>Beneficiaros 231</v>
      </c>
      <c r="AC234" s="27">
        <f>'Por Valoracion (3) Dimension'!D234</f>
        <v>29</v>
      </c>
      <c r="AD234" s="27">
        <f>'Por Valoracion (3) Dimension 2'!D234</f>
        <v>41</v>
      </c>
      <c r="AY234" s="36"/>
      <c r="BA234" s="53" t="str">
        <f>('Gestión de abastecimiento'!A235)</f>
        <v>Beneficiaros 231</v>
      </c>
      <c r="BB234" s="27">
        <f>'Por Valoracion (3) Dimension'!F234</f>
        <v>29</v>
      </c>
      <c r="BC234" s="27">
        <f>'Por Valoracion (3) Dimension 2'!D234</f>
        <v>41</v>
      </c>
      <c r="BX234" s="36"/>
      <c r="BZ234" s="37"/>
      <c r="CB234" s="53" t="str">
        <f>('Gestión de abastecimiento'!A235)</f>
        <v>Beneficiaros 231</v>
      </c>
      <c r="CC234" s="27">
        <f>'Por Valoracion (3) Dimension 2'!B234</f>
        <v>41</v>
      </c>
      <c r="CD234" s="27">
        <f>'Por Valoracion (3) Dimension'!H234</f>
        <v>86</v>
      </c>
      <c r="CY234" s="37"/>
    </row>
    <row r="235" spans="1:103" x14ac:dyDescent="0.25">
      <c r="A235" s="36"/>
      <c r="C235" s="53" t="str">
        <f>('Gestión de abastecimiento'!A236)</f>
        <v>Beneficiaros 232</v>
      </c>
      <c r="D235" s="27">
        <f>'Por Valoracion (3) Dimension'!B235</f>
        <v>22</v>
      </c>
      <c r="E235" s="27">
        <f>'Por Valoracion (3) Dimension 2'!D235</f>
        <v>30</v>
      </c>
      <c r="Z235" s="36"/>
      <c r="AB235" s="53" t="str">
        <f>('Gestión de abastecimiento'!A236)</f>
        <v>Beneficiaros 232</v>
      </c>
      <c r="AC235" s="27">
        <f>'Por Valoracion (3) Dimension'!D235</f>
        <v>21</v>
      </c>
      <c r="AD235" s="27">
        <f>'Por Valoracion (3) Dimension 2'!D235</f>
        <v>30</v>
      </c>
      <c r="AY235" s="36"/>
      <c r="BA235" s="53" t="str">
        <f>('Gestión de abastecimiento'!A236)</f>
        <v>Beneficiaros 232</v>
      </c>
      <c r="BB235" s="27">
        <f>'Por Valoracion (3) Dimension'!F235</f>
        <v>22</v>
      </c>
      <c r="BC235" s="27">
        <f>'Por Valoracion (3) Dimension 2'!D235</f>
        <v>30</v>
      </c>
      <c r="BX235" s="36"/>
      <c r="BZ235" s="37"/>
      <c r="CB235" s="53" t="str">
        <f>('Gestión de abastecimiento'!A236)</f>
        <v>Beneficiaros 232</v>
      </c>
      <c r="CC235" s="27">
        <f>'Por Valoracion (3) Dimension 2'!B235</f>
        <v>30</v>
      </c>
      <c r="CD235" s="27">
        <f>'Por Valoracion (3) Dimension'!H235</f>
        <v>65</v>
      </c>
      <c r="CY235" s="37"/>
    </row>
    <row r="236" spans="1:103" x14ac:dyDescent="0.25">
      <c r="A236" s="36"/>
      <c r="C236" s="53" t="str">
        <f>('Gestión de abastecimiento'!A237)</f>
        <v>Beneficiaros 233</v>
      </c>
      <c r="D236" s="27">
        <f>'Por Valoracion (3) Dimension'!B236</f>
        <v>12</v>
      </c>
      <c r="E236" s="27">
        <f>'Por Valoracion (3) Dimension 2'!D236</f>
        <v>18</v>
      </c>
      <c r="Z236" s="36"/>
      <c r="AB236" s="53" t="str">
        <f>('Gestión de abastecimiento'!A237)</f>
        <v>Beneficiaros 233</v>
      </c>
      <c r="AC236" s="27">
        <f>'Por Valoracion (3) Dimension'!D236</f>
        <v>12</v>
      </c>
      <c r="AD236" s="27">
        <f>'Por Valoracion (3) Dimension 2'!D236</f>
        <v>18</v>
      </c>
      <c r="AY236" s="36"/>
      <c r="BA236" s="53" t="str">
        <f>('Gestión de abastecimiento'!A237)</f>
        <v>Beneficiaros 233</v>
      </c>
      <c r="BB236" s="27">
        <f>'Por Valoracion (3) Dimension'!F236</f>
        <v>12</v>
      </c>
      <c r="BC236" s="27">
        <f>'Por Valoracion (3) Dimension 2'!D236</f>
        <v>18</v>
      </c>
      <c r="BX236" s="36"/>
      <c r="BZ236" s="37"/>
      <c r="CB236" s="53" t="str">
        <f>('Gestión de abastecimiento'!A237)</f>
        <v>Beneficiaros 233</v>
      </c>
      <c r="CC236" s="27">
        <f>'Por Valoracion (3) Dimension 2'!B236</f>
        <v>18</v>
      </c>
      <c r="CD236" s="27">
        <f>'Por Valoracion (3) Dimension'!H236</f>
        <v>36</v>
      </c>
      <c r="CY236" s="37"/>
    </row>
    <row r="237" spans="1:103" x14ac:dyDescent="0.25">
      <c r="A237" s="36"/>
      <c r="C237" s="53" t="str">
        <f>('Gestión de abastecimiento'!A238)</f>
        <v>Beneficiaros 234</v>
      </c>
      <c r="D237" s="27">
        <f>'Por Valoracion (3) Dimension'!B237</f>
        <v>13</v>
      </c>
      <c r="E237" s="27">
        <f>'Por Valoracion (3) Dimension 2'!D237</f>
        <v>22</v>
      </c>
      <c r="Z237" s="36"/>
      <c r="AB237" s="53" t="str">
        <f>('Gestión de abastecimiento'!A238)</f>
        <v>Beneficiaros 234</v>
      </c>
      <c r="AC237" s="27">
        <f>'Por Valoracion (3) Dimension'!D237</f>
        <v>14</v>
      </c>
      <c r="AD237" s="27">
        <f>'Por Valoracion (3) Dimension 2'!D237</f>
        <v>22</v>
      </c>
      <c r="AY237" s="36"/>
      <c r="BA237" s="53" t="str">
        <f>('Gestión de abastecimiento'!A238)</f>
        <v>Beneficiaros 234</v>
      </c>
      <c r="BB237" s="27">
        <f>'Por Valoracion (3) Dimension'!F237</f>
        <v>14</v>
      </c>
      <c r="BC237" s="27">
        <f>'Por Valoracion (3) Dimension 2'!D237</f>
        <v>22</v>
      </c>
      <c r="BX237" s="36"/>
      <c r="BZ237" s="37"/>
      <c r="CB237" s="53" t="str">
        <f>('Gestión de abastecimiento'!A238)</f>
        <v>Beneficiaros 234</v>
      </c>
      <c r="CC237" s="27">
        <f>'Por Valoracion (3) Dimension 2'!B237</f>
        <v>22</v>
      </c>
      <c r="CD237" s="27">
        <f>'Por Valoracion (3) Dimension'!H237</f>
        <v>41</v>
      </c>
      <c r="CY237" s="37"/>
    </row>
    <row r="238" spans="1:103" x14ac:dyDescent="0.25">
      <c r="A238" s="36"/>
      <c r="C238" s="53" t="str">
        <f>('Gestión de abastecimiento'!A239)</f>
        <v>Beneficiaros 235</v>
      </c>
      <c r="D238" s="27">
        <f>'Por Valoracion (3) Dimension'!B238</f>
        <v>10</v>
      </c>
      <c r="E238" s="27">
        <f>'Por Valoracion (3) Dimension 2'!D238</f>
        <v>15</v>
      </c>
      <c r="Z238" s="36"/>
      <c r="AB238" s="53" t="str">
        <f>('Gestión de abastecimiento'!A239)</f>
        <v>Beneficiaros 235</v>
      </c>
      <c r="AC238" s="27">
        <f>'Por Valoracion (3) Dimension'!D238</f>
        <v>9</v>
      </c>
      <c r="AD238" s="27">
        <f>'Por Valoracion (3) Dimension 2'!D238</f>
        <v>15</v>
      </c>
      <c r="AY238" s="36"/>
      <c r="BA238" s="53" t="str">
        <f>('Gestión de abastecimiento'!A239)</f>
        <v>Beneficiaros 235</v>
      </c>
      <c r="BB238" s="27">
        <f>'Por Valoracion (3) Dimension'!F238</f>
        <v>9</v>
      </c>
      <c r="BC238" s="27">
        <f>'Por Valoracion (3) Dimension 2'!D238</f>
        <v>15</v>
      </c>
      <c r="BX238" s="36"/>
      <c r="BZ238" s="37"/>
      <c r="CB238" s="53" t="str">
        <f>('Gestión de abastecimiento'!A239)</f>
        <v>Beneficiaros 235</v>
      </c>
      <c r="CC238" s="27">
        <f>'Por Valoracion (3) Dimension 2'!B238</f>
        <v>15</v>
      </c>
      <c r="CD238" s="27">
        <f>'Por Valoracion (3) Dimension'!H238</f>
        <v>28</v>
      </c>
      <c r="CY238" s="37"/>
    </row>
    <row r="239" spans="1:103" x14ac:dyDescent="0.25">
      <c r="A239" s="36"/>
      <c r="C239" s="53" t="str">
        <f>('Gestión de abastecimiento'!A240)</f>
        <v>Beneficiaros 236</v>
      </c>
      <c r="D239" s="27">
        <f>'Por Valoracion (3) Dimension'!B239</f>
        <v>13</v>
      </c>
      <c r="E239" s="27">
        <f>'Por Valoracion (3) Dimension 2'!D239</f>
        <v>21</v>
      </c>
      <c r="Z239" s="36"/>
      <c r="AB239" s="53" t="str">
        <f>('Gestión de abastecimiento'!A240)</f>
        <v>Beneficiaros 236</v>
      </c>
      <c r="AC239" s="27">
        <f>'Por Valoracion (3) Dimension'!D239</f>
        <v>14</v>
      </c>
      <c r="AD239" s="27">
        <f>'Por Valoracion (3) Dimension 2'!D239</f>
        <v>21</v>
      </c>
      <c r="AY239" s="36"/>
      <c r="BA239" s="53" t="str">
        <f>('Gestión de abastecimiento'!A240)</f>
        <v>Beneficiaros 236</v>
      </c>
      <c r="BB239" s="27">
        <f>'Por Valoracion (3) Dimension'!F239</f>
        <v>14</v>
      </c>
      <c r="BC239" s="27">
        <f>'Por Valoracion (3) Dimension 2'!D239</f>
        <v>21</v>
      </c>
      <c r="BX239" s="36"/>
      <c r="BZ239" s="37"/>
      <c r="CB239" s="53" t="str">
        <f>('Gestión de abastecimiento'!A240)</f>
        <v>Beneficiaros 236</v>
      </c>
      <c r="CC239" s="27">
        <f>'Por Valoracion (3) Dimension 2'!B239</f>
        <v>21</v>
      </c>
      <c r="CD239" s="27">
        <f>'Por Valoracion (3) Dimension'!H239</f>
        <v>41</v>
      </c>
      <c r="CY239" s="37"/>
    </row>
    <row r="240" spans="1:103" x14ac:dyDescent="0.25">
      <c r="A240" s="36"/>
      <c r="C240" s="53" t="str">
        <f>('Gestión de abastecimiento'!A241)</f>
        <v>Beneficiaros 237</v>
      </c>
      <c r="D240" s="27">
        <f>'Por Valoracion (3) Dimension'!B240</f>
        <v>14</v>
      </c>
      <c r="E240" s="27">
        <f>'Por Valoracion (3) Dimension 2'!D240</f>
        <v>23</v>
      </c>
      <c r="Z240" s="36"/>
      <c r="AB240" s="53" t="str">
        <f>('Gestión de abastecimiento'!A241)</f>
        <v>Beneficiaros 237</v>
      </c>
      <c r="AC240" s="27">
        <f>'Por Valoracion (3) Dimension'!D240</f>
        <v>15</v>
      </c>
      <c r="AD240" s="27">
        <f>'Por Valoracion (3) Dimension 2'!D240</f>
        <v>23</v>
      </c>
      <c r="AY240" s="36"/>
      <c r="BA240" s="53" t="str">
        <f>('Gestión de abastecimiento'!A241)</f>
        <v>Beneficiaros 237</v>
      </c>
      <c r="BB240" s="27">
        <f>'Por Valoracion (3) Dimension'!F240</f>
        <v>12</v>
      </c>
      <c r="BC240" s="27">
        <f>'Por Valoracion (3) Dimension 2'!D240</f>
        <v>23</v>
      </c>
      <c r="BX240" s="36"/>
      <c r="BZ240" s="37"/>
      <c r="CB240" s="53" t="str">
        <f>('Gestión de abastecimiento'!A241)</f>
        <v>Beneficiaros 237</v>
      </c>
      <c r="CC240" s="27">
        <f>'Por Valoracion (3) Dimension 2'!B240</f>
        <v>23</v>
      </c>
      <c r="CD240" s="27">
        <f>'Por Valoracion (3) Dimension'!H240</f>
        <v>41</v>
      </c>
      <c r="CY240" s="37"/>
    </row>
    <row r="241" spans="1:103" x14ac:dyDescent="0.25">
      <c r="A241" s="36"/>
      <c r="C241" s="53" t="str">
        <f>('Gestión de abastecimiento'!A242)</f>
        <v>Beneficiaros 238</v>
      </c>
      <c r="D241" s="27">
        <f>'Por Valoracion (3) Dimension'!B241</f>
        <v>22</v>
      </c>
      <c r="E241" s="27">
        <f>'Por Valoracion (3) Dimension 2'!D241</f>
        <v>29</v>
      </c>
      <c r="Z241" s="36"/>
      <c r="AB241" s="53" t="str">
        <f>('Gestión de abastecimiento'!A242)</f>
        <v>Beneficiaros 238</v>
      </c>
      <c r="AC241" s="27">
        <f>'Por Valoracion (3) Dimension'!D241</f>
        <v>19</v>
      </c>
      <c r="AD241" s="27">
        <f>'Por Valoracion (3) Dimension 2'!D241</f>
        <v>29</v>
      </c>
      <c r="AY241" s="36"/>
      <c r="BA241" s="53" t="str">
        <f>('Gestión de abastecimiento'!A242)</f>
        <v>Beneficiaros 238</v>
      </c>
      <c r="BB241" s="27">
        <f>'Por Valoracion (3) Dimension'!F241</f>
        <v>19</v>
      </c>
      <c r="BC241" s="27">
        <f>'Por Valoracion (3) Dimension 2'!D241</f>
        <v>29</v>
      </c>
      <c r="BX241" s="36"/>
      <c r="BZ241" s="37"/>
      <c r="CB241" s="53" t="str">
        <f>('Gestión de abastecimiento'!A242)</f>
        <v>Beneficiaros 238</v>
      </c>
      <c r="CC241" s="27">
        <f>'Por Valoracion (3) Dimension 2'!B241</f>
        <v>29</v>
      </c>
      <c r="CD241" s="27">
        <f>'Por Valoracion (3) Dimension'!H241</f>
        <v>60</v>
      </c>
      <c r="CY241" s="37"/>
    </row>
    <row r="242" spans="1:103" x14ac:dyDescent="0.25">
      <c r="A242" s="36"/>
      <c r="C242" s="53" t="str">
        <f>('Gestión de abastecimiento'!A243)</f>
        <v>Beneficiaros 239</v>
      </c>
      <c r="D242" s="27">
        <f>'Por Valoracion (3) Dimension'!B242</f>
        <v>6</v>
      </c>
      <c r="E242" s="27">
        <f>'Por Valoracion (3) Dimension 2'!D242</f>
        <v>9</v>
      </c>
      <c r="Z242" s="36"/>
      <c r="AB242" s="53" t="str">
        <f>('Gestión de abastecimiento'!A243)</f>
        <v>Beneficiaros 239</v>
      </c>
      <c r="AC242" s="27">
        <f>'Por Valoracion (3) Dimension'!D242</f>
        <v>6</v>
      </c>
      <c r="AD242" s="27">
        <f>'Por Valoracion (3) Dimension 2'!D242</f>
        <v>9</v>
      </c>
      <c r="AY242" s="36"/>
      <c r="BA242" s="53" t="str">
        <f>('Gestión de abastecimiento'!A243)</f>
        <v>Beneficiaros 239</v>
      </c>
      <c r="BB242" s="27">
        <f>'Por Valoracion (3) Dimension'!F242</f>
        <v>6</v>
      </c>
      <c r="BC242" s="27">
        <f>'Por Valoracion (3) Dimension 2'!D242</f>
        <v>9</v>
      </c>
      <c r="BX242" s="36"/>
      <c r="BZ242" s="37"/>
      <c r="CB242" s="53" t="str">
        <f>('Gestión de abastecimiento'!A243)</f>
        <v>Beneficiaros 239</v>
      </c>
      <c r="CC242" s="27">
        <f>'Por Valoracion (3) Dimension 2'!B242</f>
        <v>9</v>
      </c>
      <c r="CD242" s="27">
        <f>'Por Valoracion (3) Dimension'!H242</f>
        <v>18</v>
      </c>
      <c r="CY242" s="37"/>
    </row>
    <row r="243" spans="1:103" x14ac:dyDescent="0.25">
      <c r="A243" s="36"/>
      <c r="C243" s="53" t="str">
        <f>('Gestión de abastecimiento'!A244)</f>
        <v>Beneficiaros 240</v>
      </c>
      <c r="D243" s="27">
        <f>'Por Valoracion (3) Dimension'!B243</f>
        <v>24</v>
      </c>
      <c r="E243" s="27">
        <f>'Por Valoracion (3) Dimension 2'!D243</f>
        <v>35</v>
      </c>
      <c r="Z243" s="36"/>
      <c r="AB243" s="53" t="str">
        <f>('Gestión de abastecimiento'!A244)</f>
        <v>Beneficiaros 240</v>
      </c>
      <c r="AC243" s="27">
        <f>'Por Valoracion (3) Dimension'!D243</f>
        <v>24</v>
      </c>
      <c r="AD243" s="27">
        <f>'Por Valoracion (3) Dimension 2'!D243</f>
        <v>35</v>
      </c>
      <c r="AY243" s="36"/>
      <c r="BA243" s="53" t="str">
        <f>('Gestión de abastecimiento'!A244)</f>
        <v>Beneficiaros 240</v>
      </c>
      <c r="BB243" s="27">
        <f>'Por Valoracion (3) Dimension'!F243</f>
        <v>22</v>
      </c>
      <c r="BC243" s="27">
        <f>'Por Valoracion (3) Dimension 2'!D243</f>
        <v>35</v>
      </c>
      <c r="BX243" s="36"/>
      <c r="BZ243" s="37"/>
      <c r="CB243" s="53" t="str">
        <f>('Gestión de abastecimiento'!A244)</f>
        <v>Beneficiaros 240</v>
      </c>
      <c r="CC243" s="27">
        <f>'Por Valoracion (3) Dimension 2'!B243</f>
        <v>35</v>
      </c>
      <c r="CD243" s="27">
        <f>'Por Valoracion (3) Dimension'!H243</f>
        <v>70</v>
      </c>
      <c r="CY243" s="37"/>
    </row>
    <row r="244" spans="1:103" x14ac:dyDescent="0.25">
      <c r="A244" s="36"/>
      <c r="C244" s="53" t="str">
        <f>('Gestión de abastecimiento'!A245)</f>
        <v>Beneficiaros 241</v>
      </c>
      <c r="D244" s="27">
        <f>'Por Valoracion (3) Dimension'!B244</f>
        <v>21</v>
      </c>
      <c r="E244" s="27">
        <f>'Por Valoracion (3) Dimension 2'!D244</f>
        <v>29</v>
      </c>
      <c r="Z244" s="36"/>
      <c r="AB244" s="53" t="str">
        <f>('Gestión de abastecimiento'!A245)</f>
        <v>Beneficiaros 241</v>
      </c>
      <c r="AC244" s="27">
        <f>'Por Valoracion (3) Dimension'!D244</f>
        <v>19</v>
      </c>
      <c r="AD244" s="27">
        <f>'Por Valoracion (3) Dimension 2'!D244</f>
        <v>29</v>
      </c>
      <c r="AY244" s="36"/>
      <c r="BA244" s="53" t="str">
        <f>('Gestión de abastecimiento'!A245)</f>
        <v>Beneficiaros 241</v>
      </c>
      <c r="BB244" s="27">
        <f>'Por Valoracion (3) Dimension'!F244</f>
        <v>18</v>
      </c>
      <c r="BC244" s="27">
        <f>'Por Valoracion (3) Dimension 2'!D244</f>
        <v>29</v>
      </c>
      <c r="BX244" s="36"/>
      <c r="BZ244" s="37"/>
      <c r="CB244" s="53" t="str">
        <f>('Gestión de abastecimiento'!A245)</f>
        <v>Beneficiaros 241</v>
      </c>
      <c r="CC244" s="27">
        <f>'Por Valoracion (3) Dimension 2'!B244</f>
        <v>29</v>
      </c>
      <c r="CD244" s="27">
        <f>'Por Valoracion (3) Dimension'!H244</f>
        <v>58</v>
      </c>
      <c r="CY244" s="37"/>
    </row>
    <row r="245" spans="1:103" x14ac:dyDescent="0.25">
      <c r="A245" s="36"/>
      <c r="C245" s="53" t="str">
        <f>('Gestión de abastecimiento'!A246)</f>
        <v>Beneficiaros 242</v>
      </c>
      <c r="D245" s="27">
        <f>'Por Valoracion (3) Dimension'!B245</f>
        <v>18</v>
      </c>
      <c r="E245" s="27">
        <f>'Por Valoracion (3) Dimension 2'!D245</f>
        <v>26</v>
      </c>
      <c r="Z245" s="36"/>
      <c r="AB245" s="53" t="str">
        <f>('Gestión de abastecimiento'!A246)</f>
        <v>Beneficiaros 242</v>
      </c>
      <c r="AC245" s="27">
        <f>'Por Valoracion (3) Dimension'!D245</f>
        <v>17</v>
      </c>
      <c r="AD245" s="27">
        <f>'Por Valoracion (3) Dimension 2'!D245</f>
        <v>26</v>
      </c>
      <c r="AY245" s="36"/>
      <c r="BA245" s="53" t="str">
        <f>('Gestión de abastecimiento'!A246)</f>
        <v>Beneficiaros 242</v>
      </c>
      <c r="BB245" s="27">
        <f>'Por Valoracion (3) Dimension'!F245</f>
        <v>18</v>
      </c>
      <c r="BC245" s="27">
        <f>'Por Valoracion (3) Dimension 2'!D245</f>
        <v>26</v>
      </c>
      <c r="BX245" s="36"/>
      <c r="BZ245" s="37"/>
      <c r="CB245" s="53" t="str">
        <f>('Gestión de abastecimiento'!A246)</f>
        <v>Beneficiaros 242</v>
      </c>
      <c r="CC245" s="27">
        <f>'Por Valoracion (3) Dimension 2'!B245</f>
        <v>26</v>
      </c>
      <c r="CD245" s="27">
        <f>'Por Valoracion (3) Dimension'!H245</f>
        <v>53</v>
      </c>
      <c r="CY245" s="37"/>
    </row>
    <row r="246" spans="1:103" x14ac:dyDescent="0.25">
      <c r="A246" s="36"/>
      <c r="C246" s="53" t="str">
        <f>('Gestión de abastecimiento'!A247)</f>
        <v>Beneficiaros 243</v>
      </c>
      <c r="D246" s="27">
        <f>'Por Valoracion (3) Dimension'!B246</f>
        <v>24</v>
      </c>
      <c r="E246" s="27">
        <f>'Por Valoracion (3) Dimension 2'!D246</f>
        <v>38</v>
      </c>
      <c r="Z246" s="36"/>
      <c r="AB246" s="53" t="str">
        <f>('Gestión de abastecimiento'!A247)</f>
        <v>Beneficiaros 243</v>
      </c>
      <c r="AC246" s="27">
        <f>'Por Valoracion (3) Dimension'!D246</f>
        <v>27</v>
      </c>
      <c r="AD246" s="27">
        <f>'Por Valoracion (3) Dimension 2'!D246</f>
        <v>38</v>
      </c>
      <c r="AY246" s="36"/>
      <c r="BA246" s="53" t="str">
        <f>('Gestión de abastecimiento'!A247)</f>
        <v>Beneficiaros 243</v>
      </c>
      <c r="BB246" s="27">
        <f>'Por Valoracion (3) Dimension'!F246</f>
        <v>27</v>
      </c>
      <c r="BC246" s="27">
        <f>'Por Valoracion (3) Dimension 2'!D246</f>
        <v>38</v>
      </c>
      <c r="BX246" s="36"/>
      <c r="BZ246" s="37"/>
      <c r="CB246" s="53" t="str">
        <f>('Gestión de abastecimiento'!A247)</f>
        <v>Beneficiaros 243</v>
      </c>
      <c r="CC246" s="27">
        <f>'Por Valoracion (3) Dimension 2'!B246</f>
        <v>38</v>
      </c>
      <c r="CD246" s="27">
        <f>'Por Valoracion (3) Dimension'!H246</f>
        <v>78</v>
      </c>
      <c r="CY246" s="37"/>
    </row>
    <row r="247" spans="1:103" x14ac:dyDescent="0.25">
      <c r="A247" s="36"/>
      <c r="C247" s="53" t="str">
        <f>('Gestión de abastecimiento'!A248)</f>
        <v>Beneficiaros 244</v>
      </c>
      <c r="D247" s="27">
        <f>'Por Valoracion (3) Dimension'!B247</f>
        <v>18</v>
      </c>
      <c r="E247" s="27">
        <f>'Por Valoracion (3) Dimension 2'!D247</f>
        <v>28</v>
      </c>
      <c r="Z247" s="36"/>
      <c r="AB247" s="53" t="str">
        <f>('Gestión de abastecimiento'!A248)</f>
        <v>Beneficiaros 244</v>
      </c>
      <c r="AC247" s="27">
        <f>'Por Valoracion (3) Dimension'!D247</f>
        <v>18</v>
      </c>
      <c r="AD247" s="27">
        <f>'Por Valoracion (3) Dimension 2'!D247</f>
        <v>28</v>
      </c>
      <c r="AY247" s="36"/>
      <c r="BA247" s="53" t="str">
        <f>('Gestión de abastecimiento'!A248)</f>
        <v>Beneficiaros 244</v>
      </c>
      <c r="BB247" s="27">
        <f>'Por Valoracion (3) Dimension'!F247</f>
        <v>18</v>
      </c>
      <c r="BC247" s="27">
        <f>'Por Valoracion (3) Dimension 2'!D247</f>
        <v>28</v>
      </c>
      <c r="BX247" s="36"/>
      <c r="BZ247" s="37"/>
      <c r="CB247" s="53" t="str">
        <f>('Gestión de abastecimiento'!A248)</f>
        <v>Beneficiaros 244</v>
      </c>
      <c r="CC247" s="27">
        <f>'Por Valoracion (3) Dimension 2'!B247</f>
        <v>28</v>
      </c>
      <c r="CD247" s="27">
        <f>'Por Valoracion (3) Dimension'!H247</f>
        <v>54</v>
      </c>
      <c r="CY247" s="37"/>
    </row>
    <row r="248" spans="1:103" x14ac:dyDescent="0.25">
      <c r="A248" s="36"/>
      <c r="C248" s="53" t="str">
        <f>('Gestión de abastecimiento'!A249)</f>
        <v>Beneficiaros 245</v>
      </c>
      <c r="D248" s="27">
        <f>'Por Valoracion (3) Dimension'!B248</f>
        <v>19</v>
      </c>
      <c r="E248" s="27">
        <f>'Por Valoracion (3) Dimension 2'!D248</f>
        <v>30</v>
      </c>
      <c r="Z248" s="36"/>
      <c r="AB248" s="53" t="str">
        <f>('Gestión de abastecimiento'!A249)</f>
        <v>Beneficiaros 245</v>
      </c>
      <c r="AC248" s="27">
        <f>'Por Valoracion (3) Dimension'!D248</f>
        <v>19</v>
      </c>
      <c r="AD248" s="27">
        <f>'Por Valoracion (3) Dimension 2'!D248</f>
        <v>30</v>
      </c>
      <c r="AY248" s="36"/>
      <c r="BA248" s="53" t="str">
        <f>('Gestión de abastecimiento'!A249)</f>
        <v>Beneficiaros 245</v>
      </c>
      <c r="BB248" s="27">
        <f>'Por Valoracion (3) Dimension'!F248</f>
        <v>19</v>
      </c>
      <c r="BC248" s="27">
        <f>'Por Valoracion (3) Dimension 2'!D248</f>
        <v>30</v>
      </c>
      <c r="BX248" s="36"/>
      <c r="BZ248" s="37"/>
      <c r="CB248" s="53" t="str">
        <f>('Gestión de abastecimiento'!A249)</f>
        <v>Beneficiaros 245</v>
      </c>
      <c r="CC248" s="27">
        <f>'Por Valoracion (3) Dimension 2'!B248</f>
        <v>30</v>
      </c>
      <c r="CD248" s="27">
        <f>'Por Valoracion (3) Dimension'!H248</f>
        <v>57</v>
      </c>
      <c r="CY248" s="37"/>
    </row>
    <row r="249" spans="1:103" x14ac:dyDescent="0.25">
      <c r="A249" s="36"/>
      <c r="C249" s="53" t="str">
        <f>('Gestión de abastecimiento'!A250)</f>
        <v>Beneficiaros 246</v>
      </c>
      <c r="D249" s="27">
        <f>'Por Valoracion (3) Dimension'!B249</f>
        <v>17</v>
      </c>
      <c r="E249" s="27">
        <f>'Por Valoracion (3) Dimension 2'!D249</f>
        <v>27</v>
      </c>
      <c r="Z249" s="36"/>
      <c r="AB249" s="53" t="str">
        <f>('Gestión de abastecimiento'!A250)</f>
        <v>Beneficiaros 246</v>
      </c>
      <c r="AC249" s="27">
        <f>'Por Valoracion (3) Dimension'!D249</f>
        <v>18</v>
      </c>
      <c r="AD249" s="27">
        <f>'Por Valoracion (3) Dimension 2'!D249</f>
        <v>27</v>
      </c>
      <c r="AY249" s="36"/>
      <c r="BA249" s="53" t="str">
        <f>('Gestión de abastecimiento'!A250)</f>
        <v>Beneficiaros 246</v>
      </c>
      <c r="BB249" s="27">
        <f>'Por Valoracion (3) Dimension'!F249</f>
        <v>17</v>
      </c>
      <c r="BC249" s="27">
        <f>'Por Valoracion (3) Dimension 2'!D249</f>
        <v>27</v>
      </c>
      <c r="BX249" s="36"/>
      <c r="BZ249" s="37"/>
      <c r="CB249" s="53" t="str">
        <f>('Gestión de abastecimiento'!A250)</f>
        <v>Beneficiaros 246</v>
      </c>
      <c r="CC249" s="27">
        <f>'Por Valoracion (3) Dimension 2'!B249</f>
        <v>27</v>
      </c>
      <c r="CD249" s="27">
        <f>'Por Valoracion (3) Dimension'!H249</f>
        <v>52</v>
      </c>
      <c r="CY249" s="37"/>
    </row>
    <row r="250" spans="1:103" x14ac:dyDescent="0.25">
      <c r="A250" s="36"/>
      <c r="C250" s="53" t="str">
        <f>('Gestión de abastecimiento'!A251)</f>
        <v>Beneficiaros 247</v>
      </c>
      <c r="D250" s="27">
        <f>'Por Valoracion (3) Dimension'!B250</f>
        <v>15</v>
      </c>
      <c r="E250" s="27">
        <f>'Por Valoracion (3) Dimension 2'!D250</f>
        <v>22</v>
      </c>
      <c r="Z250" s="36"/>
      <c r="AB250" s="53" t="str">
        <f>('Gestión de abastecimiento'!A251)</f>
        <v>Beneficiaros 247</v>
      </c>
      <c r="AC250" s="27">
        <f>'Por Valoracion (3) Dimension'!D250</f>
        <v>16</v>
      </c>
      <c r="AD250" s="27">
        <f>'Por Valoracion (3) Dimension 2'!D250</f>
        <v>22</v>
      </c>
      <c r="AY250" s="36"/>
      <c r="BA250" s="53" t="str">
        <f>('Gestión de abastecimiento'!A251)</f>
        <v>Beneficiaros 247</v>
      </c>
      <c r="BB250" s="27">
        <f>'Por Valoracion (3) Dimension'!F250</f>
        <v>14</v>
      </c>
      <c r="BC250" s="27">
        <f>'Por Valoracion (3) Dimension 2'!D250</f>
        <v>22</v>
      </c>
      <c r="BX250" s="36"/>
      <c r="BZ250" s="37"/>
      <c r="CB250" s="53" t="str">
        <f>('Gestión de abastecimiento'!A251)</f>
        <v>Beneficiaros 247</v>
      </c>
      <c r="CC250" s="27">
        <f>'Por Valoracion (3) Dimension 2'!B250</f>
        <v>22</v>
      </c>
      <c r="CD250" s="27">
        <f>'Por Valoracion (3) Dimension'!H250</f>
        <v>45</v>
      </c>
      <c r="CY250" s="37"/>
    </row>
    <row r="251" spans="1:103" x14ac:dyDescent="0.25">
      <c r="A251" s="36"/>
      <c r="C251" s="53" t="str">
        <f>('Gestión de abastecimiento'!A252)</f>
        <v>Beneficiaros 248</v>
      </c>
      <c r="D251" s="27">
        <f>'Por Valoracion (3) Dimension'!B251</f>
        <v>19</v>
      </c>
      <c r="E251" s="27">
        <f>'Por Valoracion (3) Dimension 2'!D251</f>
        <v>26</v>
      </c>
      <c r="Z251" s="36"/>
      <c r="AB251" s="53" t="str">
        <f>('Gestión de abastecimiento'!A252)</f>
        <v>Beneficiaros 248</v>
      </c>
      <c r="AC251" s="27">
        <f>'Por Valoracion (3) Dimension'!D251</f>
        <v>18</v>
      </c>
      <c r="AD251" s="27">
        <f>'Por Valoracion (3) Dimension 2'!D251</f>
        <v>26</v>
      </c>
      <c r="AY251" s="36"/>
      <c r="BA251" s="53" t="str">
        <f>('Gestión de abastecimiento'!A252)</f>
        <v>Beneficiaros 248</v>
      </c>
      <c r="BB251" s="27">
        <f>'Por Valoracion (3) Dimension'!F251</f>
        <v>18</v>
      </c>
      <c r="BC251" s="27">
        <f>'Por Valoracion (3) Dimension 2'!D251</f>
        <v>26</v>
      </c>
      <c r="BX251" s="36"/>
      <c r="BZ251" s="37"/>
      <c r="CB251" s="53" t="str">
        <f>('Gestión de abastecimiento'!A252)</f>
        <v>Beneficiaros 248</v>
      </c>
      <c r="CC251" s="27">
        <f>'Por Valoracion (3) Dimension 2'!B251</f>
        <v>26</v>
      </c>
      <c r="CD251" s="27">
        <f>'Por Valoracion (3) Dimension'!H251</f>
        <v>55</v>
      </c>
      <c r="CY251" s="37"/>
    </row>
    <row r="252" spans="1:103" x14ac:dyDescent="0.25">
      <c r="A252" s="36"/>
      <c r="C252" s="53" t="str">
        <f>('Gestión de abastecimiento'!A253)</f>
        <v>Beneficiaros 249</v>
      </c>
      <c r="D252" s="27">
        <f>'Por Valoracion (3) Dimension'!B252</f>
        <v>18</v>
      </c>
      <c r="E252" s="27">
        <f>'Por Valoracion (3) Dimension 2'!D252</f>
        <v>27</v>
      </c>
      <c r="Z252" s="36"/>
      <c r="AB252" s="53" t="str">
        <f>('Gestión de abastecimiento'!A253)</f>
        <v>Beneficiaros 249</v>
      </c>
      <c r="AC252" s="27">
        <f>'Por Valoracion (3) Dimension'!D252</f>
        <v>17</v>
      </c>
      <c r="AD252" s="27">
        <f>'Por Valoracion (3) Dimension 2'!D252</f>
        <v>27</v>
      </c>
      <c r="AY252" s="36"/>
      <c r="BA252" s="53" t="str">
        <f>('Gestión de abastecimiento'!A253)</f>
        <v>Beneficiaros 249</v>
      </c>
      <c r="BB252" s="27">
        <f>'Por Valoracion (3) Dimension'!F252</f>
        <v>18</v>
      </c>
      <c r="BC252" s="27">
        <f>'Por Valoracion (3) Dimension 2'!D252</f>
        <v>27</v>
      </c>
      <c r="BX252" s="36"/>
      <c r="BZ252" s="37"/>
      <c r="CB252" s="53" t="str">
        <f>('Gestión de abastecimiento'!A253)</f>
        <v>Beneficiaros 249</v>
      </c>
      <c r="CC252" s="27">
        <f>'Por Valoracion (3) Dimension 2'!B252</f>
        <v>27</v>
      </c>
      <c r="CD252" s="27">
        <f>'Por Valoracion (3) Dimension'!H252</f>
        <v>53</v>
      </c>
      <c r="CY252" s="37"/>
    </row>
    <row r="253" spans="1:103" x14ac:dyDescent="0.25">
      <c r="A253" s="36"/>
      <c r="C253" s="53" t="str">
        <f>('Gestión de abastecimiento'!A254)</f>
        <v>Beneficiaros 250</v>
      </c>
      <c r="D253" s="27">
        <f>'Por Valoracion (3) Dimension'!B253</f>
        <v>24</v>
      </c>
      <c r="E253" s="27">
        <f>'Por Valoracion (3) Dimension 2'!D253</f>
        <v>36</v>
      </c>
      <c r="Z253" s="36"/>
      <c r="AB253" s="53" t="str">
        <f>('Gestión de abastecimiento'!A254)</f>
        <v>Beneficiaros 250</v>
      </c>
      <c r="AC253" s="27">
        <f>'Por Valoracion (3) Dimension'!D253</f>
        <v>25</v>
      </c>
      <c r="AD253" s="27">
        <f>'Por Valoracion (3) Dimension 2'!D253</f>
        <v>36</v>
      </c>
      <c r="AY253" s="36"/>
      <c r="BA253" s="53" t="str">
        <f>('Gestión de abastecimiento'!A254)</f>
        <v>Beneficiaros 250</v>
      </c>
      <c r="BB253" s="27">
        <f>'Por Valoracion (3) Dimension'!F253</f>
        <v>24</v>
      </c>
      <c r="BC253" s="27">
        <f>'Por Valoracion (3) Dimension 2'!D253</f>
        <v>36</v>
      </c>
      <c r="BX253" s="36"/>
      <c r="BZ253" s="37"/>
      <c r="CB253" s="53" t="str">
        <f>('Gestión de abastecimiento'!A254)</f>
        <v>Beneficiaros 250</v>
      </c>
      <c r="CC253" s="27">
        <f>'Por Valoracion (3) Dimension 2'!B253</f>
        <v>36</v>
      </c>
      <c r="CD253" s="27">
        <f>'Por Valoracion (3) Dimension'!H253</f>
        <v>73</v>
      </c>
      <c r="CY253" s="37"/>
    </row>
    <row r="254" spans="1:103" x14ac:dyDescent="0.25">
      <c r="A254" s="36"/>
      <c r="C254" s="53" t="str">
        <f>('Gestión de abastecimiento'!A255)</f>
        <v>Beneficiaros 251</v>
      </c>
      <c r="D254" s="27">
        <f>'Por Valoracion (3) Dimension'!B254</f>
        <v>20</v>
      </c>
      <c r="E254" s="27">
        <f>'Por Valoracion (3) Dimension 2'!D254</f>
        <v>29</v>
      </c>
      <c r="Z254" s="36"/>
      <c r="AB254" s="53" t="str">
        <f>('Gestión de abastecimiento'!A255)</f>
        <v>Beneficiaros 251</v>
      </c>
      <c r="AC254" s="27">
        <f>'Por Valoracion (3) Dimension'!D254</f>
        <v>19</v>
      </c>
      <c r="AD254" s="27">
        <f>'Por Valoracion (3) Dimension 2'!D254</f>
        <v>29</v>
      </c>
      <c r="AY254" s="36"/>
      <c r="BA254" s="53" t="str">
        <f>('Gestión de abastecimiento'!A255)</f>
        <v>Beneficiaros 251</v>
      </c>
      <c r="BB254" s="27">
        <f>'Por Valoracion (3) Dimension'!F254</f>
        <v>19</v>
      </c>
      <c r="BC254" s="27">
        <f>'Por Valoracion (3) Dimension 2'!D254</f>
        <v>29</v>
      </c>
      <c r="BX254" s="36"/>
      <c r="BZ254" s="37"/>
      <c r="CB254" s="53" t="str">
        <f>('Gestión de abastecimiento'!A255)</f>
        <v>Beneficiaros 251</v>
      </c>
      <c r="CC254" s="27">
        <f>'Por Valoracion (3) Dimension 2'!B254</f>
        <v>29</v>
      </c>
      <c r="CD254" s="27">
        <f>'Por Valoracion (3) Dimension'!H254</f>
        <v>58</v>
      </c>
      <c r="CY254" s="37"/>
    </row>
    <row r="255" spans="1:103" x14ac:dyDescent="0.25">
      <c r="A255" s="36"/>
      <c r="C255" s="53" t="str">
        <f>('Gestión de abastecimiento'!A256)</f>
        <v>Beneficiaros 252</v>
      </c>
      <c r="D255" s="27">
        <f>'Por Valoracion (3) Dimension'!B255</f>
        <v>16</v>
      </c>
      <c r="E255" s="27">
        <f>'Por Valoracion (3) Dimension 2'!D255</f>
        <v>24</v>
      </c>
      <c r="Z255" s="36"/>
      <c r="AB255" s="53" t="str">
        <f>('Gestión de abastecimiento'!A256)</f>
        <v>Beneficiaros 252</v>
      </c>
      <c r="AC255" s="27">
        <f>'Por Valoracion (3) Dimension'!D255</f>
        <v>16</v>
      </c>
      <c r="AD255" s="27">
        <f>'Por Valoracion (3) Dimension 2'!D255</f>
        <v>24</v>
      </c>
      <c r="AY255" s="36"/>
      <c r="BA255" s="53" t="str">
        <f>('Gestión de abastecimiento'!A256)</f>
        <v>Beneficiaros 252</v>
      </c>
      <c r="BB255" s="27">
        <f>'Por Valoracion (3) Dimension'!F255</f>
        <v>14</v>
      </c>
      <c r="BC255" s="27">
        <f>'Por Valoracion (3) Dimension 2'!D255</f>
        <v>24</v>
      </c>
      <c r="BX255" s="36"/>
      <c r="BZ255" s="37"/>
      <c r="CB255" s="53" t="str">
        <f>('Gestión de abastecimiento'!A256)</f>
        <v>Beneficiaros 252</v>
      </c>
      <c r="CC255" s="27">
        <f>'Por Valoracion (3) Dimension 2'!B255</f>
        <v>24</v>
      </c>
      <c r="CD255" s="27">
        <f>'Por Valoracion (3) Dimension'!H255</f>
        <v>46</v>
      </c>
      <c r="CY255" s="37"/>
    </row>
    <row r="256" spans="1:103" x14ac:dyDescent="0.25">
      <c r="A256" s="36"/>
      <c r="C256" s="53" t="str">
        <f>('Gestión de abastecimiento'!A257)</f>
        <v>Beneficiaros 253</v>
      </c>
      <c r="D256" s="27">
        <f>'Por Valoracion (3) Dimension'!B256</f>
        <v>17</v>
      </c>
      <c r="E256" s="27">
        <f>'Por Valoracion (3) Dimension 2'!D256</f>
        <v>24</v>
      </c>
      <c r="Z256" s="36"/>
      <c r="AB256" s="53" t="str">
        <f>('Gestión de abastecimiento'!A257)</f>
        <v>Beneficiaros 253</v>
      </c>
      <c r="AC256" s="27">
        <f>'Por Valoracion (3) Dimension'!D256</f>
        <v>18</v>
      </c>
      <c r="AD256" s="27">
        <f>'Por Valoracion (3) Dimension 2'!D256</f>
        <v>24</v>
      </c>
      <c r="AY256" s="36"/>
      <c r="BA256" s="53" t="str">
        <f>('Gestión de abastecimiento'!A257)</f>
        <v>Beneficiaros 253</v>
      </c>
      <c r="BB256" s="27">
        <f>'Por Valoracion (3) Dimension'!F256</f>
        <v>14</v>
      </c>
      <c r="BC256" s="27">
        <f>'Por Valoracion (3) Dimension 2'!D256</f>
        <v>24</v>
      </c>
      <c r="BX256" s="36"/>
      <c r="BZ256" s="37"/>
      <c r="CB256" s="53" t="str">
        <f>('Gestión de abastecimiento'!A257)</f>
        <v>Beneficiaros 253</v>
      </c>
      <c r="CC256" s="27">
        <f>'Por Valoracion (3) Dimension 2'!B256</f>
        <v>24</v>
      </c>
      <c r="CD256" s="27">
        <f>'Por Valoracion (3) Dimension'!H256</f>
        <v>49</v>
      </c>
      <c r="CY256" s="37"/>
    </row>
    <row r="257" spans="1:103" x14ac:dyDescent="0.25">
      <c r="A257" s="36"/>
      <c r="C257" s="53" t="str">
        <f>('Gestión de abastecimiento'!A258)</f>
        <v>Beneficiaros 254</v>
      </c>
      <c r="D257" s="27">
        <f>'Por Valoracion (3) Dimension'!B257</f>
        <v>20</v>
      </c>
      <c r="E257" s="27">
        <f>'Por Valoracion (3) Dimension 2'!D257</f>
        <v>33</v>
      </c>
      <c r="Z257" s="36"/>
      <c r="AB257" s="53" t="str">
        <f>('Gestión de abastecimiento'!A258)</f>
        <v>Beneficiaros 254</v>
      </c>
      <c r="AC257" s="27">
        <f>'Por Valoracion (3) Dimension'!D257</f>
        <v>21</v>
      </c>
      <c r="AD257" s="27">
        <f>'Por Valoracion (3) Dimension 2'!D257</f>
        <v>33</v>
      </c>
      <c r="AY257" s="36"/>
      <c r="BA257" s="53" t="str">
        <f>('Gestión de abastecimiento'!A258)</f>
        <v>Beneficiaros 254</v>
      </c>
      <c r="BB257" s="27">
        <f>'Por Valoracion (3) Dimension'!F257</f>
        <v>22</v>
      </c>
      <c r="BC257" s="27">
        <f>'Por Valoracion (3) Dimension 2'!D257</f>
        <v>33</v>
      </c>
      <c r="BX257" s="36"/>
      <c r="BZ257" s="37"/>
      <c r="CB257" s="53" t="str">
        <f>('Gestión de abastecimiento'!A258)</f>
        <v>Beneficiaros 254</v>
      </c>
      <c r="CC257" s="27">
        <f>'Por Valoracion (3) Dimension 2'!B257</f>
        <v>33</v>
      </c>
      <c r="CD257" s="27">
        <f>'Por Valoracion (3) Dimension'!H257</f>
        <v>63</v>
      </c>
      <c r="CY257" s="37"/>
    </row>
    <row r="258" spans="1:103" x14ac:dyDescent="0.25">
      <c r="A258" s="36"/>
      <c r="C258" s="53" t="str">
        <f>('Gestión de abastecimiento'!A259)</f>
        <v>Beneficiaros 255</v>
      </c>
      <c r="D258" s="27">
        <f>'Por Valoracion (3) Dimension'!B258</f>
        <v>13</v>
      </c>
      <c r="E258" s="27">
        <f>'Por Valoracion (3) Dimension 2'!D258</f>
        <v>20</v>
      </c>
      <c r="Z258" s="36"/>
      <c r="AB258" s="53" t="str">
        <f>('Gestión de abastecimiento'!A259)</f>
        <v>Beneficiaros 255</v>
      </c>
      <c r="AC258" s="27">
        <f>'Por Valoracion (3) Dimension'!D258</f>
        <v>12</v>
      </c>
      <c r="AD258" s="27">
        <f>'Por Valoracion (3) Dimension 2'!D258</f>
        <v>20</v>
      </c>
      <c r="AY258" s="36"/>
      <c r="BA258" s="53" t="str">
        <f>('Gestión de abastecimiento'!A259)</f>
        <v>Beneficiaros 255</v>
      </c>
      <c r="BB258" s="27">
        <f>'Por Valoracion (3) Dimension'!F258</f>
        <v>12</v>
      </c>
      <c r="BC258" s="27">
        <f>'Por Valoracion (3) Dimension 2'!D258</f>
        <v>20</v>
      </c>
      <c r="BX258" s="36"/>
      <c r="BZ258" s="37"/>
      <c r="CB258" s="53" t="str">
        <f>('Gestión de abastecimiento'!A259)</f>
        <v>Beneficiaros 255</v>
      </c>
      <c r="CC258" s="27">
        <f>'Por Valoracion (3) Dimension 2'!B258</f>
        <v>20</v>
      </c>
      <c r="CD258" s="27">
        <f>'Por Valoracion (3) Dimension'!H258</f>
        <v>37</v>
      </c>
      <c r="CY258" s="37"/>
    </row>
    <row r="259" spans="1:103" x14ac:dyDescent="0.25">
      <c r="A259" s="36"/>
      <c r="C259" s="53" t="str">
        <f>('Gestión de abastecimiento'!A260)</f>
        <v>Beneficiaros 256</v>
      </c>
      <c r="D259" s="27">
        <f>'Por Valoracion (3) Dimension'!B259</f>
        <v>12</v>
      </c>
      <c r="E259" s="27">
        <f>'Por Valoracion (3) Dimension 2'!D259</f>
        <v>18</v>
      </c>
      <c r="Z259" s="36"/>
      <c r="AB259" s="53" t="str">
        <f>('Gestión de abastecimiento'!A260)</f>
        <v>Beneficiaros 256</v>
      </c>
      <c r="AC259" s="27">
        <f>'Por Valoracion (3) Dimension'!D259</f>
        <v>13</v>
      </c>
      <c r="AD259" s="27">
        <f>'Por Valoracion (3) Dimension 2'!D259</f>
        <v>18</v>
      </c>
      <c r="AY259" s="36"/>
      <c r="BA259" s="53" t="str">
        <f>('Gestión de abastecimiento'!A260)</f>
        <v>Beneficiaros 256</v>
      </c>
      <c r="BB259" s="27">
        <f>'Por Valoracion (3) Dimension'!F259</f>
        <v>12</v>
      </c>
      <c r="BC259" s="27">
        <f>'Por Valoracion (3) Dimension 2'!D259</f>
        <v>18</v>
      </c>
      <c r="BX259" s="36"/>
      <c r="BZ259" s="37"/>
      <c r="CB259" s="53" t="str">
        <f>('Gestión de abastecimiento'!A260)</f>
        <v>Beneficiaros 256</v>
      </c>
      <c r="CC259" s="27">
        <f>'Por Valoracion (3) Dimension 2'!B259</f>
        <v>18</v>
      </c>
      <c r="CD259" s="27">
        <f>'Por Valoracion (3) Dimension'!H259</f>
        <v>37</v>
      </c>
      <c r="CY259" s="37"/>
    </row>
    <row r="260" spans="1:103" x14ac:dyDescent="0.25">
      <c r="A260" s="36"/>
      <c r="C260" s="53" t="str">
        <f>('Gestión de abastecimiento'!A261)</f>
        <v>Beneficiaros 257</v>
      </c>
      <c r="D260" s="27">
        <f>'Por Valoracion (3) Dimension'!B260</f>
        <v>21</v>
      </c>
      <c r="E260" s="27">
        <f>'Por Valoracion (3) Dimension 2'!D260</f>
        <v>31</v>
      </c>
      <c r="Z260" s="36"/>
      <c r="AB260" s="53" t="str">
        <f>('Gestión de abastecimiento'!A261)</f>
        <v>Beneficiaros 257</v>
      </c>
      <c r="AC260" s="27">
        <f>'Por Valoracion (3) Dimension'!D260</f>
        <v>22</v>
      </c>
      <c r="AD260" s="27">
        <f>'Por Valoracion (3) Dimension 2'!D260</f>
        <v>31</v>
      </c>
      <c r="AY260" s="36"/>
      <c r="BA260" s="53" t="str">
        <f>('Gestión de abastecimiento'!A261)</f>
        <v>Beneficiaros 257</v>
      </c>
      <c r="BB260" s="27">
        <f>'Por Valoracion (3) Dimension'!F260</f>
        <v>20</v>
      </c>
      <c r="BC260" s="27">
        <f>'Por Valoracion (3) Dimension 2'!D260</f>
        <v>31</v>
      </c>
      <c r="BX260" s="36"/>
      <c r="BZ260" s="37"/>
      <c r="CB260" s="53" t="str">
        <f>('Gestión de abastecimiento'!A261)</f>
        <v>Beneficiaros 257</v>
      </c>
      <c r="CC260" s="27">
        <f>'Por Valoracion (3) Dimension 2'!B260</f>
        <v>31</v>
      </c>
      <c r="CD260" s="27">
        <f>'Por Valoracion (3) Dimension'!H260</f>
        <v>63</v>
      </c>
      <c r="CY260" s="37"/>
    </row>
    <row r="261" spans="1:103" x14ac:dyDescent="0.25">
      <c r="A261" s="36"/>
      <c r="C261" s="53" t="str">
        <f>('Gestión de abastecimiento'!A262)</f>
        <v>Beneficiaros 258</v>
      </c>
      <c r="D261" s="27">
        <f>'Por Valoracion (3) Dimension'!B261</f>
        <v>13</v>
      </c>
      <c r="E261" s="27">
        <f>'Por Valoracion (3) Dimension 2'!D261</f>
        <v>17</v>
      </c>
      <c r="Z261" s="36"/>
      <c r="AB261" s="53" t="str">
        <f>('Gestión de abastecimiento'!A262)</f>
        <v>Beneficiaros 258</v>
      </c>
      <c r="AC261" s="27">
        <f>'Por Valoracion (3) Dimension'!D261</f>
        <v>14</v>
      </c>
      <c r="AD261" s="27">
        <f>'Por Valoracion (3) Dimension 2'!D261</f>
        <v>17</v>
      </c>
      <c r="AY261" s="36"/>
      <c r="BA261" s="53" t="str">
        <f>('Gestión de abastecimiento'!A262)</f>
        <v>Beneficiaros 258</v>
      </c>
      <c r="BB261" s="27">
        <f>'Por Valoracion (3) Dimension'!F261</f>
        <v>12</v>
      </c>
      <c r="BC261" s="27">
        <f>'Por Valoracion (3) Dimension 2'!D261</f>
        <v>17</v>
      </c>
      <c r="BX261" s="36"/>
      <c r="BZ261" s="37"/>
      <c r="CB261" s="53" t="str">
        <f>('Gestión de abastecimiento'!A262)</f>
        <v>Beneficiaros 258</v>
      </c>
      <c r="CC261" s="27">
        <f>'Por Valoracion (3) Dimension 2'!B261</f>
        <v>17</v>
      </c>
      <c r="CD261" s="27">
        <f>'Por Valoracion (3) Dimension'!H261</f>
        <v>39</v>
      </c>
      <c r="CY261" s="37"/>
    </row>
    <row r="262" spans="1:103" x14ac:dyDescent="0.25">
      <c r="A262" s="36"/>
      <c r="C262" s="53" t="str">
        <f>('Gestión de abastecimiento'!A263)</f>
        <v>Beneficiaros 259</v>
      </c>
      <c r="D262" s="27">
        <f>'Por Valoracion (3) Dimension'!B262</f>
        <v>16</v>
      </c>
      <c r="E262" s="27">
        <f>'Por Valoracion (3) Dimension 2'!D262</f>
        <v>21</v>
      </c>
      <c r="Z262" s="36"/>
      <c r="AB262" s="53" t="str">
        <f>('Gestión de abastecimiento'!A263)</f>
        <v>Beneficiaros 259</v>
      </c>
      <c r="AC262" s="27">
        <f>'Por Valoracion (3) Dimension'!D262</f>
        <v>15</v>
      </c>
      <c r="AD262" s="27">
        <f>'Por Valoracion (3) Dimension 2'!D262</f>
        <v>21</v>
      </c>
      <c r="AY262" s="36"/>
      <c r="BA262" s="53" t="str">
        <f>('Gestión de abastecimiento'!A263)</f>
        <v>Beneficiaros 259</v>
      </c>
      <c r="BB262" s="27">
        <f>'Por Valoracion (3) Dimension'!F262</f>
        <v>13</v>
      </c>
      <c r="BC262" s="27">
        <f>'Por Valoracion (3) Dimension 2'!D262</f>
        <v>21</v>
      </c>
      <c r="BX262" s="36"/>
      <c r="BZ262" s="37"/>
      <c r="CB262" s="53" t="str">
        <f>('Gestión de abastecimiento'!A263)</f>
        <v>Beneficiaros 259</v>
      </c>
      <c r="CC262" s="27">
        <f>'Por Valoracion (3) Dimension 2'!B262</f>
        <v>21</v>
      </c>
      <c r="CD262" s="27">
        <f>'Por Valoracion (3) Dimension'!H262</f>
        <v>44</v>
      </c>
      <c r="CY262" s="37"/>
    </row>
    <row r="263" spans="1:103" x14ac:dyDescent="0.25">
      <c r="A263" s="36"/>
      <c r="C263" s="53" t="str">
        <f>('Gestión de abastecimiento'!A264)</f>
        <v>Beneficiaros 260</v>
      </c>
      <c r="D263" s="27">
        <f>'Por Valoracion (3) Dimension'!B263</f>
        <v>24</v>
      </c>
      <c r="E263" s="27">
        <f>'Por Valoracion (3) Dimension 2'!D263</f>
        <v>36</v>
      </c>
      <c r="Z263" s="36"/>
      <c r="AB263" s="53" t="str">
        <f>('Gestión de abastecimiento'!A264)</f>
        <v>Beneficiaros 260</v>
      </c>
      <c r="AC263" s="27">
        <f>'Por Valoracion (3) Dimension'!D263</f>
        <v>24</v>
      </c>
      <c r="AD263" s="27">
        <f>'Por Valoracion (3) Dimension 2'!D263</f>
        <v>36</v>
      </c>
      <c r="AY263" s="36"/>
      <c r="BA263" s="53" t="str">
        <f>('Gestión de abastecimiento'!A264)</f>
        <v>Beneficiaros 260</v>
      </c>
      <c r="BB263" s="27">
        <f>'Por Valoracion (3) Dimension'!F263</f>
        <v>24</v>
      </c>
      <c r="BC263" s="27">
        <f>'Por Valoracion (3) Dimension 2'!D263</f>
        <v>36</v>
      </c>
      <c r="BX263" s="36"/>
      <c r="BZ263" s="37"/>
      <c r="CB263" s="53" t="str">
        <f>('Gestión de abastecimiento'!A264)</f>
        <v>Beneficiaros 260</v>
      </c>
      <c r="CC263" s="27">
        <f>'Por Valoracion (3) Dimension 2'!B263</f>
        <v>36</v>
      </c>
      <c r="CD263" s="27">
        <f>'Por Valoracion (3) Dimension'!H263</f>
        <v>72</v>
      </c>
      <c r="CY263" s="37"/>
    </row>
    <row r="264" spans="1:103" x14ac:dyDescent="0.25">
      <c r="A264" s="36"/>
      <c r="C264" s="53" t="str">
        <f>('Gestión de abastecimiento'!A265)</f>
        <v>Beneficiaros 261</v>
      </c>
      <c r="D264" s="27">
        <f>'Por Valoracion (3) Dimension'!B264</f>
        <v>18</v>
      </c>
      <c r="E264" s="27">
        <f>'Por Valoracion (3) Dimension 2'!D264</f>
        <v>26</v>
      </c>
      <c r="Z264" s="36"/>
      <c r="AB264" s="53" t="str">
        <f>('Gestión de abastecimiento'!A265)</f>
        <v>Beneficiaros 261</v>
      </c>
      <c r="AC264" s="27">
        <f>'Por Valoracion (3) Dimension'!D264</f>
        <v>18</v>
      </c>
      <c r="AD264" s="27">
        <f>'Por Valoracion (3) Dimension 2'!D264</f>
        <v>26</v>
      </c>
      <c r="AY264" s="36"/>
      <c r="BA264" s="53" t="str">
        <f>('Gestión de abastecimiento'!A265)</f>
        <v>Beneficiaros 261</v>
      </c>
      <c r="BB264" s="27">
        <f>'Por Valoracion (3) Dimension'!F264</f>
        <v>18</v>
      </c>
      <c r="BC264" s="27">
        <f>'Por Valoracion (3) Dimension 2'!D264</f>
        <v>26</v>
      </c>
      <c r="BX264" s="36"/>
      <c r="BZ264" s="37"/>
      <c r="CB264" s="53" t="str">
        <f>('Gestión de abastecimiento'!A265)</f>
        <v>Beneficiaros 261</v>
      </c>
      <c r="CC264" s="27">
        <f>'Por Valoracion (3) Dimension 2'!B264</f>
        <v>26</v>
      </c>
      <c r="CD264" s="27">
        <f>'Por Valoracion (3) Dimension'!H264</f>
        <v>54</v>
      </c>
      <c r="CY264" s="37"/>
    </row>
    <row r="265" spans="1:103" x14ac:dyDescent="0.25">
      <c r="A265" s="36"/>
      <c r="C265" s="53" t="str">
        <f>('Gestión de abastecimiento'!A266)</f>
        <v>Beneficiaros 262</v>
      </c>
      <c r="D265" s="27">
        <f>'Por Valoracion (3) Dimension'!B265</f>
        <v>18</v>
      </c>
      <c r="E265" s="27">
        <f>'Por Valoracion (3) Dimension 2'!D265</f>
        <v>26</v>
      </c>
      <c r="Z265" s="36"/>
      <c r="AB265" s="53" t="str">
        <f>('Gestión de abastecimiento'!A266)</f>
        <v>Beneficiaros 262</v>
      </c>
      <c r="AC265" s="27">
        <f>'Por Valoracion (3) Dimension'!D265</f>
        <v>17</v>
      </c>
      <c r="AD265" s="27">
        <f>'Por Valoracion (3) Dimension 2'!D265</f>
        <v>26</v>
      </c>
      <c r="AY265" s="36"/>
      <c r="BA265" s="53" t="str">
        <f>('Gestión de abastecimiento'!A266)</f>
        <v>Beneficiaros 262</v>
      </c>
      <c r="BB265" s="27">
        <f>'Por Valoracion (3) Dimension'!F265</f>
        <v>18</v>
      </c>
      <c r="BC265" s="27">
        <f>'Por Valoracion (3) Dimension 2'!D265</f>
        <v>26</v>
      </c>
      <c r="BX265" s="36"/>
      <c r="BZ265" s="37"/>
      <c r="CB265" s="53" t="str">
        <f>('Gestión de abastecimiento'!A266)</f>
        <v>Beneficiaros 262</v>
      </c>
      <c r="CC265" s="27">
        <f>'Por Valoracion (3) Dimension 2'!B265</f>
        <v>26</v>
      </c>
      <c r="CD265" s="27">
        <f>'Por Valoracion (3) Dimension'!H265</f>
        <v>53</v>
      </c>
      <c r="CY265" s="37"/>
    </row>
    <row r="266" spans="1:103" x14ac:dyDescent="0.25">
      <c r="A266" s="36"/>
      <c r="C266" s="53" t="str">
        <f>('Gestión de abastecimiento'!A267)</f>
        <v>Beneficiaros 263</v>
      </c>
      <c r="D266" s="27">
        <f>'Por Valoracion (3) Dimension'!B266</f>
        <v>22</v>
      </c>
      <c r="E266" s="27">
        <f>'Por Valoracion (3) Dimension 2'!D266</f>
        <v>32</v>
      </c>
      <c r="Z266" s="36"/>
      <c r="AB266" s="53" t="str">
        <f>('Gestión de abastecimiento'!A267)</f>
        <v>Beneficiaros 263</v>
      </c>
      <c r="AC266" s="27">
        <f>'Por Valoracion (3) Dimension'!D266</f>
        <v>18</v>
      </c>
      <c r="AD266" s="27">
        <f>'Por Valoracion (3) Dimension 2'!D266</f>
        <v>32</v>
      </c>
      <c r="AY266" s="36"/>
      <c r="BA266" s="53" t="str">
        <f>('Gestión de abastecimiento'!A267)</f>
        <v>Beneficiaros 263</v>
      </c>
      <c r="BB266" s="27">
        <f>'Por Valoracion (3) Dimension'!F266</f>
        <v>20</v>
      </c>
      <c r="BC266" s="27">
        <f>'Por Valoracion (3) Dimension 2'!D266</f>
        <v>32</v>
      </c>
      <c r="BX266" s="36"/>
      <c r="BZ266" s="37"/>
      <c r="CB266" s="53" t="str">
        <f>('Gestión de abastecimiento'!A267)</f>
        <v>Beneficiaros 263</v>
      </c>
      <c r="CC266" s="27">
        <f>'Por Valoracion (3) Dimension 2'!B266</f>
        <v>32</v>
      </c>
      <c r="CD266" s="27">
        <f>'Por Valoracion (3) Dimension'!H266</f>
        <v>60</v>
      </c>
      <c r="CY266" s="37"/>
    </row>
    <row r="267" spans="1:103" x14ac:dyDescent="0.25">
      <c r="A267" s="36"/>
      <c r="C267" s="53" t="str">
        <f>('Gestión de abastecimiento'!A268)</f>
        <v>Beneficiaros 264</v>
      </c>
      <c r="D267" s="27">
        <f>'Por Valoracion (3) Dimension'!B267</f>
        <v>13</v>
      </c>
      <c r="E267" s="27">
        <f>'Por Valoracion (3) Dimension 2'!D267</f>
        <v>19</v>
      </c>
      <c r="Z267" s="36"/>
      <c r="AB267" s="53" t="str">
        <f>('Gestión de abastecimiento'!A268)</f>
        <v>Beneficiaros 264</v>
      </c>
      <c r="AC267" s="27">
        <f>'Por Valoracion (3) Dimension'!D267</f>
        <v>12</v>
      </c>
      <c r="AD267" s="27">
        <f>'Por Valoracion (3) Dimension 2'!D267</f>
        <v>19</v>
      </c>
      <c r="AY267" s="36"/>
      <c r="BA267" s="53" t="str">
        <f>('Gestión de abastecimiento'!A268)</f>
        <v>Beneficiaros 264</v>
      </c>
      <c r="BB267" s="27">
        <f>'Por Valoracion (3) Dimension'!F267</f>
        <v>13</v>
      </c>
      <c r="BC267" s="27">
        <f>'Por Valoracion (3) Dimension 2'!D267</f>
        <v>19</v>
      </c>
      <c r="BX267" s="36"/>
      <c r="BZ267" s="37"/>
      <c r="CB267" s="53" t="str">
        <f>('Gestión de abastecimiento'!A268)</f>
        <v>Beneficiaros 264</v>
      </c>
      <c r="CC267" s="27">
        <f>'Por Valoracion (3) Dimension 2'!B267</f>
        <v>19</v>
      </c>
      <c r="CD267" s="27">
        <f>'Por Valoracion (3) Dimension'!H267</f>
        <v>38</v>
      </c>
      <c r="CY267" s="37"/>
    </row>
    <row r="268" spans="1:103" x14ac:dyDescent="0.25">
      <c r="A268" s="36"/>
      <c r="C268" s="53" t="str">
        <f>('Gestión de abastecimiento'!A269)</f>
        <v>Beneficiaros 265</v>
      </c>
      <c r="D268" s="27">
        <f>'Por Valoracion (3) Dimension'!B268</f>
        <v>14</v>
      </c>
      <c r="E268" s="27">
        <f>'Por Valoracion (3) Dimension 2'!D268</f>
        <v>21</v>
      </c>
      <c r="Z268" s="36"/>
      <c r="AB268" s="53" t="str">
        <f>('Gestión de abastecimiento'!A269)</f>
        <v>Beneficiaros 265</v>
      </c>
      <c r="AC268" s="27">
        <f>'Por Valoracion (3) Dimension'!D268</f>
        <v>15</v>
      </c>
      <c r="AD268" s="27">
        <f>'Por Valoracion (3) Dimension 2'!D268</f>
        <v>21</v>
      </c>
      <c r="AY268" s="36"/>
      <c r="BA268" s="53" t="str">
        <f>('Gestión de abastecimiento'!A269)</f>
        <v>Beneficiaros 265</v>
      </c>
      <c r="BB268" s="27">
        <f>'Por Valoracion (3) Dimension'!F268</f>
        <v>15</v>
      </c>
      <c r="BC268" s="27">
        <f>'Por Valoracion (3) Dimension 2'!D268</f>
        <v>21</v>
      </c>
      <c r="BX268" s="36"/>
      <c r="BZ268" s="37"/>
      <c r="CB268" s="53" t="str">
        <f>('Gestión de abastecimiento'!A269)</f>
        <v>Beneficiaros 265</v>
      </c>
      <c r="CC268" s="27">
        <f>'Por Valoracion (3) Dimension 2'!B268</f>
        <v>21</v>
      </c>
      <c r="CD268" s="27">
        <f>'Por Valoracion (3) Dimension'!H268</f>
        <v>44</v>
      </c>
      <c r="CY268" s="37"/>
    </row>
    <row r="269" spans="1:103" x14ac:dyDescent="0.25">
      <c r="A269" s="36"/>
      <c r="C269" s="53" t="str">
        <f>('Gestión de abastecimiento'!A270)</f>
        <v>Beneficiaros 266</v>
      </c>
      <c r="D269" s="27">
        <f>'Por Valoracion (3) Dimension'!B269</f>
        <v>25</v>
      </c>
      <c r="E269" s="27">
        <f>'Por Valoracion (3) Dimension 2'!D269</f>
        <v>40</v>
      </c>
      <c r="Z269" s="36"/>
      <c r="AB269" s="53" t="str">
        <f>('Gestión de abastecimiento'!A270)</f>
        <v>Beneficiaros 266</v>
      </c>
      <c r="AC269" s="27">
        <f>'Por Valoracion (3) Dimension'!D269</f>
        <v>24</v>
      </c>
      <c r="AD269" s="27">
        <f>'Por Valoracion (3) Dimension 2'!D269</f>
        <v>40</v>
      </c>
      <c r="AY269" s="36"/>
      <c r="BA269" s="53" t="str">
        <f>('Gestión de abastecimiento'!A270)</f>
        <v>Beneficiaros 266</v>
      </c>
      <c r="BB269" s="27">
        <f>'Por Valoracion (3) Dimension'!F269</f>
        <v>25</v>
      </c>
      <c r="BC269" s="27">
        <f>'Por Valoracion (3) Dimension 2'!D269</f>
        <v>40</v>
      </c>
      <c r="BX269" s="36"/>
      <c r="BZ269" s="37"/>
      <c r="CB269" s="53" t="str">
        <f>('Gestión de abastecimiento'!A270)</f>
        <v>Beneficiaros 266</v>
      </c>
      <c r="CC269" s="27">
        <f>'Por Valoracion (3) Dimension 2'!B269</f>
        <v>40</v>
      </c>
      <c r="CD269" s="27">
        <f>'Por Valoracion (3) Dimension'!H269</f>
        <v>74</v>
      </c>
      <c r="CY269" s="37"/>
    </row>
    <row r="270" spans="1:103" x14ac:dyDescent="0.25">
      <c r="A270" s="36"/>
      <c r="C270" s="53" t="str">
        <f>('Gestión de abastecimiento'!A271)</f>
        <v>Beneficiaros 267</v>
      </c>
      <c r="D270" s="27">
        <f>'Por Valoracion (3) Dimension'!B270</f>
        <v>17</v>
      </c>
      <c r="E270" s="27">
        <f>'Por Valoracion (3) Dimension 2'!D270</f>
        <v>26</v>
      </c>
      <c r="Z270" s="36"/>
      <c r="AB270" s="53" t="str">
        <f>('Gestión de abastecimiento'!A271)</f>
        <v>Beneficiaros 267</v>
      </c>
      <c r="AC270" s="27">
        <f>'Por Valoracion (3) Dimension'!D270</f>
        <v>16</v>
      </c>
      <c r="AD270" s="27">
        <f>'Por Valoracion (3) Dimension 2'!D270</f>
        <v>26</v>
      </c>
      <c r="AY270" s="36"/>
      <c r="BA270" s="53" t="str">
        <f>('Gestión de abastecimiento'!A271)</f>
        <v>Beneficiaros 267</v>
      </c>
      <c r="BB270" s="27">
        <f>'Por Valoracion (3) Dimension'!F270</f>
        <v>15</v>
      </c>
      <c r="BC270" s="27">
        <f>'Por Valoracion (3) Dimension 2'!D270</f>
        <v>26</v>
      </c>
      <c r="BX270" s="36"/>
      <c r="BZ270" s="37"/>
      <c r="CB270" s="53" t="str">
        <f>('Gestión de abastecimiento'!A271)</f>
        <v>Beneficiaros 267</v>
      </c>
      <c r="CC270" s="27">
        <f>'Por Valoracion (3) Dimension 2'!B270</f>
        <v>26</v>
      </c>
      <c r="CD270" s="27">
        <f>'Por Valoracion (3) Dimension'!H270</f>
        <v>48</v>
      </c>
      <c r="CY270" s="37"/>
    </row>
    <row r="271" spans="1:103" x14ac:dyDescent="0.25">
      <c r="A271" s="36"/>
      <c r="C271" s="53" t="str">
        <f>('Gestión de abastecimiento'!A272)</f>
        <v>Beneficiaros 268</v>
      </c>
      <c r="D271" s="27">
        <f>'Por Valoracion (3) Dimension'!B271</f>
        <v>18</v>
      </c>
      <c r="E271" s="27">
        <f>'Por Valoracion (3) Dimension 2'!D271</f>
        <v>27</v>
      </c>
      <c r="Z271" s="36"/>
      <c r="AB271" s="53" t="str">
        <f>('Gestión de abastecimiento'!A272)</f>
        <v>Beneficiaros 268</v>
      </c>
      <c r="AC271" s="27">
        <f>'Por Valoracion (3) Dimension'!D271</f>
        <v>19</v>
      </c>
      <c r="AD271" s="27">
        <f>'Por Valoracion (3) Dimension 2'!D271</f>
        <v>27</v>
      </c>
      <c r="AY271" s="36"/>
      <c r="BA271" s="53" t="str">
        <f>('Gestión de abastecimiento'!A272)</f>
        <v>Beneficiaros 268</v>
      </c>
      <c r="BB271" s="27">
        <f>'Por Valoracion (3) Dimension'!F271</f>
        <v>18</v>
      </c>
      <c r="BC271" s="27">
        <f>'Por Valoracion (3) Dimension 2'!D271</f>
        <v>27</v>
      </c>
      <c r="BX271" s="36"/>
      <c r="BZ271" s="37"/>
      <c r="CB271" s="53" t="str">
        <f>('Gestión de abastecimiento'!A272)</f>
        <v>Beneficiaros 268</v>
      </c>
      <c r="CC271" s="27">
        <f>'Por Valoracion (3) Dimension 2'!B271</f>
        <v>27</v>
      </c>
      <c r="CD271" s="27">
        <f>'Por Valoracion (3) Dimension'!H271</f>
        <v>55</v>
      </c>
      <c r="CY271" s="37"/>
    </row>
    <row r="272" spans="1:103" x14ac:dyDescent="0.25">
      <c r="A272" s="36"/>
      <c r="C272" s="53" t="str">
        <f>('Gestión de abastecimiento'!A273)</f>
        <v>Beneficiaros 269</v>
      </c>
      <c r="D272" s="27">
        <f>'Por Valoracion (3) Dimension'!B272</f>
        <v>24</v>
      </c>
      <c r="E272" s="27">
        <f>'Por Valoracion (3) Dimension 2'!D272</f>
        <v>36</v>
      </c>
      <c r="Z272" s="36"/>
      <c r="AB272" s="53" t="str">
        <f>('Gestión de abastecimiento'!A273)</f>
        <v>Beneficiaros 269</v>
      </c>
      <c r="AC272" s="27">
        <f>'Por Valoracion (3) Dimension'!D272</f>
        <v>24</v>
      </c>
      <c r="AD272" s="27">
        <f>'Por Valoracion (3) Dimension 2'!D272</f>
        <v>36</v>
      </c>
      <c r="AY272" s="36"/>
      <c r="BA272" s="53" t="str">
        <f>('Gestión de abastecimiento'!A273)</f>
        <v>Beneficiaros 269</v>
      </c>
      <c r="BB272" s="27">
        <f>'Por Valoracion (3) Dimension'!F272</f>
        <v>24</v>
      </c>
      <c r="BC272" s="27">
        <f>'Por Valoracion (3) Dimension 2'!D272</f>
        <v>36</v>
      </c>
      <c r="BX272" s="36"/>
      <c r="BZ272" s="37"/>
      <c r="CB272" s="53" t="str">
        <f>('Gestión de abastecimiento'!A273)</f>
        <v>Beneficiaros 269</v>
      </c>
      <c r="CC272" s="27">
        <f>'Por Valoracion (3) Dimension 2'!B272</f>
        <v>36</v>
      </c>
      <c r="CD272" s="27">
        <f>'Por Valoracion (3) Dimension'!H272</f>
        <v>72</v>
      </c>
      <c r="CY272" s="37"/>
    </row>
    <row r="273" spans="1:103" x14ac:dyDescent="0.25">
      <c r="A273" s="36"/>
      <c r="C273" s="53" t="str">
        <f>('Gestión de abastecimiento'!A274)</f>
        <v>Beneficiaros 270</v>
      </c>
      <c r="D273" s="27">
        <f>'Por Valoracion (3) Dimension'!B273</f>
        <v>18</v>
      </c>
      <c r="E273" s="27">
        <f>'Por Valoracion (3) Dimension 2'!D273</f>
        <v>26</v>
      </c>
      <c r="Z273" s="36"/>
      <c r="AB273" s="53" t="str">
        <f>('Gestión de abastecimiento'!A274)</f>
        <v>Beneficiaros 270</v>
      </c>
      <c r="AC273" s="27">
        <f>'Por Valoracion (3) Dimension'!D273</f>
        <v>18</v>
      </c>
      <c r="AD273" s="27">
        <f>'Por Valoracion (3) Dimension 2'!D273</f>
        <v>26</v>
      </c>
      <c r="AY273" s="36"/>
      <c r="BA273" s="53" t="str">
        <f>('Gestión de abastecimiento'!A274)</f>
        <v>Beneficiaros 270</v>
      </c>
      <c r="BB273" s="27">
        <f>'Por Valoracion (3) Dimension'!F273</f>
        <v>18</v>
      </c>
      <c r="BC273" s="27">
        <f>'Por Valoracion (3) Dimension 2'!D273</f>
        <v>26</v>
      </c>
      <c r="BX273" s="36"/>
      <c r="BZ273" s="37"/>
      <c r="CB273" s="53" t="str">
        <f>('Gestión de abastecimiento'!A274)</f>
        <v>Beneficiaros 270</v>
      </c>
      <c r="CC273" s="27">
        <f>'Por Valoracion (3) Dimension 2'!B273</f>
        <v>26</v>
      </c>
      <c r="CD273" s="27">
        <f>'Por Valoracion (3) Dimension'!H273</f>
        <v>54</v>
      </c>
      <c r="CY273" s="37"/>
    </row>
    <row r="274" spans="1:103" x14ac:dyDescent="0.25">
      <c r="A274" s="36"/>
      <c r="C274" s="53" t="str">
        <f>('Gestión de abastecimiento'!A275)</f>
        <v>Beneficiaros 271</v>
      </c>
      <c r="D274" s="27">
        <f>'Por Valoracion (3) Dimension'!B274</f>
        <v>8</v>
      </c>
      <c r="E274" s="27">
        <f>'Por Valoracion (3) Dimension 2'!D274</f>
        <v>9</v>
      </c>
      <c r="Z274" s="36"/>
      <c r="AB274" s="53" t="str">
        <f>('Gestión de abastecimiento'!A275)</f>
        <v>Beneficiaros 271</v>
      </c>
      <c r="AC274" s="27">
        <f>'Por Valoracion (3) Dimension'!D274</f>
        <v>7</v>
      </c>
      <c r="AD274" s="27">
        <f>'Por Valoracion (3) Dimension 2'!D274</f>
        <v>9</v>
      </c>
      <c r="AY274" s="36"/>
      <c r="BA274" s="53" t="str">
        <f>('Gestión de abastecimiento'!A275)</f>
        <v>Beneficiaros 271</v>
      </c>
      <c r="BB274" s="27">
        <f>'Por Valoracion (3) Dimension'!F274</f>
        <v>6</v>
      </c>
      <c r="BC274" s="27">
        <f>'Por Valoracion (3) Dimension 2'!D274</f>
        <v>9</v>
      </c>
      <c r="BX274" s="36"/>
      <c r="BZ274" s="37"/>
      <c r="CB274" s="53" t="str">
        <f>('Gestión de abastecimiento'!A275)</f>
        <v>Beneficiaros 271</v>
      </c>
      <c r="CC274" s="27">
        <f>'Por Valoracion (3) Dimension 2'!B274</f>
        <v>9</v>
      </c>
      <c r="CD274" s="27">
        <f>'Por Valoracion (3) Dimension'!H274</f>
        <v>21</v>
      </c>
      <c r="CY274" s="37"/>
    </row>
    <row r="275" spans="1:103" x14ac:dyDescent="0.25">
      <c r="A275" s="36"/>
      <c r="C275" s="53" t="str">
        <f>('Gestión de abastecimiento'!A276)</f>
        <v>Beneficiaros 272</v>
      </c>
      <c r="D275" s="27">
        <f>'Por Valoracion (3) Dimension'!B275</f>
        <v>21</v>
      </c>
      <c r="E275" s="27">
        <f>'Por Valoracion (3) Dimension 2'!D275</f>
        <v>29</v>
      </c>
      <c r="Z275" s="36"/>
      <c r="AB275" s="53" t="str">
        <f>('Gestión de abastecimiento'!A276)</f>
        <v>Beneficiaros 272</v>
      </c>
      <c r="AC275" s="27">
        <f>'Por Valoracion (3) Dimension'!D275</f>
        <v>21</v>
      </c>
      <c r="AD275" s="27">
        <f>'Por Valoracion (3) Dimension 2'!D275</f>
        <v>29</v>
      </c>
      <c r="AY275" s="36"/>
      <c r="BA275" s="53" t="str">
        <f>('Gestión de abastecimiento'!A276)</f>
        <v>Beneficiaros 272</v>
      </c>
      <c r="BB275" s="27">
        <f>'Por Valoracion (3) Dimension'!F275</f>
        <v>19</v>
      </c>
      <c r="BC275" s="27">
        <f>'Por Valoracion (3) Dimension 2'!D275</f>
        <v>29</v>
      </c>
      <c r="BX275" s="36"/>
      <c r="BZ275" s="37"/>
      <c r="CB275" s="53" t="str">
        <f>('Gestión de abastecimiento'!A276)</f>
        <v>Beneficiaros 272</v>
      </c>
      <c r="CC275" s="27">
        <f>'Por Valoracion (3) Dimension 2'!B275</f>
        <v>29</v>
      </c>
      <c r="CD275" s="27">
        <f>'Por Valoracion (3) Dimension'!H275</f>
        <v>61</v>
      </c>
      <c r="CY275" s="37"/>
    </row>
    <row r="276" spans="1:103" x14ac:dyDescent="0.25">
      <c r="A276" s="36"/>
      <c r="C276" s="53" t="str">
        <f>('Gestión de abastecimiento'!A277)</f>
        <v>Beneficiaros 273</v>
      </c>
      <c r="D276" s="27">
        <f>'Por Valoracion (3) Dimension'!B276</f>
        <v>19</v>
      </c>
      <c r="E276" s="27">
        <f>'Por Valoracion (3) Dimension 2'!D276</f>
        <v>31</v>
      </c>
      <c r="Z276" s="36"/>
      <c r="AB276" s="53" t="str">
        <f>('Gestión de abastecimiento'!A277)</f>
        <v>Beneficiaros 273</v>
      </c>
      <c r="AC276" s="27">
        <f>'Por Valoracion (3) Dimension'!D276</f>
        <v>19</v>
      </c>
      <c r="AD276" s="27">
        <f>'Por Valoracion (3) Dimension 2'!D276</f>
        <v>31</v>
      </c>
      <c r="AY276" s="36"/>
      <c r="BA276" s="53" t="str">
        <f>('Gestión de abastecimiento'!A277)</f>
        <v>Beneficiaros 273</v>
      </c>
      <c r="BB276" s="27">
        <f>'Por Valoracion (3) Dimension'!F276</f>
        <v>20</v>
      </c>
      <c r="BC276" s="27">
        <f>'Por Valoracion (3) Dimension 2'!D276</f>
        <v>31</v>
      </c>
      <c r="BX276" s="36"/>
      <c r="BZ276" s="37"/>
      <c r="CB276" s="53" t="str">
        <f>('Gestión de abastecimiento'!A277)</f>
        <v>Beneficiaros 273</v>
      </c>
      <c r="CC276" s="27">
        <f>'Por Valoracion (3) Dimension 2'!B276</f>
        <v>31</v>
      </c>
      <c r="CD276" s="27">
        <f>'Por Valoracion (3) Dimension'!H276</f>
        <v>58</v>
      </c>
      <c r="CY276" s="37"/>
    </row>
    <row r="277" spans="1:103" x14ac:dyDescent="0.25">
      <c r="A277" s="36"/>
      <c r="C277" s="53" t="str">
        <f>('Gestión de abastecimiento'!A278)</f>
        <v>Beneficiaros 274</v>
      </c>
      <c r="D277" s="27">
        <f>'Por Valoracion (3) Dimension'!B277</f>
        <v>14</v>
      </c>
      <c r="E277" s="27">
        <f>'Por Valoracion (3) Dimension 2'!D277</f>
        <v>20</v>
      </c>
      <c r="Z277" s="36"/>
      <c r="AB277" s="53" t="str">
        <f>('Gestión de abastecimiento'!A278)</f>
        <v>Beneficiaros 274</v>
      </c>
      <c r="AC277" s="27">
        <f>'Por Valoracion (3) Dimension'!D277</f>
        <v>12</v>
      </c>
      <c r="AD277" s="27">
        <f>'Por Valoracion (3) Dimension 2'!D277</f>
        <v>20</v>
      </c>
      <c r="AY277" s="36"/>
      <c r="BA277" s="53" t="str">
        <f>('Gestión de abastecimiento'!A278)</f>
        <v>Beneficiaros 274</v>
      </c>
      <c r="BB277" s="27">
        <f>'Por Valoracion (3) Dimension'!F277</f>
        <v>13</v>
      </c>
      <c r="BC277" s="27">
        <f>'Por Valoracion (3) Dimension 2'!D277</f>
        <v>20</v>
      </c>
      <c r="BX277" s="36"/>
      <c r="BZ277" s="37"/>
      <c r="CB277" s="53" t="str">
        <f>('Gestión de abastecimiento'!A278)</f>
        <v>Beneficiaros 274</v>
      </c>
      <c r="CC277" s="27">
        <f>'Por Valoracion (3) Dimension 2'!B277</f>
        <v>20</v>
      </c>
      <c r="CD277" s="27">
        <f>'Por Valoracion (3) Dimension'!H277</f>
        <v>39</v>
      </c>
      <c r="CY277" s="37"/>
    </row>
    <row r="278" spans="1:103" x14ac:dyDescent="0.25">
      <c r="A278" s="36"/>
      <c r="C278" s="53" t="str">
        <f>('Gestión de abastecimiento'!A279)</f>
        <v>Beneficiaros 275</v>
      </c>
      <c r="D278" s="27">
        <f>'Por Valoracion (3) Dimension'!B278</f>
        <v>18</v>
      </c>
      <c r="E278" s="27">
        <f>'Por Valoracion (3) Dimension 2'!D278</f>
        <v>25</v>
      </c>
      <c r="Z278" s="36"/>
      <c r="AB278" s="53" t="str">
        <f>('Gestión de abastecimiento'!A279)</f>
        <v>Beneficiaros 275</v>
      </c>
      <c r="AC278" s="27">
        <f>'Por Valoracion (3) Dimension'!D278</f>
        <v>19</v>
      </c>
      <c r="AD278" s="27">
        <f>'Por Valoracion (3) Dimension 2'!D278</f>
        <v>25</v>
      </c>
      <c r="AY278" s="36"/>
      <c r="BA278" s="53" t="str">
        <f>('Gestión de abastecimiento'!A279)</f>
        <v>Beneficiaros 275</v>
      </c>
      <c r="BB278" s="27">
        <f>'Por Valoracion (3) Dimension'!F278</f>
        <v>17</v>
      </c>
      <c r="BC278" s="27">
        <f>'Por Valoracion (3) Dimension 2'!D278</f>
        <v>25</v>
      </c>
      <c r="BX278" s="36"/>
      <c r="BZ278" s="37"/>
      <c r="CB278" s="53" t="str">
        <f>('Gestión de abastecimiento'!A279)</f>
        <v>Beneficiaros 275</v>
      </c>
      <c r="CC278" s="27">
        <f>'Por Valoracion (3) Dimension 2'!B278</f>
        <v>25</v>
      </c>
      <c r="CD278" s="27">
        <f>'Por Valoracion (3) Dimension'!H278</f>
        <v>54</v>
      </c>
      <c r="CY278" s="37"/>
    </row>
    <row r="279" spans="1:103" x14ac:dyDescent="0.25">
      <c r="A279" s="36"/>
      <c r="C279" s="53" t="str">
        <f>('Gestión de abastecimiento'!A280)</f>
        <v>Beneficiaros 276</v>
      </c>
      <c r="D279" s="27">
        <f>'Por Valoracion (3) Dimension'!B279</f>
        <v>12</v>
      </c>
      <c r="E279" s="27">
        <f>'Por Valoracion (3) Dimension 2'!D279</f>
        <v>17</v>
      </c>
      <c r="Z279" s="36"/>
      <c r="AB279" s="53" t="str">
        <f>('Gestión de abastecimiento'!A280)</f>
        <v>Beneficiaros 276</v>
      </c>
      <c r="AC279" s="27">
        <f>'Por Valoracion (3) Dimension'!D279</f>
        <v>12</v>
      </c>
      <c r="AD279" s="27">
        <f>'Por Valoracion (3) Dimension 2'!D279</f>
        <v>17</v>
      </c>
      <c r="AY279" s="36"/>
      <c r="BA279" s="53" t="str">
        <f>('Gestión de abastecimiento'!A280)</f>
        <v>Beneficiaros 276</v>
      </c>
      <c r="BB279" s="27">
        <f>'Por Valoracion (3) Dimension'!F279</f>
        <v>10</v>
      </c>
      <c r="BC279" s="27">
        <f>'Por Valoracion (3) Dimension 2'!D279</f>
        <v>17</v>
      </c>
      <c r="BX279" s="36"/>
      <c r="BZ279" s="37"/>
      <c r="CB279" s="53" t="str">
        <f>('Gestión de abastecimiento'!A280)</f>
        <v>Beneficiaros 276</v>
      </c>
      <c r="CC279" s="27">
        <f>'Por Valoracion (3) Dimension 2'!B279</f>
        <v>17</v>
      </c>
      <c r="CD279" s="27">
        <f>'Por Valoracion (3) Dimension'!H279</f>
        <v>34</v>
      </c>
      <c r="CY279" s="37"/>
    </row>
    <row r="280" spans="1:103" x14ac:dyDescent="0.25">
      <c r="A280" s="36"/>
      <c r="C280" s="53" t="str">
        <f>('Gestión de abastecimiento'!A281)</f>
        <v>Beneficiaros 277</v>
      </c>
      <c r="D280" s="27">
        <f>'Por Valoracion (3) Dimension'!B280</f>
        <v>24</v>
      </c>
      <c r="E280" s="27">
        <f>'Por Valoracion (3) Dimension 2'!D280</f>
        <v>35</v>
      </c>
      <c r="Z280" s="36"/>
      <c r="AB280" s="53" t="str">
        <f>('Gestión de abastecimiento'!A281)</f>
        <v>Beneficiaros 277</v>
      </c>
      <c r="AC280" s="27">
        <f>'Por Valoracion (3) Dimension'!D280</f>
        <v>24</v>
      </c>
      <c r="AD280" s="27">
        <f>'Por Valoracion (3) Dimension 2'!D280</f>
        <v>35</v>
      </c>
      <c r="AY280" s="36"/>
      <c r="BA280" s="53" t="str">
        <f>('Gestión de abastecimiento'!A281)</f>
        <v>Beneficiaros 277</v>
      </c>
      <c r="BB280" s="27">
        <f>'Por Valoracion (3) Dimension'!F280</f>
        <v>24</v>
      </c>
      <c r="BC280" s="27">
        <f>'Por Valoracion (3) Dimension 2'!D280</f>
        <v>35</v>
      </c>
      <c r="BX280" s="36"/>
      <c r="BZ280" s="37"/>
      <c r="CB280" s="53" t="str">
        <f>('Gestión de abastecimiento'!A281)</f>
        <v>Beneficiaros 277</v>
      </c>
      <c r="CC280" s="27">
        <f>'Por Valoracion (3) Dimension 2'!B280</f>
        <v>35</v>
      </c>
      <c r="CD280" s="27">
        <f>'Por Valoracion (3) Dimension'!H280</f>
        <v>72</v>
      </c>
      <c r="CY280" s="37"/>
    </row>
    <row r="281" spans="1:103" x14ac:dyDescent="0.25">
      <c r="A281" s="36"/>
      <c r="C281" s="53" t="str">
        <f>('Gestión de abastecimiento'!A282)</f>
        <v>Beneficiaros 278</v>
      </c>
      <c r="D281" s="27">
        <f>'Por Valoracion (3) Dimension'!B281</f>
        <v>20</v>
      </c>
      <c r="E281" s="27">
        <f>'Por Valoracion (3) Dimension 2'!D281</f>
        <v>28</v>
      </c>
      <c r="Z281" s="36"/>
      <c r="AB281" s="53" t="str">
        <f>('Gestión de abastecimiento'!A282)</f>
        <v>Beneficiaros 278</v>
      </c>
      <c r="AC281" s="27">
        <f>'Por Valoracion (3) Dimension'!D281</f>
        <v>19</v>
      </c>
      <c r="AD281" s="27">
        <f>'Por Valoracion (3) Dimension 2'!D281</f>
        <v>28</v>
      </c>
      <c r="AY281" s="36"/>
      <c r="BA281" s="53" t="str">
        <f>('Gestión de abastecimiento'!A282)</f>
        <v>Beneficiaros 278</v>
      </c>
      <c r="BB281" s="27">
        <f>'Por Valoracion (3) Dimension'!F281</f>
        <v>19</v>
      </c>
      <c r="BC281" s="27">
        <f>'Por Valoracion (3) Dimension 2'!D281</f>
        <v>28</v>
      </c>
      <c r="BX281" s="36"/>
      <c r="BZ281" s="37"/>
      <c r="CB281" s="53" t="str">
        <f>('Gestión de abastecimiento'!A282)</f>
        <v>Beneficiaros 278</v>
      </c>
      <c r="CC281" s="27">
        <f>'Por Valoracion (3) Dimension 2'!B281</f>
        <v>28</v>
      </c>
      <c r="CD281" s="27">
        <f>'Por Valoracion (3) Dimension'!H281</f>
        <v>58</v>
      </c>
      <c r="CY281" s="37"/>
    </row>
    <row r="282" spans="1:103" x14ac:dyDescent="0.25">
      <c r="A282" s="36"/>
      <c r="C282" s="53" t="str">
        <f>('Gestión de abastecimiento'!A283)</f>
        <v>Beneficiaros 279</v>
      </c>
      <c r="D282" s="27">
        <f>'Por Valoracion (3) Dimension'!B282</f>
        <v>18</v>
      </c>
      <c r="E282" s="27">
        <f>'Por Valoracion (3) Dimension 2'!D282</f>
        <v>28</v>
      </c>
      <c r="Z282" s="36"/>
      <c r="AB282" s="53" t="str">
        <f>('Gestión de abastecimiento'!A283)</f>
        <v>Beneficiaros 279</v>
      </c>
      <c r="AC282" s="27">
        <f>'Por Valoracion (3) Dimension'!D282</f>
        <v>18</v>
      </c>
      <c r="AD282" s="27">
        <f>'Por Valoracion (3) Dimension 2'!D282</f>
        <v>28</v>
      </c>
      <c r="AY282" s="36"/>
      <c r="BA282" s="53" t="str">
        <f>('Gestión de abastecimiento'!A283)</f>
        <v>Beneficiaros 279</v>
      </c>
      <c r="BB282" s="27">
        <f>'Por Valoracion (3) Dimension'!F282</f>
        <v>18</v>
      </c>
      <c r="BC282" s="27">
        <f>'Por Valoracion (3) Dimension 2'!D282</f>
        <v>28</v>
      </c>
      <c r="BX282" s="36"/>
      <c r="BZ282" s="37"/>
      <c r="CB282" s="53" t="str">
        <f>('Gestión de abastecimiento'!A283)</f>
        <v>Beneficiaros 279</v>
      </c>
      <c r="CC282" s="27">
        <f>'Por Valoracion (3) Dimension 2'!B282</f>
        <v>28</v>
      </c>
      <c r="CD282" s="27">
        <f>'Por Valoracion (3) Dimension'!H282</f>
        <v>54</v>
      </c>
      <c r="CY282" s="37"/>
    </row>
    <row r="283" spans="1:103" x14ac:dyDescent="0.25">
      <c r="A283" s="36"/>
      <c r="C283" s="53" t="str">
        <f>('Gestión de abastecimiento'!A284)</f>
        <v>Beneficiaros 280</v>
      </c>
      <c r="D283" s="27">
        <f>'Por Valoracion (3) Dimension'!B283</f>
        <v>18</v>
      </c>
      <c r="E283" s="27">
        <f>'Por Valoracion (3) Dimension 2'!D283</f>
        <v>26</v>
      </c>
      <c r="Z283" s="36"/>
      <c r="AB283" s="53" t="str">
        <f>('Gestión de abastecimiento'!A284)</f>
        <v>Beneficiaros 280</v>
      </c>
      <c r="AC283" s="27">
        <f>'Por Valoracion (3) Dimension'!D283</f>
        <v>17</v>
      </c>
      <c r="AD283" s="27">
        <f>'Por Valoracion (3) Dimension 2'!D283</f>
        <v>26</v>
      </c>
      <c r="AY283" s="36"/>
      <c r="BA283" s="53" t="str">
        <f>('Gestión de abastecimiento'!A284)</f>
        <v>Beneficiaros 280</v>
      </c>
      <c r="BB283" s="27">
        <f>'Por Valoracion (3) Dimension'!F283</f>
        <v>17</v>
      </c>
      <c r="BC283" s="27">
        <f>'Por Valoracion (3) Dimension 2'!D283</f>
        <v>26</v>
      </c>
      <c r="BX283" s="36"/>
      <c r="BZ283" s="37"/>
      <c r="CB283" s="53" t="str">
        <f>('Gestión de abastecimiento'!A284)</f>
        <v>Beneficiaros 280</v>
      </c>
      <c r="CC283" s="27">
        <f>'Por Valoracion (3) Dimension 2'!B283</f>
        <v>26</v>
      </c>
      <c r="CD283" s="27">
        <f>'Por Valoracion (3) Dimension'!H283</f>
        <v>52</v>
      </c>
      <c r="CY283" s="37"/>
    </row>
    <row r="284" spans="1:103" x14ac:dyDescent="0.25">
      <c r="A284" s="36"/>
      <c r="C284" s="53" t="str">
        <f>('Gestión de abastecimiento'!A285)</f>
        <v>Beneficiaros 281</v>
      </c>
      <c r="D284" s="27">
        <f>'Por Valoracion (3) Dimension'!B284</f>
        <v>15</v>
      </c>
      <c r="E284" s="27">
        <f>'Por Valoracion (3) Dimension 2'!D284</f>
        <v>19</v>
      </c>
      <c r="Z284" s="36"/>
      <c r="AB284" s="53" t="str">
        <f>('Gestión de abastecimiento'!A285)</f>
        <v>Beneficiaros 281</v>
      </c>
      <c r="AC284" s="27">
        <f>'Por Valoracion (3) Dimension'!D284</f>
        <v>14</v>
      </c>
      <c r="AD284" s="27">
        <f>'Por Valoracion (3) Dimension 2'!D284</f>
        <v>19</v>
      </c>
      <c r="AY284" s="36"/>
      <c r="BA284" s="53" t="str">
        <f>('Gestión de abastecimiento'!A285)</f>
        <v>Beneficiaros 281</v>
      </c>
      <c r="BB284" s="27">
        <f>'Por Valoracion (3) Dimension'!F284</f>
        <v>12</v>
      </c>
      <c r="BC284" s="27">
        <f>'Por Valoracion (3) Dimension 2'!D284</f>
        <v>19</v>
      </c>
      <c r="BX284" s="36"/>
      <c r="BZ284" s="37"/>
      <c r="CB284" s="53" t="str">
        <f>('Gestión de abastecimiento'!A285)</f>
        <v>Beneficiaros 281</v>
      </c>
      <c r="CC284" s="27">
        <f>'Por Valoracion (3) Dimension 2'!B284</f>
        <v>19</v>
      </c>
      <c r="CD284" s="27">
        <f>'Por Valoracion (3) Dimension'!H284</f>
        <v>41</v>
      </c>
      <c r="CY284" s="37"/>
    </row>
    <row r="285" spans="1:103" x14ac:dyDescent="0.25">
      <c r="A285" s="36"/>
      <c r="C285" s="53" t="str">
        <f>('Gestión de abastecimiento'!A286)</f>
        <v>Beneficiaros 282</v>
      </c>
      <c r="D285" s="27">
        <f>'Por Valoracion (3) Dimension'!B285</f>
        <v>12</v>
      </c>
      <c r="E285" s="27">
        <f>'Por Valoracion (3) Dimension 2'!D285</f>
        <v>18</v>
      </c>
      <c r="Z285" s="36"/>
      <c r="AB285" s="53" t="str">
        <f>('Gestión de abastecimiento'!A286)</f>
        <v>Beneficiaros 282</v>
      </c>
      <c r="AC285" s="27">
        <f>'Por Valoracion (3) Dimension'!D285</f>
        <v>11</v>
      </c>
      <c r="AD285" s="27">
        <f>'Por Valoracion (3) Dimension 2'!D285</f>
        <v>18</v>
      </c>
      <c r="AY285" s="36"/>
      <c r="BA285" s="53" t="str">
        <f>('Gestión de abastecimiento'!A286)</f>
        <v>Beneficiaros 282</v>
      </c>
      <c r="BB285" s="27">
        <f>'Por Valoracion (3) Dimension'!F285</f>
        <v>11</v>
      </c>
      <c r="BC285" s="27">
        <f>'Por Valoracion (3) Dimension 2'!D285</f>
        <v>18</v>
      </c>
      <c r="BX285" s="36"/>
      <c r="BZ285" s="37"/>
      <c r="CB285" s="53" t="str">
        <f>('Gestión de abastecimiento'!A286)</f>
        <v>Beneficiaros 282</v>
      </c>
      <c r="CC285" s="27">
        <f>'Por Valoracion (3) Dimension 2'!B285</f>
        <v>18</v>
      </c>
      <c r="CD285" s="27">
        <f>'Por Valoracion (3) Dimension'!H285</f>
        <v>34</v>
      </c>
      <c r="CY285" s="37"/>
    </row>
    <row r="286" spans="1:103" x14ac:dyDescent="0.25">
      <c r="A286" s="36"/>
      <c r="C286" s="53" t="str">
        <f>('Gestión de abastecimiento'!A287)</f>
        <v>Beneficiaros 283</v>
      </c>
      <c r="D286" s="27">
        <f>'Por Valoracion (3) Dimension'!B286</f>
        <v>18</v>
      </c>
      <c r="E286" s="27">
        <f>'Por Valoracion (3) Dimension 2'!D286</f>
        <v>27</v>
      </c>
      <c r="Z286" s="36"/>
      <c r="AB286" s="53" t="str">
        <f>('Gestión de abastecimiento'!A287)</f>
        <v>Beneficiaros 283</v>
      </c>
      <c r="AC286" s="27">
        <f>'Por Valoracion (3) Dimension'!D286</f>
        <v>19</v>
      </c>
      <c r="AD286" s="27">
        <f>'Por Valoracion (3) Dimension 2'!D286</f>
        <v>27</v>
      </c>
      <c r="AY286" s="36"/>
      <c r="BA286" s="53" t="str">
        <f>('Gestión de abastecimiento'!A287)</f>
        <v>Beneficiaros 283</v>
      </c>
      <c r="BB286" s="27">
        <f>'Por Valoracion (3) Dimension'!F286</f>
        <v>19</v>
      </c>
      <c r="BC286" s="27">
        <f>'Por Valoracion (3) Dimension 2'!D286</f>
        <v>27</v>
      </c>
      <c r="BX286" s="36"/>
      <c r="BZ286" s="37"/>
      <c r="CB286" s="53" t="str">
        <f>('Gestión de abastecimiento'!A287)</f>
        <v>Beneficiaros 283</v>
      </c>
      <c r="CC286" s="27">
        <f>'Por Valoracion (3) Dimension 2'!B286</f>
        <v>27</v>
      </c>
      <c r="CD286" s="27">
        <f>'Por Valoracion (3) Dimension'!H286</f>
        <v>56</v>
      </c>
      <c r="CY286" s="37"/>
    </row>
    <row r="287" spans="1:103" x14ac:dyDescent="0.25">
      <c r="A287" s="36"/>
      <c r="C287" s="53" t="str">
        <f>('Gestión de abastecimiento'!A288)</f>
        <v>Beneficiaros 284</v>
      </c>
      <c r="D287" s="27">
        <f>'Por Valoracion (3) Dimension'!B287</f>
        <v>17</v>
      </c>
      <c r="E287" s="27">
        <f>'Por Valoracion (3) Dimension 2'!D287</f>
        <v>27</v>
      </c>
      <c r="Z287" s="36"/>
      <c r="AB287" s="53" t="str">
        <f>('Gestión de abastecimiento'!A288)</f>
        <v>Beneficiaros 284</v>
      </c>
      <c r="AC287" s="27">
        <f>'Por Valoracion (3) Dimension'!D287</f>
        <v>18</v>
      </c>
      <c r="AD287" s="27">
        <f>'Por Valoracion (3) Dimension 2'!D287</f>
        <v>27</v>
      </c>
      <c r="AY287" s="36"/>
      <c r="BA287" s="53" t="str">
        <f>('Gestión de abastecimiento'!A288)</f>
        <v>Beneficiaros 284</v>
      </c>
      <c r="BB287" s="27">
        <f>'Por Valoracion (3) Dimension'!F287</f>
        <v>18</v>
      </c>
      <c r="BC287" s="27">
        <f>'Por Valoracion (3) Dimension 2'!D287</f>
        <v>27</v>
      </c>
      <c r="BX287" s="36"/>
      <c r="BZ287" s="37"/>
      <c r="CB287" s="53" t="str">
        <f>('Gestión de abastecimiento'!A288)</f>
        <v>Beneficiaros 284</v>
      </c>
      <c r="CC287" s="27">
        <f>'Por Valoracion (3) Dimension 2'!B287</f>
        <v>27</v>
      </c>
      <c r="CD287" s="27">
        <f>'Por Valoracion (3) Dimension'!H287</f>
        <v>53</v>
      </c>
      <c r="CY287" s="37"/>
    </row>
    <row r="288" spans="1:103" x14ac:dyDescent="0.25">
      <c r="A288" s="36"/>
      <c r="C288" s="53" t="str">
        <f>('Gestión de abastecimiento'!A289)</f>
        <v>Beneficiaros 285</v>
      </c>
      <c r="D288" s="27">
        <f>'Por Valoracion (3) Dimension'!B288</f>
        <v>16</v>
      </c>
      <c r="E288" s="27">
        <f>'Por Valoracion (3) Dimension 2'!D288</f>
        <v>26</v>
      </c>
      <c r="Z288" s="36"/>
      <c r="AB288" s="53" t="str">
        <f>('Gestión de abastecimiento'!A289)</f>
        <v>Beneficiaros 285</v>
      </c>
      <c r="AC288" s="27">
        <f>'Por Valoracion (3) Dimension'!D288</f>
        <v>16</v>
      </c>
      <c r="AD288" s="27">
        <f>'Por Valoracion (3) Dimension 2'!D288</f>
        <v>26</v>
      </c>
      <c r="AY288" s="36"/>
      <c r="BA288" s="53" t="str">
        <f>('Gestión de abastecimiento'!A289)</f>
        <v>Beneficiaros 285</v>
      </c>
      <c r="BB288" s="27">
        <f>'Por Valoracion (3) Dimension'!F288</f>
        <v>15</v>
      </c>
      <c r="BC288" s="27">
        <f>'Por Valoracion (3) Dimension 2'!D288</f>
        <v>26</v>
      </c>
      <c r="BX288" s="36"/>
      <c r="BZ288" s="37"/>
      <c r="CB288" s="53" t="str">
        <f>('Gestión de abastecimiento'!A289)</f>
        <v>Beneficiaros 285</v>
      </c>
      <c r="CC288" s="27">
        <f>'Por Valoracion (3) Dimension 2'!B288</f>
        <v>26</v>
      </c>
      <c r="CD288" s="27">
        <f>'Por Valoracion (3) Dimension'!H288</f>
        <v>47</v>
      </c>
      <c r="CY288" s="37"/>
    </row>
    <row r="289" spans="1:103" x14ac:dyDescent="0.25">
      <c r="A289" s="36"/>
      <c r="C289" s="53" t="str">
        <f>('Gestión de abastecimiento'!A290)</f>
        <v>Beneficiaros 286</v>
      </c>
      <c r="D289" s="27">
        <f>'Por Valoracion (3) Dimension'!B289</f>
        <v>18</v>
      </c>
      <c r="E289" s="27">
        <f>'Por Valoracion (3) Dimension 2'!D289</f>
        <v>27</v>
      </c>
      <c r="Z289" s="36"/>
      <c r="AB289" s="53" t="str">
        <f>('Gestión de abastecimiento'!A290)</f>
        <v>Beneficiaros 286</v>
      </c>
      <c r="AC289" s="27">
        <f>'Por Valoracion (3) Dimension'!D289</f>
        <v>18</v>
      </c>
      <c r="AD289" s="27">
        <f>'Por Valoracion (3) Dimension 2'!D289</f>
        <v>27</v>
      </c>
      <c r="AY289" s="36"/>
      <c r="BA289" s="53" t="str">
        <f>('Gestión de abastecimiento'!A290)</f>
        <v>Beneficiaros 286</v>
      </c>
      <c r="BB289" s="27">
        <f>'Por Valoracion (3) Dimension'!F289</f>
        <v>17</v>
      </c>
      <c r="BC289" s="27">
        <f>'Por Valoracion (3) Dimension 2'!D289</f>
        <v>27</v>
      </c>
      <c r="BX289" s="36"/>
      <c r="BZ289" s="37"/>
      <c r="CB289" s="53" t="str">
        <f>('Gestión de abastecimiento'!A290)</f>
        <v>Beneficiaros 286</v>
      </c>
      <c r="CC289" s="27">
        <f>'Por Valoracion (3) Dimension 2'!B289</f>
        <v>27</v>
      </c>
      <c r="CD289" s="27">
        <f>'Por Valoracion (3) Dimension'!H289</f>
        <v>53</v>
      </c>
      <c r="CY289" s="37"/>
    </row>
    <row r="290" spans="1:103" x14ac:dyDescent="0.25">
      <c r="A290" s="36"/>
      <c r="C290" s="53" t="str">
        <f>('Gestión de abastecimiento'!A291)</f>
        <v>Beneficiaros 287</v>
      </c>
      <c r="D290" s="27">
        <f>'Por Valoracion (3) Dimension'!B290</f>
        <v>17</v>
      </c>
      <c r="E290" s="27">
        <f>'Por Valoracion (3) Dimension 2'!D290</f>
        <v>23</v>
      </c>
      <c r="Z290" s="36"/>
      <c r="AB290" s="53" t="str">
        <f>('Gestión de abastecimiento'!A291)</f>
        <v>Beneficiaros 287</v>
      </c>
      <c r="AC290" s="27">
        <f>'Por Valoracion (3) Dimension'!D290</f>
        <v>15</v>
      </c>
      <c r="AD290" s="27">
        <f>'Por Valoracion (3) Dimension 2'!D290</f>
        <v>23</v>
      </c>
      <c r="AY290" s="36"/>
      <c r="BA290" s="53" t="str">
        <f>('Gestión de abastecimiento'!A291)</f>
        <v>Beneficiaros 287</v>
      </c>
      <c r="BB290" s="27">
        <f>'Por Valoracion (3) Dimension'!F290</f>
        <v>17</v>
      </c>
      <c r="BC290" s="27">
        <f>'Por Valoracion (3) Dimension 2'!D290</f>
        <v>23</v>
      </c>
      <c r="BX290" s="36"/>
      <c r="BZ290" s="37"/>
      <c r="CB290" s="53" t="str">
        <f>('Gestión de abastecimiento'!A291)</f>
        <v>Beneficiaros 287</v>
      </c>
      <c r="CC290" s="27">
        <f>'Por Valoracion (3) Dimension 2'!B290</f>
        <v>23</v>
      </c>
      <c r="CD290" s="27">
        <f>'Por Valoracion (3) Dimension'!H290</f>
        <v>49</v>
      </c>
      <c r="CY290" s="37"/>
    </row>
    <row r="291" spans="1:103" x14ac:dyDescent="0.25">
      <c r="A291" s="36"/>
      <c r="C291" s="53" t="str">
        <f>('Gestión de abastecimiento'!A292)</f>
        <v>Beneficiaros 288</v>
      </c>
      <c r="D291" s="27">
        <f>'Por Valoracion (3) Dimension'!B291</f>
        <v>12</v>
      </c>
      <c r="E291" s="27">
        <f>'Por Valoracion (3) Dimension 2'!D291</f>
        <v>18</v>
      </c>
      <c r="Z291" s="36"/>
      <c r="AB291" s="53" t="str">
        <f>('Gestión de abastecimiento'!A292)</f>
        <v>Beneficiaros 288</v>
      </c>
      <c r="AC291" s="27">
        <f>'Por Valoracion (3) Dimension'!D291</f>
        <v>13</v>
      </c>
      <c r="AD291" s="27">
        <f>'Por Valoracion (3) Dimension 2'!D291</f>
        <v>18</v>
      </c>
      <c r="AY291" s="36"/>
      <c r="BA291" s="53" t="str">
        <f>('Gestión de abastecimiento'!A292)</f>
        <v>Beneficiaros 288</v>
      </c>
      <c r="BB291" s="27">
        <f>'Por Valoracion (3) Dimension'!F291</f>
        <v>13</v>
      </c>
      <c r="BC291" s="27">
        <f>'Por Valoracion (3) Dimension 2'!D291</f>
        <v>18</v>
      </c>
      <c r="BX291" s="36"/>
      <c r="BZ291" s="37"/>
      <c r="CB291" s="53" t="str">
        <f>('Gestión de abastecimiento'!A292)</f>
        <v>Beneficiaros 288</v>
      </c>
      <c r="CC291" s="27">
        <f>'Por Valoracion (3) Dimension 2'!B291</f>
        <v>18</v>
      </c>
      <c r="CD291" s="27">
        <f>'Por Valoracion (3) Dimension'!H291</f>
        <v>38</v>
      </c>
      <c r="CY291" s="37"/>
    </row>
    <row r="292" spans="1:103" x14ac:dyDescent="0.25">
      <c r="A292" s="36"/>
      <c r="C292" s="53" t="str">
        <f>('Gestión de abastecimiento'!A293)</f>
        <v>Beneficiaros 289</v>
      </c>
      <c r="D292" s="27">
        <f>'Por Valoracion (3) Dimension'!B292</f>
        <v>23</v>
      </c>
      <c r="E292" s="27">
        <f>'Por Valoracion (3) Dimension 2'!D292</f>
        <v>35</v>
      </c>
      <c r="Z292" s="36"/>
      <c r="AB292" s="53" t="str">
        <f>('Gestión de abastecimiento'!A293)</f>
        <v>Beneficiaros 289</v>
      </c>
      <c r="AC292" s="27">
        <f>'Por Valoracion (3) Dimension'!D292</f>
        <v>25</v>
      </c>
      <c r="AD292" s="27">
        <f>'Por Valoracion (3) Dimension 2'!D292</f>
        <v>35</v>
      </c>
      <c r="AY292" s="36"/>
      <c r="BA292" s="53" t="str">
        <f>('Gestión de abastecimiento'!A293)</f>
        <v>Beneficiaros 289</v>
      </c>
      <c r="BB292" s="27">
        <f>'Por Valoracion (3) Dimension'!F292</f>
        <v>23</v>
      </c>
      <c r="BC292" s="27">
        <f>'Por Valoracion (3) Dimension 2'!D292</f>
        <v>35</v>
      </c>
      <c r="BX292" s="36"/>
      <c r="BZ292" s="37"/>
      <c r="CB292" s="53" t="str">
        <f>('Gestión de abastecimiento'!A293)</f>
        <v>Beneficiaros 289</v>
      </c>
      <c r="CC292" s="27">
        <f>'Por Valoracion (3) Dimension 2'!B292</f>
        <v>35</v>
      </c>
      <c r="CD292" s="27">
        <f>'Por Valoracion (3) Dimension'!H292</f>
        <v>71</v>
      </c>
      <c r="CY292" s="37"/>
    </row>
    <row r="293" spans="1:103" x14ac:dyDescent="0.25">
      <c r="A293" s="36"/>
      <c r="Z293" s="36"/>
      <c r="AY293" s="36"/>
      <c r="BX293" s="36"/>
      <c r="BZ293" s="37"/>
      <c r="CY293" s="37"/>
    </row>
    <row r="294" spans="1:103" x14ac:dyDescent="0.25">
      <c r="A294" s="36"/>
      <c r="B294" s="36"/>
      <c r="C294" s="36"/>
      <c r="D294" s="36"/>
      <c r="E294" s="36"/>
      <c r="F294" s="36"/>
      <c r="G294" s="36"/>
      <c r="H294" s="36"/>
      <c r="I294" s="36"/>
      <c r="J294" s="36"/>
      <c r="K294" s="36"/>
      <c r="L294" s="36"/>
      <c r="M294" s="36"/>
      <c r="N294" s="36"/>
      <c r="O294" s="36"/>
      <c r="P294" s="36"/>
      <c r="Q294" s="36"/>
      <c r="R294" s="36"/>
      <c r="S294" s="36"/>
      <c r="T294" s="36"/>
      <c r="U294" s="36"/>
      <c r="V294" s="36"/>
      <c r="W294" s="36"/>
      <c r="X294" s="36"/>
      <c r="Y294" s="36"/>
      <c r="Z294" s="36"/>
      <c r="AA294" s="36"/>
      <c r="AB294" s="36"/>
      <c r="AC294" s="36"/>
      <c r="AD294" s="36"/>
      <c r="AE294" s="36"/>
      <c r="AF294" s="36"/>
      <c r="AG294" s="36"/>
      <c r="AH294" s="36"/>
      <c r="AI294" s="36"/>
      <c r="AJ294" s="36"/>
      <c r="AK294" s="36"/>
      <c r="AL294" s="36"/>
      <c r="AM294" s="36"/>
      <c r="AN294" s="36"/>
      <c r="AO294" s="36"/>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Z294" s="37"/>
      <c r="CA294" s="37"/>
      <c r="CB294" s="37"/>
      <c r="CC294" s="37"/>
      <c r="CD294" s="37"/>
      <c r="CE294" s="37"/>
      <c r="CF294" s="37"/>
      <c r="CG294" s="37"/>
      <c r="CH294" s="37"/>
      <c r="CI294" s="37"/>
      <c r="CJ294" s="37"/>
      <c r="CK294" s="37"/>
      <c r="CL294" s="37"/>
      <c r="CM294" s="37"/>
      <c r="CN294" s="37"/>
      <c r="CO294" s="37"/>
      <c r="CP294" s="37"/>
      <c r="CQ294" s="37"/>
      <c r="CR294" s="37"/>
      <c r="CS294" s="37"/>
      <c r="CT294" s="37"/>
      <c r="CU294" s="37"/>
      <c r="CV294" s="37"/>
      <c r="CW294" s="37"/>
      <c r="CX294" s="37"/>
      <c r="CY294" s="37"/>
    </row>
    <row r="297" spans="1:103" x14ac:dyDescent="0.25">
      <c r="D297" t="s">
        <v>476</v>
      </c>
      <c r="E297" t="s">
        <v>489</v>
      </c>
      <c r="F297" t="s">
        <v>477</v>
      </c>
      <c r="G297" t="s">
        <v>478</v>
      </c>
      <c r="H297" t="s">
        <v>479</v>
      </c>
      <c r="I297" t="s">
        <v>480</v>
      </c>
      <c r="M297" t="s">
        <v>481</v>
      </c>
      <c r="N297" t="s">
        <v>482</v>
      </c>
      <c r="O297" t="s">
        <v>483</v>
      </c>
      <c r="R297" t="s">
        <v>481</v>
      </c>
      <c r="S297" t="s">
        <v>482</v>
      </c>
      <c r="T297" t="s">
        <v>484</v>
      </c>
      <c r="AC297" t="s">
        <v>476</v>
      </c>
      <c r="AD297" t="s">
        <v>489</v>
      </c>
      <c r="AE297" t="s">
        <v>477</v>
      </c>
      <c r="AF297" t="s">
        <v>478</v>
      </c>
      <c r="AG297" t="s">
        <v>479</v>
      </c>
      <c r="AH297" t="s">
        <v>480</v>
      </c>
      <c r="AL297" t="s">
        <v>481</v>
      </c>
      <c r="AM297" t="s">
        <v>482</v>
      </c>
      <c r="AN297" t="s">
        <v>483</v>
      </c>
      <c r="AQ297" t="s">
        <v>481</v>
      </c>
      <c r="AR297" t="s">
        <v>482</v>
      </c>
      <c r="AS297" t="s">
        <v>484</v>
      </c>
      <c r="BB297" t="s">
        <v>476</v>
      </c>
      <c r="BC297" t="s">
        <v>489</v>
      </c>
      <c r="BD297" t="s">
        <v>477</v>
      </c>
      <c r="BE297" t="s">
        <v>478</v>
      </c>
      <c r="BF297" t="s">
        <v>479</v>
      </c>
      <c r="BG297" t="s">
        <v>480</v>
      </c>
      <c r="BK297" t="s">
        <v>481</v>
      </c>
      <c r="BL297" t="s">
        <v>482</v>
      </c>
      <c r="BM297" t="s">
        <v>483</v>
      </c>
      <c r="BP297" t="s">
        <v>481</v>
      </c>
      <c r="BQ297" t="s">
        <v>482</v>
      </c>
      <c r="BR297" t="s">
        <v>484</v>
      </c>
      <c r="CC297" t="s">
        <v>476</v>
      </c>
      <c r="CD297" t="s">
        <v>489</v>
      </c>
      <c r="CE297" t="s">
        <v>477</v>
      </c>
      <c r="CF297" t="s">
        <v>478</v>
      </c>
      <c r="CG297" t="s">
        <v>479</v>
      </c>
      <c r="CH297" t="s">
        <v>480</v>
      </c>
      <c r="CL297" t="s">
        <v>481</v>
      </c>
      <c r="CM297" t="s">
        <v>482</v>
      </c>
      <c r="CN297" t="s">
        <v>483</v>
      </c>
      <c r="CQ297" t="s">
        <v>481</v>
      </c>
      <c r="CR297" t="s">
        <v>482</v>
      </c>
      <c r="CS297" t="s">
        <v>484</v>
      </c>
    </row>
    <row r="298" spans="1:103" x14ac:dyDescent="0.25">
      <c r="D298" t="str">
        <f>D3</f>
        <v>Planificación</v>
      </c>
      <c r="E298" t="str">
        <f>E3</f>
        <v>Satisfacción de los comités del Programa Vaso de Leche</v>
      </c>
      <c r="F298" t="str">
        <f>IF(G8&lt;=50,H6,H6)</f>
        <v>Kolmogorov-Smirnova</v>
      </c>
      <c r="G298" t="str">
        <f>IF(E3&lt;5/100,"la distribución de sus valores son diferentes a la distribución normal","la distribución de sus valores no son diferentes a la distribución normal")</f>
        <v>la distribución de sus valores no son diferentes a la distribución normal</v>
      </c>
      <c r="H298" t="str">
        <f>IF(G298="la distribución de sus valores son diferentes a la distribución normal"," es decir los datos no se encuentran normalmente distribuidos"," es decir los datos si se encuentran normalmente distribuidos")</f>
        <v xml:space="preserve"> es decir los datos si se encuentran normalmente distribuidos</v>
      </c>
      <c r="I298" t="str">
        <f>IF(G298=" es decir los datos no se encuentran normalmente distribuidos"," la prueba no paramétrica de correlación de Rho de Spearman","la prueba paramétrica de correlación de Pearson")</f>
        <v>la prueba paramétrica de correlación de Pearson</v>
      </c>
      <c r="M298" t="s">
        <v>485</v>
      </c>
      <c r="N298">
        <f>R14</f>
        <v>0</v>
      </c>
      <c r="O298">
        <f>R13</f>
        <v>0</v>
      </c>
      <c r="R298" t="s">
        <v>485</v>
      </c>
      <c r="S298">
        <f>X14</f>
        <v>0</v>
      </c>
      <c r="T298">
        <f>X13</f>
        <v>0</v>
      </c>
      <c r="AC298" t="str">
        <f>AC3</f>
        <v>Transparencia</v>
      </c>
      <c r="AD298" t="str">
        <f>AD3</f>
        <v>Satisfacción de los comités del Programa Vaso de Leche</v>
      </c>
      <c r="AE298" t="str">
        <f>IF(AF8&lt;=50,AG6,AG6)</f>
        <v>Kolmogorov-Smirnova</v>
      </c>
      <c r="AF298" t="str">
        <f>IF(AD3&lt;5/100,"la distribución de sus valores son diferentes a la distribución normal","la distribución de sus valores no son diferentes a la distribución normal")</f>
        <v>la distribución de sus valores no son diferentes a la distribución normal</v>
      </c>
      <c r="AG298" t="str">
        <f>IF(AF298="la distribución de sus valores son diferentes a la distribución normal"," es decir los datos no se encuentran normalmente distribuidos"," es decir los datos si se encuentran normalmente distribuidos")</f>
        <v xml:space="preserve"> es decir los datos si se encuentran normalmente distribuidos</v>
      </c>
      <c r="AH298" t="str">
        <f>IF(AF298=" es decir los datos no se encuentran normalmente distribuidos"," la prueba no paramétrica de correlación de Rho de Spearman","la prueba paramétrica de correlación de Pearson")</f>
        <v>la prueba paramétrica de correlación de Pearson</v>
      </c>
      <c r="AL298" t="s">
        <v>485</v>
      </c>
      <c r="AM298">
        <f>AQ14</f>
        <v>0</v>
      </c>
      <c r="AN298">
        <f>AQ13</f>
        <v>0</v>
      </c>
      <c r="AQ298" t="s">
        <v>485</v>
      </c>
      <c r="AR298">
        <f>AW14</f>
        <v>0</v>
      </c>
      <c r="AS298">
        <f>AW13</f>
        <v>0</v>
      </c>
      <c r="BB298" t="str">
        <f>BB3</f>
        <v>Cumplimiento normativo</v>
      </c>
      <c r="BC298" t="str">
        <f>BC3</f>
        <v>Satisfacción de los comités del Programa Vaso de Leche</v>
      </c>
      <c r="BD298" t="str">
        <f>IF(BE8&lt;=50,BF6,BF6)</f>
        <v>Kolmogorov-Smirnova</v>
      </c>
      <c r="BE298" t="str">
        <f>IF(BC3&lt;5/100,"la distribución de sus valores son diferentes a la distribución normal","la distribución de sus valores no son diferentes a la distribución normal")</f>
        <v>la distribución de sus valores no son diferentes a la distribución normal</v>
      </c>
      <c r="BF298" t="str">
        <f>IF(BE298="la distribución de sus valores son diferentes a la distribución normal"," es decir los datos no se encuentran normalmente distribuidos"," es decir los datos si se encuentran normalmente distribuidos")</f>
        <v xml:space="preserve"> es decir los datos si se encuentran normalmente distribuidos</v>
      </c>
      <c r="BG298" t="str">
        <f>IF(BE298=" es decir los datos no se encuentran normalmente distribuidos"," la prueba no paramétrica de correlación de Rho de Spearman","la prueba paramétrica de correlación de Pearson")</f>
        <v>la prueba paramétrica de correlación de Pearson</v>
      </c>
      <c r="BK298" t="s">
        <v>485</v>
      </c>
      <c r="BL298">
        <f>BP14</f>
        <v>0</v>
      </c>
      <c r="BM298">
        <f>BP13</f>
        <v>0</v>
      </c>
      <c r="BP298" t="s">
        <v>485</v>
      </c>
      <c r="BQ298">
        <f>BV14</f>
        <v>0</v>
      </c>
      <c r="BR298">
        <f>BV13</f>
        <v>0</v>
      </c>
      <c r="CC298" t="str">
        <f>CC3</f>
        <v>Satisfacción del servicio</v>
      </c>
      <c r="CD298" t="str">
        <f>CD3</f>
        <v>Gestión de abastecimiento</v>
      </c>
      <c r="CE298" t="str">
        <f>IF(CF8&lt;=50,CG6,CG6)</f>
        <v>Kolmogorov-Smirnova</v>
      </c>
      <c r="CF298" t="str">
        <f>IF(CD3&lt;5/100,"la distribución de sus valores son diferentes a la distribución normal","la distribución de sus valores no son diferentes a la distribución normal")</f>
        <v>la distribución de sus valores no son diferentes a la distribución normal</v>
      </c>
      <c r="CG298" t="str">
        <f>IF(CF298="la distribución de sus valores son diferentes a la distribución normal"," es decir los datos no se encuentran normalmente distribuidos"," es decir los datos si se encuentran normalmente distribuidos")</f>
        <v xml:space="preserve"> es decir los datos si se encuentran normalmente distribuidos</v>
      </c>
      <c r="CH298" t="str">
        <f>IF(CF298=" es decir los datos no se encuentran normalmente distribuidos"," la prueba no paramétrica de correlación de Rho de Spearman","la prueba paramétrica de correlación de Pearson")</f>
        <v>la prueba paramétrica de correlación de Pearson</v>
      </c>
      <c r="CL298" t="s">
        <v>485</v>
      </c>
      <c r="CM298">
        <f>CQ14</f>
        <v>0</v>
      </c>
      <c r="CN298">
        <f>CQ13</f>
        <v>0</v>
      </c>
      <c r="CQ298" t="s">
        <v>485</v>
      </c>
      <c r="CR298">
        <f>CW14</f>
        <v>0</v>
      </c>
      <c r="CS298">
        <f>CW13</f>
        <v>0</v>
      </c>
    </row>
    <row r="299" spans="1:103" x14ac:dyDescent="0.25">
      <c r="C299" t="s">
        <v>486</v>
      </c>
      <c r="D299">
        <f>M8</f>
        <v>0</v>
      </c>
      <c r="E299">
        <f>M9</f>
        <v>0</v>
      </c>
      <c r="N299">
        <f>N298/100</f>
        <v>0</v>
      </c>
      <c r="O299">
        <f>O298*100</f>
        <v>0</v>
      </c>
      <c r="Q299" t="s">
        <v>487</v>
      </c>
      <c r="S299">
        <f>S298/100</f>
        <v>0</v>
      </c>
      <c r="T299">
        <f>T298*100</f>
        <v>0</v>
      </c>
      <c r="V299" t="s">
        <v>487</v>
      </c>
      <c r="AB299" t="s">
        <v>486</v>
      </c>
      <c r="AC299">
        <f>AL8</f>
        <v>0</v>
      </c>
      <c r="AD299">
        <f>AL9</f>
        <v>0</v>
      </c>
      <c r="AM299">
        <f>AM298/100</f>
        <v>0</v>
      </c>
      <c r="AN299">
        <f>AN298*100</f>
        <v>0</v>
      </c>
      <c r="AP299" t="s">
        <v>487</v>
      </c>
      <c r="AR299">
        <f>AR298/100</f>
        <v>0</v>
      </c>
      <c r="AS299">
        <f>AS298*100</f>
        <v>0</v>
      </c>
      <c r="AU299" t="s">
        <v>487</v>
      </c>
      <c r="BA299" t="s">
        <v>486</v>
      </c>
      <c r="BB299">
        <f>BK8</f>
        <v>0</v>
      </c>
      <c r="BC299">
        <f>BK9</f>
        <v>0</v>
      </c>
      <c r="BL299">
        <f>BL298/100</f>
        <v>0</v>
      </c>
      <c r="BM299">
        <f>BM298*100</f>
        <v>0</v>
      </c>
      <c r="BO299" t="s">
        <v>487</v>
      </c>
      <c r="BQ299">
        <f>BQ298/100</f>
        <v>0</v>
      </c>
      <c r="BR299">
        <f>BR298*100</f>
        <v>0</v>
      </c>
      <c r="BT299" t="s">
        <v>487</v>
      </c>
      <c r="CB299" t="s">
        <v>486</v>
      </c>
      <c r="CC299">
        <f>CL8</f>
        <v>0</v>
      </c>
      <c r="CD299">
        <f>CL9</f>
        <v>0</v>
      </c>
      <c r="CM299">
        <f>CM298/100</f>
        <v>0</v>
      </c>
      <c r="CN299">
        <f>CN298*100</f>
        <v>0</v>
      </c>
      <c r="CP299" t="s">
        <v>487</v>
      </c>
      <c r="CR299">
        <f>CR298/100</f>
        <v>0</v>
      </c>
      <c r="CS299">
        <f>CS298*100</f>
        <v>0</v>
      </c>
      <c r="CU299" t="s">
        <v>487</v>
      </c>
    </row>
    <row r="300" spans="1:103" x14ac:dyDescent="0.25">
      <c r="N300" t="str">
        <f>IF(N298&lt;5/100,"existe relación significativa entre las ","no existe relación entre las ")</f>
        <v xml:space="preserve">existe relación significativa entre las </v>
      </c>
      <c r="O300" t="str">
        <f>IF(O298&lt;='Criterio para el valor r'!$A$2,'Criterio para el valor r'!$C$2,IF(O298&lt;='Criterio para el valor r'!$A$3,'Criterio para el valor r'!$C$3,IF(O298&lt;='Criterio para el valor r'!$A$4,'Criterio para el valor r'!$C$4,IF(O298&lt;='Criterio para el valor r'!$A$5,'Criterio para el valor r'!$C$5,IF(O298&lt;='Criterio para el valor r'!$A$6,'Criterio para el valor r'!$C$6,IF(O298&lt;='Criterio para el valor r'!$A$8,'Criterio para el valor r'!$C$7,IF(O298&lt;='Criterio para el valor r'!$A$7,'Criterio para el valor r'!$C$8,IF(O298&lt;='Criterio para el valor r'!$B$9,'Criterio para el valor r'!$C$9,IF(O298&lt;='Criterio para el valor r'!$B$10,'Criterio para el valor r'!$C$10,IF(O298&lt;='Criterio para el valor r'!$B$11,'Criterio para el valor r'!$C$11,IF(O298&lt;='Criterio para el valor r'!$B$12,'Criterio para el valor r'!$C$12,IF(O298&lt;='Criterio para el valor r'!$B$13,'Criterio para el valor r'!$C$13,IF(O298&lt;='Criterio para el valor r'!$B$14,'Criterio para el valor r'!$C$14,"algo esta mal")))))))))))))</f>
        <v>Correlación negativa muy débil</v>
      </c>
      <c r="P300" t="str">
        <f>IF(O298&lt;0,"menor","mayor")</f>
        <v>mayor</v>
      </c>
      <c r="Q300" t="str">
        <f>IF(N299&gt;=5/100,"se acepta la Ho y se rechaza la Hi","se rechaza la Ho y se acepta la Hi")</f>
        <v>se rechaza la Ho y se acepta la Hi</v>
      </c>
      <c r="S300" t="str">
        <f>IF(S298&lt;5/100,"existe relación significativa entre las ","no existe relación entre las ")</f>
        <v xml:space="preserve">existe relación significativa entre las </v>
      </c>
      <c r="T300" t="str">
        <f>IF(T298&lt;5/100,"existe relación significativa entre las ","no existe relación entre las ")</f>
        <v xml:space="preserve">existe relación significativa entre las </v>
      </c>
      <c r="U300" t="str">
        <f>IF(T298&lt;0,"menor","mayor")</f>
        <v>mayor</v>
      </c>
      <c r="V300" t="str">
        <f>IF(S299&gt;=5/100,"se acepta la Ho y se rechaza la Hi","se rechaza la Ho y se acepta la Hi")</f>
        <v>se rechaza la Ho y se acepta la Hi</v>
      </c>
      <c r="AM300" t="str">
        <f>IF(AM298&lt;5/100,"existe relación significativa entre las ","no existe relación entre las ")</f>
        <v xml:space="preserve">existe relación significativa entre las </v>
      </c>
      <c r="AN300" t="str">
        <f>IF(AN298&lt;='Criterio para el valor r'!$A$2,'Criterio para el valor r'!$C$2,IF(AN298&lt;='Criterio para el valor r'!$A$3,'Criterio para el valor r'!$C$3,IF(AN298&lt;='Criterio para el valor r'!$A$4,'Criterio para el valor r'!$C$4,IF(AN298&lt;='Criterio para el valor r'!$A$5,'Criterio para el valor r'!$C$5,IF(AN298&lt;='Criterio para el valor r'!$A$6,'Criterio para el valor r'!$C$6,IF(AN298&lt;='Criterio para el valor r'!$A$8,'Criterio para el valor r'!$C$7,IF(AN298&lt;='Criterio para el valor r'!$A$7,'Criterio para el valor r'!$C$8,IF(AN298&lt;='Criterio para el valor r'!$B$9,'Criterio para el valor r'!$C$9,IF(AN298&lt;='Criterio para el valor r'!$B$10,'Criterio para el valor r'!$C$10,IF(AN298&lt;='Criterio para el valor r'!$B$11,'Criterio para el valor r'!$C$11,IF(AN298&lt;='Criterio para el valor r'!$B$12,'Criterio para el valor r'!$C$12,IF(AN298&lt;='Criterio para el valor r'!$B$13,'Criterio para el valor r'!$C$13,IF(AN298&lt;='Criterio para el valor r'!$B$14,'Criterio para el valor r'!$C$14,"algo esta mal")))))))))))))</f>
        <v>Correlación negativa muy débil</v>
      </c>
      <c r="AO300" t="str">
        <f>IF(AN298&lt;0,"menor","mayor")</f>
        <v>mayor</v>
      </c>
      <c r="AP300" t="str">
        <f>IF(AM299&gt;=5/100,"se acepta la Ho y se rechaza la Hi","se rechaza la Ho y se acepta la Hi")</f>
        <v>se rechaza la Ho y se acepta la Hi</v>
      </c>
      <c r="AR300" t="str">
        <f>IF(AR298&lt;5/100,"existe relación significativa entre las ","no existe relación entre las ")</f>
        <v xml:space="preserve">existe relación significativa entre las </v>
      </c>
      <c r="AS300" t="str">
        <f>IF(AS298&lt;5/100,"existe relación significativa entre las ","no existe relación entre las ")</f>
        <v xml:space="preserve">existe relación significativa entre las </v>
      </c>
      <c r="AT300" t="str">
        <f>IF(AS298&lt;0,"menor","mayor")</f>
        <v>mayor</v>
      </c>
      <c r="AU300" t="str">
        <f>IF(AR299&gt;=5/100,"se acepta la Ho y se rechaza la Hi","se rechaza la Ho y se acepta la Hi")</f>
        <v>se rechaza la Ho y se acepta la Hi</v>
      </c>
      <c r="BL300" t="str">
        <f>IF(BL298&lt;5/100,"existe relación significativa entre las ","no existe relación entre las ")</f>
        <v xml:space="preserve">existe relación significativa entre las </v>
      </c>
      <c r="BM300" t="str">
        <f>IF(BM298&lt;='Criterio para el valor r'!$A$2,'Criterio para el valor r'!$C$2,IF(BM298&lt;='Criterio para el valor r'!$A$3,'Criterio para el valor r'!$C$3,IF(BM298&lt;='Criterio para el valor r'!$A$4,'Criterio para el valor r'!$C$4,IF(BM298&lt;='Criterio para el valor r'!$A$5,'Criterio para el valor r'!$C$5,IF(BM298&lt;='Criterio para el valor r'!$A$6,'Criterio para el valor r'!$C$6,IF(BM298&lt;='Criterio para el valor r'!$A$8,'Criterio para el valor r'!$C$7,IF(BM298&lt;='Criterio para el valor r'!$A$7,'Criterio para el valor r'!$C$8,IF(BM298&lt;='Criterio para el valor r'!$B$9,'Criterio para el valor r'!$C$9,IF(BM298&lt;='Criterio para el valor r'!$B$10,'Criterio para el valor r'!$C$10,IF(BM298&lt;='Criterio para el valor r'!$B$11,'Criterio para el valor r'!$C$11,IF(BM298&lt;='Criterio para el valor r'!$B$12,'Criterio para el valor r'!$C$12,IF(BM298&lt;='Criterio para el valor r'!$B$13,'Criterio para el valor r'!$C$13,IF(BM298&lt;='Criterio para el valor r'!$B$14,'Criterio para el valor r'!$C$14,"algo esta mal")))))))))))))</f>
        <v>Correlación negativa muy débil</v>
      </c>
      <c r="BN300" t="str">
        <f>IF(BM298&lt;0,"menor","mayor")</f>
        <v>mayor</v>
      </c>
      <c r="BO300" t="str">
        <f>IF(BL299&gt;=5/100,"se acepta la Ho y se rechaza la Hi","se rechaza la Ho y se acepta la Hi")</f>
        <v>se rechaza la Ho y se acepta la Hi</v>
      </c>
      <c r="BQ300" t="str">
        <f>IF(BQ298&lt;5/100,"existe relación significativa entre las ","no existe relación entre las ")</f>
        <v xml:space="preserve">existe relación significativa entre las </v>
      </c>
      <c r="BR300" t="str">
        <f>IF(BR298&lt;5/100,"existe relación significativa entre las ","no existe relación entre las ")</f>
        <v xml:space="preserve">existe relación significativa entre las </v>
      </c>
      <c r="BS300" t="str">
        <f>IF(BR298&lt;0,"menor","mayor")</f>
        <v>mayor</v>
      </c>
      <c r="BT300" t="str">
        <f>IF(BQ299&gt;=5/100,"se acepta la Ho y se rechaza la Hi","se rechaza la Ho y se acepta la Hi")</f>
        <v>se rechaza la Ho y se acepta la Hi</v>
      </c>
      <c r="CM300" t="str">
        <f>IF(CM298&lt;5/100,"existe relación significativa entre las ","no existe relación entre las ")</f>
        <v xml:space="preserve">existe relación significativa entre las </v>
      </c>
      <c r="CN300" t="str">
        <f>IF(CN298&lt;='Criterio para el valor r'!$A$2,'Criterio para el valor r'!$C$2,IF(CN298&lt;='Criterio para el valor r'!$A$3,'Criterio para el valor r'!$C$3,IF(CN298&lt;='Criterio para el valor r'!$A$4,'Criterio para el valor r'!$C$4,IF(CN298&lt;='Criterio para el valor r'!$A$5,'Criterio para el valor r'!$C$5,IF(CN298&lt;='Criterio para el valor r'!$A$6,'Criterio para el valor r'!$C$6,IF(CN298&lt;='Criterio para el valor r'!$A$8,'Criterio para el valor r'!$C$7,IF(CN298&lt;='Criterio para el valor r'!$A$7,'Criterio para el valor r'!$C$8,IF(CN298&lt;='Criterio para el valor r'!$B$9,'Criterio para el valor r'!$C$9,IF(CN298&lt;='Criterio para el valor r'!$B$10,'Criterio para el valor r'!$C$10,IF(CN298&lt;='Criterio para el valor r'!$B$11,'Criterio para el valor r'!$C$11,IF(CN298&lt;='Criterio para el valor r'!$B$12,'Criterio para el valor r'!$C$12,IF(CN298&lt;='Criterio para el valor r'!$B$13,'Criterio para el valor r'!$C$13,IF(CN298&lt;='Criterio para el valor r'!$B$14,'Criterio para el valor r'!$C$14,"algo esta mal")))))))))))))</f>
        <v>Correlación negativa muy débil</v>
      </c>
      <c r="CO300" t="str">
        <f>IF(CN298&lt;0,"menor","mayor")</f>
        <v>mayor</v>
      </c>
      <c r="CP300" t="str">
        <f>IF(CM299&gt;=5/100,"se acepta la Ho y se rechaza la Hi","se rechaza la Ho y se acepta la Hi")</f>
        <v>se rechaza la Ho y se acepta la Hi</v>
      </c>
      <c r="CR300" t="str">
        <f>IF(CR298&lt;5/100,"existe relación significativa entre las ","no existe relación entre las ")</f>
        <v xml:space="preserve">existe relación significativa entre las </v>
      </c>
      <c r="CS300" t="str">
        <f>IF(CS298&lt;5/100,"existe relación significativa entre las ","no existe relación entre las ")</f>
        <v xml:space="preserve">existe relación significativa entre las </v>
      </c>
      <c r="CT300" t="str">
        <f>IF(CS298&lt;0,"menor","mayor")</f>
        <v>mayor</v>
      </c>
      <c r="CU300" t="str">
        <f>IF(CR299&gt;=5/100,"se acepta la Ho y se rechaza la Hi","se rechaza la Ho y se acepta la Hi")</f>
        <v>se rechaza la Ho y se acepta la Hi</v>
      </c>
    </row>
    <row r="303" spans="1:103" x14ac:dyDescent="0.25">
      <c r="O303" s="52" t="str">
        <f>CONCATENATE("la ",O10," muestra los resultados de la prueba de ",P13,", en donde se evidencia que con una ",N297," del ",N299,"% ",N300," ",M298," ",O13," y ",O16,", adicional a ello se puede observar que la fuerza y/o grado de correlación ",O297," tiene un valor de ",O299,"% lo que afirma que es una ",O300," mismo que asu vez significa que a mayor ",Q12," ",P300," ",O16,", por todo ello en el presente objetivo ",Q300,".")</f>
        <v>la Tabla 1 muestra los resultados de la prueba de Correlación de Pearson, en donde se evidencia que con una  probabilidad de error  del 0% existe relación significativa entre las  dimensiones Planificación y Satisfacción de los comités del Programa Vaso de Leche, adicional a ello se puede observar que la fuerza y/o grado de correlación  "r"  tiene un valor de 0% lo que afirma que es una Correlación negativa muy débil mismo que asu vez significa que a mayor Planificación mayor Satisfacción de los comités del Programa Vaso de Leche, por todo ello en el presente objetivo se rechaza la Ho y se acepta la Hi.</v>
      </c>
      <c r="P303" s="53"/>
      <c r="Q303" s="53"/>
      <c r="R303" s="53"/>
      <c r="T303" s="52" t="str">
        <f>CONCATENATE("la ",T10," muestra los resultados de la prueba de ",V13,", en donde se evidencia que con una ",S297," del ",S299,"% ",S300," ",R298," ",U13," y ",U16,", adicional a ello se puede observar que la fuerza y/o grado de correlación ",T297," tiene un valor de ",T299,"% lo que afirma que es una ",T300," mismo que asu vez significa que a mayor ",W12," ",U300," ",X12,", por todo ello en el presente objetivo ",V300,".")</f>
        <v>la Tabla 1 muestra los resultados de la prueba de Correlación de Rho de Spearman, en donde se evidencia que con una  probabilidad de error  del 0% existe relación significativa entre las  dimensiones Planificación y Satisfacción de los comités del Programa Vaso de Leche, adicional a ello se puede observar que la fuerza y/o grado de correlación "Rho" tiene un valor de 0% lo que afirma que es una existe relación significativa entre las  mismo que asu vez significa que a mayor Planificación mayor Satisfacción de los comités del Programa Vaso de Leche, por todo ello en el presente objetivo se rechaza la Ho y se acepta la Hi.</v>
      </c>
      <c r="U303" s="53"/>
      <c r="V303" s="53"/>
      <c r="W303" s="53"/>
      <c r="AN303" s="52" t="str">
        <f>CONCATENATE("la ",AN10," muestra los resultados de la prueba de ",AO13,", en donde se evidencia que con una ",AM297," del ",AM299,"% ",AM300," ",AL298," ",AN13," y ",AN16,", adicional a ello se puede observar que la fuerza y/o grado de correlación ",AN297," tiene un valor de ",AN299,"% lo que afirma que es una ",AN300," mismo que asu vez significa que a mayor ",AP12," ",AO300," ",AN16,", por todo ello en el presente objetivo ",AP300,".")</f>
        <v>la Tabla 2 muestra los resultados de la prueba de Correlación de Pearson, en donde se evidencia que con una  probabilidad de error  del 0% existe relación significativa entre las  dimensiones Transparencia y Satisfacción de los comités del Programa Vaso de Leche, adicional a ello se puede observar que la fuerza y/o grado de correlación  "r"  tiene un valor de 0% lo que afirma que es una Correlación negativa muy débil mismo que asu vez significa que a mayor Transparencia mayor Satisfacción de los comités del Programa Vaso de Leche, por todo ello en el presente objetivo se rechaza la Ho y se acepta la Hi.</v>
      </c>
      <c r="AO303" s="53"/>
      <c r="AP303" s="53"/>
      <c r="AQ303" s="53"/>
      <c r="AS303" s="52" t="str">
        <f>CONCATENATE("la ",AS10," muestra los resultados de la prueba de ",AU13,", en donde se evidencia que con una ",AR297," del ",AR299,"% ",AR300," ",AQ298," ",AT13," y ",AT16,", adicional a ello se puede observar que la fuerza y/o grado de correlación ",AS297," tiene un valor de ",AS299,"% lo que afirma que es una ",AS300," mismo que asu vez significa que a mayor ",AV12," ",AT300," ",AW12,", por todo ello en el presente objetivo ",AU300,".")</f>
        <v>la Tabla 2 muestra los resultados de la prueba de Correlación de Rho de Spearman, en donde se evidencia que con una  probabilidad de error  del 0% existe relación significativa entre las  dimensiones Transparencia y Satisfacción de los comités del Programa Vaso de Leche, adicional a ello se puede observar que la fuerza y/o grado de correlación "Rho" tiene un valor de 0% lo que afirma que es una existe relación significativa entre las  mismo que asu vez significa que a mayor Transparencia mayor Satisfacción de los comités del Programa Vaso de Leche, por todo ello en el presente objetivo se rechaza la Ho y se acepta la Hi.</v>
      </c>
      <c r="AT303" s="53"/>
      <c r="AU303" s="53"/>
      <c r="AV303" s="53"/>
      <c r="BM303" s="52" t="str">
        <f>CONCATENATE("la ",BM10," muestra los resultados de la prueba de ",BN13,", en donde se evidencia que con una ",BL297," del ",BL299,"% ",BL300," ",BK298," ",BM13," y ",BM16,", adicional a ello se puede observar que la fuerza y/o grado de correlación ",BM297," tiene un valor de ",BM299,"% lo que afirma que es una ",BM300," mismo que asu vez significa que a mayor ",BO12," ",BN300," ",BM16,", por todo ello en el presente objetivo ",BO300,".")</f>
        <v>la Tabla 3 muestra los resultados de la prueba de Correlación de Pearson, en donde se evidencia que con una  probabilidad de error  del 0% existe relación significativa entre las  dimensiones Cumplimiento normativo y Satisfacción de los comités del Programa Vaso de Leche, adicional a ello se puede observar que la fuerza y/o grado de correlación  "r"  tiene un valor de 0% lo que afirma que es una Correlación negativa muy débil mismo que asu vez significa que a mayor Cumplimiento normativo mayor Satisfacción de los comités del Programa Vaso de Leche, por todo ello en el presente objetivo se rechaza la Ho y se acepta la Hi.</v>
      </c>
      <c r="BN303" s="53"/>
      <c r="BO303" s="53"/>
      <c r="BP303" s="53"/>
      <c r="BR303" s="52" t="str">
        <f>CONCATENATE("la ",BR10," muestra los resultados de la prueba de ",BT13,", en donde se evidencia que con una ",BQ297," del ",BQ299,"% ",BQ300," ",BP298," ",BS13," y ",BS16,", adicional a ello se puede observar que la fuerza y/o grado de correlación ",BR297," tiene un valor de ",BR299,"% lo que afirma que es una ",BR300," mismo que asu vez significa que a mayor ",BU12," ",BS300," ",BV12,", por todo ello en el presente objetivo ",BT300,".")</f>
        <v>la Tabla 3 muestra los resultados de la prueba de Correlación de Rho de Spearman, en donde se evidencia que con una  probabilidad de error  del 0% existe relación significativa entre las  dimensiones Cumplimiento normativo y Satisfacción de los comités del Programa Vaso de Leche, adicional a ello se puede observar que la fuerza y/o grado de correlación "Rho" tiene un valor de 0% lo que afirma que es una existe relación significativa entre las  mismo que asu vez significa que a mayor Cumplimiento normativo mayor Satisfacción de los comités del Programa Vaso de Leche, por todo ello en el presente objetivo se rechaza la Ho y se acepta la Hi.</v>
      </c>
      <c r="BS303" s="53"/>
      <c r="BT303" s="53"/>
      <c r="BU303" s="53"/>
      <c r="CN303" s="52" t="str">
        <f>CONCATENATE("la ",CN10," muestra los resultados de la prueba de ",CO13,", en donde se evidencia que con una ",CM297," del ",CM299,"% ",CM300," ",CL298," ",CN13," y ",CN16,", adicional a ello se puede observar que la fuerza y/o grado de correlación ",CN297," tiene un valor de ",CN299,"% lo que afirma que es una ",CN300," mismo que asu vez significa que a mayor ",CP12," ",CO300," ",CN16,", por todo ello en el presente objetivo ",CP300,".")</f>
        <v>la Tabla 4 muestra los resultados de la prueba de Correlación de Pearson, en donde se evidencia que con una  probabilidad de error  del 0% existe relación significativa entre las  dimensiones Satisfacción del servicio y Gestión de abastecimiento, adicional a ello se puede observar que la fuerza y/o grado de correlación  "r"  tiene un valor de 0% lo que afirma que es una Correlación negativa muy débil mismo que asu vez significa que a mayor Satisfacción del servicio mayor Gestión de abastecimiento, por todo ello en el presente objetivo se rechaza la Ho y se acepta la Hi.</v>
      </c>
      <c r="CO303" s="53"/>
      <c r="CP303" s="53"/>
      <c r="CQ303" s="53"/>
      <c r="CS303" s="52" t="str">
        <f>CONCATENATE("la ",CS10," muestra los resultados de la prueba de ",CU13,", en donde se evidencia que con una ",CR297," del ",CR299,"% ",CR300," ",CQ298," ",CT13," y ",CT16,", adicional a ello se puede observar que la fuerza y/o grado de correlación ",CS297," tiene un valor de ",CS299,"% lo que afirma que es una ",CS300," mismo que asu vez significa que a mayor ",CV12," ",CT300," ",CW12,", por todo ello en el presente objetivo ",CU300,".")</f>
        <v>la Tabla 4 muestra los resultados de la prueba de Correlación de Rho de Spearman, en donde se evidencia que con una  probabilidad de error  del 0% existe relación significativa entre las  dimensiones Satisfacción del servicio y Gestión de abastecimiento, adicional a ello se puede observar que la fuerza y/o grado de correlación "Rho" tiene un valor de 0% lo que afirma que es una existe relación significativa entre las  mismo que asu vez significa que a mayor Satisfacción del servicio mayor Gestión de abastecimiento, por todo ello en el presente objetivo se rechaza la Ho y se acepta la Hi.</v>
      </c>
      <c r="CT303" s="53"/>
      <c r="CU303" s="53"/>
      <c r="CV303" s="53"/>
    </row>
    <row r="304" spans="1:103" x14ac:dyDescent="0.25">
      <c r="O304" s="53"/>
      <c r="P304" s="53"/>
      <c r="Q304" s="53"/>
      <c r="R304" s="53"/>
      <c r="T304" s="53"/>
      <c r="U304" s="53"/>
      <c r="V304" s="53"/>
      <c r="W304" s="53"/>
      <c r="AN304" s="53"/>
      <c r="AO304" s="53"/>
      <c r="AP304" s="53"/>
      <c r="AQ304" s="53"/>
      <c r="AS304" s="53"/>
      <c r="AT304" s="53"/>
      <c r="AU304" s="53"/>
      <c r="AV304" s="53"/>
      <c r="BM304" s="53"/>
      <c r="BN304" s="53"/>
      <c r="BO304" s="53"/>
      <c r="BP304" s="53"/>
      <c r="BR304" s="53"/>
      <c r="BS304" s="53"/>
      <c r="BT304" s="53"/>
      <c r="BU304" s="53"/>
      <c r="CN304" s="53"/>
      <c r="CO304" s="53"/>
      <c r="CP304" s="53"/>
      <c r="CQ304" s="53"/>
      <c r="CS304" s="53"/>
      <c r="CT304" s="53"/>
      <c r="CU304" s="53"/>
      <c r="CV304" s="53"/>
    </row>
    <row r="305" spans="15:100" x14ac:dyDescent="0.25">
      <c r="O305" s="53"/>
      <c r="P305" s="53"/>
      <c r="Q305" s="53"/>
      <c r="R305" s="53"/>
      <c r="T305" s="53"/>
      <c r="U305" s="53"/>
      <c r="V305" s="53"/>
      <c r="W305" s="53"/>
      <c r="AN305" s="53"/>
      <c r="AO305" s="53"/>
      <c r="AP305" s="53"/>
      <c r="AQ305" s="53"/>
      <c r="AS305" s="53"/>
      <c r="AT305" s="53"/>
      <c r="AU305" s="53"/>
      <c r="AV305" s="53"/>
      <c r="BM305" s="53"/>
      <c r="BN305" s="53"/>
      <c r="BO305" s="53"/>
      <c r="BP305" s="53"/>
      <c r="BR305" s="53"/>
      <c r="BS305" s="53"/>
      <c r="BT305" s="53"/>
      <c r="BU305" s="53"/>
      <c r="CN305" s="53"/>
      <c r="CO305" s="53"/>
      <c r="CP305" s="53"/>
      <c r="CQ305" s="53"/>
      <c r="CS305" s="53"/>
      <c r="CT305" s="53"/>
      <c r="CU305" s="53"/>
      <c r="CV305" s="53"/>
    </row>
    <row r="306" spans="15:100" x14ac:dyDescent="0.25">
      <c r="O306" s="53"/>
      <c r="P306" s="53"/>
      <c r="Q306" s="53"/>
      <c r="R306" s="53"/>
      <c r="T306" s="53"/>
      <c r="U306" s="53"/>
      <c r="V306" s="53"/>
      <c r="W306" s="53"/>
      <c r="AN306" s="53"/>
      <c r="AO306" s="53"/>
      <c r="AP306" s="53"/>
      <c r="AQ306" s="53"/>
      <c r="AS306" s="53"/>
      <c r="AT306" s="53"/>
      <c r="AU306" s="53"/>
      <c r="AV306" s="53"/>
      <c r="BM306" s="53"/>
      <c r="BN306" s="53"/>
      <c r="BO306" s="53"/>
      <c r="BP306" s="53"/>
      <c r="BR306" s="53"/>
      <c r="BS306" s="53"/>
      <c r="BT306" s="53"/>
      <c r="BU306" s="53"/>
      <c r="CN306" s="53"/>
      <c r="CO306" s="53"/>
      <c r="CP306" s="53"/>
      <c r="CQ306" s="53"/>
      <c r="CS306" s="53"/>
      <c r="CT306" s="53"/>
      <c r="CU306" s="53"/>
      <c r="CV306" s="53"/>
    </row>
    <row r="307" spans="15:100" x14ac:dyDescent="0.25">
      <c r="O307" s="53"/>
      <c r="P307" s="53"/>
      <c r="Q307" s="53"/>
      <c r="R307" s="53"/>
      <c r="T307" s="53"/>
      <c r="U307" s="53"/>
      <c r="V307" s="53"/>
      <c r="W307" s="53"/>
      <c r="AN307" s="53"/>
      <c r="AO307" s="53"/>
      <c r="AP307" s="53"/>
      <c r="AQ307" s="53"/>
      <c r="AS307" s="53"/>
      <c r="AT307" s="53"/>
      <c r="AU307" s="53"/>
      <c r="AV307" s="53"/>
      <c r="BM307" s="53"/>
      <c r="BN307" s="53"/>
      <c r="BO307" s="53"/>
      <c r="BP307" s="53"/>
      <c r="BR307" s="53"/>
      <c r="BS307" s="53"/>
      <c r="BT307" s="53"/>
      <c r="BU307" s="53"/>
      <c r="CN307" s="53"/>
      <c r="CO307" s="53"/>
      <c r="CP307" s="53"/>
      <c r="CQ307" s="53"/>
      <c r="CS307" s="53"/>
      <c r="CT307" s="53"/>
      <c r="CU307" s="53"/>
      <c r="CV307" s="53"/>
    </row>
    <row r="308" spans="15:100" x14ac:dyDescent="0.25">
      <c r="O308" s="53"/>
      <c r="P308" s="53"/>
      <c r="Q308" s="53"/>
      <c r="R308" s="53"/>
      <c r="T308" s="53"/>
      <c r="U308" s="53"/>
      <c r="V308" s="53"/>
      <c r="W308" s="53"/>
      <c r="AN308" s="53"/>
      <c r="AO308" s="53"/>
      <c r="AP308" s="53"/>
      <c r="AQ308" s="53"/>
      <c r="AS308" s="53"/>
      <c r="AT308" s="53"/>
      <c r="AU308" s="53"/>
      <c r="AV308" s="53"/>
      <c r="BM308" s="53"/>
      <c r="BN308" s="53"/>
      <c r="BO308" s="53"/>
      <c r="BP308" s="53"/>
      <c r="BR308" s="53"/>
      <c r="BS308" s="53"/>
      <c r="BT308" s="53"/>
      <c r="BU308" s="53"/>
      <c r="CN308" s="53"/>
      <c r="CO308" s="53"/>
      <c r="CP308" s="53"/>
      <c r="CQ308" s="53"/>
      <c r="CS308" s="53"/>
      <c r="CT308" s="53"/>
      <c r="CU308" s="53"/>
      <c r="CV308" s="53"/>
    </row>
  </sheetData>
  <sheetProtection formatCells="0" formatColumns="0" formatRows="0" insertColumns="0" insertRows="0" insertHyperlinks="0" deleteColumns="0" deleteRows="0" sort="0" autoFilter="0" pivotTables="0"/>
  <mergeCells count="1232">
    <mergeCell ref="CN303:CQ308"/>
    <mergeCell ref="CS11:CW11"/>
    <mergeCell ref="CS12:CU12"/>
    <mergeCell ref="CS19:CW19"/>
    <mergeCell ref="CS13:CS18"/>
    <mergeCell ref="CS303:CV308"/>
    <mergeCell ref="CT13:CT15"/>
    <mergeCell ref="CT16:CT18"/>
    <mergeCell ref="CN11:CQ11"/>
    <mergeCell ref="CN12:CO12"/>
    <mergeCell ref="CN13:CN15"/>
    <mergeCell ref="CN16:CN18"/>
    <mergeCell ref="CN19:CQ19"/>
    <mergeCell ref="CB289"/>
    <mergeCell ref="CB290"/>
    <mergeCell ref="CB291"/>
    <mergeCell ref="CB292"/>
    <mergeCell ref="CF5:CL5"/>
    <mergeCell ref="CF12:CL17"/>
    <mergeCell ref="CF10:CL10"/>
    <mergeCell ref="CF6:CF7"/>
    <mergeCell ref="CG6:CI6"/>
    <mergeCell ref="CJ6:CL6"/>
    <mergeCell ref="CB284"/>
    <mergeCell ref="CB285"/>
    <mergeCell ref="CB286"/>
    <mergeCell ref="CB287"/>
    <mergeCell ref="CB288"/>
    <mergeCell ref="CB279"/>
    <mergeCell ref="CB280"/>
    <mergeCell ref="CB281"/>
    <mergeCell ref="CB282"/>
    <mergeCell ref="CB283"/>
    <mergeCell ref="CB274"/>
    <mergeCell ref="CB275"/>
    <mergeCell ref="CB276"/>
    <mergeCell ref="CB277"/>
    <mergeCell ref="CB278"/>
    <mergeCell ref="CB269"/>
    <mergeCell ref="CB270"/>
    <mergeCell ref="CB271"/>
    <mergeCell ref="CB272"/>
    <mergeCell ref="CB273"/>
    <mergeCell ref="CB264"/>
    <mergeCell ref="CB265"/>
    <mergeCell ref="CB266"/>
    <mergeCell ref="CB267"/>
    <mergeCell ref="CB268"/>
    <mergeCell ref="CB259"/>
    <mergeCell ref="CB260"/>
    <mergeCell ref="CB261"/>
    <mergeCell ref="CB262"/>
    <mergeCell ref="CB263"/>
    <mergeCell ref="CB254"/>
    <mergeCell ref="CB255"/>
    <mergeCell ref="CB256"/>
    <mergeCell ref="CB257"/>
    <mergeCell ref="CB258"/>
    <mergeCell ref="CB249"/>
    <mergeCell ref="CB250"/>
    <mergeCell ref="CB251"/>
    <mergeCell ref="CB252"/>
    <mergeCell ref="CB253"/>
    <mergeCell ref="CB244"/>
    <mergeCell ref="CB245"/>
    <mergeCell ref="CB246"/>
    <mergeCell ref="CB247"/>
    <mergeCell ref="CB248"/>
    <mergeCell ref="CB239"/>
    <mergeCell ref="CB240"/>
    <mergeCell ref="CB241"/>
    <mergeCell ref="CB242"/>
    <mergeCell ref="CB243"/>
    <mergeCell ref="CB234"/>
    <mergeCell ref="CB235"/>
    <mergeCell ref="CB236"/>
    <mergeCell ref="CB237"/>
    <mergeCell ref="CB238"/>
    <mergeCell ref="CB229"/>
    <mergeCell ref="CB230"/>
    <mergeCell ref="CB231"/>
    <mergeCell ref="CB232"/>
    <mergeCell ref="CB233"/>
    <mergeCell ref="CB224"/>
    <mergeCell ref="CB225"/>
    <mergeCell ref="CB226"/>
    <mergeCell ref="CB227"/>
    <mergeCell ref="CB228"/>
    <mergeCell ref="CB219"/>
    <mergeCell ref="CB220"/>
    <mergeCell ref="CB221"/>
    <mergeCell ref="CB222"/>
    <mergeCell ref="CB223"/>
    <mergeCell ref="CB214"/>
    <mergeCell ref="CB215"/>
    <mergeCell ref="CB216"/>
    <mergeCell ref="CB217"/>
    <mergeCell ref="CB218"/>
    <mergeCell ref="CB209"/>
    <mergeCell ref="CB210"/>
    <mergeCell ref="CB211"/>
    <mergeCell ref="CB212"/>
    <mergeCell ref="CB213"/>
    <mergeCell ref="CB204"/>
    <mergeCell ref="CB205"/>
    <mergeCell ref="CB206"/>
    <mergeCell ref="CB207"/>
    <mergeCell ref="CB208"/>
    <mergeCell ref="CB199"/>
    <mergeCell ref="CB200"/>
    <mergeCell ref="CB201"/>
    <mergeCell ref="CB202"/>
    <mergeCell ref="CB203"/>
    <mergeCell ref="CB194"/>
    <mergeCell ref="CB195"/>
    <mergeCell ref="CB196"/>
    <mergeCell ref="CB197"/>
    <mergeCell ref="CB198"/>
    <mergeCell ref="CB189"/>
    <mergeCell ref="CB190"/>
    <mergeCell ref="CB191"/>
    <mergeCell ref="CB192"/>
    <mergeCell ref="CB193"/>
    <mergeCell ref="CB184"/>
    <mergeCell ref="CB185"/>
    <mergeCell ref="CB186"/>
    <mergeCell ref="CB187"/>
    <mergeCell ref="CB188"/>
    <mergeCell ref="CB179"/>
    <mergeCell ref="CB180"/>
    <mergeCell ref="CB181"/>
    <mergeCell ref="CB182"/>
    <mergeCell ref="CB183"/>
    <mergeCell ref="CB174"/>
    <mergeCell ref="CB175"/>
    <mergeCell ref="CB176"/>
    <mergeCell ref="CB177"/>
    <mergeCell ref="CB178"/>
    <mergeCell ref="CB169"/>
    <mergeCell ref="CB170"/>
    <mergeCell ref="CB171"/>
    <mergeCell ref="CB172"/>
    <mergeCell ref="CB173"/>
    <mergeCell ref="CB164"/>
    <mergeCell ref="CB165"/>
    <mergeCell ref="CB166"/>
    <mergeCell ref="CB167"/>
    <mergeCell ref="CB168"/>
    <mergeCell ref="CB159"/>
    <mergeCell ref="CB160"/>
    <mergeCell ref="CB161"/>
    <mergeCell ref="CB162"/>
    <mergeCell ref="CB163"/>
    <mergeCell ref="CB154"/>
    <mergeCell ref="CB155"/>
    <mergeCell ref="CB156"/>
    <mergeCell ref="CB157"/>
    <mergeCell ref="CB158"/>
    <mergeCell ref="CB149"/>
    <mergeCell ref="CB150"/>
    <mergeCell ref="CB151"/>
    <mergeCell ref="CB152"/>
    <mergeCell ref="CB153"/>
    <mergeCell ref="CB144"/>
    <mergeCell ref="CB145"/>
    <mergeCell ref="CB146"/>
    <mergeCell ref="CB147"/>
    <mergeCell ref="CB148"/>
    <mergeCell ref="CB139"/>
    <mergeCell ref="CB140"/>
    <mergeCell ref="CB141"/>
    <mergeCell ref="CB142"/>
    <mergeCell ref="CB143"/>
    <mergeCell ref="CB134"/>
    <mergeCell ref="CB135"/>
    <mergeCell ref="CB136"/>
    <mergeCell ref="CB137"/>
    <mergeCell ref="CB138"/>
    <mergeCell ref="CB129"/>
    <mergeCell ref="CB130"/>
    <mergeCell ref="CB131"/>
    <mergeCell ref="CB132"/>
    <mergeCell ref="CB133"/>
    <mergeCell ref="CB124"/>
    <mergeCell ref="CB125"/>
    <mergeCell ref="CB126"/>
    <mergeCell ref="CB127"/>
    <mergeCell ref="CB128"/>
    <mergeCell ref="CB119"/>
    <mergeCell ref="CB120"/>
    <mergeCell ref="CB121"/>
    <mergeCell ref="CB122"/>
    <mergeCell ref="CB123"/>
    <mergeCell ref="CB114"/>
    <mergeCell ref="CB115"/>
    <mergeCell ref="CB116"/>
    <mergeCell ref="CB117"/>
    <mergeCell ref="CB118"/>
    <mergeCell ref="CB109"/>
    <mergeCell ref="CB110"/>
    <mergeCell ref="CB111"/>
    <mergeCell ref="CB112"/>
    <mergeCell ref="CB113"/>
    <mergeCell ref="CB104"/>
    <mergeCell ref="CB105"/>
    <mergeCell ref="CB106"/>
    <mergeCell ref="CB107"/>
    <mergeCell ref="CB108"/>
    <mergeCell ref="CB99"/>
    <mergeCell ref="CB100"/>
    <mergeCell ref="CB101"/>
    <mergeCell ref="CB102"/>
    <mergeCell ref="CB103"/>
    <mergeCell ref="CB94"/>
    <mergeCell ref="CB95"/>
    <mergeCell ref="CB96"/>
    <mergeCell ref="CB97"/>
    <mergeCell ref="CB98"/>
    <mergeCell ref="CB89"/>
    <mergeCell ref="CB90"/>
    <mergeCell ref="CB91"/>
    <mergeCell ref="CB92"/>
    <mergeCell ref="CB93"/>
    <mergeCell ref="CB84"/>
    <mergeCell ref="CB85"/>
    <mergeCell ref="CB86"/>
    <mergeCell ref="CB87"/>
    <mergeCell ref="CB88"/>
    <mergeCell ref="CB79"/>
    <mergeCell ref="CB80"/>
    <mergeCell ref="CB81"/>
    <mergeCell ref="CB82"/>
    <mergeCell ref="CB83"/>
    <mergeCell ref="CB74"/>
    <mergeCell ref="CB75"/>
    <mergeCell ref="CB76"/>
    <mergeCell ref="CB77"/>
    <mergeCell ref="CB78"/>
    <mergeCell ref="CB69"/>
    <mergeCell ref="CB70"/>
    <mergeCell ref="CB71"/>
    <mergeCell ref="CB72"/>
    <mergeCell ref="CB73"/>
    <mergeCell ref="CB64"/>
    <mergeCell ref="CB65"/>
    <mergeCell ref="CB66"/>
    <mergeCell ref="CB67"/>
    <mergeCell ref="CB68"/>
    <mergeCell ref="CB59"/>
    <mergeCell ref="CB60"/>
    <mergeCell ref="CB61"/>
    <mergeCell ref="CB62"/>
    <mergeCell ref="CB63"/>
    <mergeCell ref="CB54"/>
    <mergeCell ref="CB55"/>
    <mergeCell ref="CB56"/>
    <mergeCell ref="CB57"/>
    <mergeCell ref="CB58"/>
    <mergeCell ref="CB49"/>
    <mergeCell ref="CB50"/>
    <mergeCell ref="CB51"/>
    <mergeCell ref="CB52"/>
    <mergeCell ref="CB53"/>
    <mergeCell ref="CB44"/>
    <mergeCell ref="CB45"/>
    <mergeCell ref="CB46"/>
    <mergeCell ref="CB47"/>
    <mergeCell ref="CB48"/>
    <mergeCell ref="CB39"/>
    <mergeCell ref="CB40"/>
    <mergeCell ref="CB41"/>
    <mergeCell ref="CB42"/>
    <mergeCell ref="CB43"/>
    <mergeCell ref="CB34"/>
    <mergeCell ref="CB35"/>
    <mergeCell ref="CB36"/>
    <mergeCell ref="CB37"/>
    <mergeCell ref="CB38"/>
    <mergeCell ref="CB29"/>
    <mergeCell ref="CB30"/>
    <mergeCell ref="CB31"/>
    <mergeCell ref="CB32"/>
    <mergeCell ref="CB33"/>
    <mergeCell ref="CB24"/>
    <mergeCell ref="CB25"/>
    <mergeCell ref="CB26"/>
    <mergeCell ref="CB27"/>
    <mergeCell ref="CB28"/>
    <mergeCell ref="CB19"/>
    <mergeCell ref="CB20"/>
    <mergeCell ref="CB21"/>
    <mergeCell ref="CB22"/>
    <mergeCell ref="CB23"/>
    <mergeCell ref="CB14"/>
    <mergeCell ref="CB15"/>
    <mergeCell ref="CB16"/>
    <mergeCell ref="CB17"/>
    <mergeCell ref="CB18"/>
    <mergeCell ref="CB9"/>
    <mergeCell ref="CB10"/>
    <mergeCell ref="CB11"/>
    <mergeCell ref="CB12"/>
    <mergeCell ref="CB13"/>
    <mergeCell ref="CB4"/>
    <mergeCell ref="CB5"/>
    <mergeCell ref="CB6"/>
    <mergeCell ref="CB7"/>
    <mergeCell ref="CB8"/>
    <mergeCell ref="BM303:BP308"/>
    <mergeCell ref="BR11:BV11"/>
    <mergeCell ref="BR12:BT12"/>
    <mergeCell ref="BR19:BV19"/>
    <mergeCell ref="BR13:BR18"/>
    <mergeCell ref="BR303:BU308"/>
    <mergeCell ref="BS13:BS15"/>
    <mergeCell ref="BS16:BS18"/>
    <mergeCell ref="BM11:BP11"/>
    <mergeCell ref="BM12:BN12"/>
    <mergeCell ref="BM13:BM15"/>
    <mergeCell ref="BM16:BM18"/>
    <mergeCell ref="BM19:BP19"/>
    <mergeCell ref="BA289"/>
    <mergeCell ref="BA290"/>
    <mergeCell ref="BA291"/>
    <mergeCell ref="BA292"/>
    <mergeCell ref="BE5:BK5"/>
    <mergeCell ref="BE12:BK17"/>
    <mergeCell ref="BE10:BK10"/>
    <mergeCell ref="BE6:BE7"/>
    <mergeCell ref="BF6:BH6"/>
    <mergeCell ref="BI6:BK6"/>
    <mergeCell ref="BA284"/>
    <mergeCell ref="BA285"/>
    <mergeCell ref="BA286"/>
    <mergeCell ref="BA287"/>
    <mergeCell ref="BA288"/>
    <mergeCell ref="BA279"/>
    <mergeCell ref="BA280"/>
    <mergeCell ref="BA281"/>
    <mergeCell ref="BA282"/>
    <mergeCell ref="BA283"/>
    <mergeCell ref="BA274"/>
    <mergeCell ref="BA275"/>
    <mergeCell ref="BA276"/>
    <mergeCell ref="BA277"/>
    <mergeCell ref="BA278"/>
    <mergeCell ref="BA269"/>
    <mergeCell ref="BA270"/>
    <mergeCell ref="BA271"/>
    <mergeCell ref="BA272"/>
    <mergeCell ref="BA273"/>
    <mergeCell ref="BA264"/>
    <mergeCell ref="BA265"/>
    <mergeCell ref="BA266"/>
    <mergeCell ref="BA267"/>
    <mergeCell ref="BA268"/>
    <mergeCell ref="BA259"/>
    <mergeCell ref="BA260"/>
    <mergeCell ref="BA261"/>
    <mergeCell ref="BA262"/>
    <mergeCell ref="BA263"/>
    <mergeCell ref="BA254"/>
    <mergeCell ref="BA255"/>
    <mergeCell ref="BA256"/>
    <mergeCell ref="BA257"/>
    <mergeCell ref="BA258"/>
    <mergeCell ref="BA249"/>
    <mergeCell ref="BA250"/>
    <mergeCell ref="BA251"/>
    <mergeCell ref="BA252"/>
    <mergeCell ref="BA253"/>
    <mergeCell ref="BA244"/>
    <mergeCell ref="BA245"/>
    <mergeCell ref="BA246"/>
    <mergeCell ref="BA247"/>
    <mergeCell ref="BA248"/>
    <mergeCell ref="BA239"/>
    <mergeCell ref="BA240"/>
    <mergeCell ref="BA241"/>
    <mergeCell ref="BA242"/>
    <mergeCell ref="BA243"/>
    <mergeCell ref="BA234"/>
    <mergeCell ref="BA235"/>
    <mergeCell ref="BA236"/>
    <mergeCell ref="BA237"/>
    <mergeCell ref="BA238"/>
    <mergeCell ref="BA229"/>
    <mergeCell ref="BA230"/>
    <mergeCell ref="BA231"/>
    <mergeCell ref="BA232"/>
    <mergeCell ref="BA233"/>
    <mergeCell ref="BA224"/>
    <mergeCell ref="BA225"/>
    <mergeCell ref="BA226"/>
    <mergeCell ref="BA227"/>
    <mergeCell ref="BA228"/>
    <mergeCell ref="BA219"/>
    <mergeCell ref="BA220"/>
    <mergeCell ref="BA221"/>
    <mergeCell ref="BA222"/>
    <mergeCell ref="BA223"/>
    <mergeCell ref="BA214"/>
    <mergeCell ref="BA215"/>
    <mergeCell ref="BA216"/>
    <mergeCell ref="BA217"/>
    <mergeCell ref="BA218"/>
    <mergeCell ref="BA209"/>
    <mergeCell ref="BA210"/>
    <mergeCell ref="BA211"/>
    <mergeCell ref="BA212"/>
    <mergeCell ref="BA213"/>
    <mergeCell ref="BA204"/>
    <mergeCell ref="BA205"/>
    <mergeCell ref="BA206"/>
    <mergeCell ref="BA207"/>
    <mergeCell ref="BA208"/>
    <mergeCell ref="BA199"/>
    <mergeCell ref="BA200"/>
    <mergeCell ref="BA201"/>
    <mergeCell ref="BA202"/>
    <mergeCell ref="BA203"/>
    <mergeCell ref="BA194"/>
    <mergeCell ref="BA195"/>
    <mergeCell ref="BA196"/>
    <mergeCell ref="BA197"/>
    <mergeCell ref="BA198"/>
    <mergeCell ref="BA189"/>
    <mergeCell ref="BA190"/>
    <mergeCell ref="BA191"/>
    <mergeCell ref="BA192"/>
    <mergeCell ref="BA193"/>
    <mergeCell ref="BA184"/>
    <mergeCell ref="BA185"/>
    <mergeCell ref="BA186"/>
    <mergeCell ref="BA187"/>
    <mergeCell ref="BA188"/>
    <mergeCell ref="BA179"/>
    <mergeCell ref="BA180"/>
    <mergeCell ref="BA181"/>
    <mergeCell ref="BA182"/>
    <mergeCell ref="BA183"/>
    <mergeCell ref="BA174"/>
    <mergeCell ref="BA175"/>
    <mergeCell ref="BA176"/>
    <mergeCell ref="BA177"/>
    <mergeCell ref="BA178"/>
    <mergeCell ref="BA169"/>
    <mergeCell ref="BA170"/>
    <mergeCell ref="BA171"/>
    <mergeCell ref="BA172"/>
    <mergeCell ref="BA173"/>
    <mergeCell ref="BA164"/>
    <mergeCell ref="BA165"/>
    <mergeCell ref="BA166"/>
    <mergeCell ref="BA167"/>
    <mergeCell ref="BA168"/>
    <mergeCell ref="BA159"/>
    <mergeCell ref="BA160"/>
    <mergeCell ref="BA161"/>
    <mergeCell ref="BA162"/>
    <mergeCell ref="BA163"/>
    <mergeCell ref="BA154"/>
    <mergeCell ref="BA155"/>
    <mergeCell ref="BA156"/>
    <mergeCell ref="BA157"/>
    <mergeCell ref="BA158"/>
    <mergeCell ref="BA149"/>
    <mergeCell ref="BA150"/>
    <mergeCell ref="BA151"/>
    <mergeCell ref="BA152"/>
    <mergeCell ref="BA153"/>
    <mergeCell ref="BA144"/>
    <mergeCell ref="BA145"/>
    <mergeCell ref="BA146"/>
    <mergeCell ref="BA147"/>
    <mergeCell ref="BA148"/>
    <mergeCell ref="BA139"/>
    <mergeCell ref="BA140"/>
    <mergeCell ref="BA141"/>
    <mergeCell ref="BA142"/>
    <mergeCell ref="BA143"/>
    <mergeCell ref="BA134"/>
    <mergeCell ref="BA135"/>
    <mergeCell ref="BA136"/>
    <mergeCell ref="BA137"/>
    <mergeCell ref="BA138"/>
    <mergeCell ref="BA129"/>
    <mergeCell ref="BA130"/>
    <mergeCell ref="BA131"/>
    <mergeCell ref="BA132"/>
    <mergeCell ref="BA133"/>
    <mergeCell ref="BA124"/>
    <mergeCell ref="BA125"/>
    <mergeCell ref="BA126"/>
    <mergeCell ref="BA127"/>
    <mergeCell ref="BA128"/>
    <mergeCell ref="BA119"/>
    <mergeCell ref="BA120"/>
    <mergeCell ref="BA121"/>
    <mergeCell ref="BA122"/>
    <mergeCell ref="BA123"/>
    <mergeCell ref="BA114"/>
    <mergeCell ref="BA115"/>
    <mergeCell ref="BA116"/>
    <mergeCell ref="BA117"/>
    <mergeCell ref="BA118"/>
    <mergeCell ref="BA109"/>
    <mergeCell ref="BA110"/>
    <mergeCell ref="BA111"/>
    <mergeCell ref="BA112"/>
    <mergeCell ref="BA113"/>
    <mergeCell ref="BA104"/>
    <mergeCell ref="BA105"/>
    <mergeCell ref="BA106"/>
    <mergeCell ref="BA107"/>
    <mergeCell ref="BA108"/>
    <mergeCell ref="BA99"/>
    <mergeCell ref="BA100"/>
    <mergeCell ref="BA101"/>
    <mergeCell ref="BA102"/>
    <mergeCell ref="BA103"/>
    <mergeCell ref="BA94"/>
    <mergeCell ref="BA95"/>
    <mergeCell ref="BA96"/>
    <mergeCell ref="BA97"/>
    <mergeCell ref="BA98"/>
    <mergeCell ref="BA89"/>
    <mergeCell ref="BA90"/>
    <mergeCell ref="BA91"/>
    <mergeCell ref="BA92"/>
    <mergeCell ref="BA93"/>
    <mergeCell ref="BA84"/>
    <mergeCell ref="BA85"/>
    <mergeCell ref="BA86"/>
    <mergeCell ref="BA87"/>
    <mergeCell ref="BA88"/>
    <mergeCell ref="BA79"/>
    <mergeCell ref="BA80"/>
    <mergeCell ref="BA81"/>
    <mergeCell ref="BA82"/>
    <mergeCell ref="BA83"/>
    <mergeCell ref="BA74"/>
    <mergeCell ref="BA75"/>
    <mergeCell ref="BA76"/>
    <mergeCell ref="BA77"/>
    <mergeCell ref="BA78"/>
    <mergeCell ref="BA69"/>
    <mergeCell ref="BA70"/>
    <mergeCell ref="BA71"/>
    <mergeCell ref="BA72"/>
    <mergeCell ref="BA73"/>
    <mergeCell ref="BA64"/>
    <mergeCell ref="BA65"/>
    <mergeCell ref="BA66"/>
    <mergeCell ref="BA67"/>
    <mergeCell ref="BA68"/>
    <mergeCell ref="BA59"/>
    <mergeCell ref="BA60"/>
    <mergeCell ref="BA61"/>
    <mergeCell ref="BA62"/>
    <mergeCell ref="BA63"/>
    <mergeCell ref="BA54"/>
    <mergeCell ref="BA55"/>
    <mergeCell ref="BA56"/>
    <mergeCell ref="BA57"/>
    <mergeCell ref="BA58"/>
    <mergeCell ref="BA49"/>
    <mergeCell ref="BA50"/>
    <mergeCell ref="BA51"/>
    <mergeCell ref="BA52"/>
    <mergeCell ref="BA53"/>
    <mergeCell ref="BA44"/>
    <mergeCell ref="BA45"/>
    <mergeCell ref="BA46"/>
    <mergeCell ref="BA47"/>
    <mergeCell ref="BA48"/>
    <mergeCell ref="BA39"/>
    <mergeCell ref="BA40"/>
    <mergeCell ref="BA41"/>
    <mergeCell ref="BA42"/>
    <mergeCell ref="BA43"/>
    <mergeCell ref="BA34"/>
    <mergeCell ref="BA35"/>
    <mergeCell ref="BA36"/>
    <mergeCell ref="BA37"/>
    <mergeCell ref="BA38"/>
    <mergeCell ref="BA29"/>
    <mergeCell ref="BA30"/>
    <mergeCell ref="BA31"/>
    <mergeCell ref="BA32"/>
    <mergeCell ref="BA33"/>
    <mergeCell ref="BA24"/>
    <mergeCell ref="BA25"/>
    <mergeCell ref="BA26"/>
    <mergeCell ref="BA27"/>
    <mergeCell ref="BA28"/>
    <mergeCell ref="BA19"/>
    <mergeCell ref="BA20"/>
    <mergeCell ref="BA21"/>
    <mergeCell ref="BA22"/>
    <mergeCell ref="BA23"/>
    <mergeCell ref="BA14"/>
    <mergeCell ref="BA15"/>
    <mergeCell ref="BA16"/>
    <mergeCell ref="BA17"/>
    <mergeCell ref="BA18"/>
    <mergeCell ref="BA9"/>
    <mergeCell ref="BA10"/>
    <mergeCell ref="BA11"/>
    <mergeCell ref="BA12"/>
    <mergeCell ref="BA13"/>
    <mergeCell ref="BA4"/>
    <mergeCell ref="BA5"/>
    <mergeCell ref="BA6"/>
    <mergeCell ref="BA7"/>
    <mergeCell ref="BA8"/>
    <mergeCell ref="AN303:AQ308"/>
    <mergeCell ref="AS11:AW11"/>
    <mergeCell ref="AS12:AU12"/>
    <mergeCell ref="AS19:AW19"/>
    <mergeCell ref="AS13:AS18"/>
    <mergeCell ref="AS303:AV308"/>
    <mergeCell ref="AT13:AT15"/>
    <mergeCell ref="AT16:AT18"/>
    <mergeCell ref="AN11:AQ11"/>
    <mergeCell ref="AN12:AO12"/>
    <mergeCell ref="AN13:AN15"/>
    <mergeCell ref="AN16:AN18"/>
    <mergeCell ref="AN19:AQ19"/>
    <mergeCell ref="AB289"/>
    <mergeCell ref="AB290"/>
    <mergeCell ref="AB291"/>
    <mergeCell ref="AB292"/>
    <mergeCell ref="AF5:AL5"/>
    <mergeCell ref="AF12:AL17"/>
    <mergeCell ref="AF10:AL10"/>
    <mergeCell ref="AF6:AF7"/>
    <mergeCell ref="AG6:AI6"/>
    <mergeCell ref="AJ6:AL6"/>
    <mergeCell ref="AB284"/>
    <mergeCell ref="AB285"/>
    <mergeCell ref="AB286"/>
    <mergeCell ref="AB287"/>
    <mergeCell ref="AB288"/>
    <mergeCell ref="AB279"/>
    <mergeCell ref="AB280"/>
    <mergeCell ref="AB281"/>
    <mergeCell ref="AB282"/>
    <mergeCell ref="AB283"/>
    <mergeCell ref="AB274"/>
    <mergeCell ref="AB275"/>
    <mergeCell ref="AB276"/>
    <mergeCell ref="AB277"/>
    <mergeCell ref="AB278"/>
    <mergeCell ref="AB269"/>
    <mergeCell ref="AB270"/>
    <mergeCell ref="AB271"/>
    <mergeCell ref="AB272"/>
    <mergeCell ref="AB273"/>
    <mergeCell ref="AB264"/>
    <mergeCell ref="AB265"/>
    <mergeCell ref="AB266"/>
    <mergeCell ref="AB267"/>
    <mergeCell ref="AB268"/>
    <mergeCell ref="AB259"/>
    <mergeCell ref="AB260"/>
    <mergeCell ref="AB261"/>
    <mergeCell ref="AB262"/>
    <mergeCell ref="AB263"/>
    <mergeCell ref="AB254"/>
    <mergeCell ref="AB255"/>
    <mergeCell ref="AB256"/>
    <mergeCell ref="AB257"/>
    <mergeCell ref="AB258"/>
    <mergeCell ref="AB249"/>
    <mergeCell ref="AB250"/>
    <mergeCell ref="AB251"/>
    <mergeCell ref="AB252"/>
    <mergeCell ref="AB253"/>
    <mergeCell ref="AB244"/>
    <mergeCell ref="AB245"/>
    <mergeCell ref="AB246"/>
    <mergeCell ref="AB247"/>
    <mergeCell ref="AB248"/>
    <mergeCell ref="AB239"/>
    <mergeCell ref="AB240"/>
    <mergeCell ref="AB241"/>
    <mergeCell ref="AB242"/>
    <mergeCell ref="AB243"/>
    <mergeCell ref="AB234"/>
    <mergeCell ref="AB235"/>
    <mergeCell ref="AB236"/>
    <mergeCell ref="AB237"/>
    <mergeCell ref="AB238"/>
    <mergeCell ref="AB229"/>
    <mergeCell ref="AB230"/>
    <mergeCell ref="AB231"/>
    <mergeCell ref="AB232"/>
    <mergeCell ref="AB233"/>
    <mergeCell ref="AB224"/>
    <mergeCell ref="AB225"/>
    <mergeCell ref="AB226"/>
    <mergeCell ref="AB227"/>
    <mergeCell ref="AB228"/>
    <mergeCell ref="AB219"/>
    <mergeCell ref="AB220"/>
    <mergeCell ref="AB221"/>
    <mergeCell ref="AB222"/>
    <mergeCell ref="AB223"/>
    <mergeCell ref="AB214"/>
    <mergeCell ref="AB215"/>
    <mergeCell ref="AB216"/>
    <mergeCell ref="AB217"/>
    <mergeCell ref="AB218"/>
    <mergeCell ref="AB209"/>
    <mergeCell ref="AB210"/>
    <mergeCell ref="AB211"/>
    <mergeCell ref="AB212"/>
    <mergeCell ref="AB213"/>
    <mergeCell ref="AB204"/>
    <mergeCell ref="AB205"/>
    <mergeCell ref="AB206"/>
    <mergeCell ref="AB207"/>
    <mergeCell ref="AB208"/>
    <mergeCell ref="AB199"/>
    <mergeCell ref="AB200"/>
    <mergeCell ref="AB201"/>
    <mergeCell ref="AB202"/>
    <mergeCell ref="AB203"/>
    <mergeCell ref="AB194"/>
    <mergeCell ref="AB195"/>
    <mergeCell ref="AB196"/>
    <mergeCell ref="AB197"/>
    <mergeCell ref="AB198"/>
    <mergeCell ref="AB189"/>
    <mergeCell ref="AB190"/>
    <mergeCell ref="AB191"/>
    <mergeCell ref="AB192"/>
    <mergeCell ref="AB193"/>
    <mergeCell ref="AB184"/>
    <mergeCell ref="AB185"/>
    <mergeCell ref="AB186"/>
    <mergeCell ref="AB187"/>
    <mergeCell ref="AB188"/>
    <mergeCell ref="AB179"/>
    <mergeCell ref="AB180"/>
    <mergeCell ref="AB181"/>
    <mergeCell ref="AB182"/>
    <mergeCell ref="AB183"/>
    <mergeCell ref="AB174"/>
    <mergeCell ref="AB175"/>
    <mergeCell ref="AB176"/>
    <mergeCell ref="AB177"/>
    <mergeCell ref="AB178"/>
    <mergeCell ref="AB169"/>
    <mergeCell ref="AB170"/>
    <mergeCell ref="AB171"/>
    <mergeCell ref="AB172"/>
    <mergeCell ref="AB173"/>
    <mergeCell ref="AB164"/>
    <mergeCell ref="AB165"/>
    <mergeCell ref="AB166"/>
    <mergeCell ref="AB167"/>
    <mergeCell ref="AB168"/>
    <mergeCell ref="AB159"/>
    <mergeCell ref="AB160"/>
    <mergeCell ref="AB161"/>
    <mergeCell ref="AB162"/>
    <mergeCell ref="AB163"/>
    <mergeCell ref="AB154"/>
    <mergeCell ref="AB155"/>
    <mergeCell ref="AB156"/>
    <mergeCell ref="AB157"/>
    <mergeCell ref="AB158"/>
    <mergeCell ref="AB149"/>
    <mergeCell ref="AB150"/>
    <mergeCell ref="AB151"/>
    <mergeCell ref="AB152"/>
    <mergeCell ref="AB153"/>
    <mergeCell ref="AB144"/>
    <mergeCell ref="AB145"/>
    <mergeCell ref="AB146"/>
    <mergeCell ref="AB147"/>
    <mergeCell ref="AB148"/>
    <mergeCell ref="AB139"/>
    <mergeCell ref="AB140"/>
    <mergeCell ref="AB141"/>
    <mergeCell ref="AB142"/>
    <mergeCell ref="AB143"/>
    <mergeCell ref="AB134"/>
    <mergeCell ref="AB135"/>
    <mergeCell ref="AB136"/>
    <mergeCell ref="AB137"/>
    <mergeCell ref="AB138"/>
    <mergeCell ref="AB129"/>
    <mergeCell ref="AB130"/>
    <mergeCell ref="AB131"/>
    <mergeCell ref="AB132"/>
    <mergeCell ref="AB133"/>
    <mergeCell ref="AB124"/>
    <mergeCell ref="AB125"/>
    <mergeCell ref="AB126"/>
    <mergeCell ref="AB127"/>
    <mergeCell ref="AB128"/>
    <mergeCell ref="AB119"/>
    <mergeCell ref="AB120"/>
    <mergeCell ref="AB121"/>
    <mergeCell ref="AB122"/>
    <mergeCell ref="AB123"/>
    <mergeCell ref="AB114"/>
    <mergeCell ref="AB115"/>
    <mergeCell ref="AB116"/>
    <mergeCell ref="AB117"/>
    <mergeCell ref="AB118"/>
    <mergeCell ref="AB109"/>
    <mergeCell ref="AB110"/>
    <mergeCell ref="AB111"/>
    <mergeCell ref="AB112"/>
    <mergeCell ref="AB113"/>
    <mergeCell ref="AB104"/>
    <mergeCell ref="AB105"/>
    <mergeCell ref="AB106"/>
    <mergeCell ref="AB107"/>
    <mergeCell ref="AB108"/>
    <mergeCell ref="AB99"/>
    <mergeCell ref="AB100"/>
    <mergeCell ref="AB101"/>
    <mergeCell ref="AB102"/>
    <mergeCell ref="AB103"/>
    <mergeCell ref="AB94"/>
    <mergeCell ref="AB95"/>
    <mergeCell ref="AB96"/>
    <mergeCell ref="AB97"/>
    <mergeCell ref="AB98"/>
    <mergeCell ref="AB89"/>
    <mergeCell ref="AB90"/>
    <mergeCell ref="AB91"/>
    <mergeCell ref="AB92"/>
    <mergeCell ref="AB93"/>
    <mergeCell ref="AB84"/>
    <mergeCell ref="AB85"/>
    <mergeCell ref="AB86"/>
    <mergeCell ref="AB87"/>
    <mergeCell ref="AB88"/>
    <mergeCell ref="AB79"/>
    <mergeCell ref="AB80"/>
    <mergeCell ref="AB81"/>
    <mergeCell ref="AB82"/>
    <mergeCell ref="AB83"/>
    <mergeCell ref="AB74"/>
    <mergeCell ref="AB75"/>
    <mergeCell ref="AB76"/>
    <mergeCell ref="AB77"/>
    <mergeCell ref="AB78"/>
    <mergeCell ref="AB69"/>
    <mergeCell ref="AB70"/>
    <mergeCell ref="AB71"/>
    <mergeCell ref="AB72"/>
    <mergeCell ref="AB73"/>
    <mergeCell ref="AB64"/>
    <mergeCell ref="AB65"/>
    <mergeCell ref="AB66"/>
    <mergeCell ref="AB67"/>
    <mergeCell ref="AB68"/>
    <mergeCell ref="AB59"/>
    <mergeCell ref="AB60"/>
    <mergeCell ref="AB61"/>
    <mergeCell ref="AB62"/>
    <mergeCell ref="AB63"/>
    <mergeCell ref="AB54"/>
    <mergeCell ref="AB55"/>
    <mergeCell ref="AB56"/>
    <mergeCell ref="AB57"/>
    <mergeCell ref="AB58"/>
    <mergeCell ref="AB49"/>
    <mergeCell ref="AB50"/>
    <mergeCell ref="AB51"/>
    <mergeCell ref="AB52"/>
    <mergeCell ref="AB53"/>
    <mergeCell ref="AB44"/>
    <mergeCell ref="AB45"/>
    <mergeCell ref="AB46"/>
    <mergeCell ref="AB47"/>
    <mergeCell ref="AB48"/>
    <mergeCell ref="AB39"/>
    <mergeCell ref="AB40"/>
    <mergeCell ref="AB41"/>
    <mergeCell ref="AB42"/>
    <mergeCell ref="AB43"/>
    <mergeCell ref="AB34"/>
    <mergeCell ref="AB35"/>
    <mergeCell ref="AB36"/>
    <mergeCell ref="AB37"/>
    <mergeCell ref="AB38"/>
    <mergeCell ref="AB29"/>
    <mergeCell ref="AB30"/>
    <mergeCell ref="AB31"/>
    <mergeCell ref="AB32"/>
    <mergeCell ref="AB33"/>
    <mergeCell ref="AB24"/>
    <mergeCell ref="AB25"/>
    <mergeCell ref="AB26"/>
    <mergeCell ref="AB27"/>
    <mergeCell ref="AB28"/>
    <mergeCell ref="AB19"/>
    <mergeCell ref="AB20"/>
    <mergeCell ref="AB21"/>
    <mergeCell ref="AB22"/>
    <mergeCell ref="AB23"/>
    <mergeCell ref="AB14"/>
    <mergeCell ref="AB15"/>
    <mergeCell ref="AB16"/>
    <mergeCell ref="AB17"/>
    <mergeCell ref="AB18"/>
    <mergeCell ref="AB9"/>
    <mergeCell ref="AB10"/>
    <mergeCell ref="AB11"/>
    <mergeCell ref="AB12"/>
    <mergeCell ref="AB13"/>
    <mergeCell ref="AB4"/>
    <mergeCell ref="AB5"/>
    <mergeCell ref="AB6"/>
    <mergeCell ref="AB7"/>
    <mergeCell ref="AB8"/>
    <mergeCell ref="O303:R308"/>
    <mergeCell ref="T11:X11"/>
    <mergeCell ref="T12:V12"/>
    <mergeCell ref="T19:X19"/>
    <mergeCell ref="T13:T18"/>
    <mergeCell ref="T303:W308"/>
    <mergeCell ref="U13:U15"/>
    <mergeCell ref="U16:U18"/>
    <mergeCell ref="O11:R11"/>
    <mergeCell ref="O12:P12"/>
    <mergeCell ref="O13:O15"/>
    <mergeCell ref="O16:O18"/>
    <mergeCell ref="O19:R19"/>
    <mergeCell ref="C289"/>
    <mergeCell ref="C290"/>
    <mergeCell ref="C291"/>
    <mergeCell ref="C292"/>
    <mergeCell ref="G5:M5"/>
    <mergeCell ref="G12:M17"/>
    <mergeCell ref="G10:M10"/>
    <mergeCell ref="G6:G7"/>
    <mergeCell ref="H6:J6"/>
    <mergeCell ref="K6:M6"/>
    <mergeCell ref="C284"/>
    <mergeCell ref="C285"/>
    <mergeCell ref="C286"/>
    <mergeCell ref="C287"/>
    <mergeCell ref="C288"/>
    <mergeCell ref="C279"/>
    <mergeCell ref="C280"/>
    <mergeCell ref="C281"/>
    <mergeCell ref="C282"/>
    <mergeCell ref="C283"/>
    <mergeCell ref="C274"/>
    <mergeCell ref="C275"/>
    <mergeCell ref="C276"/>
    <mergeCell ref="C277"/>
    <mergeCell ref="C278"/>
    <mergeCell ref="C269"/>
    <mergeCell ref="C270"/>
    <mergeCell ref="C271"/>
    <mergeCell ref="C272"/>
    <mergeCell ref="C273"/>
    <mergeCell ref="C264"/>
    <mergeCell ref="C265"/>
    <mergeCell ref="C266"/>
    <mergeCell ref="C267"/>
    <mergeCell ref="C268"/>
    <mergeCell ref="C259"/>
    <mergeCell ref="C260"/>
    <mergeCell ref="C261"/>
    <mergeCell ref="C262"/>
    <mergeCell ref="C263"/>
    <mergeCell ref="C254"/>
    <mergeCell ref="C255"/>
    <mergeCell ref="C256"/>
    <mergeCell ref="C257"/>
    <mergeCell ref="C258"/>
    <mergeCell ref="C249"/>
    <mergeCell ref="C250"/>
    <mergeCell ref="C251"/>
    <mergeCell ref="C252"/>
    <mergeCell ref="C253"/>
    <mergeCell ref="C244"/>
    <mergeCell ref="C245"/>
    <mergeCell ref="C246"/>
    <mergeCell ref="C247"/>
    <mergeCell ref="C248"/>
    <mergeCell ref="C239"/>
    <mergeCell ref="C240"/>
    <mergeCell ref="C241"/>
    <mergeCell ref="C242"/>
    <mergeCell ref="C243"/>
    <mergeCell ref="C234"/>
    <mergeCell ref="C235"/>
    <mergeCell ref="C236"/>
    <mergeCell ref="C237"/>
    <mergeCell ref="C238"/>
    <mergeCell ref="C229"/>
    <mergeCell ref="C230"/>
    <mergeCell ref="C231"/>
    <mergeCell ref="C232"/>
    <mergeCell ref="C233"/>
    <mergeCell ref="C224"/>
    <mergeCell ref="C225"/>
    <mergeCell ref="C226"/>
    <mergeCell ref="C227"/>
    <mergeCell ref="C228"/>
    <mergeCell ref="C219"/>
    <mergeCell ref="C220"/>
    <mergeCell ref="C221"/>
    <mergeCell ref="C222"/>
    <mergeCell ref="C223"/>
    <mergeCell ref="C214"/>
    <mergeCell ref="C215"/>
    <mergeCell ref="C216"/>
    <mergeCell ref="C217"/>
    <mergeCell ref="C218"/>
    <mergeCell ref="C209"/>
    <mergeCell ref="C210"/>
    <mergeCell ref="C211"/>
    <mergeCell ref="C212"/>
    <mergeCell ref="C213"/>
    <mergeCell ref="C204"/>
    <mergeCell ref="C205"/>
    <mergeCell ref="C206"/>
    <mergeCell ref="C207"/>
    <mergeCell ref="C208"/>
    <mergeCell ref="C199"/>
    <mergeCell ref="C200"/>
    <mergeCell ref="C201"/>
    <mergeCell ref="C202"/>
    <mergeCell ref="C203"/>
    <mergeCell ref="C194"/>
    <mergeCell ref="C195"/>
    <mergeCell ref="C196"/>
    <mergeCell ref="C197"/>
    <mergeCell ref="C198"/>
    <mergeCell ref="C189"/>
    <mergeCell ref="C190"/>
    <mergeCell ref="C191"/>
    <mergeCell ref="C192"/>
    <mergeCell ref="C193"/>
    <mergeCell ref="C184"/>
    <mergeCell ref="C185"/>
    <mergeCell ref="C186"/>
    <mergeCell ref="C187"/>
    <mergeCell ref="C188"/>
    <mergeCell ref="C179"/>
    <mergeCell ref="C180"/>
    <mergeCell ref="C181"/>
    <mergeCell ref="C182"/>
    <mergeCell ref="C183"/>
    <mergeCell ref="C174"/>
    <mergeCell ref="C175"/>
    <mergeCell ref="C176"/>
    <mergeCell ref="C177"/>
    <mergeCell ref="C178"/>
    <mergeCell ref="C169"/>
    <mergeCell ref="C170"/>
    <mergeCell ref="C171"/>
    <mergeCell ref="C172"/>
    <mergeCell ref="C173"/>
    <mergeCell ref="C164"/>
    <mergeCell ref="C165"/>
    <mergeCell ref="C166"/>
    <mergeCell ref="C167"/>
    <mergeCell ref="C168"/>
    <mergeCell ref="C159"/>
    <mergeCell ref="C160"/>
    <mergeCell ref="C161"/>
    <mergeCell ref="C162"/>
    <mergeCell ref="C163"/>
    <mergeCell ref="C154"/>
    <mergeCell ref="C155"/>
    <mergeCell ref="C156"/>
    <mergeCell ref="C157"/>
    <mergeCell ref="C158"/>
    <mergeCell ref="C149"/>
    <mergeCell ref="C150"/>
    <mergeCell ref="C151"/>
    <mergeCell ref="C152"/>
    <mergeCell ref="C153"/>
    <mergeCell ref="C144"/>
    <mergeCell ref="C145"/>
    <mergeCell ref="C146"/>
    <mergeCell ref="C147"/>
    <mergeCell ref="C148"/>
    <mergeCell ref="C139"/>
    <mergeCell ref="C140"/>
    <mergeCell ref="C141"/>
    <mergeCell ref="C142"/>
    <mergeCell ref="C143"/>
    <mergeCell ref="C134"/>
    <mergeCell ref="C135"/>
    <mergeCell ref="C136"/>
    <mergeCell ref="C137"/>
    <mergeCell ref="C138"/>
    <mergeCell ref="C129"/>
    <mergeCell ref="C130"/>
    <mergeCell ref="C131"/>
    <mergeCell ref="C132"/>
    <mergeCell ref="C133"/>
    <mergeCell ref="C124"/>
    <mergeCell ref="C125"/>
    <mergeCell ref="C126"/>
    <mergeCell ref="C127"/>
    <mergeCell ref="C128"/>
    <mergeCell ref="C119"/>
    <mergeCell ref="C120"/>
    <mergeCell ref="C121"/>
    <mergeCell ref="C122"/>
    <mergeCell ref="C123"/>
    <mergeCell ref="C114"/>
    <mergeCell ref="C115"/>
    <mergeCell ref="C116"/>
    <mergeCell ref="C117"/>
    <mergeCell ref="C118"/>
    <mergeCell ref="C109"/>
    <mergeCell ref="C110"/>
    <mergeCell ref="C111"/>
    <mergeCell ref="C112"/>
    <mergeCell ref="C113"/>
    <mergeCell ref="C104"/>
    <mergeCell ref="C105"/>
    <mergeCell ref="C106"/>
    <mergeCell ref="C107"/>
    <mergeCell ref="C108"/>
    <mergeCell ref="C99"/>
    <mergeCell ref="C100"/>
    <mergeCell ref="C101"/>
    <mergeCell ref="C102"/>
    <mergeCell ref="C103"/>
    <mergeCell ref="C94"/>
    <mergeCell ref="C95"/>
    <mergeCell ref="C96"/>
    <mergeCell ref="C97"/>
    <mergeCell ref="C98"/>
    <mergeCell ref="C89"/>
    <mergeCell ref="C90"/>
    <mergeCell ref="C91"/>
    <mergeCell ref="C92"/>
    <mergeCell ref="C93"/>
    <mergeCell ref="C84"/>
    <mergeCell ref="C85"/>
    <mergeCell ref="C86"/>
    <mergeCell ref="C87"/>
    <mergeCell ref="C88"/>
    <mergeCell ref="C79"/>
    <mergeCell ref="C80"/>
    <mergeCell ref="C81"/>
    <mergeCell ref="C82"/>
    <mergeCell ref="C83"/>
    <mergeCell ref="C74"/>
    <mergeCell ref="C75"/>
    <mergeCell ref="C76"/>
    <mergeCell ref="C77"/>
    <mergeCell ref="C78"/>
    <mergeCell ref="C69"/>
    <mergeCell ref="C70"/>
    <mergeCell ref="C71"/>
    <mergeCell ref="C72"/>
    <mergeCell ref="C73"/>
    <mergeCell ref="C64"/>
    <mergeCell ref="C65"/>
    <mergeCell ref="C66"/>
    <mergeCell ref="C67"/>
    <mergeCell ref="C68"/>
    <mergeCell ref="C59"/>
    <mergeCell ref="C60"/>
    <mergeCell ref="C61"/>
    <mergeCell ref="C62"/>
    <mergeCell ref="C63"/>
    <mergeCell ref="C54"/>
    <mergeCell ref="C55"/>
    <mergeCell ref="C56"/>
    <mergeCell ref="C57"/>
    <mergeCell ref="C58"/>
    <mergeCell ref="C49"/>
    <mergeCell ref="C50"/>
    <mergeCell ref="C51"/>
    <mergeCell ref="C52"/>
    <mergeCell ref="C53"/>
    <mergeCell ref="C44"/>
    <mergeCell ref="C45"/>
    <mergeCell ref="C46"/>
    <mergeCell ref="C47"/>
    <mergeCell ref="C48"/>
    <mergeCell ref="C39"/>
    <mergeCell ref="C40"/>
    <mergeCell ref="C41"/>
    <mergeCell ref="C42"/>
    <mergeCell ref="C43"/>
    <mergeCell ref="C34"/>
    <mergeCell ref="C35"/>
    <mergeCell ref="C36"/>
    <mergeCell ref="C37"/>
    <mergeCell ref="C38"/>
    <mergeCell ref="C29"/>
    <mergeCell ref="C30"/>
    <mergeCell ref="C31"/>
    <mergeCell ref="C32"/>
    <mergeCell ref="C33"/>
    <mergeCell ref="C24"/>
    <mergeCell ref="C25"/>
    <mergeCell ref="C26"/>
    <mergeCell ref="C27"/>
    <mergeCell ref="C28"/>
    <mergeCell ref="C19"/>
    <mergeCell ref="C20"/>
    <mergeCell ref="C21"/>
    <mergeCell ref="C22"/>
    <mergeCell ref="C23"/>
    <mergeCell ref="C14"/>
    <mergeCell ref="C15"/>
    <mergeCell ref="C16"/>
    <mergeCell ref="C17"/>
    <mergeCell ref="C18"/>
    <mergeCell ref="C9"/>
    <mergeCell ref="C10"/>
    <mergeCell ref="C11"/>
    <mergeCell ref="C12"/>
    <mergeCell ref="C13"/>
    <mergeCell ref="C4"/>
    <mergeCell ref="C5"/>
    <mergeCell ref="C6"/>
    <mergeCell ref="C7"/>
    <mergeCell ref="C8"/>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Z308"/>
  <sheetViews>
    <sheetView workbookViewId="0">
      <selection activeCell="X12" sqref="X12"/>
    </sheetView>
  </sheetViews>
  <sheetFormatPr baseColWidth="10" defaultColWidth="9.140625" defaultRowHeight="15" x14ac:dyDescent="0.25"/>
  <cols>
    <col min="3" max="3" width="20" customWidth="1"/>
    <col min="4" max="5" width="12" customWidth="1"/>
    <col min="7" max="7" width="20" customWidth="1"/>
    <col min="8" max="13" width="10" customWidth="1"/>
    <col min="15" max="15" width="23" customWidth="1"/>
    <col min="16" max="16" width="15" customWidth="1"/>
    <col min="17" max="18" width="20" customWidth="1"/>
    <col min="20" max="21" width="22" customWidth="1"/>
    <col min="22" max="22" width="15" customWidth="1"/>
    <col min="23" max="23" width="20" customWidth="1"/>
  </cols>
  <sheetData>
    <row r="1" spans="1:26" x14ac:dyDescent="0.25">
      <c r="A1" s="38"/>
      <c r="B1" s="38"/>
      <c r="C1" s="38"/>
      <c r="D1" s="38"/>
      <c r="E1" s="38"/>
      <c r="F1" s="38"/>
      <c r="G1" s="38"/>
      <c r="H1" s="38"/>
      <c r="I1" s="38"/>
      <c r="J1" s="38"/>
      <c r="K1" s="38"/>
      <c r="L1" s="38"/>
      <c r="M1" s="38"/>
      <c r="N1" s="38"/>
      <c r="O1" s="38"/>
      <c r="P1" s="38"/>
      <c r="Q1" s="38"/>
      <c r="R1" s="38"/>
      <c r="S1" s="38"/>
      <c r="T1" s="38"/>
      <c r="U1" s="38"/>
      <c r="V1" s="38"/>
      <c r="W1" s="38"/>
      <c r="X1" s="38"/>
      <c r="Y1" s="38"/>
      <c r="Z1" s="38"/>
    </row>
    <row r="2" spans="1:26" x14ac:dyDescent="0.25">
      <c r="A2" s="38"/>
      <c r="D2" s="28" t="s">
        <v>450</v>
      </c>
      <c r="E2" s="28" t="s">
        <v>488</v>
      </c>
      <c r="Z2" s="38"/>
    </row>
    <row r="3" spans="1:26" x14ac:dyDescent="0.25">
      <c r="A3" s="38"/>
      <c r="D3" s="28" t="str">
        <f>'Por Valoracion (3) Dimension'!H2</f>
        <v>Gestión de abastecimiento</v>
      </c>
      <c r="E3" s="28" t="str">
        <f>'Por Valoracion (3) Dimension 2'!D2</f>
        <v>Satisfacción de los comités del Programa Vaso de Leche</v>
      </c>
      <c r="Z3" s="38"/>
    </row>
    <row r="4" spans="1:26" x14ac:dyDescent="0.25">
      <c r="A4" s="38"/>
      <c r="C4" s="53" t="str">
        <f>('Gestión de abastecimiento'!A5)</f>
        <v>Beneficiaros 1</v>
      </c>
      <c r="D4" s="27">
        <f>'Por Valoracion (3) Dimension'!H4</f>
        <v>70</v>
      </c>
      <c r="E4" s="27">
        <f>'Por Valoracion (3) Dimension 2'!D4</f>
        <v>31</v>
      </c>
      <c r="G4" s="3" t="s">
        <v>340</v>
      </c>
      <c r="Z4" s="38"/>
    </row>
    <row r="5" spans="1:26" x14ac:dyDescent="0.25">
      <c r="A5" s="38"/>
      <c r="C5" s="53" t="str">
        <f>('Gestión de abastecimiento'!A6)</f>
        <v>Beneficiaros 2</v>
      </c>
      <c r="D5" s="27">
        <f>'Por Valoracion (3) Dimension'!H5</f>
        <v>41</v>
      </c>
      <c r="E5" s="27">
        <f>'Por Valoracion (3) Dimension 2'!D5</f>
        <v>20</v>
      </c>
      <c r="G5" s="57" t="s">
        <v>462</v>
      </c>
      <c r="H5" s="58"/>
      <c r="I5" s="58"/>
      <c r="J5" s="58"/>
      <c r="K5" s="58"/>
      <c r="L5" s="58"/>
      <c r="M5" s="58"/>
      <c r="Z5" s="38"/>
    </row>
    <row r="6" spans="1:26" x14ac:dyDescent="0.25">
      <c r="A6" s="38"/>
      <c r="C6" s="53" t="str">
        <f>('Gestión de abastecimiento'!A7)</f>
        <v>Beneficiaros 3</v>
      </c>
      <c r="D6" s="27">
        <f>'Por Valoracion (3) Dimension'!H6</f>
        <v>54</v>
      </c>
      <c r="E6" s="27">
        <f>'Por Valoracion (3) Dimension 2'!D6</f>
        <v>26</v>
      </c>
      <c r="G6" s="53"/>
      <c r="H6" s="59" t="s">
        <v>463</v>
      </c>
      <c r="I6" s="53"/>
      <c r="J6" s="53"/>
      <c r="K6" s="59" t="s">
        <v>464</v>
      </c>
      <c r="L6" s="53"/>
      <c r="M6" s="53"/>
      <c r="Z6" s="38"/>
    </row>
    <row r="7" spans="1:26" x14ac:dyDescent="0.25">
      <c r="A7" s="38"/>
      <c r="C7" s="53" t="str">
        <f>('Gestión de abastecimiento'!A8)</f>
        <v>Beneficiaros 4</v>
      </c>
      <c r="D7" s="27">
        <f>'Por Valoracion (3) Dimension'!H7</f>
        <v>72</v>
      </c>
      <c r="E7" s="27">
        <f>'Por Valoracion (3) Dimension 2'!D7</f>
        <v>35</v>
      </c>
      <c r="G7" s="58"/>
      <c r="H7" s="31" t="s">
        <v>465</v>
      </c>
      <c r="I7" s="31" t="s">
        <v>466</v>
      </c>
      <c r="J7" s="31" t="s">
        <v>467</v>
      </c>
      <c r="K7" s="31" t="s">
        <v>465</v>
      </c>
      <c r="L7" s="33" t="s">
        <v>466</v>
      </c>
      <c r="M7" s="31" t="s">
        <v>467</v>
      </c>
      <c r="Z7" s="38"/>
    </row>
    <row r="8" spans="1:26" x14ac:dyDescent="0.25">
      <c r="A8" s="38"/>
      <c r="C8" s="53" t="str">
        <f>('Gestión de abastecimiento'!A9)</f>
        <v>Beneficiaros 5</v>
      </c>
      <c r="D8" s="27">
        <f>'Por Valoracion (3) Dimension'!H8</f>
        <v>70</v>
      </c>
      <c r="E8" s="27">
        <f>'Por Valoracion (3) Dimension 2'!D8</f>
        <v>35</v>
      </c>
      <c r="G8" s="29" t="str">
        <f>D3</f>
        <v>Gestión de abastecimiento</v>
      </c>
      <c r="H8" s="32"/>
      <c r="I8" s="32"/>
      <c r="J8" s="32"/>
      <c r="K8" s="32"/>
      <c r="L8" s="32"/>
      <c r="M8" s="32"/>
      <c r="Z8" s="38"/>
    </row>
    <row r="9" spans="1:26" x14ac:dyDescent="0.25">
      <c r="A9" s="38"/>
      <c r="C9" s="53" t="str">
        <f>('Gestión de abastecimiento'!A10)</f>
        <v>Beneficiaros 6</v>
      </c>
      <c r="D9" s="27">
        <f>'Por Valoracion (3) Dimension'!H9</f>
        <v>53</v>
      </c>
      <c r="E9" s="27">
        <f>'Por Valoracion (3) Dimension 2'!D9</f>
        <v>27</v>
      </c>
      <c r="G9" s="30" t="str">
        <f>E3</f>
        <v>Satisfacción de los comités del Programa Vaso de Leche</v>
      </c>
      <c r="H9" s="5"/>
      <c r="I9" s="5"/>
      <c r="J9" s="5"/>
      <c r="K9" s="5"/>
      <c r="L9" s="5"/>
      <c r="M9" s="5"/>
      <c r="Z9" s="38"/>
    </row>
    <row r="10" spans="1:26" x14ac:dyDescent="0.25">
      <c r="A10" s="38"/>
      <c r="C10" s="53" t="str">
        <f>('Gestión de abastecimiento'!A11)</f>
        <v>Beneficiaros 7</v>
      </c>
      <c r="D10" s="27">
        <f>'Por Valoracion (3) Dimension'!H10</f>
        <v>66</v>
      </c>
      <c r="E10" s="27">
        <f>'Por Valoracion (3) Dimension 2'!D10</f>
        <v>32</v>
      </c>
      <c r="G10" s="59" t="s">
        <v>468</v>
      </c>
      <c r="H10" s="53"/>
      <c r="I10" s="53"/>
      <c r="J10" s="53"/>
      <c r="K10" s="53"/>
      <c r="L10" s="53"/>
      <c r="M10" s="53"/>
      <c r="O10" s="3" t="s">
        <v>340</v>
      </c>
      <c r="T10" s="3" t="s">
        <v>340</v>
      </c>
      <c r="Z10" s="38"/>
    </row>
    <row r="11" spans="1:26" x14ac:dyDescent="0.25">
      <c r="A11" s="38"/>
      <c r="C11" s="53" t="str">
        <f>('Gestión de abastecimiento'!A12)</f>
        <v>Beneficiaros 8</v>
      </c>
      <c r="D11" s="27">
        <f>'Por Valoracion (3) Dimension'!H11</f>
        <v>37</v>
      </c>
      <c r="E11" s="27">
        <f>'Por Valoracion (3) Dimension 2'!D11</f>
        <v>18</v>
      </c>
      <c r="O11" s="57" t="s">
        <v>469</v>
      </c>
      <c r="P11" s="58"/>
      <c r="Q11" s="58"/>
      <c r="R11" s="58"/>
      <c r="T11" s="57" t="s">
        <v>469</v>
      </c>
      <c r="U11" s="58"/>
      <c r="V11" s="58"/>
      <c r="W11" s="58"/>
      <c r="X11" s="58"/>
      <c r="Z11" s="38"/>
    </row>
    <row r="12" spans="1:26" x14ac:dyDescent="0.25">
      <c r="A12" s="38"/>
      <c r="C12" s="53" t="str">
        <f>('Gestión de abastecimiento'!A13)</f>
        <v>Beneficiaros 9</v>
      </c>
      <c r="D12" s="27">
        <f>'Por Valoracion (3) Dimension'!H12</f>
        <v>45</v>
      </c>
      <c r="E12" s="27">
        <f>'Por Valoracion (3) Dimension 2'!D12</f>
        <v>21</v>
      </c>
      <c r="G12" s="52" t="str">
        <f>CONCATENATE("en la ",G8," y basándose en la prueba de ",F298," se puede observar que, ","con una probabilidad de error de ",D299,"% para la ",D297," ",D298," y ",E299,"% para la ",E297," ",E298,", ",G298,H298, " por tal motivo se procederá a utilizar ",I298,".")</f>
        <v>en la Gestión de abastecimiento y basándose en la prueba de Kolmogorov-Smirnova se puede observar que, con una probabilidad de error de 0% para la  Variable  Gestión de abastecimiento y 0% para la  Variable  Satisfacción de los comités del Programa Vaso de Leche, la distribución de sus valores no son diferentes a la distribución normal es decir los datos si se encuentran normalmente distribuidos por tal motivo se procederá a utilizar la prueba paramétrica de correlación de Pearson.</v>
      </c>
      <c r="H12" s="53"/>
      <c r="I12" s="53"/>
      <c r="J12" s="53"/>
      <c r="K12" s="53"/>
      <c r="L12" s="53"/>
      <c r="M12" s="53"/>
      <c r="O12" s="58"/>
      <c r="P12" s="58"/>
      <c r="Q12" s="30" t="str">
        <f>D3</f>
        <v>Gestión de abastecimiento</v>
      </c>
      <c r="R12" s="30" t="str">
        <f>E3</f>
        <v>Satisfacción de los comités del Programa Vaso de Leche</v>
      </c>
      <c r="T12" s="58"/>
      <c r="U12" s="58"/>
      <c r="V12" s="58"/>
      <c r="W12" s="30" t="str">
        <f>D3</f>
        <v>Gestión de abastecimiento</v>
      </c>
      <c r="X12" s="30" t="str">
        <f>E3</f>
        <v>Satisfacción de los comités del Programa Vaso de Leche</v>
      </c>
      <c r="Z12" s="38"/>
    </row>
    <row r="13" spans="1:26" ht="25.5" x14ac:dyDescent="0.25">
      <c r="A13" s="38"/>
      <c r="C13" s="53" t="str">
        <f>('Gestión de abastecimiento'!A14)</f>
        <v>Beneficiaros 10</v>
      </c>
      <c r="D13" s="27">
        <f>'Por Valoracion (3) Dimension'!H13</f>
        <v>70</v>
      </c>
      <c r="E13" s="27">
        <f>'Por Valoracion (3) Dimension 2'!D13</f>
        <v>33</v>
      </c>
      <c r="G13" s="53"/>
      <c r="H13" s="53"/>
      <c r="I13" s="53"/>
      <c r="J13" s="53"/>
      <c r="K13" s="53"/>
      <c r="L13" s="53"/>
      <c r="M13" s="53"/>
      <c r="O13" s="59" t="str">
        <f>D3</f>
        <v>Gestión de abastecimiento</v>
      </c>
      <c r="P13" s="32" t="s">
        <v>470</v>
      </c>
      <c r="T13" s="60" t="s">
        <v>471</v>
      </c>
      <c r="U13" s="59" t="str">
        <f>D3</f>
        <v>Gestión de abastecimiento</v>
      </c>
      <c r="V13" s="32" t="s">
        <v>472</v>
      </c>
      <c r="Z13" s="38"/>
    </row>
    <row r="14" spans="1:26" x14ac:dyDescent="0.25">
      <c r="A14" s="38"/>
      <c r="C14" s="53" t="str">
        <f>('Gestión de abastecimiento'!A15)</f>
        <v>Beneficiaros 11</v>
      </c>
      <c r="D14" s="27">
        <f>'Por Valoracion (3) Dimension'!H14</f>
        <v>48</v>
      </c>
      <c r="E14" s="27">
        <f>'Por Valoracion (3) Dimension 2'!D14</f>
        <v>24</v>
      </c>
      <c r="G14" s="53"/>
      <c r="H14" s="53"/>
      <c r="I14" s="53"/>
      <c r="J14" s="53"/>
      <c r="K14" s="53"/>
      <c r="L14" s="53"/>
      <c r="M14" s="53"/>
      <c r="O14" s="53"/>
      <c r="P14" s="32" t="s">
        <v>473</v>
      </c>
      <c r="T14" s="53"/>
      <c r="U14" s="53"/>
      <c r="V14" s="32" t="s">
        <v>473</v>
      </c>
      <c r="Z14" s="38"/>
    </row>
    <row r="15" spans="1:26" x14ac:dyDescent="0.25">
      <c r="A15" s="38"/>
      <c r="C15" s="53" t="str">
        <f>('Gestión de abastecimiento'!A16)</f>
        <v>Beneficiaros 12</v>
      </c>
      <c r="D15" s="27">
        <f>'Por Valoracion (3) Dimension'!H15</f>
        <v>65</v>
      </c>
      <c r="E15" s="27">
        <f>'Por Valoracion (3) Dimension 2'!D15</f>
        <v>34</v>
      </c>
      <c r="G15" s="53"/>
      <c r="H15" s="53"/>
      <c r="I15" s="53"/>
      <c r="J15" s="53"/>
      <c r="K15" s="53"/>
      <c r="L15" s="53"/>
      <c r="M15" s="53"/>
      <c r="O15" s="53"/>
      <c r="P15" s="32" t="s">
        <v>474</v>
      </c>
      <c r="T15" s="53"/>
      <c r="U15" s="53"/>
      <c r="V15" s="32" t="s">
        <v>474</v>
      </c>
      <c r="Z15" s="38"/>
    </row>
    <row r="16" spans="1:26" ht="25.5" x14ac:dyDescent="0.25">
      <c r="A16" s="38"/>
      <c r="C16" s="53" t="str">
        <f>('Gestión de abastecimiento'!A17)</f>
        <v>Beneficiaros 13</v>
      </c>
      <c r="D16" s="27">
        <f>'Por Valoracion (3) Dimension'!H16</f>
        <v>45</v>
      </c>
      <c r="E16" s="27">
        <f>'Por Valoracion (3) Dimension 2'!D16</f>
        <v>22</v>
      </c>
      <c r="G16" s="53"/>
      <c r="H16" s="53"/>
      <c r="I16" s="53"/>
      <c r="J16" s="53"/>
      <c r="K16" s="53"/>
      <c r="L16" s="53"/>
      <c r="M16" s="53"/>
      <c r="O16" s="59" t="str">
        <f>E3</f>
        <v>Satisfacción de los comités del Programa Vaso de Leche</v>
      </c>
      <c r="P16" s="32" t="s">
        <v>470</v>
      </c>
      <c r="T16" s="53"/>
      <c r="U16" s="59" t="str">
        <f>E3</f>
        <v>Satisfacción de los comités del Programa Vaso de Leche</v>
      </c>
      <c r="V16" s="32" t="s">
        <v>472</v>
      </c>
      <c r="Z16" s="38"/>
    </row>
    <row r="17" spans="1:26" x14ac:dyDescent="0.25">
      <c r="A17" s="38"/>
      <c r="C17" s="53" t="str">
        <f>('Gestión de abastecimiento'!A18)</f>
        <v>Beneficiaros 14</v>
      </c>
      <c r="D17" s="27">
        <f>'Por Valoracion (3) Dimension'!H17</f>
        <v>51</v>
      </c>
      <c r="E17" s="27">
        <f>'Por Valoracion (3) Dimension 2'!D17</f>
        <v>27</v>
      </c>
      <c r="G17" s="53"/>
      <c r="H17" s="53"/>
      <c r="I17" s="53"/>
      <c r="J17" s="53"/>
      <c r="K17" s="53"/>
      <c r="L17" s="53"/>
      <c r="M17" s="53"/>
      <c r="O17" s="53"/>
      <c r="P17" s="32" t="s">
        <v>473</v>
      </c>
      <c r="T17" s="53"/>
      <c r="U17" s="53"/>
      <c r="V17" s="32" t="s">
        <v>473</v>
      </c>
      <c r="Z17" s="38"/>
    </row>
    <row r="18" spans="1:26" x14ac:dyDescent="0.25">
      <c r="A18" s="38"/>
      <c r="C18" s="53" t="str">
        <f>('Gestión de abastecimiento'!A19)</f>
        <v>Beneficiaros 15</v>
      </c>
      <c r="D18" s="27">
        <f>'Por Valoracion (3) Dimension'!H18</f>
        <v>56</v>
      </c>
      <c r="E18" s="27">
        <f>'Por Valoracion (3) Dimension 2'!D18</f>
        <v>26</v>
      </c>
      <c r="O18" s="58"/>
      <c r="P18" s="31" t="s">
        <v>474</v>
      </c>
      <c r="Q18" s="5"/>
      <c r="R18" s="5"/>
      <c r="T18" s="58"/>
      <c r="U18" s="58"/>
      <c r="V18" s="31" t="s">
        <v>474</v>
      </c>
      <c r="W18" s="5"/>
      <c r="X18" s="5"/>
      <c r="Z18" s="38"/>
    </row>
    <row r="19" spans="1:26" x14ac:dyDescent="0.25">
      <c r="A19" s="38"/>
      <c r="C19" s="53" t="str">
        <f>('Gestión de abastecimiento'!A20)</f>
        <v>Beneficiaros 16</v>
      </c>
      <c r="D19" s="27">
        <f>'Por Valoracion (3) Dimension'!H19</f>
        <v>54</v>
      </c>
      <c r="E19" s="27">
        <f>'Por Valoracion (3) Dimension 2'!D19</f>
        <v>27</v>
      </c>
      <c r="O19" s="59" t="s">
        <v>475</v>
      </c>
      <c r="P19" s="53"/>
      <c r="Q19" s="53"/>
      <c r="R19" s="53"/>
      <c r="T19" s="59" t="s">
        <v>475</v>
      </c>
      <c r="U19" s="53"/>
      <c r="V19" s="53"/>
      <c r="W19" s="53"/>
      <c r="X19" s="53"/>
      <c r="Z19" s="38"/>
    </row>
    <row r="20" spans="1:26" x14ac:dyDescent="0.25">
      <c r="A20" s="38"/>
      <c r="C20" s="53" t="str">
        <f>('Gestión de abastecimiento'!A21)</f>
        <v>Beneficiaros 17</v>
      </c>
      <c r="D20" s="27">
        <f>'Por Valoracion (3) Dimension'!H20</f>
        <v>55</v>
      </c>
      <c r="E20" s="27">
        <f>'Por Valoracion (3) Dimension 2'!D20</f>
        <v>26</v>
      </c>
      <c r="Z20" s="38"/>
    </row>
    <row r="21" spans="1:26" x14ac:dyDescent="0.25">
      <c r="A21" s="38"/>
      <c r="C21" s="53" t="str">
        <f>('Gestión de abastecimiento'!A22)</f>
        <v>Beneficiaros 18</v>
      </c>
      <c r="D21" s="27">
        <f>'Por Valoracion (3) Dimension'!H21</f>
        <v>48</v>
      </c>
      <c r="E21" s="27">
        <f>'Por Valoracion (3) Dimension 2'!D21</f>
        <v>22</v>
      </c>
      <c r="Z21" s="38"/>
    </row>
    <row r="22" spans="1:26" x14ac:dyDescent="0.25">
      <c r="A22" s="38"/>
      <c r="C22" s="53" t="str">
        <f>('Gestión de abastecimiento'!A23)</f>
        <v>Beneficiaros 19</v>
      </c>
      <c r="D22" s="27">
        <f>'Por Valoracion (3) Dimension'!H22</f>
        <v>41</v>
      </c>
      <c r="E22" s="27">
        <f>'Por Valoracion (3) Dimension 2'!D22</f>
        <v>20</v>
      </c>
      <c r="Z22" s="38"/>
    </row>
    <row r="23" spans="1:26" x14ac:dyDescent="0.25">
      <c r="A23" s="38"/>
      <c r="C23" s="53" t="str">
        <f>('Gestión de abastecimiento'!A24)</f>
        <v>Beneficiaros 20</v>
      </c>
      <c r="D23" s="27">
        <f>'Por Valoracion (3) Dimension'!H23</f>
        <v>71</v>
      </c>
      <c r="E23" s="27">
        <f>'Por Valoracion (3) Dimension 2'!D23</f>
        <v>36</v>
      </c>
      <c r="Z23" s="38"/>
    </row>
    <row r="24" spans="1:26" x14ac:dyDescent="0.25">
      <c r="A24" s="38"/>
      <c r="C24" s="53" t="str">
        <f>('Gestión de abastecimiento'!A25)</f>
        <v>Beneficiaros 21</v>
      </c>
      <c r="D24" s="27">
        <f>'Por Valoracion (3) Dimension'!H24</f>
        <v>37</v>
      </c>
      <c r="E24" s="27">
        <f>'Por Valoracion (3) Dimension 2'!D24</f>
        <v>19</v>
      </c>
      <c r="Z24" s="38"/>
    </row>
    <row r="25" spans="1:26" x14ac:dyDescent="0.25">
      <c r="A25" s="38"/>
      <c r="C25" s="53" t="str">
        <f>('Gestión de abastecimiento'!A26)</f>
        <v>Beneficiaros 22</v>
      </c>
      <c r="D25" s="27">
        <f>'Por Valoracion (3) Dimension'!H25</f>
        <v>42</v>
      </c>
      <c r="E25" s="27">
        <f>'Por Valoracion (3) Dimension 2'!D25</f>
        <v>23</v>
      </c>
      <c r="Z25" s="38"/>
    </row>
    <row r="26" spans="1:26" x14ac:dyDescent="0.25">
      <c r="A26" s="38"/>
      <c r="C26" s="53" t="str">
        <f>('Gestión de abastecimiento'!A27)</f>
        <v>Beneficiaros 23</v>
      </c>
      <c r="D26" s="27">
        <f>'Por Valoracion (3) Dimension'!H26</f>
        <v>51</v>
      </c>
      <c r="E26" s="27">
        <f>'Por Valoracion (3) Dimension 2'!D26</f>
        <v>25</v>
      </c>
      <c r="Z26" s="38"/>
    </row>
    <row r="27" spans="1:26" x14ac:dyDescent="0.25">
      <c r="A27" s="38"/>
      <c r="C27" s="53" t="str">
        <f>('Gestión de abastecimiento'!A28)</f>
        <v>Beneficiaros 24</v>
      </c>
      <c r="D27" s="27">
        <f>'Por Valoracion (3) Dimension'!H27</f>
        <v>75</v>
      </c>
      <c r="E27" s="27">
        <f>'Por Valoracion (3) Dimension 2'!D27</f>
        <v>39</v>
      </c>
      <c r="Z27" s="38"/>
    </row>
    <row r="28" spans="1:26" x14ac:dyDescent="0.25">
      <c r="A28" s="38"/>
      <c r="C28" s="53" t="str">
        <f>('Gestión de abastecimiento'!A29)</f>
        <v>Beneficiaros 25</v>
      </c>
      <c r="D28" s="27">
        <f>'Por Valoracion (3) Dimension'!H28</f>
        <v>37</v>
      </c>
      <c r="E28" s="27">
        <f>'Por Valoracion (3) Dimension 2'!D28</f>
        <v>18</v>
      </c>
      <c r="Z28" s="38"/>
    </row>
    <row r="29" spans="1:26" x14ac:dyDescent="0.25">
      <c r="A29" s="38"/>
      <c r="C29" s="53" t="str">
        <f>('Gestión de abastecimiento'!A30)</f>
        <v>Beneficiaros 26</v>
      </c>
      <c r="D29" s="27">
        <f>'Por Valoracion (3) Dimension'!H29</f>
        <v>36</v>
      </c>
      <c r="E29" s="27">
        <f>'Por Valoracion (3) Dimension 2'!D29</f>
        <v>20</v>
      </c>
      <c r="Z29" s="38"/>
    </row>
    <row r="30" spans="1:26" x14ac:dyDescent="0.25">
      <c r="A30" s="38"/>
      <c r="C30" s="53" t="str">
        <f>('Gestión de abastecimiento'!A31)</f>
        <v>Beneficiaros 27</v>
      </c>
      <c r="D30" s="27">
        <f>'Por Valoracion (3) Dimension'!H30</f>
        <v>49</v>
      </c>
      <c r="E30" s="27">
        <f>'Por Valoracion (3) Dimension 2'!D30</f>
        <v>26</v>
      </c>
      <c r="Z30" s="38"/>
    </row>
    <row r="31" spans="1:26" x14ac:dyDescent="0.25">
      <c r="A31" s="38"/>
      <c r="C31" s="53" t="str">
        <f>('Gestión de abastecimiento'!A32)</f>
        <v>Beneficiaros 28</v>
      </c>
      <c r="D31" s="27">
        <f>'Por Valoracion (3) Dimension'!H31</f>
        <v>65</v>
      </c>
      <c r="E31" s="27">
        <f>'Por Valoracion (3) Dimension 2'!D31</f>
        <v>31</v>
      </c>
      <c r="Z31" s="38"/>
    </row>
    <row r="32" spans="1:26" x14ac:dyDescent="0.25">
      <c r="A32" s="38"/>
      <c r="C32" s="53" t="str">
        <f>('Gestión de abastecimiento'!A33)</f>
        <v>Beneficiaros 29</v>
      </c>
      <c r="D32" s="27">
        <f>'Por Valoracion (3) Dimension'!H32</f>
        <v>70</v>
      </c>
      <c r="E32" s="27">
        <f>'Por Valoracion (3) Dimension 2'!D32</f>
        <v>35</v>
      </c>
      <c r="Z32" s="38"/>
    </row>
    <row r="33" spans="1:26" x14ac:dyDescent="0.25">
      <c r="A33" s="38"/>
      <c r="C33" s="53" t="str">
        <f>('Gestión de abastecimiento'!A34)</f>
        <v>Beneficiaros 30</v>
      </c>
      <c r="D33" s="27">
        <f>'Por Valoracion (3) Dimension'!H33</f>
        <v>52</v>
      </c>
      <c r="E33" s="27">
        <f>'Por Valoracion (3) Dimension 2'!D33</f>
        <v>27</v>
      </c>
      <c r="Z33" s="38"/>
    </row>
    <row r="34" spans="1:26" x14ac:dyDescent="0.25">
      <c r="A34" s="38"/>
      <c r="C34" s="53" t="str">
        <f>('Gestión de abastecimiento'!A35)</f>
        <v>Beneficiaros 31</v>
      </c>
      <c r="D34" s="27">
        <f>'Por Valoracion (3) Dimension'!H34</f>
        <v>73</v>
      </c>
      <c r="E34" s="27">
        <f>'Por Valoracion (3) Dimension 2'!D34</f>
        <v>39</v>
      </c>
      <c r="Z34" s="38"/>
    </row>
    <row r="35" spans="1:26" x14ac:dyDescent="0.25">
      <c r="A35" s="38"/>
      <c r="C35" s="53" t="str">
        <f>('Gestión de abastecimiento'!A36)</f>
        <v>Beneficiaros 32</v>
      </c>
      <c r="D35" s="27">
        <f>'Por Valoracion (3) Dimension'!H35</f>
        <v>77</v>
      </c>
      <c r="E35" s="27">
        <f>'Por Valoracion (3) Dimension 2'!D35</f>
        <v>38</v>
      </c>
      <c r="Z35" s="38"/>
    </row>
    <row r="36" spans="1:26" x14ac:dyDescent="0.25">
      <c r="A36" s="38"/>
      <c r="C36" s="53" t="str">
        <f>('Gestión de abastecimiento'!A37)</f>
        <v>Beneficiaros 33</v>
      </c>
      <c r="D36" s="27">
        <f>'Por Valoracion (3) Dimension'!H36</f>
        <v>45</v>
      </c>
      <c r="E36" s="27">
        <f>'Por Valoracion (3) Dimension 2'!D36</f>
        <v>21</v>
      </c>
      <c r="Z36" s="38"/>
    </row>
    <row r="37" spans="1:26" x14ac:dyDescent="0.25">
      <c r="A37" s="38"/>
      <c r="C37" s="53" t="str">
        <f>('Gestión de abastecimiento'!A38)</f>
        <v>Beneficiaros 34</v>
      </c>
      <c r="D37" s="27">
        <f>'Por Valoracion (3) Dimension'!H37</f>
        <v>46</v>
      </c>
      <c r="E37" s="27">
        <f>'Por Valoracion (3) Dimension 2'!D37</f>
        <v>25</v>
      </c>
      <c r="Z37" s="38"/>
    </row>
    <row r="38" spans="1:26" x14ac:dyDescent="0.25">
      <c r="A38" s="38"/>
      <c r="C38" s="53" t="str">
        <f>('Gestión de abastecimiento'!A39)</f>
        <v>Beneficiaros 35</v>
      </c>
      <c r="D38" s="27">
        <f>'Por Valoracion (3) Dimension'!H38</f>
        <v>55</v>
      </c>
      <c r="E38" s="27">
        <f>'Por Valoracion (3) Dimension 2'!D38</f>
        <v>27</v>
      </c>
      <c r="Z38" s="38"/>
    </row>
    <row r="39" spans="1:26" x14ac:dyDescent="0.25">
      <c r="A39" s="38"/>
      <c r="C39" s="53" t="str">
        <f>('Gestión de abastecimiento'!A40)</f>
        <v>Beneficiaros 36</v>
      </c>
      <c r="D39" s="27">
        <f>'Por Valoracion (3) Dimension'!H39</f>
        <v>55</v>
      </c>
      <c r="E39" s="27">
        <f>'Por Valoracion (3) Dimension 2'!D39</f>
        <v>27</v>
      </c>
      <c r="Z39" s="38"/>
    </row>
    <row r="40" spans="1:26" x14ac:dyDescent="0.25">
      <c r="A40" s="38"/>
      <c r="C40" s="53" t="str">
        <f>('Gestión de abastecimiento'!A41)</f>
        <v>Beneficiaros 37</v>
      </c>
      <c r="D40" s="27">
        <f>'Por Valoracion (3) Dimension'!H40</f>
        <v>35</v>
      </c>
      <c r="E40" s="27">
        <f>'Por Valoracion (3) Dimension 2'!D40</f>
        <v>17</v>
      </c>
      <c r="Z40" s="38"/>
    </row>
    <row r="41" spans="1:26" x14ac:dyDescent="0.25">
      <c r="A41" s="38"/>
      <c r="C41" s="53" t="str">
        <f>('Gestión de abastecimiento'!A42)</f>
        <v>Beneficiaros 38</v>
      </c>
      <c r="D41" s="27">
        <f>'Por Valoracion (3) Dimension'!H41</f>
        <v>56</v>
      </c>
      <c r="E41" s="27">
        <f>'Por Valoracion (3) Dimension 2'!D41</f>
        <v>28</v>
      </c>
      <c r="Z41" s="38"/>
    </row>
    <row r="42" spans="1:26" x14ac:dyDescent="0.25">
      <c r="A42" s="38"/>
      <c r="C42" s="53" t="str">
        <f>('Gestión de abastecimiento'!A43)</f>
        <v>Beneficiaros 39</v>
      </c>
      <c r="D42" s="27">
        <f>'Por Valoracion (3) Dimension'!H42</f>
        <v>65</v>
      </c>
      <c r="E42" s="27">
        <f>'Por Valoracion (3) Dimension 2'!D42</f>
        <v>30</v>
      </c>
      <c r="Z42" s="38"/>
    </row>
    <row r="43" spans="1:26" x14ac:dyDescent="0.25">
      <c r="A43" s="38"/>
      <c r="C43" s="53" t="str">
        <f>('Gestión de abastecimiento'!A44)</f>
        <v>Beneficiaros 40</v>
      </c>
      <c r="D43" s="27">
        <f>'Por Valoracion (3) Dimension'!H43</f>
        <v>73</v>
      </c>
      <c r="E43" s="27">
        <f>'Por Valoracion (3) Dimension 2'!D43</f>
        <v>36</v>
      </c>
      <c r="Z43" s="38"/>
    </row>
    <row r="44" spans="1:26" x14ac:dyDescent="0.25">
      <c r="A44" s="38"/>
      <c r="C44" s="53" t="str">
        <f>('Gestión de abastecimiento'!A45)</f>
        <v>Beneficiaros 41</v>
      </c>
      <c r="D44" s="27">
        <f>'Por Valoracion (3) Dimension'!H44</f>
        <v>57</v>
      </c>
      <c r="E44" s="27">
        <f>'Por Valoracion (3) Dimension 2'!D44</f>
        <v>28</v>
      </c>
      <c r="Z44" s="38"/>
    </row>
    <row r="45" spans="1:26" x14ac:dyDescent="0.25">
      <c r="A45" s="38"/>
      <c r="C45" s="53" t="str">
        <f>('Gestión de abastecimiento'!A46)</f>
        <v>Beneficiaros 42</v>
      </c>
      <c r="D45" s="27">
        <f>'Por Valoracion (3) Dimension'!H45</f>
        <v>90</v>
      </c>
      <c r="E45" s="27">
        <f>'Por Valoracion (3) Dimension 2'!D45</f>
        <v>44</v>
      </c>
      <c r="Z45" s="38"/>
    </row>
    <row r="46" spans="1:26" x14ac:dyDescent="0.25">
      <c r="A46" s="38"/>
      <c r="C46" s="53" t="str">
        <f>('Gestión de abastecimiento'!A47)</f>
        <v>Beneficiaros 43</v>
      </c>
      <c r="D46" s="27">
        <f>'Por Valoracion (3) Dimension'!H46</f>
        <v>38</v>
      </c>
      <c r="E46" s="27">
        <f>'Por Valoracion (3) Dimension 2'!D46</f>
        <v>18</v>
      </c>
      <c r="Z46" s="38"/>
    </row>
    <row r="47" spans="1:26" x14ac:dyDescent="0.25">
      <c r="A47" s="38"/>
      <c r="C47" s="53" t="str">
        <f>('Gestión de abastecimiento'!A48)</f>
        <v>Beneficiaros 44</v>
      </c>
      <c r="D47" s="27">
        <f>'Por Valoracion (3) Dimension'!H47</f>
        <v>70</v>
      </c>
      <c r="E47" s="27">
        <f>'Por Valoracion (3) Dimension 2'!D47</f>
        <v>35</v>
      </c>
      <c r="Z47" s="38"/>
    </row>
    <row r="48" spans="1:26" x14ac:dyDescent="0.25">
      <c r="A48" s="38"/>
      <c r="C48" s="53" t="str">
        <f>('Gestión de abastecimiento'!A49)</f>
        <v>Beneficiaros 45</v>
      </c>
      <c r="D48" s="27">
        <f>'Por Valoracion (3) Dimension'!H48</f>
        <v>74</v>
      </c>
      <c r="E48" s="27">
        <f>'Por Valoracion (3) Dimension 2'!D48</f>
        <v>37</v>
      </c>
      <c r="Z48" s="38"/>
    </row>
    <row r="49" spans="1:26" x14ac:dyDescent="0.25">
      <c r="A49" s="38"/>
      <c r="C49" s="53" t="str">
        <f>('Gestión de abastecimiento'!A50)</f>
        <v>Beneficiaros 46</v>
      </c>
      <c r="D49" s="27">
        <f>'Por Valoracion (3) Dimension'!H49</f>
        <v>44</v>
      </c>
      <c r="E49" s="27">
        <f>'Por Valoracion (3) Dimension 2'!D49</f>
        <v>22</v>
      </c>
      <c r="Z49" s="38"/>
    </row>
    <row r="50" spans="1:26" x14ac:dyDescent="0.25">
      <c r="A50" s="38"/>
      <c r="C50" s="53" t="str">
        <f>('Gestión de abastecimiento'!A51)</f>
        <v>Beneficiaros 47</v>
      </c>
      <c r="D50" s="27">
        <f>'Por Valoracion (3) Dimension'!H50</f>
        <v>53</v>
      </c>
      <c r="E50" s="27">
        <f>'Por Valoracion (3) Dimension 2'!D50</f>
        <v>25</v>
      </c>
      <c r="Z50" s="38"/>
    </row>
    <row r="51" spans="1:26" x14ac:dyDescent="0.25">
      <c r="A51" s="38"/>
      <c r="C51" s="53" t="str">
        <f>('Gestión de abastecimiento'!A52)</f>
        <v>Beneficiaros 48</v>
      </c>
      <c r="D51" s="27">
        <f>'Por Valoracion (3) Dimension'!H51</f>
        <v>56</v>
      </c>
      <c r="E51" s="27">
        <f>'Por Valoracion (3) Dimension 2'!D51</f>
        <v>28</v>
      </c>
      <c r="Z51" s="38"/>
    </row>
    <row r="52" spans="1:26" x14ac:dyDescent="0.25">
      <c r="A52" s="38"/>
      <c r="C52" s="53" t="str">
        <f>('Gestión de abastecimiento'!A53)</f>
        <v>Beneficiaros 49</v>
      </c>
      <c r="D52" s="27">
        <f>'Por Valoracion (3) Dimension'!H52</f>
        <v>52</v>
      </c>
      <c r="E52" s="27">
        <f>'Por Valoracion (3) Dimension 2'!D52</f>
        <v>25</v>
      </c>
      <c r="Z52" s="38"/>
    </row>
    <row r="53" spans="1:26" x14ac:dyDescent="0.25">
      <c r="A53" s="38"/>
      <c r="C53" s="53" t="str">
        <f>('Gestión de abastecimiento'!A54)</f>
        <v>Beneficiaros 50</v>
      </c>
      <c r="D53" s="27">
        <f>'Por Valoracion (3) Dimension'!H53</f>
        <v>36</v>
      </c>
      <c r="E53" s="27">
        <f>'Por Valoracion (3) Dimension 2'!D53</f>
        <v>18</v>
      </c>
      <c r="Z53" s="38"/>
    </row>
    <row r="54" spans="1:26" x14ac:dyDescent="0.25">
      <c r="A54" s="38"/>
      <c r="C54" s="53" t="str">
        <f>('Gestión de abastecimiento'!A55)</f>
        <v>Beneficiaros 51</v>
      </c>
      <c r="D54" s="27">
        <f>'Por Valoracion (3) Dimension'!H54</f>
        <v>43</v>
      </c>
      <c r="E54" s="27">
        <f>'Por Valoracion (3) Dimension 2'!D54</f>
        <v>23</v>
      </c>
      <c r="Z54" s="38"/>
    </row>
    <row r="55" spans="1:26" x14ac:dyDescent="0.25">
      <c r="A55" s="38"/>
      <c r="C55" s="53" t="str">
        <f>('Gestión de abastecimiento'!A56)</f>
        <v>Beneficiaros 52</v>
      </c>
      <c r="D55" s="27">
        <f>'Por Valoracion (3) Dimension'!H55</f>
        <v>71</v>
      </c>
      <c r="E55" s="27">
        <f>'Por Valoracion (3) Dimension 2'!D55</f>
        <v>36</v>
      </c>
      <c r="Z55" s="38"/>
    </row>
    <row r="56" spans="1:26" x14ac:dyDescent="0.25">
      <c r="A56" s="38"/>
      <c r="C56" s="53" t="str">
        <f>('Gestión de abastecimiento'!A57)</f>
        <v>Beneficiaros 53</v>
      </c>
      <c r="D56" s="27">
        <f>'Por Valoracion (3) Dimension'!H56</f>
        <v>54</v>
      </c>
      <c r="E56" s="27">
        <f>'Por Valoracion (3) Dimension 2'!D56</f>
        <v>27</v>
      </c>
      <c r="Z56" s="38"/>
    </row>
    <row r="57" spans="1:26" x14ac:dyDescent="0.25">
      <c r="A57" s="38"/>
      <c r="C57" s="53" t="str">
        <f>('Gestión de abastecimiento'!A58)</f>
        <v>Beneficiaros 54</v>
      </c>
      <c r="D57" s="27">
        <f>'Por Valoracion (3) Dimension'!H57</f>
        <v>71</v>
      </c>
      <c r="E57" s="27">
        <f>'Por Valoracion (3) Dimension 2'!D57</f>
        <v>36</v>
      </c>
      <c r="Z57" s="38"/>
    </row>
    <row r="58" spans="1:26" x14ac:dyDescent="0.25">
      <c r="A58" s="38"/>
      <c r="C58" s="53" t="str">
        <f>('Gestión de abastecimiento'!A59)</f>
        <v>Beneficiaros 55</v>
      </c>
      <c r="D58" s="27">
        <f>'Por Valoracion (3) Dimension'!H58</f>
        <v>52</v>
      </c>
      <c r="E58" s="27">
        <f>'Por Valoracion (3) Dimension 2'!D58</f>
        <v>26</v>
      </c>
      <c r="Z58" s="38"/>
    </row>
    <row r="59" spans="1:26" x14ac:dyDescent="0.25">
      <c r="A59" s="38"/>
      <c r="C59" s="53" t="str">
        <f>('Gestión de abastecimiento'!A60)</f>
        <v>Beneficiaros 56</v>
      </c>
      <c r="D59" s="27">
        <f>'Por Valoracion (3) Dimension'!H59</f>
        <v>36</v>
      </c>
      <c r="E59" s="27">
        <f>'Por Valoracion (3) Dimension 2'!D59</f>
        <v>18</v>
      </c>
      <c r="Z59" s="38"/>
    </row>
    <row r="60" spans="1:26" x14ac:dyDescent="0.25">
      <c r="A60" s="38"/>
      <c r="C60" s="53" t="str">
        <f>('Gestión de abastecimiento'!A61)</f>
        <v>Beneficiaros 57</v>
      </c>
      <c r="D60" s="27">
        <f>'Por Valoracion (3) Dimension'!H60</f>
        <v>48</v>
      </c>
      <c r="E60" s="27">
        <f>'Por Valoracion (3) Dimension 2'!D60</f>
        <v>25</v>
      </c>
      <c r="Z60" s="38"/>
    </row>
    <row r="61" spans="1:26" x14ac:dyDescent="0.25">
      <c r="A61" s="38"/>
      <c r="C61" s="53" t="str">
        <f>('Gestión de abastecimiento'!A62)</f>
        <v>Beneficiaros 58</v>
      </c>
      <c r="D61" s="27">
        <f>'Por Valoracion (3) Dimension'!H61</f>
        <v>63</v>
      </c>
      <c r="E61" s="27">
        <f>'Por Valoracion (3) Dimension 2'!D61</f>
        <v>34</v>
      </c>
      <c r="Z61" s="38"/>
    </row>
    <row r="62" spans="1:26" x14ac:dyDescent="0.25">
      <c r="A62" s="38"/>
      <c r="C62" s="53" t="str">
        <f>('Gestión de abastecimiento'!A63)</f>
        <v>Beneficiaros 59</v>
      </c>
      <c r="D62" s="27">
        <f>'Por Valoracion (3) Dimension'!H62</f>
        <v>54</v>
      </c>
      <c r="E62" s="27">
        <f>'Por Valoracion (3) Dimension 2'!D62</f>
        <v>28</v>
      </c>
      <c r="Z62" s="38"/>
    </row>
    <row r="63" spans="1:26" x14ac:dyDescent="0.25">
      <c r="A63" s="38"/>
      <c r="C63" s="53" t="str">
        <f>('Gestión de abastecimiento'!A64)</f>
        <v>Beneficiaros 60</v>
      </c>
      <c r="D63" s="27">
        <f>'Por Valoracion (3) Dimension'!H63</f>
        <v>46</v>
      </c>
      <c r="E63" s="27">
        <f>'Por Valoracion (3) Dimension 2'!D63</f>
        <v>24</v>
      </c>
      <c r="Z63" s="38"/>
    </row>
    <row r="64" spans="1:26" x14ac:dyDescent="0.25">
      <c r="A64" s="38"/>
      <c r="C64" s="53" t="str">
        <f>('Gestión de abastecimiento'!A65)</f>
        <v>Beneficiaros 61</v>
      </c>
      <c r="D64" s="27">
        <f>'Por Valoracion (3) Dimension'!H64</f>
        <v>54</v>
      </c>
      <c r="E64" s="27">
        <f>'Por Valoracion (3) Dimension 2'!D64</f>
        <v>29</v>
      </c>
      <c r="Z64" s="38"/>
    </row>
    <row r="65" spans="1:26" x14ac:dyDescent="0.25">
      <c r="A65" s="38"/>
      <c r="C65" s="53" t="str">
        <f>('Gestión de abastecimiento'!A66)</f>
        <v>Beneficiaros 62</v>
      </c>
      <c r="D65" s="27">
        <f>'Por Valoracion (3) Dimension'!H65</f>
        <v>54</v>
      </c>
      <c r="E65" s="27">
        <f>'Por Valoracion (3) Dimension 2'!D65</f>
        <v>26</v>
      </c>
      <c r="Z65" s="38"/>
    </row>
    <row r="66" spans="1:26" x14ac:dyDescent="0.25">
      <c r="A66" s="38"/>
      <c r="C66" s="53" t="str">
        <f>('Gestión de abastecimiento'!A67)</f>
        <v>Beneficiaros 63</v>
      </c>
      <c r="D66" s="27">
        <f>'Por Valoracion (3) Dimension'!H66</f>
        <v>58</v>
      </c>
      <c r="E66" s="27">
        <f>'Por Valoracion (3) Dimension 2'!D66</f>
        <v>27</v>
      </c>
      <c r="Z66" s="38"/>
    </row>
    <row r="67" spans="1:26" x14ac:dyDescent="0.25">
      <c r="A67" s="38"/>
      <c r="C67" s="53" t="str">
        <f>('Gestión de abastecimiento'!A68)</f>
        <v>Beneficiaros 64</v>
      </c>
      <c r="D67" s="27">
        <f>'Por Valoracion (3) Dimension'!H67</f>
        <v>37</v>
      </c>
      <c r="E67" s="27">
        <f>'Por Valoracion (3) Dimension 2'!D67</f>
        <v>21</v>
      </c>
      <c r="Z67" s="38"/>
    </row>
    <row r="68" spans="1:26" x14ac:dyDescent="0.25">
      <c r="A68" s="38"/>
      <c r="C68" s="53" t="str">
        <f>('Gestión de abastecimiento'!A69)</f>
        <v>Beneficiaros 65</v>
      </c>
      <c r="D68" s="27">
        <f>'Por Valoracion (3) Dimension'!H68</f>
        <v>89</v>
      </c>
      <c r="E68" s="27">
        <f>'Por Valoracion (3) Dimension 2'!D68</f>
        <v>45</v>
      </c>
      <c r="Z68" s="38"/>
    </row>
    <row r="69" spans="1:26" x14ac:dyDescent="0.25">
      <c r="A69" s="38"/>
      <c r="C69" s="53" t="str">
        <f>('Gestión de abastecimiento'!A70)</f>
        <v>Beneficiaros 66</v>
      </c>
      <c r="D69" s="27">
        <f>'Por Valoracion (3) Dimension'!H69</f>
        <v>46</v>
      </c>
      <c r="E69" s="27">
        <f>'Por Valoracion (3) Dimension 2'!D69</f>
        <v>21</v>
      </c>
      <c r="Z69" s="38"/>
    </row>
    <row r="70" spans="1:26" x14ac:dyDescent="0.25">
      <c r="A70" s="38"/>
      <c r="C70" s="53" t="str">
        <f>('Gestión de abastecimiento'!A71)</f>
        <v>Beneficiaros 67</v>
      </c>
      <c r="D70" s="27">
        <f>'Por Valoracion (3) Dimension'!H70</f>
        <v>49</v>
      </c>
      <c r="E70" s="27">
        <f>'Por Valoracion (3) Dimension 2'!D70</f>
        <v>26</v>
      </c>
      <c r="Z70" s="38"/>
    </row>
    <row r="71" spans="1:26" x14ac:dyDescent="0.25">
      <c r="A71" s="38"/>
      <c r="C71" s="53" t="str">
        <f>('Gestión de abastecimiento'!A72)</f>
        <v>Beneficiaros 68</v>
      </c>
      <c r="D71" s="27">
        <f>'Por Valoracion (3) Dimension'!H71</f>
        <v>75</v>
      </c>
      <c r="E71" s="27">
        <f>'Por Valoracion (3) Dimension 2'!D71</f>
        <v>36</v>
      </c>
      <c r="Z71" s="38"/>
    </row>
    <row r="72" spans="1:26" x14ac:dyDescent="0.25">
      <c r="A72" s="38"/>
      <c r="C72" s="53" t="str">
        <f>('Gestión de abastecimiento'!A73)</f>
        <v>Beneficiaros 69</v>
      </c>
      <c r="D72" s="27">
        <f>'Por Valoracion (3) Dimension'!H72</f>
        <v>56</v>
      </c>
      <c r="E72" s="27">
        <f>'Por Valoracion (3) Dimension 2'!D72</f>
        <v>28</v>
      </c>
      <c r="Z72" s="38"/>
    </row>
    <row r="73" spans="1:26" x14ac:dyDescent="0.25">
      <c r="A73" s="38"/>
      <c r="C73" s="53" t="str">
        <f>('Gestión de abastecimiento'!A74)</f>
        <v>Beneficiaros 70</v>
      </c>
      <c r="D73" s="27">
        <f>'Por Valoracion (3) Dimension'!H73</f>
        <v>60</v>
      </c>
      <c r="E73" s="27">
        <f>'Por Valoracion (3) Dimension 2'!D73</f>
        <v>29</v>
      </c>
      <c r="Z73" s="38"/>
    </row>
    <row r="74" spans="1:26" x14ac:dyDescent="0.25">
      <c r="A74" s="38"/>
      <c r="C74" s="53" t="str">
        <f>('Gestión de abastecimiento'!A75)</f>
        <v>Beneficiaros 71</v>
      </c>
      <c r="D74" s="27">
        <f>'Por Valoracion (3) Dimension'!H74</f>
        <v>46</v>
      </c>
      <c r="E74" s="27">
        <f>'Por Valoracion (3) Dimension 2'!D74</f>
        <v>23</v>
      </c>
      <c r="Z74" s="38"/>
    </row>
    <row r="75" spans="1:26" x14ac:dyDescent="0.25">
      <c r="A75" s="38"/>
      <c r="C75" s="53" t="str">
        <f>('Gestión de abastecimiento'!A76)</f>
        <v>Beneficiaros 72</v>
      </c>
      <c r="D75" s="27">
        <f>'Por Valoracion (3) Dimension'!H75</f>
        <v>22</v>
      </c>
      <c r="E75" s="27">
        <f>'Por Valoracion (3) Dimension 2'!D75</f>
        <v>13</v>
      </c>
      <c r="Z75" s="38"/>
    </row>
    <row r="76" spans="1:26" x14ac:dyDescent="0.25">
      <c r="A76" s="38"/>
      <c r="C76" s="53" t="str">
        <f>('Gestión de abastecimiento'!A77)</f>
        <v>Beneficiaros 73</v>
      </c>
      <c r="D76" s="27">
        <f>'Por Valoracion (3) Dimension'!H76</f>
        <v>49</v>
      </c>
      <c r="E76" s="27">
        <f>'Por Valoracion (3) Dimension 2'!D76</f>
        <v>24</v>
      </c>
      <c r="Z76" s="38"/>
    </row>
    <row r="77" spans="1:26" x14ac:dyDescent="0.25">
      <c r="A77" s="38"/>
      <c r="C77" s="53" t="str">
        <f>('Gestión de abastecimiento'!A78)</f>
        <v>Beneficiaros 74</v>
      </c>
      <c r="D77" s="27">
        <f>'Por Valoracion (3) Dimension'!H77</f>
        <v>52</v>
      </c>
      <c r="E77" s="27">
        <f>'Por Valoracion (3) Dimension 2'!D77</f>
        <v>25</v>
      </c>
      <c r="Z77" s="38"/>
    </row>
    <row r="78" spans="1:26" x14ac:dyDescent="0.25">
      <c r="A78" s="38"/>
      <c r="C78" s="53" t="str">
        <f>('Gestión de abastecimiento'!A79)</f>
        <v>Beneficiaros 75</v>
      </c>
      <c r="D78" s="27">
        <f>'Por Valoracion (3) Dimension'!H78</f>
        <v>48</v>
      </c>
      <c r="E78" s="27">
        <f>'Por Valoracion (3) Dimension 2'!D78</f>
        <v>23</v>
      </c>
      <c r="Z78" s="38"/>
    </row>
    <row r="79" spans="1:26" x14ac:dyDescent="0.25">
      <c r="A79" s="38"/>
      <c r="C79" s="53" t="str">
        <f>('Gestión de abastecimiento'!A80)</f>
        <v>Beneficiaros 76</v>
      </c>
      <c r="D79" s="27">
        <f>'Por Valoracion (3) Dimension'!H79</f>
        <v>54</v>
      </c>
      <c r="E79" s="27">
        <f>'Por Valoracion (3) Dimension 2'!D79</f>
        <v>27</v>
      </c>
      <c r="Z79" s="38"/>
    </row>
    <row r="80" spans="1:26" x14ac:dyDescent="0.25">
      <c r="A80" s="38"/>
      <c r="C80" s="53" t="str">
        <f>('Gestión de abastecimiento'!A81)</f>
        <v>Beneficiaros 77</v>
      </c>
      <c r="D80" s="27">
        <f>'Por Valoracion (3) Dimension'!H80</f>
        <v>54</v>
      </c>
      <c r="E80" s="27">
        <f>'Por Valoracion (3) Dimension 2'!D80</f>
        <v>28</v>
      </c>
      <c r="Z80" s="38"/>
    </row>
    <row r="81" spans="1:26" x14ac:dyDescent="0.25">
      <c r="A81" s="38"/>
      <c r="C81" s="53" t="str">
        <f>('Gestión de abastecimiento'!A82)</f>
        <v>Beneficiaros 78</v>
      </c>
      <c r="D81" s="27">
        <f>'Por Valoracion (3) Dimension'!H81</f>
        <v>61</v>
      </c>
      <c r="E81" s="27">
        <f>'Por Valoracion (3) Dimension 2'!D81</f>
        <v>29</v>
      </c>
      <c r="Z81" s="38"/>
    </row>
    <row r="82" spans="1:26" x14ac:dyDescent="0.25">
      <c r="A82" s="38"/>
      <c r="C82" s="53" t="str">
        <f>('Gestión de abastecimiento'!A83)</f>
        <v>Beneficiaros 79</v>
      </c>
      <c r="D82" s="27">
        <f>'Por Valoracion (3) Dimension'!H82</f>
        <v>53</v>
      </c>
      <c r="E82" s="27">
        <f>'Por Valoracion (3) Dimension 2'!D82</f>
        <v>24</v>
      </c>
      <c r="Z82" s="38"/>
    </row>
    <row r="83" spans="1:26" x14ac:dyDescent="0.25">
      <c r="A83" s="38"/>
      <c r="C83" s="53" t="str">
        <f>('Gestión de abastecimiento'!A84)</f>
        <v>Beneficiaros 80</v>
      </c>
      <c r="D83" s="27">
        <f>'Por Valoracion (3) Dimension'!H83</f>
        <v>66</v>
      </c>
      <c r="E83" s="27">
        <f>'Por Valoracion (3) Dimension 2'!D83</f>
        <v>33</v>
      </c>
      <c r="Z83" s="38"/>
    </row>
    <row r="84" spans="1:26" x14ac:dyDescent="0.25">
      <c r="A84" s="38"/>
      <c r="C84" s="53" t="str">
        <f>('Gestión de abastecimiento'!A85)</f>
        <v>Beneficiaros 81</v>
      </c>
      <c r="D84" s="27">
        <f>'Por Valoracion (3) Dimension'!H84</f>
        <v>51</v>
      </c>
      <c r="E84" s="27">
        <f>'Por Valoracion (3) Dimension 2'!D84</f>
        <v>25</v>
      </c>
      <c r="Z84" s="38"/>
    </row>
    <row r="85" spans="1:26" x14ac:dyDescent="0.25">
      <c r="A85" s="38"/>
      <c r="C85" s="53" t="str">
        <f>('Gestión de abastecimiento'!A86)</f>
        <v>Beneficiaros 82</v>
      </c>
      <c r="D85" s="27">
        <f>'Por Valoracion (3) Dimension'!H85</f>
        <v>49</v>
      </c>
      <c r="E85" s="27">
        <f>'Por Valoracion (3) Dimension 2'!D85</f>
        <v>26</v>
      </c>
      <c r="Z85" s="38"/>
    </row>
    <row r="86" spans="1:26" x14ac:dyDescent="0.25">
      <c r="A86" s="38"/>
      <c r="C86" s="53" t="str">
        <f>('Gestión de abastecimiento'!A87)</f>
        <v>Beneficiaros 83</v>
      </c>
      <c r="D86" s="27">
        <f>'Por Valoracion (3) Dimension'!H86</f>
        <v>45</v>
      </c>
      <c r="E86" s="27">
        <f>'Por Valoracion (3) Dimension 2'!D86</f>
        <v>25</v>
      </c>
      <c r="Z86" s="38"/>
    </row>
    <row r="87" spans="1:26" x14ac:dyDescent="0.25">
      <c r="A87" s="38"/>
      <c r="C87" s="53" t="str">
        <f>('Gestión de abastecimiento'!A88)</f>
        <v>Beneficiaros 84</v>
      </c>
      <c r="D87" s="27">
        <f>'Por Valoracion (3) Dimension'!H87</f>
        <v>41</v>
      </c>
      <c r="E87" s="27">
        <f>'Por Valoracion (3) Dimension 2'!D87</f>
        <v>19</v>
      </c>
      <c r="Z87" s="38"/>
    </row>
    <row r="88" spans="1:26" x14ac:dyDescent="0.25">
      <c r="A88" s="38"/>
      <c r="C88" s="53" t="str">
        <f>('Gestión de abastecimiento'!A89)</f>
        <v>Beneficiaros 85</v>
      </c>
      <c r="D88" s="27">
        <f>'Por Valoracion (3) Dimension'!H88</f>
        <v>85</v>
      </c>
      <c r="E88" s="27">
        <f>'Por Valoracion (3) Dimension 2'!D88</f>
        <v>40</v>
      </c>
      <c r="Z88" s="38"/>
    </row>
    <row r="89" spans="1:26" x14ac:dyDescent="0.25">
      <c r="A89" s="38"/>
      <c r="C89" s="53" t="str">
        <f>('Gestión de abastecimiento'!A90)</f>
        <v>Beneficiaros 86</v>
      </c>
      <c r="D89" s="27">
        <f>'Por Valoracion (3) Dimension'!H89</f>
        <v>57</v>
      </c>
      <c r="E89" s="27">
        <f>'Por Valoracion (3) Dimension 2'!D89</f>
        <v>27</v>
      </c>
      <c r="Z89" s="38"/>
    </row>
    <row r="90" spans="1:26" x14ac:dyDescent="0.25">
      <c r="A90" s="38"/>
      <c r="C90" s="53" t="str">
        <f>('Gestión de abastecimiento'!A91)</f>
        <v>Beneficiaros 87</v>
      </c>
      <c r="D90" s="27">
        <f>'Por Valoracion (3) Dimension'!H90</f>
        <v>50</v>
      </c>
      <c r="E90" s="27">
        <f>'Por Valoracion (3) Dimension 2'!D90</f>
        <v>24</v>
      </c>
      <c r="Z90" s="38"/>
    </row>
    <row r="91" spans="1:26" x14ac:dyDescent="0.25">
      <c r="A91" s="38"/>
      <c r="C91" s="53" t="str">
        <f>('Gestión de abastecimiento'!A92)</f>
        <v>Beneficiaros 88</v>
      </c>
      <c r="D91" s="27">
        <f>'Por Valoracion (3) Dimension'!H91</f>
        <v>70</v>
      </c>
      <c r="E91" s="27">
        <f>'Por Valoracion (3) Dimension 2'!D91</f>
        <v>35</v>
      </c>
      <c r="Z91" s="38"/>
    </row>
    <row r="92" spans="1:26" x14ac:dyDescent="0.25">
      <c r="A92" s="38"/>
      <c r="C92" s="53" t="str">
        <f>('Gestión de abastecimiento'!A93)</f>
        <v>Beneficiaros 89</v>
      </c>
      <c r="D92" s="27">
        <f>'Por Valoracion (3) Dimension'!H92</f>
        <v>37</v>
      </c>
      <c r="E92" s="27">
        <f>'Por Valoracion (3) Dimension 2'!D92</f>
        <v>19</v>
      </c>
      <c r="Z92" s="38"/>
    </row>
    <row r="93" spans="1:26" x14ac:dyDescent="0.25">
      <c r="A93" s="38"/>
      <c r="C93" s="53" t="str">
        <f>('Gestión de abastecimiento'!A94)</f>
        <v>Beneficiaros 90</v>
      </c>
      <c r="D93" s="27">
        <f>'Por Valoracion (3) Dimension'!H93</f>
        <v>73</v>
      </c>
      <c r="E93" s="27">
        <f>'Por Valoracion (3) Dimension 2'!D93</f>
        <v>37</v>
      </c>
      <c r="Z93" s="38"/>
    </row>
    <row r="94" spans="1:26" x14ac:dyDescent="0.25">
      <c r="A94" s="38"/>
      <c r="C94" s="53" t="str">
        <f>('Gestión de abastecimiento'!A95)</f>
        <v>Beneficiaros 91</v>
      </c>
      <c r="D94" s="27">
        <f>'Por Valoracion (3) Dimension'!H94</f>
        <v>54</v>
      </c>
      <c r="E94" s="27">
        <f>'Por Valoracion (3) Dimension 2'!D94</f>
        <v>28</v>
      </c>
      <c r="Z94" s="38"/>
    </row>
    <row r="95" spans="1:26" x14ac:dyDescent="0.25">
      <c r="A95" s="38"/>
      <c r="C95" s="53" t="str">
        <f>('Gestión de abastecimiento'!A96)</f>
        <v>Beneficiaros 92</v>
      </c>
      <c r="D95" s="27">
        <f>'Por Valoracion (3) Dimension'!H95</f>
        <v>42</v>
      </c>
      <c r="E95" s="27">
        <f>'Por Valoracion (3) Dimension 2'!D95</f>
        <v>22</v>
      </c>
      <c r="Z95" s="38"/>
    </row>
    <row r="96" spans="1:26" x14ac:dyDescent="0.25">
      <c r="A96" s="38"/>
      <c r="C96" s="53" t="str">
        <f>('Gestión de abastecimiento'!A97)</f>
        <v>Beneficiaros 93</v>
      </c>
      <c r="D96" s="27">
        <f>'Por Valoracion (3) Dimension'!H96</f>
        <v>46</v>
      </c>
      <c r="E96" s="27">
        <f>'Por Valoracion (3) Dimension 2'!D96</f>
        <v>23</v>
      </c>
      <c r="Z96" s="38"/>
    </row>
    <row r="97" spans="1:26" x14ac:dyDescent="0.25">
      <c r="A97" s="38"/>
      <c r="C97" s="53" t="str">
        <f>('Gestión de abastecimiento'!A98)</f>
        <v>Beneficiaros 94</v>
      </c>
      <c r="D97" s="27">
        <f>'Por Valoracion (3) Dimension'!H97</f>
        <v>72</v>
      </c>
      <c r="E97" s="27">
        <f>'Por Valoracion (3) Dimension 2'!D97</f>
        <v>35</v>
      </c>
      <c r="Z97" s="38"/>
    </row>
    <row r="98" spans="1:26" x14ac:dyDescent="0.25">
      <c r="A98" s="38"/>
      <c r="C98" s="53" t="str">
        <f>('Gestión de abastecimiento'!A99)</f>
        <v>Beneficiaros 95</v>
      </c>
      <c r="D98" s="27">
        <f>'Por Valoracion (3) Dimension'!H98</f>
        <v>55</v>
      </c>
      <c r="E98" s="27">
        <f>'Por Valoracion (3) Dimension 2'!D98</f>
        <v>26</v>
      </c>
      <c r="Z98" s="38"/>
    </row>
    <row r="99" spans="1:26" x14ac:dyDescent="0.25">
      <c r="A99" s="38"/>
      <c r="C99" s="53" t="str">
        <f>('Gestión de abastecimiento'!A100)</f>
        <v>Beneficiaros 96</v>
      </c>
      <c r="D99" s="27">
        <f>'Por Valoracion (3) Dimension'!H99</f>
        <v>41</v>
      </c>
      <c r="E99" s="27">
        <f>'Por Valoracion (3) Dimension 2'!D99</f>
        <v>20</v>
      </c>
      <c r="Z99" s="38"/>
    </row>
    <row r="100" spans="1:26" x14ac:dyDescent="0.25">
      <c r="A100" s="38"/>
      <c r="C100" s="53" t="str">
        <f>('Gestión de abastecimiento'!A101)</f>
        <v>Beneficiaros 97</v>
      </c>
      <c r="D100" s="27">
        <f>'Por Valoracion (3) Dimension'!H100</f>
        <v>56</v>
      </c>
      <c r="E100" s="27">
        <f>'Por Valoracion (3) Dimension 2'!D100</f>
        <v>28</v>
      </c>
      <c r="Z100" s="38"/>
    </row>
    <row r="101" spans="1:26" x14ac:dyDescent="0.25">
      <c r="A101" s="38"/>
      <c r="C101" s="53" t="str">
        <f>('Gestión de abastecimiento'!A102)</f>
        <v>Beneficiaros 98</v>
      </c>
      <c r="D101" s="27">
        <f>'Por Valoracion (3) Dimension'!H101</f>
        <v>50</v>
      </c>
      <c r="E101" s="27">
        <f>'Por Valoracion (3) Dimension 2'!D101</f>
        <v>24</v>
      </c>
      <c r="Z101" s="38"/>
    </row>
    <row r="102" spans="1:26" x14ac:dyDescent="0.25">
      <c r="A102" s="38"/>
      <c r="C102" s="53" t="str">
        <f>('Gestión de abastecimiento'!A103)</f>
        <v>Beneficiaros 99</v>
      </c>
      <c r="D102" s="27">
        <f>'Por Valoracion (3) Dimension'!H102</f>
        <v>52</v>
      </c>
      <c r="E102" s="27">
        <f>'Por Valoracion (3) Dimension 2'!D102</f>
        <v>27</v>
      </c>
      <c r="Z102" s="38"/>
    </row>
    <row r="103" spans="1:26" x14ac:dyDescent="0.25">
      <c r="A103" s="38"/>
      <c r="C103" s="53" t="str">
        <f>('Gestión de abastecimiento'!A104)</f>
        <v>Beneficiaros 100</v>
      </c>
      <c r="D103" s="27">
        <f>'Por Valoracion (3) Dimension'!H103</f>
        <v>55</v>
      </c>
      <c r="E103" s="27">
        <f>'Por Valoracion (3) Dimension 2'!D103</f>
        <v>28</v>
      </c>
      <c r="Z103" s="38"/>
    </row>
    <row r="104" spans="1:26" x14ac:dyDescent="0.25">
      <c r="A104" s="38"/>
      <c r="C104" s="53" t="str">
        <f>('Gestión de abastecimiento'!A105)</f>
        <v>Beneficiaros 101</v>
      </c>
      <c r="D104" s="27">
        <f>'Por Valoracion (3) Dimension'!H104</f>
        <v>47</v>
      </c>
      <c r="E104" s="27">
        <f>'Por Valoracion (3) Dimension 2'!D104</f>
        <v>23</v>
      </c>
      <c r="Z104" s="38"/>
    </row>
    <row r="105" spans="1:26" x14ac:dyDescent="0.25">
      <c r="A105" s="38"/>
      <c r="C105" s="53" t="str">
        <f>('Gestión de abastecimiento'!A106)</f>
        <v>Beneficiaros 102</v>
      </c>
      <c r="D105" s="27">
        <f>'Por Valoracion (3) Dimension'!H105</f>
        <v>54</v>
      </c>
      <c r="E105" s="27">
        <f>'Por Valoracion (3) Dimension 2'!D105</f>
        <v>28</v>
      </c>
      <c r="Z105" s="38"/>
    </row>
    <row r="106" spans="1:26" x14ac:dyDescent="0.25">
      <c r="A106" s="38"/>
      <c r="C106" s="53" t="str">
        <f>('Gestión de abastecimiento'!A107)</f>
        <v>Beneficiaros 103</v>
      </c>
      <c r="D106" s="27">
        <f>'Por Valoracion (3) Dimension'!H106</f>
        <v>63</v>
      </c>
      <c r="E106" s="27">
        <f>'Por Valoracion (3) Dimension 2'!D106</f>
        <v>30</v>
      </c>
      <c r="Z106" s="38"/>
    </row>
    <row r="107" spans="1:26" x14ac:dyDescent="0.25">
      <c r="A107" s="38"/>
      <c r="C107" s="53" t="str">
        <f>('Gestión de abastecimiento'!A108)</f>
        <v>Beneficiaros 104</v>
      </c>
      <c r="D107" s="27">
        <f>'Por Valoracion (3) Dimension'!H107</f>
        <v>62</v>
      </c>
      <c r="E107" s="27">
        <f>'Por Valoracion (3) Dimension 2'!D107</f>
        <v>31</v>
      </c>
      <c r="Z107" s="38"/>
    </row>
    <row r="108" spans="1:26" x14ac:dyDescent="0.25">
      <c r="A108" s="38"/>
      <c r="C108" s="53" t="str">
        <f>('Gestión de abastecimiento'!A109)</f>
        <v>Beneficiaros 105</v>
      </c>
      <c r="D108" s="27">
        <f>'Por Valoracion (3) Dimension'!H108</f>
        <v>38</v>
      </c>
      <c r="E108" s="27">
        <f>'Por Valoracion (3) Dimension 2'!D108</f>
        <v>18</v>
      </c>
      <c r="Z108" s="38"/>
    </row>
    <row r="109" spans="1:26" x14ac:dyDescent="0.25">
      <c r="A109" s="38"/>
      <c r="C109" s="53" t="str">
        <f>('Gestión de abastecimiento'!A110)</f>
        <v>Beneficiaros 106</v>
      </c>
      <c r="D109" s="27">
        <f>'Por Valoracion (3) Dimension'!H109</f>
        <v>88</v>
      </c>
      <c r="E109" s="27">
        <f>'Por Valoracion (3) Dimension 2'!D109</f>
        <v>43</v>
      </c>
      <c r="Z109" s="38"/>
    </row>
    <row r="110" spans="1:26" x14ac:dyDescent="0.25">
      <c r="A110" s="38"/>
      <c r="C110" s="53" t="str">
        <f>('Gestión de abastecimiento'!A111)</f>
        <v>Beneficiaros 107</v>
      </c>
      <c r="D110" s="27">
        <f>'Por Valoracion (3) Dimension'!H110</f>
        <v>59</v>
      </c>
      <c r="E110" s="27">
        <f>'Por Valoracion (3) Dimension 2'!D110</f>
        <v>30</v>
      </c>
      <c r="Z110" s="38"/>
    </row>
    <row r="111" spans="1:26" x14ac:dyDescent="0.25">
      <c r="A111" s="38"/>
      <c r="C111" s="53" t="str">
        <f>('Gestión de abastecimiento'!A112)</f>
        <v>Beneficiaros 108</v>
      </c>
      <c r="D111" s="27">
        <f>'Por Valoracion (3) Dimension'!H111</f>
        <v>55</v>
      </c>
      <c r="E111" s="27">
        <f>'Por Valoracion (3) Dimension 2'!D111</f>
        <v>27</v>
      </c>
      <c r="Z111" s="38"/>
    </row>
    <row r="112" spans="1:26" x14ac:dyDescent="0.25">
      <c r="A112" s="38"/>
      <c r="C112" s="53" t="str">
        <f>('Gestión de abastecimiento'!A113)</f>
        <v>Beneficiaros 109</v>
      </c>
      <c r="D112" s="27">
        <f>'Por Valoracion (3) Dimension'!H112</f>
        <v>62</v>
      </c>
      <c r="E112" s="27">
        <f>'Por Valoracion (3) Dimension 2'!D112</f>
        <v>31</v>
      </c>
      <c r="Z112" s="38"/>
    </row>
    <row r="113" spans="1:26" x14ac:dyDescent="0.25">
      <c r="A113" s="38"/>
      <c r="C113" s="53" t="str">
        <f>('Gestión de abastecimiento'!A114)</f>
        <v>Beneficiaros 110</v>
      </c>
      <c r="D113" s="27">
        <f>'Por Valoracion (3) Dimension'!H113</f>
        <v>57</v>
      </c>
      <c r="E113" s="27">
        <f>'Por Valoracion (3) Dimension 2'!D113</f>
        <v>28</v>
      </c>
      <c r="Z113" s="38"/>
    </row>
    <row r="114" spans="1:26" x14ac:dyDescent="0.25">
      <c r="A114" s="38"/>
      <c r="C114" s="53" t="str">
        <f>('Gestión de abastecimiento'!A115)</f>
        <v>Beneficiaros 111</v>
      </c>
      <c r="D114" s="27">
        <f>'Por Valoracion (3) Dimension'!H114</f>
        <v>51</v>
      </c>
      <c r="E114" s="27">
        <f>'Por Valoracion (3) Dimension 2'!D114</f>
        <v>24</v>
      </c>
      <c r="Z114" s="38"/>
    </row>
    <row r="115" spans="1:26" x14ac:dyDescent="0.25">
      <c r="A115" s="38"/>
      <c r="C115" s="53" t="str">
        <f>('Gestión de abastecimiento'!A116)</f>
        <v>Beneficiaros 112</v>
      </c>
      <c r="D115" s="27">
        <f>'Por Valoracion (3) Dimension'!H115</f>
        <v>61</v>
      </c>
      <c r="E115" s="27">
        <f>'Por Valoracion (3) Dimension 2'!D115</f>
        <v>30</v>
      </c>
      <c r="Z115" s="38"/>
    </row>
    <row r="116" spans="1:26" x14ac:dyDescent="0.25">
      <c r="A116" s="38"/>
      <c r="C116" s="53" t="str">
        <f>('Gestión de abastecimiento'!A117)</f>
        <v>Beneficiaros 113</v>
      </c>
      <c r="D116" s="27">
        <f>'Por Valoracion (3) Dimension'!H116</f>
        <v>68</v>
      </c>
      <c r="E116" s="27">
        <f>'Por Valoracion (3) Dimension 2'!D116</f>
        <v>31</v>
      </c>
      <c r="Z116" s="38"/>
    </row>
    <row r="117" spans="1:26" x14ac:dyDescent="0.25">
      <c r="A117" s="38"/>
      <c r="C117" s="53" t="str">
        <f>('Gestión de abastecimiento'!A118)</f>
        <v>Beneficiaros 114</v>
      </c>
      <c r="D117" s="27">
        <f>'Por Valoracion (3) Dimension'!H117</f>
        <v>55</v>
      </c>
      <c r="E117" s="27">
        <f>'Por Valoracion (3) Dimension 2'!D117</f>
        <v>30</v>
      </c>
      <c r="Z117" s="38"/>
    </row>
    <row r="118" spans="1:26" x14ac:dyDescent="0.25">
      <c r="A118" s="38"/>
      <c r="C118" s="53" t="str">
        <f>('Gestión de abastecimiento'!A119)</f>
        <v>Beneficiaros 115</v>
      </c>
      <c r="D118" s="27">
        <f>'Por Valoracion (3) Dimension'!H118</f>
        <v>44</v>
      </c>
      <c r="E118" s="27">
        <f>'Por Valoracion (3) Dimension 2'!D118</f>
        <v>23</v>
      </c>
      <c r="Z118" s="38"/>
    </row>
    <row r="119" spans="1:26" x14ac:dyDescent="0.25">
      <c r="A119" s="38"/>
      <c r="C119" s="53" t="str">
        <f>('Gestión de abastecimiento'!A120)</f>
        <v>Beneficiaros 116</v>
      </c>
      <c r="D119" s="27">
        <f>'Por Valoracion (3) Dimension'!H119</f>
        <v>72</v>
      </c>
      <c r="E119" s="27">
        <f>'Por Valoracion (3) Dimension 2'!D119</f>
        <v>36</v>
      </c>
      <c r="Z119" s="38"/>
    </row>
    <row r="120" spans="1:26" x14ac:dyDescent="0.25">
      <c r="A120" s="38"/>
      <c r="C120" s="53" t="str">
        <f>('Gestión de abastecimiento'!A121)</f>
        <v>Beneficiaros 117</v>
      </c>
      <c r="D120" s="27">
        <f>'Por Valoracion (3) Dimension'!H120</f>
        <v>53</v>
      </c>
      <c r="E120" s="27">
        <f>'Por Valoracion (3) Dimension 2'!D120</f>
        <v>27</v>
      </c>
      <c r="Z120" s="38"/>
    </row>
    <row r="121" spans="1:26" x14ac:dyDescent="0.25">
      <c r="A121" s="38"/>
      <c r="C121" s="53" t="str">
        <f>('Gestión de abastecimiento'!A122)</f>
        <v>Beneficiaros 118</v>
      </c>
      <c r="D121" s="27">
        <f>'Por Valoracion (3) Dimension'!H121</f>
        <v>71</v>
      </c>
      <c r="E121" s="27">
        <f>'Por Valoracion (3) Dimension 2'!D121</f>
        <v>36</v>
      </c>
      <c r="Z121" s="38"/>
    </row>
    <row r="122" spans="1:26" x14ac:dyDescent="0.25">
      <c r="A122" s="38"/>
      <c r="C122" s="53" t="str">
        <f>('Gestión de abastecimiento'!A123)</f>
        <v>Beneficiaros 119</v>
      </c>
      <c r="D122" s="27">
        <f>'Por Valoracion (3) Dimension'!H122</f>
        <v>36</v>
      </c>
      <c r="E122" s="27">
        <f>'Por Valoracion (3) Dimension 2'!D122</f>
        <v>17</v>
      </c>
      <c r="Z122" s="38"/>
    </row>
    <row r="123" spans="1:26" x14ac:dyDescent="0.25">
      <c r="A123" s="38"/>
      <c r="C123" s="53" t="str">
        <f>('Gestión de abastecimiento'!A124)</f>
        <v>Beneficiaros 120</v>
      </c>
      <c r="D123" s="27">
        <f>'Por Valoracion (3) Dimension'!H123</f>
        <v>58</v>
      </c>
      <c r="E123" s="27">
        <f>'Por Valoracion (3) Dimension 2'!D123</f>
        <v>27</v>
      </c>
      <c r="Z123" s="38"/>
    </row>
    <row r="124" spans="1:26" x14ac:dyDescent="0.25">
      <c r="A124" s="38"/>
      <c r="C124" s="53" t="str">
        <f>('Gestión de abastecimiento'!A125)</f>
        <v>Beneficiaros 121</v>
      </c>
      <c r="D124" s="27">
        <f>'Por Valoracion (3) Dimension'!H124</f>
        <v>55</v>
      </c>
      <c r="E124" s="27">
        <f>'Por Valoracion (3) Dimension 2'!D124</f>
        <v>28</v>
      </c>
      <c r="Z124" s="38"/>
    </row>
    <row r="125" spans="1:26" x14ac:dyDescent="0.25">
      <c r="A125" s="38"/>
      <c r="C125" s="53" t="str">
        <f>('Gestión de abastecimiento'!A126)</f>
        <v>Beneficiaros 122</v>
      </c>
      <c r="D125" s="27">
        <f>'Por Valoracion (3) Dimension'!H125</f>
        <v>70</v>
      </c>
      <c r="E125" s="27">
        <f>'Por Valoracion (3) Dimension 2'!D125</f>
        <v>34</v>
      </c>
      <c r="Z125" s="38"/>
    </row>
    <row r="126" spans="1:26" x14ac:dyDescent="0.25">
      <c r="A126" s="38"/>
      <c r="C126" s="53" t="str">
        <f>('Gestión de abastecimiento'!A127)</f>
        <v>Beneficiaros 123</v>
      </c>
      <c r="D126" s="27">
        <f>'Por Valoracion (3) Dimension'!H126</f>
        <v>54</v>
      </c>
      <c r="E126" s="27">
        <f>'Por Valoracion (3) Dimension 2'!D126</f>
        <v>27</v>
      </c>
      <c r="Z126" s="38"/>
    </row>
    <row r="127" spans="1:26" x14ac:dyDescent="0.25">
      <c r="A127" s="38"/>
      <c r="C127" s="53" t="str">
        <f>('Gestión de abastecimiento'!A128)</f>
        <v>Beneficiaros 124</v>
      </c>
      <c r="D127" s="27">
        <f>'Por Valoracion (3) Dimension'!H127</f>
        <v>70</v>
      </c>
      <c r="E127" s="27">
        <f>'Por Valoracion (3) Dimension 2'!D127</f>
        <v>35</v>
      </c>
      <c r="Z127" s="38"/>
    </row>
    <row r="128" spans="1:26" x14ac:dyDescent="0.25">
      <c r="A128" s="38"/>
      <c r="C128" s="53" t="str">
        <f>('Gestión de abastecimiento'!A129)</f>
        <v>Beneficiaros 125</v>
      </c>
      <c r="D128" s="27">
        <f>'Por Valoracion (3) Dimension'!H128</f>
        <v>48</v>
      </c>
      <c r="E128" s="27">
        <f>'Por Valoracion (3) Dimension 2'!D128</f>
        <v>25</v>
      </c>
      <c r="Z128" s="38"/>
    </row>
    <row r="129" spans="1:26" x14ac:dyDescent="0.25">
      <c r="A129" s="38"/>
      <c r="C129" s="53" t="str">
        <f>('Gestión de abastecimiento'!A130)</f>
        <v>Beneficiaros 126</v>
      </c>
      <c r="D129" s="27">
        <f>'Por Valoracion (3) Dimension'!H129</f>
        <v>46</v>
      </c>
      <c r="E129" s="27">
        <f>'Por Valoracion (3) Dimension 2'!D129</f>
        <v>24</v>
      </c>
      <c r="Z129" s="38"/>
    </row>
    <row r="130" spans="1:26" x14ac:dyDescent="0.25">
      <c r="A130" s="38"/>
      <c r="C130" s="53" t="str">
        <f>('Gestión de abastecimiento'!A131)</f>
        <v>Beneficiaros 127</v>
      </c>
      <c r="D130" s="27">
        <f>'Por Valoracion (3) Dimension'!H130</f>
        <v>38</v>
      </c>
      <c r="E130" s="27">
        <f>'Por Valoracion (3) Dimension 2'!D130</f>
        <v>20</v>
      </c>
      <c r="Z130" s="38"/>
    </row>
    <row r="131" spans="1:26" x14ac:dyDescent="0.25">
      <c r="A131" s="38"/>
      <c r="C131" s="53" t="str">
        <f>('Gestión de abastecimiento'!A132)</f>
        <v>Beneficiaros 128</v>
      </c>
      <c r="D131" s="27">
        <f>'Por Valoracion (3) Dimension'!H131</f>
        <v>46</v>
      </c>
      <c r="E131" s="27">
        <f>'Por Valoracion (3) Dimension 2'!D131</f>
        <v>23</v>
      </c>
      <c r="Z131" s="38"/>
    </row>
    <row r="132" spans="1:26" x14ac:dyDescent="0.25">
      <c r="A132" s="38"/>
      <c r="C132" s="53" t="str">
        <f>('Gestión de abastecimiento'!A133)</f>
        <v>Beneficiaros 129</v>
      </c>
      <c r="D132" s="27">
        <f>'Por Valoracion (3) Dimension'!H132</f>
        <v>43</v>
      </c>
      <c r="E132" s="27">
        <f>'Por Valoracion (3) Dimension 2'!D132</f>
        <v>24</v>
      </c>
      <c r="Z132" s="38"/>
    </row>
    <row r="133" spans="1:26" x14ac:dyDescent="0.25">
      <c r="A133" s="38"/>
      <c r="C133" s="53" t="str">
        <f>('Gestión de abastecimiento'!A134)</f>
        <v>Beneficiaros 130</v>
      </c>
      <c r="D133" s="27">
        <f>'Por Valoracion (3) Dimension'!H133</f>
        <v>40</v>
      </c>
      <c r="E133" s="27">
        <f>'Por Valoracion (3) Dimension 2'!D133</f>
        <v>20</v>
      </c>
      <c r="Z133" s="38"/>
    </row>
    <row r="134" spans="1:26" x14ac:dyDescent="0.25">
      <c r="A134" s="38"/>
      <c r="C134" s="53" t="str">
        <f>('Gestión de abastecimiento'!A135)</f>
        <v>Beneficiaros 131</v>
      </c>
      <c r="D134" s="27">
        <f>'Por Valoracion (3) Dimension'!H134</f>
        <v>68</v>
      </c>
      <c r="E134" s="27">
        <f>'Por Valoracion (3) Dimension 2'!D134</f>
        <v>36</v>
      </c>
      <c r="Z134" s="38"/>
    </row>
    <row r="135" spans="1:26" x14ac:dyDescent="0.25">
      <c r="A135" s="38"/>
      <c r="C135" s="53" t="str">
        <f>('Gestión de abastecimiento'!A136)</f>
        <v>Beneficiaros 132</v>
      </c>
      <c r="D135" s="27">
        <f>'Por Valoracion (3) Dimension'!H135</f>
        <v>36</v>
      </c>
      <c r="E135" s="27">
        <f>'Por Valoracion (3) Dimension 2'!D135</f>
        <v>19</v>
      </c>
      <c r="Z135" s="38"/>
    </row>
    <row r="136" spans="1:26" x14ac:dyDescent="0.25">
      <c r="A136" s="38"/>
      <c r="C136" s="53" t="str">
        <f>('Gestión de abastecimiento'!A137)</f>
        <v>Beneficiaros 133</v>
      </c>
      <c r="D136" s="27">
        <f>'Por Valoracion (3) Dimension'!H136</f>
        <v>70</v>
      </c>
      <c r="E136" s="27">
        <f>'Por Valoracion (3) Dimension 2'!D136</f>
        <v>33</v>
      </c>
      <c r="Z136" s="38"/>
    </row>
    <row r="137" spans="1:26" x14ac:dyDescent="0.25">
      <c r="A137" s="38"/>
      <c r="C137" s="53" t="str">
        <f>('Gestión de abastecimiento'!A138)</f>
        <v>Beneficiaros 134</v>
      </c>
      <c r="D137" s="27">
        <f>'Por Valoracion (3) Dimension'!H137</f>
        <v>72</v>
      </c>
      <c r="E137" s="27">
        <f>'Por Valoracion (3) Dimension 2'!D137</f>
        <v>35</v>
      </c>
      <c r="Z137" s="38"/>
    </row>
    <row r="138" spans="1:26" x14ac:dyDescent="0.25">
      <c r="A138" s="38"/>
      <c r="C138" s="53" t="str">
        <f>('Gestión de abastecimiento'!A139)</f>
        <v>Beneficiaros 135</v>
      </c>
      <c r="D138" s="27">
        <f>'Por Valoracion (3) Dimension'!H138</f>
        <v>36</v>
      </c>
      <c r="E138" s="27">
        <f>'Por Valoracion (3) Dimension 2'!D138</f>
        <v>18</v>
      </c>
      <c r="Z138" s="38"/>
    </row>
    <row r="139" spans="1:26" x14ac:dyDescent="0.25">
      <c r="A139" s="38"/>
      <c r="C139" s="53" t="str">
        <f>('Gestión de abastecimiento'!A140)</f>
        <v>Beneficiaros 136</v>
      </c>
      <c r="D139" s="27">
        <f>'Por Valoracion (3) Dimension'!H139</f>
        <v>42</v>
      </c>
      <c r="E139" s="27">
        <f>'Por Valoracion (3) Dimension 2'!D139</f>
        <v>23</v>
      </c>
      <c r="Z139" s="38"/>
    </row>
    <row r="140" spans="1:26" x14ac:dyDescent="0.25">
      <c r="A140" s="38"/>
      <c r="C140" s="53" t="str">
        <f>('Gestión de abastecimiento'!A141)</f>
        <v>Beneficiaros 137</v>
      </c>
      <c r="D140" s="27">
        <f>'Por Valoracion (3) Dimension'!H140</f>
        <v>43</v>
      </c>
      <c r="E140" s="27">
        <f>'Por Valoracion (3) Dimension 2'!D140</f>
        <v>20</v>
      </c>
      <c r="Z140" s="38"/>
    </row>
    <row r="141" spans="1:26" x14ac:dyDescent="0.25">
      <c r="A141" s="38"/>
      <c r="C141" s="53" t="str">
        <f>('Gestión de abastecimiento'!A142)</f>
        <v>Beneficiaros 138</v>
      </c>
      <c r="D141" s="27">
        <f>'Por Valoracion (3) Dimension'!H141</f>
        <v>40</v>
      </c>
      <c r="E141" s="27">
        <f>'Por Valoracion (3) Dimension 2'!D141</f>
        <v>18</v>
      </c>
      <c r="Z141" s="38"/>
    </row>
    <row r="142" spans="1:26" x14ac:dyDescent="0.25">
      <c r="A142" s="38"/>
      <c r="C142" s="53" t="str">
        <f>('Gestión de abastecimiento'!A143)</f>
        <v>Beneficiaros 139</v>
      </c>
      <c r="D142" s="27">
        <f>'Por Valoracion (3) Dimension'!H142</f>
        <v>55</v>
      </c>
      <c r="E142" s="27">
        <f>'Por Valoracion (3) Dimension 2'!D142</f>
        <v>27</v>
      </c>
      <c r="Z142" s="38"/>
    </row>
    <row r="143" spans="1:26" x14ac:dyDescent="0.25">
      <c r="A143" s="38"/>
      <c r="C143" s="53" t="str">
        <f>('Gestión de abastecimiento'!A144)</f>
        <v>Beneficiaros 140</v>
      </c>
      <c r="D143" s="27">
        <f>'Por Valoracion (3) Dimension'!H143</f>
        <v>49</v>
      </c>
      <c r="E143" s="27">
        <f>'Por Valoracion (3) Dimension 2'!D143</f>
        <v>25</v>
      </c>
      <c r="Z143" s="38"/>
    </row>
    <row r="144" spans="1:26" x14ac:dyDescent="0.25">
      <c r="A144" s="38"/>
      <c r="C144" s="53" t="str">
        <f>('Gestión de abastecimiento'!A145)</f>
        <v>Beneficiaros 141</v>
      </c>
      <c r="D144" s="27">
        <f>'Por Valoracion (3) Dimension'!H144</f>
        <v>62</v>
      </c>
      <c r="E144" s="27">
        <f>'Por Valoracion (3) Dimension 2'!D144</f>
        <v>29</v>
      </c>
      <c r="Z144" s="38"/>
    </row>
    <row r="145" spans="1:26" x14ac:dyDescent="0.25">
      <c r="A145" s="38"/>
      <c r="C145" s="53" t="str">
        <f>('Gestión de abastecimiento'!A146)</f>
        <v>Beneficiaros 142</v>
      </c>
      <c r="D145" s="27">
        <f>'Por Valoracion (3) Dimension'!H145</f>
        <v>53</v>
      </c>
      <c r="E145" s="27">
        <f>'Por Valoracion (3) Dimension 2'!D145</f>
        <v>27</v>
      </c>
      <c r="Z145" s="38"/>
    </row>
    <row r="146" spans="1:26" x14ac:dyDescent="0.25">
      <c r="A146" s="38"/>
      <c r="C146" s="53" t="str">
        <f>('Gestión de abastecimiento'!A147)</f>
        <v>Beneficiaros 143</v>
      </c>
      <c r="D146" s="27">
        <f>'Por Valoracion (3) Dimension'!H146</f>
        <v>59</v>
      </c>
      <c r="E146" s="27">
        <f>'Por Valoracion (3) Dimension 2'!D146</f>
        <v>30</v>
      </c>
      <c r="Z146" s="38"/>
    </row>
    <row r="147" spans="1:26" x14ac:dyDescent="0.25">
      <c r="A147" s="38"/>
      <c r="C147" s="53" t="str">
        <f>('Gestión de abastecimiento'!A148)</f>
        <v>Beneficiaros 144</v>
      </c>
      <c r="D147" s="27">
        <f>'Por Valoracion (3) Dimension'!H147</f>
        <v>72</v>
      </c>
      <c r="E147" s="27">
        <f>'Por Valoracion (3) Dimension 2'!D147</f>
        <v>35</v>
      </c>
      <c r="Z147" s="38"/>
    </row>
    <row r="148" spans="1:26" x14ac:dyDescent="0.25">
      <c r="A148" s="38"/>
      <c r="C148" s="53" t="str">
        <f>('Gestión de abastecimiento'!A149)</f>
        <v>Beneficiaros 145</v>
      </c>
      <c r="D148" s="27">
        <f>'Por Valoracion (3) Dimension'!H148</f>
        <v>36</v>
      </c>
      <c r="E148" s="27">
        <f>'Por Valoracion (3) Dimension 2'!D148</f>
        <v>19</v>
      </c>
      <c r="Z148" s="38"/>
    </row>
    <row r="149" spans="1:26" x14ac:dyDescent="0.25">
      <c r="A149" s="38"/>
      <c r="C149" s="53" t="str">
        <f>('Gestión de abastecimiento'!A150)</f>
        <v>Beneficiaros 146</v>
      </c>
      <c r="D149" s="27">
        <f>'Por Valoracion (3) Dimension'!H149</f>
        <v>36</v>
      </c>
      <c r="E149" s="27">
        <f>'Por Valoracion (3) Dimension 2'!D149</f>
        <v>18</v>
      </c>
      <c r="Z149" s="38"/>
    </row>
    <row r="150" spans="1:26" x14ac:dyDescent="0.25">
      <c r="A150" s="38"/>
      <c r="C150" s="53" t="str">
        <f>('Gestión de abastecimiento'!A151)</f>
        <v>Beneficiaros 147</v>
      </c>
      <c r="D150" s="27">
        <f>'Por Valoracion (3) Dimension'!H150</f>
        <v>52</v>
      </c>
      <c r="E150" s="27">
        <f>'Por Valoracion (3) Dimension 2'!D150</f>
        <v>26</v>
      </c>
      <c r="Z150" s="38"/>
    </row>
    <row r="151" spans="1:26" x14ac:dyDescent="0.25">
      <c r="A151" s="38"/>
      <c r="C151" s="53" t="str">
        <f>('Gestión de abastecimiento'!A152)</f>
        <v>Beneficiaros 148</v>
      </c>
      <c r="D151" s="27">
        <f>'Por Valoracion (3) Dimension'!H151</f>
        <v>68</v>
      </c>
      <c r="E151" s="27">
        <f>'Por Valoracion (3) Dimension 2'!D151</f>
        <v>30</v>
      </c>
      <c r="Z151" s="38"/>
    </row>
    <row r="152" spans="1:26" x14ac:dyDescent="0.25">
      <c r="A152" s="38"/>
      <c r="C152" s="53" t="str">
        <f>('Gestión de abastecimiento'!A153)</f>
        <v>Beneficiaros 149</v>
      </c>
      <c r="D152" s="27">
        <f>'Por Valoracion (3) Dimension'!H152</f>
        <v>56</v>
      </c>
      <c r="E152" s="27">
        <f>'Por Valoracion (3) Dimension 2'!D152</f>
        <v>28</v>
      </c>
      <c r="Z152" s="38"/>
    </row>
    <row r="153" spans="1:26" x14ac:dyDescent="0.25">
      <c r="A153" s="38"/>
      <c r="C153" s="53" t="str">
        <f>('Gestión de abastecimiento'!A154)</f>
        <v>Beneficiaros 150</v>
      </c>
      <c r="D153" s="27">
        <f>'Por Valoracion (3) Dimension'!H153</f>
        <v>55</v>
      </c>
      <c r="E153" s="27">
        <f>'Por Valoracion (3) Dimension 2'!D153</f>
        <v>27</v>
      </c>
      <c r="Z153" s="38"/>
    </row>
    <row r="154" spans="1:26" x14ac:dyDescent="0.25">
      <c r="A154" s="38"/>
      <c r="C154" s="53" t="str">
        <f>('Gestión de abastecimiento'!A155)</f>
        <v>Beneficiaros 151</v>
      </c>
      <c r="D154" s="27">
        <f>'Por Valoracion (3) Dimension'!H154</f>
        <v>71</v>
      </c>
      <c r="E154" s="27">
        <f>'Por Valoracion (3) Dimension 2'!D154</f>
        <v>36</v>
      </c>
      <c r="Z154" s="38"/>
    </row>
    <row r="155" spans="1:26" x14ac:dyDescent="0.25">
      <c r="A155" s="38"/>
      <c r="C155" s="53" t="str">
        <f>('Gestión de abastecimiento'!A156)</f>
        <v>Beneficiaros 152</v>
      </c>
      <c r="D155" s="27">
        <f>'Por Valoracion (3) Dimension'!H155</f>
        <v>81</v>
      </c>
      <c r="E155" s="27">
        <f>'Por Valoracion (3) Dimension 2'!D155</f>
        <v>42</v>
      </c>
      <c r="Z155" s="38"/>
    </row>
    <row r="156" spans="1:26" x14ac:dyDescent="0.25">
      <c r="A156" s="38"/>
      <c r="C156" s="53" t="str">
        <f>('Gestión de abastecimiento'!A157)</f>
        <v>Beneficiaros 153</v>
      </c>
      <c r="D156" s="27">
        <f>'Por Valoracion (3) Dimension'!H156</f>
        <v>51</v>
      </c>
      <c r="E156" s="27">
        <f>'Por Valoracion (3) Dimension 2'!D156</f>
        <v>25</v>
      </c>
      <c r="Z156" s="38"/>
    </row>
    <row r="157" spans="1:26" x14ac:dyDescent="0.25">
      <c r="A157" s="38"/>
      <c r="C157" s="53" t="str">
        <f>('Gestión de abastecimiento'!A158)</f>
        <v>Beneficiaros 154</v>
      </c>
      <c r="D157" s="27">
        <f>'Por Valoracion (3) Dimension'!H157</f>
        <v>53</v>
      </c>
      <c r="E157" s="27">
        <f>'Por Valoracion (3) Dimension 2'!D157</f>
        <v>27</v>
      </c>
      <c r="Z157" s="38"/>
    </row>
    <row r="158" spans="1:26" x14ac:dyDescent="0.25">
      <c r="A158" s="38"/>
      <c r="C158" s="53" t="str">
        <f>('Gestión de abastecimiento'!A159)</f>
        <v>Beneficiaros 155</v>
      </c>
      <c r="D158" s="27">
        <f>'Por Valoracion (3) Dimension'!H158</f>
        <v>55</v>
      </c>
      <c r="E158" s="27">
        <f>'Por Valoracion (3) Dimension 2'!D158</f>
        <v>27</v>
      </c>
      <c r="Z158" s="38"/>
    </row>
    <row r="159" spans="1:26" x14ac:dyDescent="0.25">
      <c r="A159" s="38"/>
      <c r="C159" s="53" t="str">
        <f>('Gestión de abastecimiento'!A160)</f>
        <v>Beneficiaros 156</v>
      </c>
      <c r="D159" s="27">
        <f>'Por Valoracion (3) Dimension'!H159</f>
        <v>49</v>
      </c>
      <c r="E159" s="27">
        <f>'Por Valoracion (3) Dimension 2'!D159</f>
        <v>24</v>
      </c>
      <c r="Z159" s="38"/>
    </row>
    <row r="160" spans="1:26" x14ac:dyDescent="0.25">
      <c r="A160" s="38"/>
      <c r="C160" s="53" t="str">
        <f>('Gestión de abastecimiento'!A161)</f>
        <v>Beneficiaros 157</v>
      </c>
      <c r="D160" s="27">
        <f>'Por Valoracion (3) Dimension'!H160</f>
        <v>53</v>
      </c>
      <c r="E160" s="27">
        <f>'Por Valoracion (3) Dimension 2'!D160</f>
        <v>27</v>
      </c>
      <c r="Z160" s="38"/>
    </row>
    <row r="161" spans="1:26" x14ac:dyDescent="0.25">
      <c r="A161" s="38"/>
      <c r="C161" s="53" t="str">
        <f>('Gestión de abastecimiento'!A162)</f>
        <v>Beneficiaros 158</v>
      </c>
      <c r="D161" s="27">
        <f>'Por Valoracion (3) Dimension'!H161</f>
        <v>46</v>
      </c>
      <c r="E161" s="27">
        <f>'Por Valoracion (3) Dimension 2'!D161</f>
        <v>23</v>
      </c>
      <c r="Z161" s="38"/>
    </row>
    <row r="162" spans="1:26" x14ac:dyDescent="0.25">
      <c r="A162" s="38"/>
      <c r="C162" s="53" t="str">
        <f>('Gestión de abastecimiento'!A163)</f>
        <v>Beneficiaros 159</v>
      </c>
      <c r="D162" s="27">
        <f>'Por Valoracion (3) Dimension'!H162</f>
        <v>58</v>
      </c>
      <c r="E162" s="27">
        <f>'Por Valoracion (3) Dimension 2'!D162</f>
        <v>30</v>
      </c>
      <c r="Z162" s="38"/>
    </row>
    <row r="163" spans="1:26" x14ac:dyDescent="0.25">
      <c r="A163" s="38"/>
      <c r="C163" s="53" t="str">
        <f>('Gestión de abastecimiento'!A164)</f>
        <v>Beneficiaros 160</v>
      </c>
      <c r="D163" s="27">
        <f>'Por Valoracion (3) Dimension'!H163</f>
        <v>52</v>
      </c>
      <c r="E163" s="27">
        <f>'Por Valoracion (3) Dimension 2'!D163</f>
        <v>26</v>
      </c>
      <c r="Z163" s="38"/>
    </row>
    <row r="164" spans="1:26" x14ac:dyDescent="0.25">
      <c r="A164" s="38"/>
      <c r="C164" s="53" t="str">
        <f>('Gestión de abastecimiento'!A165)</f>
        <v>Beneficiaros 161</v>
      </c>
      <c r="D164" s="27">
        <f>'Por Valoracion (3) Dimension'!H164</f>
        <v>74</v>
      </c>
      <c r="E164" s="27">
        <f>'Por Valoracion (3) Dimension 2'!D164</f>
        <v>36</v>
      </c>
      <c r="Z164" s="38"/>
    </row>
    <row r="165" spans="1:26" x14ac:dyDescent="0.25">
      <c r="A165" s="38"/>
      <c r="C165" s="53" t="str">
        <f>('Gestión de abastecimiento'!A166)</f>
        <v>Beneficiaros 162</v>
      </c>
      <c r="D165" s="27">
        <f>'Por Valoracion (3) Dimension'!H165</f>
        <v>73</v>
      </c>
      <c r="E165" s="27">
        <f>'Por Valoracion (3) Dimension 2'!D165</f>
        <v>32</v>
      </c>
      <c r="Z165" s="38"/>
    </row>
    <row r="166" spans="1:26" x14ac:dyDescent="0.25">
      <c r="A166" s="38"/>
      <c r="C166" s="53" t="str">
        <f>('Gestión de abastecimiento'!A167)</f>
        <v>Beneficiaros 163</v>
      </c>
      <c r="D166" s="27">
        <f>'Por Valoracion (3) Dimension'!H166</f>
        <v>56</v>
      </c>
      <c r="E166" s="27">
        <f>'Por Valoracion (3) Dimension 2'!D166</f>
        <v>27</v>
      </c>
      <c r="Z166" s="38"/>
    </row>
    <row r="167" spans="1:26" x14ac:dyDescent="0.25">
      <c r="A167" s="38"/>
      <c r="C167" s="53" t="str">
        <f>('Gestión de abastecimiento'!A168)</f>
        <v>Beneficiaros 164</v>
      </c>
      <c r="D167" s="27">
        <f>'Por Valoracion (3) Dimension'!H167</f>
        <v>58</v>
      </c>
      <c r="E167" s="27">
        <f>'Por Valoracion (3) Dimension 2'!D167</f>
        <v>28</v>
      </c>
      <c r="Z167" s="38"/>
    </row>
    <row r="168" spans="1:26" x14ac:dyDescent="0.25">
      <c r="A168" s="38"/>
      <c r="C168" s="53" t="str">
        <f>('Gestión de abastecimiento'!A169)</f>
        <v>Beneficiaros 165</v>
      </c>
      <c r="D168" s="27">
        <f>'Por Valoracion (3) Dimension'!H168</f>
        <v>58</v>
      </c>
      <c r="E168" s="27">
        <f>'Por Valoracion (3) Dimension 2'!D168</f>
        <v>29</v>
      </c>
      <c r="Z168" s="38"/>
    </row>
    <row r="169" spans="1:26" x14ac:dyDescent="0.25">
      <c r="A169" s="38"/>
      <c r="C169" s="53" t="str">
        <f>('Gestión de abastecimiento'!A170)</f>
        <v>Beneficiaros 166</v>
      </c>
      <c r="D169" s="27">
        <f>'Por Valoracion (3) Dimension'!H169</f>
        <v>57</v>
      </c>
      <c r="E169" s="27">
        <f>'Por Valoracion (3) Dimension 2'!D169</f>
        <v>29</v>
      </c>
      <c r="Z169" s="38"/>
    </row>
    <row r="170" spans="1:26" x14ac:dyDescent="0.25">
      <c r="A170" s="38"/>
      <c r="C170" s="53" t="str">
        <f>('Gestión de abastecimiento'!A171)</f>
        <v>Beneficiaros 167</v>
      </c>
      <c r="D170" s="27">
        <f>'Por Valoracion (3) Dimension'!H170</f>
        <v>54</v>
      </c>
      <c r="E170" s="27">
        <f>'Por Valoracion (3) Dimension 2'!D170</f>
        <v>28</v>
      </c>
      <c r="Z170" s="38"/>
    </row>
    <row r="171" spans="1:26" x14ac:dyDescent="0.25">
      <c r="A171" s="38"/>
      <c r="C171" s="53" t="str">
        <f>('Gestión de abastecimiento'!A172)</f>
        <v>Beneficiaros 168</v>
      </c>
      <c r="D171" s="27">
        <f>'Por Valoracion (3) Dimension'!H171</f>
        <v>66</v>
      </c>
      <c r="E171" s="27">
        <f>'Por Valoracion (3) Dimension 2'!D171</f>
        <v>33</v>
      </c>
      <c r="Z171" s="38"/>
    </row>
    <row r="172" spans="1:26" x14ac:dyDescent="0.25">
      <c r="A172" s="38"/>
      <c r="C172" s="53" t="str">
        <f>('Gestión de abastecimiento'!A173)</f>
        <v>Beneficiaros 169</v>
      </c>
      <c r="D172" s="27">
        <f>'Por Valoracion (3) Dimension'!H172</f>
        <v>58</v>
      </c>
      <c r="E172" s="27">
        <f>'Por Valoracion (3) Dimension 2'!D172</f>
        <v>28</v>
      </c>
      <c r="Z172" s="38"/>
    </row>
    <row r="173" spans="1:26" x14ac:dyDescent="0.25">
      <c r="A173" s="38"/>
      <c r="C173" s="53" t="str">
        <f>('Gestión de abastecimiento'!A174)</f>
        <v>Beneficiaros 170</v>
      </c>
      <c r="D173" s="27">
        <f>'Por Valoracion (3) Dimension'!H173</f>
        <v>37</v>
      </c>
      <c r="E173" s="27">
        <f>'Por Valoracion (3) Dimension 2'!D173</f>
        <v>18</v>
      </c>
      <c r="Z173" s="38"/>
    </row>
    <row r="174" spans="1:26" x14ac:dyDescent="0.25">
      <c r="A174" s="38"/>
      <c r="C174" s="53" t="str">
        <f>('Gestión de abastecimiento'!A175)</f>
        <v>Beneficiaros 171</v>
      </c>
      <c r="D174" s="27">
        <f>'Por Valoracion (3) Dimension'!H174</f>
        <v>51</v>
      </c>
      <c r="E174" s="27">
        <f>'Por Valoracion (3) Dimension 2'!D174</f>
        <v>27</v>
      </c>
      <c r="Z174" s="38"/>
    </row>
    <row r="175" spans="1:26" x14ac:dyDescent="0.25">
      <c r="A175" s="38"/>
      <c r="C175" s="53" t="str">
        <f>('Gestión de abastecimiento'!A176)</f>
        <v>Beneficiaros 172</v>
      </c>
      <c r="D175" s="27">
        <f>'Por Valoracion (3) Dimension'!H175</f>
        <v>35</v>
      </c>
      <c r="E175" s="27">
        <f>'Por Valoracion (3) Dimension 2'!D175</f>
        <v>17</v>
      </c>
      <c r="Z175" s="38"/>
    </row>
    <row r="176" spans="1:26" x14ac:dyDescent="0.25">
      <c r="A176" s="38"/>
      <c r="C176" s="53" t="str">
        <f>('Gestión de abastecimiento'!A177)</f>
        <v>Beneficiaros 173</v>
      </c>
      <c r="D176" s="27">
        <f>'Por Valoracion (3) Dimension'!H176</f>
        <v>58</v>
      </c>
      <c r="E176" s="27">
        <f>'Por Valoracion (3) Dimension 2'!D176</f>
        <v>28</v>
      </c>
      <c r="Z176" s="38"/>
    </row>
    <row r="177" spans="1:26" x14ac:dyDescent="0.25">
      <c r="A177" s="38"/>
      <c r="C177" s="53" t="str">
        <f>('Gestión de abastecimiento'!A178)</f>
        <v>Beneficiaros 174</v>
      </c>
      <c r="D177" s="27">
        <f>'Por Valoracion (3) Dimension'!H177</f>
        <v>49</v>
      </c>
      <c r="E177" s="27">
        <f>'Por Valoracion (3) Dimension 2'!D177</f>
        <v>25</v>
      </c>
      <c r="Z177" s="38"/>
    </row>
    <row r="178" spans="1:26" x14ac:dyDescent="0.25">
      <c r="A178" s="38"/>
      <c r="C178" s="53" t="str">
        <f>('Gestión de abastecimiento'!A179)</f>
        <v>Beneficiaros 175</v>
      </c>
      <c r="D178" s="27">
        <f>'Por Valoracion (3) Dimension'!H178</f>
        <v>43</v>
      </c>
      <c r="E178" s="27">
        <f>'Por Valoracion (3) Dimension 2'!D178</f>
        <v>21</v>
      </c>
      <c r="Z178" s="38"/>
    </row>
    <row r="179" spans="1:26" x14ac:dyDescent="0.25">
      <c r="A179" s="38"/>
      <c r="C179" s="53" t="str">
        <f>('Gestión de abastecimiento'!A180)</f>
        <v>Beneficiaros 176</v>
      </c>
      <c r="D179" s="27">
        <f>'Por Valoracion (3) Dimension'!H179</f>
        <v>65</v>
      </c>
      <c r="E179" s="27">
        <f>'Por Valoracion (3) Dimension 2'!D179</f>
        <v>30</v>
      </c>
      <c r="Z179" s="38"/>
    </row>
    <row r="180" spans="1:26" x14ac:dyDescent="0.25">
      <c r="A180" s="38"/>
      <c r="C180" s="53" t="str">
        <f>('Gestión de abastecimiento'!A181)</f>
        <v>Beneficiaros 177</v>
      </c>
      <c r="D180" s="27">
        <f>'Por Valoracion (3) Dimension'!H180</f>
        <v>72</v>
      </c>
      <c r="E180" s="27">
        <f>'Por Valoracion (3) Dimension 2'!D180</f>
        <v>36</v>
      </c>
      <c r="Z180" s="38"/>
    </row>
    <row r="181" spans="1:26" x14ac:dyDescent="0.25">
      <c r="A181" s="38"/>
      <c r="C181" s="53" t="str">
        <f>('Gestión de abastecimiento'!A182)</f>
        <v>Beneficiaros 178</v>
      </c>
      <c r="D181" s="27">
        <f>'Por Valoracion (3) Dimension'!H181</f>
        <v>56</v>
      </c>
      <c r="E181" s="27">
        <f>'Por Valoracion (3) Dimension 2'!D181</f>
        <v>27</v>
      </c>
      <c r="Z181" s="38"/>
    </row>
    <row r="182" spans="1:26" x14ac:dyDescent="0.25">
      <c r="A182" s="38"/>
      <c r="C182" s="53" t="str">
        <f>('Gestión de abastecimiento'!A183)</f>
        <v>Beneficiaros 179</v>
      </c>
      <c r="D182" s="27">
        <f>'Por Valoracion (3) Dimension'!H182</f>
        <v>59</v>
      </c>
      <c r="E182" s="27">
        <f>'Por Valoracion (3) Dimension 2'!D182</f>
        <v>28</v>
      </c>
      <c r="Z182" s="38"/>
    </row>
    <row r="183" spans="1:26" x14ac:dyDescent="0.25">
      <c r="A183" s="38"/>
      <c r="C183" s="53" t="str">
        <f>('Gestión de abastecimiento'!A184)</f>
        <v>Beneficiaros 180</v>
      </c>
      <c r="D183" s="27">
        <f>'Por Valoracion (3) Dimension'!H183</f>
        <v>43</v>
      </c>
      <c r="E183" s="27">
        <f>'Por Valoracion (3) Dimension 2'!D183</f>
        <v>24</v>
      </c>
      <c r="Z183" s="38"/>
    </row>
    <row r="184" spans="1:26" x14ac:dyDescent="0.25">
      <c r="A184" s="38"/>
      <c r="C184" s="53" t="str">
        <f>('Gestión de abastecimiento'!A185)</f>
        <v>Beneficiaros 181</v>
      </c>
      <c r="D184" s="27">
        <f>'Por Valoracion (3) Dimension'!H184</f>
        <v>66</v>
      </c>
      <c r="E184" s="27">
        <f>'Por Valoracion (3) Dimension 2'!D184</f>
        <v>31</v>
      </c>
      <c r="Z184" s="38"/>
    </row>
    <row r="185" spans="1:26" x14ac:dyDescent="0.25">
      <c r="A185" s="38"/>
      <c r="C185" s="53" t="str">
        <f>('Gestión de abastecimiento'!A186)</f>
        <v>Beneficiaros 182</v>
      </c>
      <c r="D185" s="27">
        <f>'Por Valoracion (3) Dimension'!H185</f>
        <v>67</v>
      </c>
      <c r="E185" s="27">
        <f>'Por Valoracion (3) Dimension 2'!D185</f>
        <v>31</v>
      </c>
      <c r="Z185" s="38"/>
    </row>
    <row r="186" spans="1:26" x14ac:dyDescent="0.25">
      <c r="A186" s="38"/>
      <c r="C186" s="53" t="str">
        <f>('Gestión de abastecimiento'!A187)</f>
        <v>Beneficiaros 183</v>
      </c>
      <c r="D186" s="27">
        <f>'Por Valoracion (3) Dimension'!H186</f>
        <v>62</v>
      </c>
      <c r="E186" s="27">
        <f>'Por Valoracion (3) Dimension 2'!D186</f>
        <v>32</v>
      </c>
      <c r="Z186" s="38"/>
    </row>
    <row r="187" spans="1:26" x14ac:dyDescent="0.25">
      <c r="A187" s="38"/>
      <c r="C187" s="53" t="str">
        <f>('Gestión de abastecimiento'!A188)</f>
        <v>Beneficiaros 184</v>
      </c>
      <c r="D187" s="27">
        <f>'Por Valoracion (3) Dimension'!H187</f>
        <v>56</v>
      </c>
      <c r="E187" s="27">
        <f>'Por Valoracion (3) Dimension 2'!D187</f>
        <v>27</v>
      </c>
      <c r="Z187" s="38"/>
    </row>
    <row r="188" spans="1:26" x14ac:dyDescent="0.25">
      <c r="A188" s="38"/>
      <c r="C188" s="53" t="str">
        <f>('Gestión de abastecimiento'!A189)</f>
        <v>Beneficiaros 185</v>
      </c>
      <c r="D188" s="27">
        <f>'Por Valoracion (3) Dimension'!H188</f>
        <v>58</v>
      </c>
      <c r="E188" s="27">
        <f>'Por Valoracion (3) Dimension 2'!D188</f>
        <v>28</v>
      </c>
      <c r="Z188" s="38"/>
    </row>
    <row r="189" spans="1:26" x14ac:dyDescent="0.25">
      <c r="A189" s="38"/>
      <c r="C189" s="53" t="str">
        <f>('Gestión de abastecimiento'!A190)</f>
        <v>Beneficiaros 186</v>
      </c>
      <c r="D189" s="27">
        <f>'Por Valoracion (3) Dimension'!H189</f>
        <v>59</v>
      </c>
      <c r="E189" s="27">
        <f>'Por Valoracion (3) Dimension 2'!D189</f>
        <v>29</v>
      </c>
      <c r="Z189" s="38"/>
    </row>
    <row r="190" spans="1:26" x14ac:dyDescent="0.25">
      <c r="A190" s="38"/>
      <c r="C190" s="53" t="str">
        <f>('Gestión de abastecimiento'!A191)</f>
        <v>Beneficiaros 187</v>
      </c>
      <c r="D190" s="27">
        <f>'Por Valoracion (3) Dimension'!H190</f>
        <v>58</v>
      </c>
      <c r="E190" s="27">
        <f>'Por Valoracion (3) Dimension 2'!D190</f>
        <v>29</v>
      </c>
      <c r="Z190" s="38"/>
    </row>
    <row r="191" spans="1:26" x14ac:dyDescent="0.25">
      <c r="A191" s="38"/>
      <c r="C191" s="53" t="str">
        <f>('Gestión de abastecimiento'!A192)</f>
        <v>Beneficiaros 188</v>
      </c>
      <c r="D191" s="27">
        <f>'Por Valoracion (3) Dimension'!H191</f>
        <v>68</v>
      </c>
      <c r="E191" s="27">
        <f>'Por Valoracion (3) Dimension 2'!D191</f>
        <v>34</v>
      </c>
      <c r="Z191" s="38"/>
    </row>
    <row r="192" spans="1:26" x14ac:dyDescent="0.25">
      <c r="A192" s="38"/>
      <c r="C192" s="53" t="str">
        <f>('Gestión de abastecimiento'!A193)</f>
        <v>Beneficiaros 189</v>
      </c>
      <c r="D192" s="27">
        <f>'Por Valoracion (3) Dimension'!H192</f>
        <v>64</v>
      </c>
      <c r="E192" s="27">
        <f>'Por Valoracion (3) Dimension 2'!D192</f>
        <v>31</v>
      </c>
      <c r="Z192" s="38"/>
    </row>
    <row r="193" spans="1:26" x14ac:dyDescent="0.25">
      <c r="A193" s="38"/>
      <c r="C193" s="53" t="str">
        <f>('Gestión de abastecimiento'!A194)</f>
        <v>Beneficiaros 190</v>
      </c>
      <c r="D193" s="27">
        <f>'Por Valoracion (3) Dimension'!H193</f>
        <v>34</v>
      </c>
      <c r="E193" s="27">
        <f>'Por Valoracion (3) Dimension 2'!D193</f>
        <v>17</v>
      </c>
      <c r="Z193" s="38"/>
    </row>
    <row r="194" spans="1:26" x14ac:dyDescent="0.25">
      <c r="A194" s="38"/>
      <c r="C194" s="53" t="str">
        <f>('Gestión de abastecimiento'!A195)</f>
        <v>Beneficiaros 191</v>
      </c>
      <c r="D194" s="27">
        <f>'Por Valoracion (3) Dimension'!H194</f>
        <v>65</v>
      </c>
      <c r="E194" s="27">
        <f>'Por Valoracion (3) Dimension 2'!D194</f>
        <v>33</v>
      </c>
      <c r="Z194" s="38"/>
    </row>
    <row r="195" spans="1:26" x14ac:dyDescent="0.25">
      <c r="A195" s="38"/>
      <c r="C195" s="53" t="str">
        <f>('Gestión de abastecimiento'!A196)</f>
        <v>Beneficiaros 192</v>
      </c>
      <c r="D195" s="27">
        <f>'Por Valoracion (3) Dimension'!H195</f>
        <v>73</v>
      </c>
      <c r="E195" s="27">
        <f>'Por Valoracion (3) Dimension 2'!D195</f>
        <v>36</v>
      </c>
      <c r="Z195" s="38"/>
    </row>
    <row r="196" spans="1:26" x14ac:dyDescent="0.25">
      <c r="A196" s="38"/>
      <c r="C196" s="53" t="str">
        <f>('Gestión de abastecimiento'!A197)</f>
        <v>Beneficiaros 193</v>
      </c>
      <c r="D196" s="27">
        <f>'Por Valoracion (3) Dimension'!H196</f>
        <v>52</v>
      </c>
      <c r="E196" s="27">
        <f>'Por Valoracion (3) Dimension 2'!D196</f>
        <v>27</v>
      </c>
      <c r="Z196" s="38"/>
    </row>
    <row r="197" spans="1:26" x14ac:dyDescent="0.25">
      <c r="A197" s="38"/>
      <c r="C197" s="53" t="str">
        <f>('Gestión de abastecimiento'!A198)</f>
        <v>Beneficiaros 194</v>
      </c>
      <c r="D197" s="27">
        <f>'Por Valoracion (3) Dimension'!H197</f>
        <v>67</v>
      </c>
      <c r="E197" s="27">
        <f>'Por Valoracion (3) Dimension 2'!D197</f>
        <v>33</v>
      </c>
      <c r="Z197" s="38"/>
    </row>
    <row r="198" spans="1:26" x14ac:dyDescent="0.25">
      <c r="A198" s="38"/>
      <c r="C198" s="53" t="str">
        <f>('Gestión de abastecimiento'!A199)</f>
        <v>Beneficiaros 195</v>
      </c>
      <c r="D198" s="27">
        <f>'Por Valoracion (3) Dimension'!H198</f>
        <v>67</v>
      </c>
      <c r="E198" s="27">
        <f>'Por Valoracion (3) Dimension 2'!D198</f>
        <v>34</v>
      </c>
      <c r="Z198" s="38"/>
    </row>
    <row r="199" spans="1:26" x14ac:dyDescent="0.25">
      <c r="A199" s="38"/>
      <c r="C199" s="53" t="str">
        <f>('Gestión de abastecimiento'!A200)</f>
        <v>Beneficiaros 196</v>
      </c>
      <c r="D199" s="27">
        <f>'Por Valoracion (3) Dimension'!H199</f>
        <v>33</v>
      </c>
      <c r="E199" s="27">
        <f>'Por Valoracion (3) Dimension 2'!D199</f>
        <v>17</v>
      </c>
      <c r="Z199" s="38"/>
    </row>
    <row r="200" spans="1:26" x14ac:dyDescent="0.25">
      <c r="A200" s="38"/>
      <c r="C200" s="53" t="str">
        <f>('Gestión de abastecimiento'!A201)</f>
        <v>Beneficiaros 197</v>
      </c>
      <c r="D200" s="27">
        <f>'Por Valoracion (3) Dimension'!H200</f>
        <v>62</v>
      </c>
      <c r="E200" s="27">
        <f>'Por Valoracion (3) Dimension 2'!D200</f>
        <v>29</v>
      </c>
      <c r="Z200" s="38"/>
    </row>
    <row r="201" spans="1:26" x14ac:dyDescent="0.25">
      <c r="A201" s="38"/>
      <c r="C201" s="53" t="str">
        <f>('Gestión de abastecimiento'!A202)</f>
        <v>Beneficiaros 198</v>
      </c>
      <c r="D201" s="27">
        <f>'Por Valoracion (3) Dimension'!H201</f>
        <v>53</v>
      </c>
      <c r="E201" s="27">
        <f>'Por Valoracion (3) Dimension 2'!D201</f>
        <v>27</v>
      </c>
      <c r="Z201" s="38"/>
    </row>
    <row r="202" spans="1:26" x14ac:dyDescent="0.25">
      <c r="A202" s="38"/>
      <c r="C202" s="53" t="str">
        <f>('Gestión de abastecimiento'!A203)</f>
        <v>Beneficiaros 199</v>
      </c>
      <c r="D202" s="27">
        <f>'Por Valoracion (3) Dimension'!H202</f>
        <v>49</v>
      </c>
      <c r="E202" s="27">
        <f>'Por Valoracion (3) Dimension 2'!D202</f>
        <v>26</v>
      </c>
      <c r="Z202" s="38"/>
    </row>
    <row r="203" spans="1:26" x14ac:dyDescent="0.25">
      <c r="A203" s="38"/>
      <c r="C203" s="53" t="str">
        <f>('Gestión de abastecimiento'!A204)</f>
        <v>Beneficiaros 200</v>
      </c>
      <c r="D203" s="27">
        <f>'Por Valoracion (3) Dimension'!H203</f>
        <v>56</v>
      </c>
      <c r="E203" s="27">
        <f>'Por Valoracion (3) Dimension 2'!D203</f>
        <v>28</v>
      </c>
      <c r="Z203" s="38"/>
    </row>
    <row r="204" spans="1:26" x14ac:dyDescent="0.25">
      <c r="A204" s="38"/>
      <c r="C204" s="53" t="str">
        <f>('Gestión de abastecimiento'!A205)</f>
        <v>Beneficiaros 201</v>
      </c>
      <c r="D204" s="27">
        <f>'Por Valoracion (3) Dimension'!H204</f>
        <v>54</v>
      </c>
      <c r="E204" s="27">
        <f>'Por Valoracion (3) Dimension 2'!D204</f>
        <v>27</v>
      </c>
      <c r="Z204" s="38"/>
    </row>
    <row r="205" spans="1:26" x14ac:dyDescent="0.25">
      <c r="A205" s="38"/>
      <c r="C205" s="53" t="str">
        <f>('Gestión de abastecimiento'!A206)</f>
        <v>Beneficiaros 202</v>
      </c>
      <c r="D205" s="27">
        <f>'Por Valoracion (3) Dimension'!H205</f>
        <v>64</v>
      </c>
      <c r="E205" s="27">
        <f>'Por Valoracion (3) Dimension 2'!D205</f>
        <v>30</v>
      </c>
      <c r="Z205" s="38"/>
    </row>
    <row r="206" spans="1:26" x14ac:dyDescent="0.25">
      <c r="A206" s="38"/>
      <c r="C206" s="53" t="str">
        <f>('Gestión de abastecimiento'!A207)</f>
        <v>Beneficiaros 203</v>
      </c>
      <c r="D206" s="27">
        <f>'Por Valoracion (3) Dimension'!H206</f>
        <v>50</v>
      </c>
      <c r="E206" s="27">
        <f>'Por Valoracion (3) Dimension 2'!D206</f>
        <v>26</v>
      </c>
      <c r="Z206" s="38"/>
    </row>
    <row r="207" spans="1:26" x14ac:dyDescent="0.25">
      <c r="A207" s="38"/>
      <c r="C207" s="53" t="str">
        <f>('Gestión de abastecimiento'!A208)</f>
        <v>Beneficiaros 204</v>
      </c>
      <c r="D207" s="27">
        <f>'Por Valoracion (3) Dimension'!H207</f>
        <v>71</v>
      </c>
      <c r="E207" s="27">
        <f>'Por Valoracion (3) Dimension 2'!D207</f>
        <v>35</v>
      </c>
      <c r="Z207" s="38"/>
    </row>
    <row r="208" spans="1:26" x14ac:dyDescent="0.25">
      <c r="A208" s="38"/>
      <c r="C208" s="53" t="str">
        <f>('Gestión de abastecimiento'!A209)</f>
        <v>Beneficiaros 205</v>
      </c>
      <c r="D208" s="27">
        <f>'Por Valoracion (3) Dimension'!H208</f>
        <v>53</v>
      </c>
      <c r="E208" s="27">
        <f>'Por Valoracion (3) Dimension 2'!D208</f>
        <v>27</v>
      </c>
      <c r="Z208" s="38"/>
    </row>
    <row r="209" spans="1:26" x14ac:dyDescent="0.25">
      <c r="A209" s="38"/>
      <c r="C209" s="53" t="str">
        <f>('Gestión de abastecimiento'!A210)</f>
        <v>Beneficiaros 206</v>
      </c>
      <c r="D209" s="27">
        <f>'Por Valoracion (3) Dimension'!H209</f>
        <v>52</v>
      </c>
      <c r="E209" s="27">
        <f>'Por Valoracion (3) Dimension 2'!D209</f>
        <v>25</v>
      </c>
      <c r="Z209" s="38"/>
    </row>
    <row r="210" spans="1:26" x14ac:dyDescent="0.25">
      <c r="A210" s="38"/>
      <c r="C210" s="53" t="str">
        <f>('Gestión de abastecimiento'!A211)</f>
        <v>Beneficiaros 207</v>
      </c>
      <c r="D210" s="27">
        <f>'Por Valoracion (3) Dimension'!H210</f>
        <v>50</v>
      </c>
      <c r="E210" s="27">
        <f>'Por Valoracion (3) Dimension 2'!D210</f>
        <v>27</v>
      </c>
      <c r="Z210" s="38"/>
    </row>
    <row r="211" spans="1:26" x14ac:dyDescent="0.25">
      <c r="A211" s="38"/>
      <c r="C211" s="53" t="str">
        <f>('Gestión de abastecimiento'!A212)</f>
        <v>Beneficiaros 208</v>
      </c>
      <c r="D211" s="27">
        <f>'Por Valoracion (3) Dimension'!H211</f>
        <v>54</v>
      </c>
      <c r="E211" s="27">
        <f>'Por Valoracion (3) Dimension 2'!D211</f>
        <v>26</v>
      </c>
      <c r="Z211" s="38"/>
    </row>
    <row r="212" spans="1:26" x14ac:dyDescent="0.25">
      <c r="A212" s="38"/>
      <c r="C212" s="53" t="str">
        <f>('Gestión de abastecimiento'!A213)</f>
        <v>Beneficiaros 209</v>
      </c>
      <c r="D212" s="27">
        <f>'Por Valoracion (3) Dimension'!H212</f>
        <v>59</v>
      </c>
      <c r="E212" s="27">
        <f>'Por Valoracion (3) Dimension 2'!D212</f>
        <v>28</v>
      </c>
      <c r="Z212" s="38"/>
    </row>
    <row r="213" spans="1:26" x14ac:dyDescent="0.25">
      <c r="A213" s="38"/>
      <c r="C213" s="53" t="str">
        <f>('Gestión de abastecimiento'!A214)</f>
        <v>Beneficiaros 210</v>
      </c>
      <c r="D213" s="27">
        <f>'Por Valoracion (3) Dimension'!H213</f>
        <v>41</v>
      </c>
      <c r="E213" s="27">
        <f>'Por Valoracion (3) Dimension 2'!D213</f>
        <v>21</v>
      </c>
      <c r="Z213" s="38"/>
    </row>
    <row r="214" spans="1:26" x14ac:dyDescent="0.25">
      <c r="A214" s="38"/>
      <c r="C214" s="53" t="str">
        <f>('Gestión de abastecimiento'!A215)</f>
        <v>Beneficiaros 211</v>
      </c>
      <c r="D214" s="27">
        <f>'Por Valoracion (3) Dimension'!H214</f>
        <v>53</v>
      </c>
      <c r="E214" s="27">
        <f>'Por Valoracion (3) Dimension 2'!D214</f>
        <v>26</v>
      </c>
      <c r="Z214" s="38"/>
    </row>
    <row r="215" spans="1:26" x14ac:dyDescent="0.25">
      <c r="A215" s="38"/>
      <c r="C215" s="53" t="str">
        <f>('Gestión de abastecimiento'!A216)</f>
        <v>Beneficiaros 212</v>
      </c>
      <c r="D215" s="27">
        <f>'Por Valoracion (3) Dimension'!H215</f>
        <v>53</v>
      </c>
      <c r="E215" s="27">
        <f>'Por Valoracion (3) Dimension 2'!D215</f>
        <v>24</v>
      </c>
      <c r="Z215" s="38"/>
    </row>
    <row r="216" spans="1:26" x14ac:dyDescent="0.25">
      <c r="A216" s="38"/>
      <c r="C216" s="53" t="str">
        <f>('Gestión de abastecimiento'!A217)</f>
        <v>Beneficiaros 213</v>
      </c>
      <c r="D216" s="27">
        <f>'Por Valoracion (3) Dimension'!H216</f>
        <v>42</v>
      </c>
      <c r="E216" s="27">
        <f>'Por Valoracion (3) Dimension 2'!D216</f>
        <v>21</v>
      </c>
      <c r="Z216" s="38"/>
    </row>
    <row r="217" spans="1:26" x14ac:dyDescent="0.25">
      <c r="A217" s="38"/>
      <c r="C217" s="53" t="str">
        <f>('Gestión de abastecimiento'!A218)</f>
        <v>Beneficiaros 214</v>
      </c>
      <c r="D217" s="27">
        <f>'Por Valoracion (3) Dimension'!H217</f>
        <v>66</v>
      </c>
      <c r="E217" s="27">
        <f>'Por Valoracion (3) Dimension 2'!D217</f>
        <v>33</v>
      </c>
      <c r="Z217" s="38"/>
    </row>
    <row r="218" spans="1:26" x14ac:dyDescent="0.25">
      <c r="A218" s="38"/>
      <c r="C218" s="53" t="str">
        <f>('Gestión de abastecimiento'!A219)</f>
        <v>Beneficiaros 215</v>
      </c>
      <c r="D218" s="27">
        <f>'Por Valoracion (3) Dimension'!H218</f>
        <v>41</v>
      </c>
      <c r="E218" s="27">
        <f>'Por Valoracion (3) Dimension 2'!D218</f>
        <v>21</v>
      </c>
      <c r="Z218" s="38"/>
    </row>
    <row r="219" spans="1:26" x14ac:dyDescent="0.25">
      <c r="A219" s="38"/>
      <c r="C219" s="53" t="str">
        <f>('Gestión de abastecimiento'!A220)</f>
        <v>Beneficiaros 216</v>
      </c>
      <c r="D219" s="27">
        <f>'Por Valoracion (3) Dimension'!H219</f>
        <v>54</v>
      </c>
      <c r="E219" s="27">
        <f>'Por Valoracion (3) Dimension 2'!D219</f>
        <v>28</v>
      </c>
      <c r="Z219" s="38"/>
    </row>
    <row r="220" spans="1:26" x14ac:dyDescent="0.25">
      <c r="A220" s="38"/>
      <c r="C220" s="53" t="str">
        <f>('Gestión de abastecimiento'!A221)</f>
        <v>Beneficiaros 217</v>
      </c>
      <c r="D220" s="27">
        <f>'Por Valoracion (3) Dimension'!H220</f>
        <v>37</v>
      </c>
      <c r="E220" s="27">
        <f>'Por Valoracion (3) Dimension 2'!D220</f>
        <v>21</v>
      </c>
      <c r="Z220" s="38"/>
    </row>
    <row r="221" spans="1:26" x14ac:dyDescent="0.25">
      <c r="A221" s="38"/>
      <c r="C221" s="53" t="str">
        <f>('Gestión de abastecimiento'!A222)</f>
        <v>Beneficiaros 218</v>
      </c>
      <c r="D221" s="27">
        <f>'Por Valoracion (3) Dimension'!H221</f>
        <v>55</v>
      </c>
      <c r="E221" s="27">
        <f>'Por Valoracion (3) Dimension 2'!D221</f>
        <v>27</v>
      </c>
      <c r="Z221" s="38"/>
    </row>
    <row r="222" spans="1:26" x14ac:dyDescent="0.25">
      <c r="A222" s="38"/>
      <c r="C222" s="53" t="str">
        <f>('Gestión de abastecimiento'!A223)</f>
        <v>Beneficiaros 219</v>
      </c>
      <c r="D222" s="27">
        <f>'Por Valoracion (3) Dimension'!H222</f>
        <v>55</v>
      </c>
      <c r="E222" s="27">
        <f>'Por Valoracion (3) Dimension 2'!D222</f>
        <v>27</v>
      </c>
      <c r="Z222" s="38"/>
    </row>
    <row r="223" spans="1:26" x14ac:dyDescent="0.25">
      <c r="A223" s="38"/>
      <c r="C223" s="53" t="str">
        <f>('Gestión de abastecimiento'!A224)</f>
        <v>Beneficiaros 220</v>
      </c>
      <c r="D223" s="27">
        <f>'Por Valoracion (3) Dimension'!H223</f>
        <v>53</v>
      </c>
      <c r="E223" s="27">
        <f>'Por Valoracion (3) Dimension 2'!D223</f>
        <v>25</v>
      </c>
      <c r="Z223" s="38"/>
    </row>
    <row r="224" spans="1:26" x14ac:dyDescent="0.25">
      <c r="A224" s="38"/>
      <c r="C224" s="53" t="str">
        <f>('Gestión de abastecimiento'!A225)</f>
        <v>Beneficiaros 221</v>
      </c>
      <c r="D224" s="27">
        <f>'Por Valoracion (3) Dimension'!H224</f>
        <v>40</v>
      </c>
      <c r="E224" s="27">
        <f>'Por Valoracion (3) Dimension 2'!D224</f>
        <v>18</v>
      </c>
      <c r="Z224" s="38"/>
    </row>
    <row r="225" spans="1:26" x14ac:dyDescent="0.25">
      <c r="A225" s="38"/>
      <c r="C225" s="53" t="str">
        <f>('Gestión de abastecimiento'!A226)</f>
        <v>Beneficiaros 222</v>
      </c>
      <c r="D225" s="27">
        <f>'Por Valoracion (3) Dimension'!H225</f>
        <v>53</v>
      </c>
      <c r="E225" s="27">
        <f>'Por Valoracion (3) Dimension 2'!D225</f>
        <v>26</v>
      </c>
      <c r="Z225" s="38"/>
    </row>
    <row r="226" spans="1:26" x14ac:dyDescent="0.25">
      <c r="A226" s="38"/>
      <c r="C226" s="53" t="str">
        <f>('Gestión de abastecimiento'!A227)</f>
        <v>Beneficiaros 223</v>
      </c>
      <c r="D226" s="27">
        <f>'Por Valoracion (3) Dimension'!H226</f>
        <v>60</v>
      </c>
      <c r="E226" s="27">
        <f>'Por Valoracion (3) Dimension 2'!D226</f>
        <v>30</v>
      </c>
      <c r="Z226" s="38"/>
    </row>
    <row r="227" spans="1:26" x14ac:dyDescent="0.25">
      <c r="A227" s="38"/>
      <c r="C227" s="53" t="str">
        <f>('Gestión de abastecimiento'!A228)</f>
        <v>Beneficiaros 224</v>
      </c>
      <c r="D227" s="27">
        <f>'Por Valoracion (3) Dimension'!H227</f>
        <v>74</v>
      </c>
      <c r="E227" s="27">
        <f>'Por Valoracion (3) Dimension 2'!D227</f>
        <v>37</v>
      </c>
      <c r="Z227" s="38"/>
    </row>
    <row r="228" spans="1:26" x14ac:dyDescent="0.25">
      <c r="A228" s="38"/>
      <c r="C228" s="53" t="str">
        <f>('Gestión de abastecimiento'!A229)</f>
        <v>Beneficiaros 225</v>
      </c>
      <c r="D228" s="27">
        <f>'Por Valoracion (3) Dimension'!H228</f>
        <v>60</v>
      </c>
      <c r="E228" s="27">
        <f>'Por Valoracion (3) Dimension 2'!D228</f>
        <v>32</v>
      </c>
      <c r="Z228" s="38"/>
    </row>
    <row r="229" spans="1:26" x14ac:dyDescent="0.25">
      <c r="A229" s="38"/>
      <c r="C229" s="53" t="str">
        <f>('Gestión de abastecimiento'!A230)</f>
        <v>Beneficiaros 226</v>
      </c>
      <c r="D229" s="27">
        <f>'Por Valoracion (3) Dimension'!H229</f>
        <v>55</v>
      </c>
      <c r="E229" s="27">
        <f>'Por Valoracion (3) Dimension 2'!D229</f>
        <v>28</v>
      </c>
      <c r="Z229" s="38"/>
    </row>
    <row r="230" spans="1:26" x14ac:dyDescent="0.25">
      <c r="A230" s="38"/>
      <c r="C230" s="53" t="str">
        <f>('Gestión de abastecimiento'!A231)</f>
        <v>Beneficiaros 227</v>
      </c>
      <c r="D230" s="27">
        <f>'Por Valoracion (3) Dimension'!H230</f>
        <v>37</v>
      </c>
      <c r="E230" s="27">
        <f>'Por Valoracion (3) Dimension 2'!D230</f>
        <v>18</v>
      </c>
      <c r="Z230" s="38"/>
    </row>
    <row r="231" spans="1:26" x14ac:dyDescent="0.25">
      <c r="A231" s="38"/>
      <c r="C231" s="53" t="str">
        <f>('Gestión de abastecimiento'!A232)</f>
        <v>Beneficiaros 228</v>
      </c>
      <c r="D231" s="27">
        <f>'Por Valoracion (3) Dimension'!H231</f>
        <v>70</v>
      </c>
      <c r="E231" s="27">
        <f>'Por Valoracion (3) Dimension 2'!D231</f>
        <v>35</v>
      </c>
      <c r="Z231" s="38"/>
    </row>
    <row r="232" spans="1:26" x14ac:dyDescent="0.25">
      <c r="A232" s="38"/>
      <c r="C232" s="53" t="str">
        <f>('Gestión de abastecimiento'!A233)</f>
        <v>Beneficiaros 229</v>
      </c>
      <c r="D232" s="27">
        <f>'Por Valoracion (3) Dimension'!H232</f>
        <v>59</v>
      </c>
      <c r="E232" s="27">
        <f>'Por Valoracion (3) Dimension 2'!D232</f>
        <v>32</v>
      </c>
      <c r="Z232" s="38"/>
    </row>
    <row r="233" spans="1:26" x14ac:dyDescent="0.25">
      <c r="A233" s="38"/>
      <c r="C233" s="53" t="str">
        <f>('Gestión de abastecimiento'!A234)</f>
        <v>Beneficiaros 230</v>
      </c>
      <c r="D233" s="27">
        <f>'Por Valoracion (3) Dimension'!H233</f>
        <v>37</v>
      </c>
      <c r="E233" s="27">
        <f>'Por Valoracion (3) Dimension 2'!D233</f>
        <v>19</v>
      </c>
      <c r="Z233" s="38"/>
    </row>
    <row r="234" spans="1:26" x14ac:dyDescent="0.25">
      <c r="A234" s="38"/>
      <c r="C234" s="53" t="str">
        <f>('Gestión de abastecimiento'!A235)</f>
        <v>Beneficiaros 231</v>
      </c>
      <c r="D234" s="27">
        <f>'Por Valoracion (3) Dimension'!H234</f>
        <v>86</v>
      </c>
      <c r="E234" s="27">
        <f>'Por Valoracion (3) Dimension 2'!D234</f>
        <v>41</v>
      </c>
      <c r="Z234" s="38"/>
    </row>
    <row r="235" spans="1:26" x14ac:dyDescent="0.25">
      <c r="A235" s="38"/>
      <c r="C235" s="53" t="str">
        <f>('Gestión de abastecimiento'!A236)</f>
        <v>Beneficiaros 232</v>
      </c>
      <c r="D235" s="27">
        <f>'Por Valoracion (3) Dimension'!H235</f>
        <v>65</v>
      </c>
      <c r="E235" s="27">
        <f>'Por Valoracion (3) Dimension 2'!D235</f>
        <v>30</v>
      </c>
      <c r="Z235" s="38"/>
    </row>
    <row r="236" spans="1:26" x14ac:dyDescent="0.25">
      <c r="A236" s="38"/>
      <c r="C236" s="53" t="str">
        <f>('Gestión de abastecimiento'!A237)</f>
        <v>Beneficiaros 233</v>
      </c>
      <c r="D236" s="27">
        <f>'Por Valoracion (3) Dimension'!H236</f>
        <v>36</v>
      </c>
      <c r="E236" s="27">
        <f>'Por Valoracion (3) Dimension 2'!D236</f>
        <v>18</v>
      </c>
      <c r="Z236" s="38"/>
    </row>
    <row r="237" spans="1:26" x14ac:dyDescent="0.25">
      <c r="A237" s="38"/>
      <c r="C237" s="53" t="str">
        <f>('Gestión de abastecimiento'!A238)</f>
        <v>Beneficiaros 234</v>
      </c>
      <c r="D237" s="27">
        <f>'Por Valoracion (3) Dimension'!H237</f>
        <v>41</v>
      </c>
      <c r="E237" s="27">
        <f>'Por Valoracion (3) Dimension 2'!D237</f>
        <v>22</v>
      </c>
      <c r="Z237" s="38"/>
    </row>
    <row r="238" spans="1:26" x14ac:dyDescent="0.25">
      <c r="A238" s="38"/>
      <c r="C238" s="53" t="str">
        <f>('Gestión de abastecimiento'!A239)</f>
        <v>Beneficiaros 235</v>
      </c>
      <c r="D238" s="27">
        <f>'Por Valoracion (3) Dimension'!H238</f>
        <v>28</v>
      </c>
      <c r="E238" s="27">
        <f>'Por Valoracion (3) Dimension 2'!D238</f>
        <v>15</v>
      </c>
      <c r="Z238" s="38"/>
    </row>
    <row r="239" spans="1:26" x14ac:dyDescent="0.25">
      <c r="A239" s="38"/>
      <c r="C239" s="53" t="str">
        <f>('Gestión de abastecimiento'!A240)</f>
        <v>Beneficiaros 236</v>
      </c>
      <c r="D239" s="27">
        <f>'Por Valoracion (3) Dimension'!H239</f>
        <v>41</v>
      </c>
      <c r="E239" s="27">
        <f>'Por Valoracion (3) Dimension 2'!D239</f>
        <v>21</v>
      </c>
      <c r="Z239" s="38"/>
    </row>
    <row r="240" spans="1:26" x14ac:dyDescent="0.25">
      <c r="A240" s="38"/>
      <c r="C240" s="53" t="str">
        <f>('Gestión de abastecimiento'!A241)</f>
        <v>Beneficiaros 237</v>
      </c>
      <c r="D240" s="27">
        <f>'Por Valoracion (3) Dimension'!H240</f>
        <v>41</v>
      </c>
      <c r="E240" s="27">
        <f>'Por Valoracion (3) Dimension 2'!D240</f>
        <v>23</v>
      </c>
      <c r="Z240" s="38"/>
    </row>
    <row r="241" spans="1:26" x14ac:dyDescent="0.25">
      <c r="A241" s="38"/>
      <c r="C241" s="53" t="str">
        <f>('Gestión de abastecimiento'!A242)</f>
        <v>Beneficiaros 238</v>
      </c>
      <c r="D241" s="27">
        <f>'Por Valoracion (3) Dimension'!H241</f>
        <v>60</v>
      </c>
      <c r="E241" s="27">
        <f>'Por Valoracion (3) Dimension 2'!D241</f>
        <v>29</v>
      </c>
      <c r="Z241" s="38"/>
    </row>
    <row r="242" spans="1:26" x14ac:dyDescent="0.25">
      <c r="A242" s="38"/>
      <c r="C242" s="53" t="str">
        <f>('Gestión de abastecimiento'!A243)</f>
        <v>Beneficiaros 239</v>
      </c>
      <c r="D242" s="27">
        <f>'Por Valoracion (3) Dimension'!H242</f>
        <v>18</v>
      </c>
      <c r="E242" s="27">
        <f>'Por Valoracion (3) Dimension 2'!D242</f>
        <v>9</v>
      </c>
      <c r="Z242" s="38"/>
    </row>
    <row r="243" spans="1:26" x14ac:dyDescent="0.25">
      <c r="A243" s="38"/>
      <c r="C243" s="53" t="str">
        <f>('Gestión de abastecimiento'!A244)</f>
        <v>Beneficiaros 240</v>
      </c>
      <c r="D243" s="27">
        <f>'Por Valoracion (3) Dimension'!H243</f>
        <v>70</v>
      </c>
      <c r="E243" s="27">
        <f>'Por Valoracion (3) Dimension 2'!D243</f>
        <v>35</v>
      </c>
      <c r="Z243" s="38"/>
    </row>
    <row r="244" spans="1:26" x14ac:dyDescent="0.25">
      <c r="A244" s="38"/>
      <c r="C244" s="53" t="str">
        <f>('Gestión de abastecimiento'!A245)</f>
        <v>Beneficiaros 241</v>
      </c>
      <c r="D244" s="27">
        <f>'Por Valoracion (3) Dimension'!H244</f>
        <v>58</v>
      </c>
      <c r="E244" s="27">
        <f>'Por Valoracion (3) Dimension 2'!D244</f>
        <v>29</v>
      </c>
      <c r="Z244" s="38"/>
    </row>
    <row r="245" spans="1:26" x14ac:dyDescent="0.25">
      <c r="A245" s="38"/>
      <c r="C245" s="53" t="str">
        <f>('Gestión de abastecimiento'!A246)</f>
        <v>Beneficiaros 242</v>
      </c>
      <c r="D245" s="27">
        <f>'Por Valoracion (3) Dimension'!H245</f>
        <v>53</v>
      </c>
      <c r="E245" s="27">
        <f>'Por Valoracion (3) Dimension 2'!D245</f>
        <v>26</v>
      </c>
      <c r="Z245" s="38"/>
    </row>
    <row r="246" spans="1:26" x14ac:dyDescent="0.25">
      <c r="A246" s="38"/>
      <c r="C246" s="53" t="str">
        <f>('Gestión de abastecimiento'!A247)</f>
        <v>Beneficiaros 243</v>
      </c>
      <c r="D246" s="27">
        <f>'Por Valoracion (3) Dimension'!H246</f>
        <v>78</v>
      </c>
      <c r="E246" s="27">
        <f>'Por Valoracion (3) Dimension 2'!D246</f>
        <v>38</v>
      </c>
      <c r="Z246" s="38"/>
    </row>
    <row r="247" spans="1:26" x14ac:dyDescent="0.25">
      <c r="A247" s="38"/>
      <c r="C247" s="53" t="str">
        <f>('Gestión de abastecimiento'!A248)</f>
        <v>Beneficiaros 244</v>
      </c>
      <c r="D247" s="27">
        <f>'Por Valoracion (3) Dimension'!H247</f>
        <v>54</v>
      </c>
      <c r="E247" s="27">
        <f>'Por Valoracion (3) Dimension 2'!D247</f>
        <v>28</v>
      </c>
      <c r="Z247" s="38"/>
    </row>
    <row r="248" spans="1:26" x14ac:dyDescent="0.25">
      <c r="A248" s="38"/>
      <c r="C248" s="53" t="str">
        <f>('Gestión de abastecimiento'!A249)</f>
        <v>Beneficiaros 245</v>
      </c>
      <c r="D248" s="27">
        <f>'Por Valoracion (3) Dimension'!H248</f>
        <v>57</v>
      </c>
      <c r="E248" s="27">
        <f>'Por Valoracion (3) Dimension 2'!D248</f>
        <v>30</v>
      </c>
      <c r="Z248" s="38"/>
    </row>
    <row r="249" spans="1:26" x14ac:dyDescent="0.25">
      <c r="A249" s="38"/>
      <c r="C249" s="53" t="str">
        <f>('Gestión de abastecimiento'!A250)</f>
        <v>Beneficiaros 246</v>
      </c>
      <c r="D249" s="27">
        <f>'Por Valoracion (3) Dimension'!H249</f>
        <v>52</v>
      </c>
      <c r="E249" s="27">
        <f>'Por Valoracion (3) Dimension 2'!D249</f>
        <v>27</v>
      </c>
      <c r="Z249" s="38"/>
    </row>
    <row r="250" spans="1:26" x14ac:dyDescent="0.25">
      <c r="A250" s="38"/>
      <c r="C250" s="53" t="str">
        <f>('Gestión de abastecimiento'!A251)</f>
        <v>Beneficiaros 247</v>
      </c>
      <c r="D250" s="27">
        <f>'Por Valoracion (3) Dimension'!H250</f>
        <v>45</v>
      </c>
      <c r="E250" s="27">
        <f>'Por Valoracion (3) Dimension 2'!D250</f>
        <v>22</v>
      </c>
      <c r="Z250" s="38"/>
    </row>
    <row r="251" spans="1:26" x14ac:dyDescent="0.25">
      <c r="A251" s="38"/>
      <c r="C251" s="53" t="str">
        <f>('Gestión de abastecimiento'!A252)</f>
        <v>Beneficiaros 248</v>
      </c>
      <c r="D251" s="27">
        <f>'Por Valoracion (3) Dimension'!H251</f>
        <v>55</v>
      </c>
      <c r="E251" s="27">
        <f>'Por Valoracion (3) Dimension 2'!D251</f>
        <v>26</v>
      </c>
      <c r="Z251" s="38"/>
    </row>
    <row r="252" spans="1:26" x14ac:dyDescent="0.25">
      <c r="A252" s="38"/>
      <c r="C252" s="53" t="str">
        <f>('Gestión de abastecimiento'!A253)</f>
        <v>Beneficiaros 249</v>
      </c>
      <c r="D252" s="27">
        <f>'Por Valoracion (3) Dimension'!H252</f>
        <v>53</v>
      </c>
      <c r="E252" s="27">
        <f>'Por Valoracion (3) Dimension 2'!D252</f>
        <v>27</v>
      </c>
      <c r="Z252" s="38"/>
    </row>
    <row r="253" spans="1:26" x14ac:dyDescent="0.25">
      <c r="A253" s="38"/>
      <c r="C253" s="53" t="str">
        <f>('Gestión de abastecimiento'!A254)</f>
        <v>Beneficiaros 250</v>
      </c>
      <c r="D253" s="27">
        <f>'Por Valoracion (3) Dimension'!H253</f>
        <v>73</v>
      </c>
      <c r="E253" s="27">
        <f>'Por Valoracion (3) Dimension 2'!D253</f>
        <v>36</v>
      </c>
      <c r="Z253" s="38"/>
    </row>
    <row r="254" spans="1:26" x14ac:dyDescent="0.25">
      <c r="A254" s="38"/>
      <c r="C254" s="53" t="str">
        <f>('Gestión de abastecimiento'!A255)</f>
        <v>Beneficiaros 251</v>
      </c>
      <c r="D254" s="27">
        <f>'Por Valoracion (3) Dimension'!H254</f>
        <v>58</v>
      </c>
      <c r="E254" s="27">
        <f>'Por Valoracion (3) Dimension 2'!D254</f>
        <v>29</v>
      </c>
      <c r="Z254" s="38"/>
    </row>
    <row r="255" spans="1:26" x14ac:dyDescent="0.25">
      <c r="A255" s="38"/>
      <c r="C255" s="53" t="str">
        <f>('Gestión de abastecimiento'!A256)</f>
        <v>Beneficiaros 252</v>
      </c>
      <c r="D255" s="27">
        <f>'Por Valoracion (3) Dimension'!H255</f>
        <v>46</v>
      </c>
      <c r="E255" s="27">
        <f>'Por Valoracion (3) Dimension 2'!D255</f>
        <v>24</v>
      </c>
      <c r="Z255" s="38"/>
    </row>
    <row r="256" spans="1:26" x14ac:dyDescent="0.25">
      <c r="A256" s="38"/>
      <c r="C256" s="53" t="str">
        <f>('Gestión de abastecimiento'!A257)</f>
        <v>Beneficiaros 253</v>
      </c>
      <c r="D256" s="27">
        <f>'Por Valoracion (3) Dimension'!H256</f>
        <v>49</v>
      </c>
      <c r="E256" s="27">
        <f>'Por Valoracion (3) Dimension 2'!D256</f>
        <v>24</v>
      </c>
      <c r="Z256" s="38"/>
    </row>
    <row r="257" spans="1:26" x14ac:dyDescent="0.25">
      <c r="A257" s="38"/>
      <c r="C257" s="53" t="str">
        <f>('Gestión de abastecimiento'!A258)</f>
        <v>Beneficiaros 254</v>
      </c>
      <c r="D257" s="27">
        <f>'Por Valoracion (3) Dimension'!H257</f>
        <v>63</v>
      </c>
      <c r="E257" s="27">
        <f>'Por Valoracion (3) Dimension 2'!D257</f>
        <v>33</v>
      </c>
      <c r="Z257" s="38"/>
    </row>
    <row r="258" spans="1:26" x14ac:dyDescent="0.25">
      <c r="A258" s="38"/>
      <c r="C258" s="53" t="str">
        <f>('Gestión de abastecimiento'!A259)</f>
        <v>Beneficiaros 255</v>
      </c>
      <c r="D258" s="27">
        <f>'Por Valoracion (3) Dimension'!H258</f>
        <v>37</v>
      </c>
      <c r="E258" s="27">
        <f>'Por Valoracion (3) Dimension 2'!D258</f>
        <v>20</v>
      </c>
      <c r="Z258" s="38"/>
    </row>
    <row r="259" spans="1:26" x14ac:dyDescent="0.25">
      <c r="A259" s="38"/>
      <c r="C259" s="53" t="str">
        <f>('Gestión de abastecimiento'!A260)</f>
        <v>Beneficiaros 256</v>
      </c>
      <c r="D259" s="27">
        <f>'Por Valoracion (3) Dimension'!H259</f>
        <v>37</v>
      </c>
      <c r="E259" s="27">
        <f>'Por Valoracion (3) Dimension 2'!D259</f>
        <v>18</v>
      </c>
      <c r="Z259" s="38"/>
    </row>
    <row r="260" spans="1:26" x14ac:dyDescent="0.25">
      <c r="A260" s="38"/>
      <c r="C260" s="53" t="str">
        <f>('Gestión de abastecimiento'!A261)</f>
        <v>Beneficiaros 257</v>
      </c>
      <c r="D260" s="27">
        <f>'Por Valoracion (3) Dimension'!H260</f>
        <v>63</v>
      </c>
      <c r="E260" s="27">
        <f>'Por Valoracion (3) Dimension 2'!D260</f>
        <v>31</v>
      </c>
      <c r="Z260" s="38"/>
    </row>
    <row r="261" spans="1:26" x14ac:dyDescent="0.25">
      <c r="A261" s="38"/>
      <c r="C261" s="53" t="str">
        <f>('Gestión de abastecimiento'!A262)</f>
        <v>Beneficiaros 258</v>
      </c>
      <c r="D261" s="27">
        <f>'Por Valoracion (3) Dimension'!H261</f>
        <v>39</v>
      </c>
      <c r="E261" s="27">
        <f>'Por Valoracion (3) Dimension 2'!D261</f>
        <v>17</v>
      </c>
      <c r="Z261" s="38"/>
    </row>
    <row r="262" spans="1:26" x14ac:dyDescent="0.25">
      <c r="A262" s="38"/>
      <c r="C262" s="53" t="str">
        <f>('Gestión de abastecimiento'!A263)</f>
        <v>Beneficiaros 259</v>
      </c>
      <c r="D262" s="27">
        <f>'Por Valoracion (3) Dimension'!H262</f>
        <v>44</v>
      </c>
      <c r="E262" s="27">
        <f>'Por Valoracion (3) Dimension 2'!D262</f>
        <v>21</v>
      </c>
      <c r="Z262" s="38"/>
    </row>
    <row r="263" spans="1:26" x14ac:dyDescent="0.25">
      <c r="A263" s="38"/>
      <c r="C263" s="53" t="str">
        <f>('Gestión de abastecimiento'!A264)</f>
        <v>Beneficiaros 260</v>
      </c>
      <c r="D263" s="27">
        <f>'Por Valoracion (3) Dimension'!H263</f>
        <v>72</v>
      </c>
      <c r="E263" s="27">
        <f>'Por Valoracion (3) Dimension 2'!D263</f>
        <v>36</v>
      </c>
      <c r="Z263" s="38"/>
    </row>
    <row r="264" spans="1:26" x14ac:dyDescent="0.25">
      <c r="A264" s="38"/>
      <c r="C264" s="53" t="str">
        <f>('Gestión de abastecimiento'!A265)</f>
        <v>Beneficiaros 261</v>
      </c>
      <c r="D264" s="27">
        <f>'Por Valoracion (3) Dimension'!H264</f>
        <v>54</v>
      </c>
      <c r="E264" s="27">
        <f>'Por Valoracion (3) Dimension 2'!D264</f>
        <v>26</v>
      </c>
      <c r="Z264" s="38"/>
    </row>
    <row r="265" spans="1:26" x14ac:dyDescent="0.25">
      <c r="A265" s="38"/>
      <c r="C265" s="53" t="str">
        <f>('Gestión de abastecimiento'!A266)</f>
        <v>Beneficiaros 262</v>
      </c>
      <c r="D265" s="27">
        <f>'Por Valoracion (3) Dimension'!H265</f>
        <v>53</v>
      </c>
      <c r="E265" s="27">
        <f>'Por Valoracion (3) Dimension 2'!D265</f>
        <v>26</v>
      </c>
      <c r="Z265" s="38"/>
    </row>
    <row r="266" spans="1:26" x14ac:dyDescent="0.25">
      <c r="A266" s="38"/>
      <c r="C266" s="53" t="str">
        <f>('Gestión de abastecimiento'!A267)</f>
        <v>Beneficiaros 263</v>
      </c>
      <c r="D266" s="27">
        <f>'Por Valoracion (3) Dimension'!H266</f>
        <v>60</v>
      </c>
      <c r="E266" s="27">
        <f>'Por Valoracion (3) Dimension 2'!D266</f>
        <v>32</v>
      </c>
      <c r="Z266" s="38"/>
    </row>
    <row r="267" spans="1:26" x14ac:dyDescent="0.25">
      <c r="A267" s="38"/>
      <c r="C267" s="53" t="str">
        <f>('Gestión de abastecimiento'!A268)</f>
        <v>Beneficiaros 264</v>
      </c>
      <c r="D267" s="27">
        <f>'Por Valoracion (3) Dimension'!H267</f>
        <v>38</v>
      </c>
      <c r="E267" s="27">
        <f>'Por Valoracion (3) Dimension 2'!D267</f>
        <v>19</v>
      </c>
      <c r="Z267" s="38"/>
    </row>
    <row r="268" spans="1:26" x14ac:dyDescent="0.25">
      <c r="A268" s="38"/>
      <c r="C268" s="53" t="str">
        <f>('Gestión de abastecimiento'!A269)</f>
        <v>Beneficiaros 265</v>
      </c>
      <c r="D268" s="27">
        <f>'Por Valoracion (3) Dimension'!H268</f>
        <v>44</v>
      </c>
      <c r="E268" s="27">
        <f>'Por Valoracion (3) Dimension 2'!D268</f>
        <v>21</v>
      </c>
      <c r="Z268" s="38"/>
    </row>
    <row r="269" spans="1:26" x14ac:dyDescent="0.25">
      <c r="A269" s="38"/>
      <c r="C269" s="53" t="str">
        <f>('Gestión de abastecimiento'!A270)</f>
        <v>Beneficiaros 266</v>
      </c>
      <c r="D269" s="27">
        <f>'Por Valoracion (3) Dimension'!H269</f>
        <v>74</v>
      </c>
      <c r="E269" s="27">
        <f>'Por Valoracion (3) Dimension 2'!D269</f>
        <v>40</v>
      </c>
      <c r="Z269" s="38"/>
    </row>
    <row r="270" spans="1:26" x14ac:dyDescent="0.25">
      <c r="A270" s="38"/>
      <c r="C270" s="53" t="str">
        <f>('Gestión de abastecimiento'!A271)</f>
        <v>Beneficiaros 267</v>
      </c>
      <c r="D270" s="27">
        <f>'Por Valoracion (3) Dimension'!H270</f>
        <v>48</v>
      </c>
      <c r="E270" s="27">
        <f>'Por Valoracion (3) Dimension 2'!D270</f>
        <v>26</v>
      </c>
      <c r="Z270" s="38"/>
    </row>
    <row r="271" spans="1:26" x14ac:dyDescent="0.25">
      <c r="A271" s="38"/>
      <c r="C271" s="53" t="str">
        <f>('Gestión de abastecimiento'!A272)</f>
        <v>Beneficiaros 268</v>
      </c>
      <c r="D271" s="27">
        <f>'Por Valoracion (3) Dimension'!H271</f>
        <v>55</v>
      </c>
      <c r="E271" s="27">
        <f>'Por Valoracion (3) Dimension 2'!D271</f>
        <v>27</v>
      </c>
      <c r="Z271" s="38"/>
    </row>
    <row r="272" spans="1:26" x14ac:dyDescent="0.25">
      <c r="A272" s="38"/>
      <c r="C272" s="53" t="str">
        <f>('Gestión de abastecimiento'!A273)</f>
        <v>Beneficiaros 269</v>
      </c>
      <c r="D272" s="27">
        <f>'Por Valoracion (3) Dimension'!H272</f>
        <v>72</v>
      </c>
      <c r="E272" s="27">
        <f>'Por Valoracion (3) Dimension 2'!D272</f>
        <v>36</v>
      </c>
      <c r="Z272" s="38"/>
    </row>
    <row r="273" spans="1:26" x14ac:dyDescent="0.25">
      <c r="A273" s="38"/>
      <c r="C273" s="53" t="str">
        <f>('Gestión de abastecimiento'!A274)</f>
        <v>Beneficiaros 270</v>
      </c>
      <c r="D273" s="27">
        <f>'Por Valoracion (3) Dimension'!H273</f>
        <v>54</v>
      </c>
      <c r="E273" s="27">
        <f>'Por Valoracion (3) Dimension 2'!D273</f>
        <v>26</v>
      </c>
      <c r="Z273" s="38"/>
    </row>
    <row r="274" spans="1:26" x14ac:dyDescent="0.25">
      <c r="A274" s="38"/>
      <c r="C274" s="53" t="str">
        <f>('Gestión de abastecimiento'!A275)</f>
        <v>Beneficiaros 271</v>
      </c>
      <c r="D274" s="27">
        <f>'Por Valoracion (3) Dimension'!H274</f>
        <v>21</v>
      </c>
      <c r="E274" s="27">
        <f>'Por Valoracion (3) Dimension 2'!D274</f>
        <v>9</v>
      </c>
      <c r="Z274" s="38"/>
    </row>
    <row r="275" spans="1:26" x14ac:dyDescent="0.25">
      <c r="A275" s="38"/>
      <c r="C275" s="53" t="str">
        <f>('Gestión de abastecimiento'!A276)</f>
        <v>Beneficiaros 272</v>
      </c>
      <c r="D275" s="27">
        <f>'Por Valoracion (3) Dimension'!H275</f>
        <v>61</v>
      </c>
      <c r="E275" s="27">
        <f>'Por Valoracion (3) Dimension 2'!D275</f>
        <v>29</v>
      </c>
      <c r="Z275" s="38"/>
    </row>
    <row r="276" spans="1:26" x14ac:dyDescent="0.25">
      <c r="A276" s="38"/>
      <c r="C276" s="53" t="str">
        <f>('Gestión de abastecimiento'!A277)</f>
        <v>Beneficiaros 273</v>
      </c>
      <c r="D276" s="27">
        <f>'Por Valoracion (3) Dimension'!H276</f>
        <v>58</v>
      </c>
      <c r="E276" s="27">
        <f>'Por Valoracion (3) Dimension 2'!D276</f>
        <v>31</v>
      </c>
      <c r="Z276" s="38"/>
    </row>
    <row r="277" spans="1:26" x14ac:dyDescent="0.25">
      <c r="A277" s="38"/>
      <c r="C277" s="53" t="str">
        <f>('Gestión de abastecimiento'!A278)</f>
        <v>Beneficiaros 274</v>
      </c>
      <c r="D277" s="27">
        <f>'Por Valoracion (3) Dimension'!H277</f>
        <v>39</v>
      </c>
      <c r="E277" s="27">
        <f>'Por Valoracion (3) Dimension 2'!D277</f>
        <v>20</v>
      </c>
      <c r="Z277" s="38"/>
    </row>
    <row r="278" spans="1:26" x14ac:dyDescent="0.25">
      <c r="A278" s="38"/>
      <c r="C278" s="53" t="str">
        <f>('Gestión de abastecimiento'!A279)</f>
        <v>Beneficiaros 275</v>
      </c>
      <c r="D278" s="27">
        <f>'Por Valoracion (3) Dimension'!H278</f>
        <v>54</v>
      </c>
      <c r="E278" s="27">
        <f>'Por Valoracion (3) Dimension 2'!D278</f>
        <v>25</v>
      </c>
      <c r="Z278" s="38"/>
    </row>
    <row r="279" spans="1:26" x14ac:dyDescent="0.25">
      <c r="A279" s="38"/>
      <c r="C279" s="53" t="str">
        <f>('Gestión de abastecimiento'!A280)</f>
        <v>Beneficiaros 276</v>
      </c>
      <c r="D279" s="27">
        <f>'Por Valoracion (3) Dimension'!H279</f>
        <v>34</v>
      </c>
      <c r="E279" s="27">
        <f>'Por Valoracion (3) Dimension 2'!D279</f>
        <v>17</v>
      </c>
      <c r="Z279" s="38"/>
    </row>
    <row r="280" spans="1:26" x14ac:dyDescent="0.25">
      <c r="A280" s="38"/>
      <c r="C280" s="53" t="str">
        <f>('Gestión de abastecimiento'!A281)</f>
        <v>Beneficiaros 277</v>
      </c>
      <c r="D280" s="27">
        <f>'Por Valoracion (3) Dimension'!H280</f>
        <v>72</v>
      </c>
      <c r="E280" s="27">
        <f>'Por Valoracion (3) Dimension 2'!D280</f>
        <v>35</v>
      </c>
      <c r="Z280" s="38"/>
    </row>
    <row r="281" spans="1:26" x14ac:dyDescent="0.25">
      <c r="A281" s="38"/>
      <c r="C281" s="53" t="str">
        <f>('Gestión de abastecimiento'!A282)</f>
        <v>Beneficiaros 278</v>
      </c>
      <c r="D281" s="27">
        <f>'Por Valoracion (3) Dimension'!H281</f>
        <v>58</v>
      </c>
      <c r="E281" s="27">
        <f>'Por Valoracion (3) Dimension 2'!D281</f>
        <v>28</v>
      </c>
      <c r="Z281" s="38"/>
    </row>
    <row r="282" spans="1:26" x14ac:dyDescent="0.25">
      <c r="A282" s="38"/>
      <c r="C282" s="53" t="str">
        <f>('Gestión de abastecimiento'!A283)</f>
        <v>Beneficiaros 279</v>
      </c>
      <c r="D282" s="27">
        <f>'Por Valoracion (3) Dimension'!H282</f>
        <v>54</v>
      </c>
      <c r="E282" s="27">
        <f>'Por Valoracion (3) Dimension 2'!D282</f>
        <v>28</v>
      </c>
      <c r="Z282" s="38"/>
    </row>
    <row r="283" spans="1:26" x14ac:dyDescent="0.25">
      <c r="A283" s="38"/>
      <c r="C283" s="53" t="str">
        <f>('Gestión de abastecimiento'!A284)</f>
        <v>Beneficiaros 280</v>
      </c>
      <c r="D283" s="27">
        <f>'Por Valoracion (3) Dimension'!H283</f>
        <v>52</v>
      </c>
      <c r="E283" s="27">
        <f>'Por Valoracion (3) Dimension 2'!D283</f>
        <v>26</v>
      </c>
      <c r="Z283" s="38"/>
    </row>
    <row r="284" spans="1:26" x14ac:dyDescent="0.25">
      <c r="A284" s="38"/>
      <c r="C284" s="53" t="str">
        <f>('Gestión de abastecimiento'!A285)</f>
        <v>Beneficiaros 281</v>
      </c>
      <c r="D284" s="27">
        <f>'Por Valoracion (3) Dimension'!H284</f>
        <v>41</v>
      </c>
      <c r="E284" s="27">
        <f>'Por Valoracion (3) Dimension 2'!D284</f>
        <v>19</v>
      </c>
      <c r="Z284" s="38"/>
    </row>
    <row r="285" spans="1:26" x14ac:dyDescent="0.25">
      <c r="A285" s="38"/>
      <c r="C285" s="53" t="str">
        <f>('Gestión de abastecimiento'!A286)</f>
        <v>Beneficiaros 282</v>
      </c>
      <c r="D285" s="27">
        <f>'Por Valoracion (3) Dimension'!H285</f>
        <v>34</v>
      </c>
      <c r="E285" s="27">
        <f>'Por Valoracion (3) Dimension 2'!D285</f>
        <v>18</v>
      </c>
      <c r="Z285" s="38"/>
    </row>
    <row r="286" spans="1:26" x14ac:dyDescent="0.25">
      <c r="A286" s="38"/>
      <c r="C286" s="53" t="str">
        <f>('Gestión de abastecimiento'!A287)</f>
        <v>Beneficiaros 283</v>
      </c>
      <c r="D286" s="27">
        <f>'Por Valoracion (3) Dimension'!H286</f>
        <v>56</v>
      </c>
      <c r="E286" s="27">
        <f>'Por Valoracion (3) Dimension 2'!D286</f>
        <v>27</v>
      </c>
      <c r="Z286" s="38"/>
    </row>
    <row r="287" spans="1:26" x14ac:dyDescent="0.25">
      <c r="A287" s="38"/>
      <c r="C287" s="53" t="str">
        <f>('Gestión de abastecimiento'!A288)</f>
        <v>Beneficiaros 284</v>
      </c>
      <c r="D287" s="27">
        <f>'Por Valoracion (3) Dimension'!H287</f>
        <v>53</v>
      </c>
      <c r="E287" s="27">
        <f>'Por Valoracion (3) Dimension 2'!D287</f>
        <v>27</v>
      </c>
      <c r="Z287" s="38"/>
    </row>
    <row r="288" spans="1:26" x14ac:dyDescent="0.25">
      <c r="A288" s="38"/>
      <c r="C288" s="53" t="str">
        <f>('Gestión de abastecimiento'!A289)</f>
        <v>Beneficiaros 285</v>
      </c>
      <c r="D288" s="27">
        <f>'Por Valoracion (3) Dimension'!H288</f>
        <v>47</v>
      </c>
      <c r="E288" s="27">
        <f>'Por Valoracion (3) Dimension 2'!D288</f>
        <v>26</v>
      </c>
      <c r="Z288" s="38"/>
    </row>
    <row r="289" spans="1:26" x14ac:dyDescent="0.25">
      <c r="A289" s="38"/>
      <c r="C289" s="53" t="str">
        <f>('Gestión de abastecimiento'!A290)</f>
        <v>Beneficiaros 286</v>
      </c>
      <c r="D289" s="27">
        <f>'Por Valoracion (3) Dimension'!H289</f>
        <v>53</v>
      </c>
      <c r="E289" s="27">
        <f>'Por Valoracion (3) Dimension 2'!D289</f>
        <v>27</v>
      </c>
      <c r="Z289" s="38"/>
    </row>
    <row r="290" spans="1:26" x14ac:dyDescent="0.25">
      <c r="A290" s="38"/>
      <c r="C290" s="53" t="str">
        <f>('Gestión de abastecimiento'!A291)</f>
        <v>Beneficiaros 287</v>
      </c>
      <c r="D290" s="27">
        <f>'Por Valoracion (3) Dimension'!H290</f>
        <v>49</v>
      </c>
      <c r="E290" s="27">
        <f>'Por Valoracion (3) Dimension 2'!D290</f>
        <v>23</v>
      </c>
      <c r="Z290" s="38"/>
    </row>
    <row r="291" spans="1:26" x14ac:dyDescent="0.25">
      <c r="A291" s="38"/>
      <c r="C291" s="53" t="str">
        <f>('Gestión de abastecimiento'!A292)</f>
        <v>Beneficiaros 288</v>
      </c>
      <c r="D291" s="27">
        <f>'Por Valoracion (3) Dimension'!H291</f>
        <v>38</v>
      </c>
      <c r="E291" s="27">
        <f>'Por Valoracion (3) Dimension 2'!D291</f>
        <v>18</v>
      </c>
      <c r="Z291" s="38"/>
    </row>
    <row r="292" spans="1:26" x14ac:dyDescent="0.25">
      <c r="A292" s="38"/>
      <c r="C292" s="53" t="str">
        <f>('Gestión de abastecimiento'!A293)</f>
        <v>Beneficiaros 289</v>
      </c>
      <c r="D292" s="27">
        <f>'Por Valoracion (3) Dimension'!H292</f>
        <v>71</v>
      </c>
      <c r="E292" s="27">
        <f>'Por Valoracion (3) Dimension 2'!D292</f>
        <v>35</v>
      </c>
      <c r="Z292" s="38"/>
    </row>
    <row r="293" spans="1:26" x14ac:dyDescent="0.25">
      <c r="A293" s="38"/>
      <c r="Z293" s="38"/>
    </row>
    <row r="294" spans="1:26" x14ac:dyDescent="0.25">
      <c r="A294" s="38"/>
      <c r="B294" s="38"/>
      <c r="C294" s="38"/>
      <c r="D294" s="38"/>
      <c r="E294" s="38"/>
      <c r="F294" s="38"/>
      <c r="G294" s="38"/>
      <c r="H294" s="38"/>
      <c r="I294" s="38"/>
      <c r="J294" s="38"/>
      <c r="K294" s="38"/>
      <c r="L294" s="38"/>
      <c r="M294" s="38"/>
      <c r="N294" s="38"/>
      <c r="O294" s="38"/>
      <c r="P294" s="38"/>
      <c r="Q294" s="38"/>
      <c r="R294" s="38"/>
      <c r="S294" s="38"/>
      <c r="T294" s="38"/>
      <c r="U294" s="38"/>
      <c r="V294" s="38"/>
      <c r="W294" s="38"/>
      <c r="X294" s="38"/>
      <c r="Y294" s="38"/>
      <c r="Z294" s="38"/>
    </row>
    <row r="297" spans="1:26" x14ac:dyDescent="0.25">
      <c r="D297" t="s">
        <v>489</v>
      </c>
      <c r="E297" t="s">
        <v>489</v>
      </c>
      <c r="F297" t="s">
        <v>477</v>
      </c>
      <c r="G297" t="s">
        <v>478</v>
      </c>
      <c r="H297" t="s">
        <v>479</v>
      </c>
      <c r="I297" t="s">
        <v>480</v>
      </c>
      <c r="M297" t="s">
        <v>481</v>
      </c>
      <c r="N297" t="s">
        <v>482</v>
      </c>
      <c r="O297" t="s">
        <v>483</v>
      </c>
      <c r="R297" t="s">
        <v>481</v>
      </c>
      <c r="S297" t="s">
        <v>482</v>
      </c>
      <c r="T297" t="s">
        <v>484</v>
      </c>
    </row>
    <row r="298" spans="1:26" x14ac:dyDescent="0.25">
      <c r="D298" t="str">
        <f>D3</f>
        <v>Gestión de abastecimiento</v>
      </c>
      <c r="E298" t="str">
        <f>E3</f>
        <v>Satisfacción de los comités del Programa Vaso de Leche</v>
      </c>
      <c r="F298" t="str">
        <f>IF(G8&lt;=50,H6,H6)</f>
        <v>Kolmogorov-Smirnova</v>
      </c>
      <c r="G298" t="str">
        <f>IF(E3&lt;5/100,"la distribución de sus valores son diferentes a la distribución normal","la distribución de sus valores no son diferentes a la distribución normal")</f>
        <v>la distribución de sus valores no son diferentes a la distribución normal</v>
      </c>
      <c r="H298" t="str">
        <f>IF(G298="la distribución de sus valores son diferentes a la distribución normal"," es decir los datos no se encuentran normalmente distribuidos"," es decir los datos si se encuentran normalmente distribuidos")</f>
        <v xml:space="preserve"> es decir los datos si se encuentran normalmente distribuidos</v>
      </c>
      <c r="I298" t="str">
        <f>IF(G298=" es decir los datos no se encuentran normalmente distribuidos"," la prueba no paramétrica de correlación de Rho de Spearman","la prueba paramétrica de correlación de Pearson")</f>
        <v>la prueba paramétrica de correlación de Pearson</v>
      </c>
      <c r="M298" t="s">
        <v>485</v>
      </c>
      <c r="N298">
        <f>R14</f>
        <v>0</v>
      </c>
      <c r="O298">
        <f>R13</f>
        <v>0</v>
      </c>
      <c r="R298" t="s">
        <v>485</v>
      </c>
      <c r="S298">
        <f>X14</f>
        <v>0</v>
      </c>
      <c r="T298">
        <f>X13</f>
        <v>0</v>
      </c>
    </row>
    <row r="299" spans="1:26" x14ac:dyDescent="0.25">
      <c r="C299" t="s">
        <v>486</v>
      </c>
      <c r="D299">
        <f>M8</f>
        <v>0</v>
      </c>
      <c r="E299">
        <f>M9</f>
        <v>0</v>
      </c>
      <c r="N299">
        <f>N298/100</f>
        <v>0</v>
      </c>
      <c r="O299">
        <f>O298*100</f>
        <v>0</v>
      </c>
      <c r="Q299" t="s">
        <v>487</v>
      </c>
      <c r="S299">
        <f>S298/100</f>
        <v>0</v>
      </c>
      <c r="T299">
        <f>T298*100</f>
        <v>0</v>
      </c>
      <c r="V299" t="s">
        <v>487</v>
      </c>
    </row>
    <row r="300" spans="1:26" x14ac:dyDescent="0.25">
      <c r="N300" t="str">
        <f>IF(N298&lt;5/100,"existe relación significativa entre las ","no existe relación entre las ")</f>
        <v xml:space="preserve">existe relación significativa entre las </v>
      </c>
      <c r="O300" t="str">
        <f>IF(O298&lt;='Criterio para el valor r'!$A$2,'Criterio para el valor r'!$C$2,IF(O298&lt;='Criterio para el valor r'!$A$3,'Criterio para el valor r'!$C$3,IF(O298&lt;='Criterio para el valor r'!$A$4,'Criterio para el valor r'!$C$4,IF(O298&lt;='Criterio para el valor r'!$A$5,'Criterio para el valor r'!$C$5,IF(O298&lt;='Criterio para el valor r'!$A$6,'Criterio para el valor r'!$C$6,IF(O298&lt;='Criterio para el valor r'!$A$8,'Criterio para el valor r'!$C$7,IF(O298&lt;='Criterio para el valor r'!$A$7,'Criterio para el valor r'!$C$8,IF(O298&lt;='Criterio para el valor r'!$B$9,'Criterio para el valor r'!$C$9,IF(O298&lt;='Criterio para el valor r'!$B$10,'Criterio para el valor r'!$C$10,IF(O298&lt;='Criterio para el valor r'!$B$11,'Criterio para el valor r'!$C$11,IF(O298&lt;='Criterio para el valor r'!$B$12,'Criterio para el valor r'!$C$12,IF(O298&lt;='Criterio para el valor r'!$B$13,'Criterio para el valor r'!$C$13,IF(O298&lt;='Criterio para el valor r'!$B$14,'Criterio para el valor r'!$C$14,"algo esta mal")))))))))))))</f>
        <v>Correlación negativa muy débil</v>
      </c>
      <c r="P300" t="str">
        <f>IF(O298&lt;0,"menor","mayor")</f>
        <v>mayor</v>
      </c>
      <c r="Q300" t="str">
        <f>IF(N299&gt;=5/100,"se acepta la Ho y se rechaza la Hi","se rechaza la Ho y se acepta la Hi")</f>
        <v>se rechaza la Ho y se acepta la Hi</v>
      </c>
      <c r="S300" t="str">
        <f>IF(S298&lt;5/100,"existe relación significativa entre las ","no existe relación entre las ")</f>
        <v xml:space="preserve">existe relación significativa entre las </v>
      </c>
      <c r="T300" t="str">
        <f>IF(T298&lt;5/100,"existe relación significativa entre las ","no existe relación entre las ")</f>
        <v xml:space="preserve">existe relación significativa entre las </v>
      </c>
      <c r="U300" t="str">
        <f>IF(T298&lt;0,"menor","mayor")</f>
        <v>mayor</v>
      </c>
      <c r="V300" t="str">
        <f>IF(S299&gt;=5/100,"se acepta la Ho y se rechaza la Hi","se rechaza la Ho y se acepta la Hi")</f>
        <v>se rechaza la Ho y se acepta la Hi</v>
      </c>
    </row>
    <row r="303" spans="1:26" x14ac:dyDescent="0.25">
      <c r="O303" s="52" t="str">
        <f>CONCATENATE("la ",O10," muestra los resultados de la prueba de ",P13,", en donde se evidencia que con una ",N297," del ",N299,"% ",N300," ",M298," ",O13," y ",O16,", adicional a ello se puede observar que la fuerza y/o grado de correlación ",O297," tiene un valor de ",O299,"% lo que afirma que es una ",O300," mismo que asu vez significa que a mayor ",Q12," ",P300," ",O16,", por todo ello en el presente objetivo ",Q300,".")</f>
        <v>la Tabla 1 muestra los resultados de la prueba de Correlación de Pearson, en donde se evidencia que con una  probabilidad de error  del 0% existe relación significativa entre las  dimensiones Gestión de abastecimiento y Satisfacción de los comités del Programa Vaso de Leche, adicional a ello se puede observar que la fuerza y/o grado de correlación  "r"  tiene un valor de 0% lo que afirma que es una Correlación negativa muy débil mismo que asu vez significa que a mayor Gestión de abastecimiento mayor Satisfacción de los comités del Programa Vaso de Leche, por todo ello en el presente objetivo se rechaza la Ho y se acepta la Hi.</v>
      </c>
      <c r="P303" s="53"/>
      <c r="Q303" s="53"/>
      <c r="R303" s="53"/>
      <c r="T303" s="52" t="str">
        <f>CONCATENATE("la ",T10," muestra los resultados de la prueba de ",V13,", en donde se evidencia que con una ",S297," del ",S299,"% ",S300," ",R298," ",U13," y ",U16,", adicional a ello se puede observar que la fuerza y/o grado de correlación ",T297," tiene un valor de ",T299,"% lo que afirma que es una ",T300," mismo que asu vez significa que a mayor ",W12," ",U300," ",X12,", por todo ello en el presente objetivo ",V300,".")</f>
        <v>la Tabla 1 muestra los resultados de la prueba de Correlación de Rho de Spearman, en donde se evidencia que con una  probabilidad de error  del 0% existe relación significativa entre las  dimensiones Gestión de abastecimiento y Satisfacción de los comités del Programa Vaso de Leche, adicional a ello se puede observar que la fuerza y/o grado de correlación "Rho" tiene un valor de 0% lo que afirma que es una existe relación significativa entre las  mismo que asu vez significa que a mayor Gestión de abastecimiento mayor Satisfacción de los comités del Programa Vaso de Leche, por todo ello en el presente objetivo se rechaza la Ho y se acepta la Hi.</v>
      </c>
      <c r="U303" s="53"/>
      <c r="V303" s="53"/>
      <c r="W303" s="53"/>
    </row>
    <row r="304" spans="1:26" x14ac:dyDescent="0.25">
      <c r="O304" s="53"/>
      <c r="P304" s="53"/>
      <c r="Q304" s="53"/>
      <c r="R304" s="53"/>
      <c r="T304" s="53"/>
      <c r="U304" s="53"/>
      <c r="V304" s="53"/>
      <c r="W304" s="53"/>
    </row>
    <row r="305" spans="15:23" x14ac:dyDescent="0.25">
      <c r="O305" s="53"/>
      <c r="P305" s="53"/>
      <c r="Q305" s="53"/>
      <c r="R305" s="53"/>
      <c r="T305" s="53"/>
      <c r="U305" s="53"/>
      <c r="V305" s="53"/>
      <c r="W305" s="53"/>
    </row>
    <row r="306" spans="15:23" x14ac:dyDescent="0.25">
      <c r="O306" s="53"/>
      <c r="P306" s="53"/>
      <c r="Q306" s="53"/>
      <c r="R306" s="53"/>
      <c r="T306" s="53"/>
      <c r="U306" s="53"/>
      <c r="V306" s="53"/>
      <c r="W306" s="53"/>
    </row>
    <row r="307" spans="15:23" x14ac:dyDescent="0.25">
      <c r="O307" s="53"/>
      <c r="P307" s="53"/>
      <c r="Q307" s="53"/>
      <c r="R307" s="53"/>
      <c r="T307" s="53"/>
      <c r="U307" s="53"/>
      <c r="V307" s="53"/>
      <c r="W307" s="53"/>
    </row>
    <row r="308" spans="15:23" x14ac:dyDescent="0.25">
      <c r="O308" s="53"/>
      <c r="P308" s="53"/>
      <c r="Q308" s="53"/>
      <c r="R308" s="53"/>
      <c r="T308" s="53"/>
      <c r="U308" s="53"/>
      <c r="V308" s="53"/>
      <c r="W308" s="53"/>
    </row>
  </sheetData>
  <sheetProtection formatCells="0" formatColumns="0" formatRows="0" insertColumns="0" insertRows="0" insertHyperlinks="0" deleteColumns="0" deleteRows="0" sort="0" autoFilter="0" pivotTables="0"/>
  <mergeCells count="308">
    <mergeCell ref="O303:R308"/>
    <mergeCell ref="T11:X11"/>
    <mergeCell ref="T12:V12"/>
    <mergeCell ref="T19:X19"/>
    <mergeCell ref="T13:T18"/>
    <mergeCell ref="T303:W308"/>
    <mergeCell ref="U13:U15"/>
    <mergeCell ref="U16:U18"/>
    <mergeCell ref="O11:R11"/>
    <mergeCell ref="O12:P12"/>
    <mergeCell ref="O13:O15"/>
    <mergeCell ref="O16:O18"/>
    <mergeCell ref="O19:R19"/>
    <mergeCell ref="C289"/>
    <mergeCell ref="C290"/>
    <mergeCell ref="C291"/>
    <mergeCell ref="C292"/>
    <mergeCell ref="G5:M5"/>
    <mergeCell ref="G12:M17"/>
    <mergeCell ref="G10:M10"/>
    <mergeCell ref="G6:G7"/>
    <mergeCell ref="H6:J6"/>
    <mergeCell ref="K6:M6"/>
    <mergeCell ref="C284"/>
    <mergeCell ref="C285"/>
    <mergeCell ref="C286"/>
    <mergeCell ref="C287"/>
    <mergeCell ref="C288"/>
    <mergeCell ref="C279"/>
    <mergeCell ref="C280"/>
    <mergeCell ref="C281"/>
    <mergeCell ref="C282"/>
    <mergeCell ref="C283"/>
    <mergeCell ref="C274"/>
    <mergeCell ref="C275"/>
    <mergeCell ref="C276"/>
    <mergeCell ref="C277"/>
    <mergeCell ref="C278"/>
    <mergeCell ref="C269"/>
    <mergeCell ref="C270"/>
    <mergeCell ref="C271"/>
    <mergeCell ref="C272"/>
    <mergeCell ref="C273"/>
    <mergeCell ref="C264"/>
    <mergeCell ref="C265"/>
    <mergeCell ref="C266"/>
    <mergeCell ref="C267"/>
    <mergeCell ref="C268"/>
    <mergeCell ref="C259"/>
    <mergeCell ref="C260"/>
    <mergeCell ref="C261"/>
    <mergeCell ref="C262"/>
    <mergeCell ref="C263"/>
    <mergeCell ref="C254"/>
    <mergeCell ref="C255"/>
    <mergeCell ref="C256"/>
    <mergeCell ref="C257"/>
    <mergeCell ref="C258"/>
    <mergeCell ref="C249"/>
    <mergeCell ref="C250"/>
    <mergeCell ref="C251"/>
    <mergeCell ref="C252"/>
    <mergeCell ref="C253"/>
    <mergeCell ref="C244"/>
    <mergeCell ref="C245"/>
    <mergeCell ref="C246"/>
    <mergeCell ref="C247"/>
    <mergeCell ref="C248"/>
    <mergeCell ref="C239"/>
    <mergeCell ref="C240"/>
    <mergeCell ref="C241"/>
    <mergeCell ref="C242"/>
    <mergeCell ref="C243"/>
    <mergeCell ref="C234"/>
    <mergeCell ref="C235"/>
    <mergeCell ref="C236"/>
    <mergeCell ref="C237"/>
    <mergeCell ref="C238"/>
    <mergeCell ref="C229"/>
    <mergeCell ref="C230"/>
    <mergeCell ref="C231"/>
    <mergeCell ref="C232"/>
    <mergeCell ref="C233"/>
    <mergeCell ref="C224"/>
    <mergeCell ref="C225"/>
    <mergeCell ref="C226"/>
    <mergeCell ref="C227"/>
    <mergeCell ref="C228"/>
    <mergeCell ref="C219"/>
    <mergeCell ref="C220"/>
    <mergeCell ref="C221"/>
    <mergeCell ref="C222"/>
    <mergeCell ref="C223"/>
    <mergeCell ref="C214"/>
    <mergeCell ref="C215"/>
    <mergeCell ref="C216"/>
    <mergeCell ref="C217"/>
    <mergeCell ref="C218"/>
    <mergeCell ref="C209"/>
    <mergeCell ref="C210"/>
    <mergeCell ref="C211"/>
    <mergeCell ref="C212"/>
    <mergeCell ref="C213"/>
    <mergeCell ref="C204"/>
    <mergeCell ref="C205"/>
    <mergeCell ref="C206"/>
    <mergeCell ref="C207"/>
    <mergeCell ref="C208"/>
    <mergeCell ref="C199"/>
    <mergeCell ref="C200"/>
    <mergeCell ref="C201"/>
    <mergeCell ref="C202"/>
    <mergeCell ref="C203"/>
    <mergeCell ref="C194"/>
    <mergeCell ref="C195"/>
    <mergeCell ref="C196"/>
    <mergeCell ref="C197"/>
    <mergeCell ref="C198"/>
    <mergeCell ref="C189"/>
    <mergeCell ref="C190"/>
    <mergeCell ref="C191"/>
    <mergeCell ref="C192"/>
    <mergeCell ref="C193"/>
    <mergeCell ref="C184"/>
    <mergeCell ref="C185"/>
    <mergeCell ref="C186"/>
    <mergeCell ref="C187"/>
    <mergeCell ref="C188"/>
    <mergeCell ref="C179"/>
    <mergeCell ref="C180"/>
    <mergeCell ref="C181"/>
    <mergeCell ref="C182"/>
    <mergeCell ref="C183"/>
    <mergeCell ref="C174"/>
    <mergeCell ref="C175"/>
    <mergeCell ref="C176"/>
    <mergeCell ref="C177"/>
    <mergeCell ref="C178"/>
    <mergeCell ref="C169"/>
    <mergeCell ref="C170"/>
    <mergeCell ref="C171"/>
    <mergeCell ref="C172"/>
    <mergeCell ref="C173"/>
    <mergeCell ref="C164"/>
    <mergeCell ref="C165"/>
    <mergeCell ref="C166"/>
    <mergeCell ref="C167"/>
    <mergeCell ref="C168"/>
    <mergeCell ref="C159"/>
    <mergeCell ref="C160"/>
    <mergeCell ref="C161"/>
    <mergeCell ref="C162"/>
    <mergeCell ref="C163"/>
    <mergeCell ref="C154"/>
    <mergeCell ref="C155"/>
    <mergeCell ref="C156"/>
    <mergeCell ref="C157"/>
    <mergeCell ref="C158"/>
    <mergeCell ref="C149"/>
    <mergeCell ref="C150"/>
    <mergeCell ref="C151"/>
    <mergeCell ref="C152"/>
    <mergeCell ref="C153"/>
    <mergeCell ref="C144"/>
    <mergeCell ref="C145"/>
    <mergeCell ref="C146"/>
    <mergeCell ref="C147"/>
    <mergeCell ref="C148"/>
    <mergeCell ref="C139"/>
    <mergeCell ref="C140"/>
    <mergeCell ref="C141"/>
    <mergeCell ref="C142"/>
    <mergeCell ref="C143"/>
    <mergeCell ref="C134"/>
    <mergeCell ref="C135"/>
    <mergeCell ref="C136"/>
    <mergeCell ref="C137"/>
    <mergeCell ref="C138"/>
    <mergeCell ref="C129"/>
    <mergeCell ref="C130"/>
    <mergeCell ref="C131"/>
    <mergeCell ref="C132"/>
    <mergeCell ref="C133"/>
    <mergeCell ref="C124"/>
    <mergeCell ref="C125"/>
    <mergeCell ref="C126"/>
    <mergeCell ref="C127"/>
    <mergeCell ref="C128"/>
    <mergeCell ref="C119"/>
    <mergeCell ref="C120"/>
    <mergeCell ref="C121"/>
    <mergeCell ref="C122"/>
    <mergeCell ref="C123"/>
    <mergeCell ref="C114"/>
    <mergeCell ref="C115"/>
    <mergeCell ref="C116"/>
    <mergeCell ref="C117"/>
    <mergeCell ref="C118"/>
    <mergeCell ref="C109"/>
    <mergeCell ref="C110"/>
    <mergeCell ref="C111"/>
    <mergeCell ref="C112"/>
    <mergeCell ref="C113"/>
    <mergeCell ref="C104"/>
    <mergeCell ref="C105"/>
    <mergeCell ref="C106"/>
    <mergeCell ref="C107"/>
    <mergeCell ref="C108"/>
    <mergeCell ref="C99"/>
    <mergeCell ref="C100"/>
    <mergeCell ref="C101"/>
    <mergeCell ref="C102"/>
    <mergeCell ref="C103"/>
    <mergeCell ref="C94"/>
    <mergeCell ref="C95"/>
    <mergeCell ref="C96"/>
    <mergeCell ref="C97"/>
    <mergeCell ref="C98"/>
    <mergeCell ref="C89"/>
    <mergeCell ref="C90"/>
    <mergeCell ref="C91"/>
    <mergeCell ref="C92"/>
    <mergeCell ref="C93"/>
    <mergeCell ref="C84"/>
    <mergeCell ref="C85"/>
    <mergeCell ref="C86"/>
    <mergeCell ref="C87"/>
    <mergeCell ref="C88"/>
    <mergeCell ref="C79"/>
    <mergeCell ref="C80"/>
    <mergeCell ref="C81"/>
    <mergeCell ref="C82"/>
    <mergeCell ref="C83"/>
    <mergeCell ref="C74"/>
    <mergeCell ref="C75"/>
    <mergeCell ref="C76"/>
    <mergeCell ref="C77"/>
    <mergeCell ref="C78"/>
    <mergeCell ref="C69"/>
    <mergeCell ref="C70"/>
    <mergeCell ref="C71"/>
    <mergeCell ref="C72"/>
    <mergeCell ref="C73"/>
    <mergeCell ref="C64"/>
    <mergeCell ref="C65"/>
    <mergeCell ref="C66"/>
    <mergeCell ref="C67"/>
    <mergeCell ref="C68"/>
    <mergeCell ref="C59"/>
    <mergeCell ref="C60"/>
    <mergeCell ref="C61"/>
    <mergeCell ref="C62"/>
    <mergeCell ref="C63"/>
    <mergeCell ref="C54"/>
    <mergeCell ref="C55"/>
    <mergeCell ref="C56"/>
    <mergeCell ref="C57"/>
    <mergeCell ref="C58"/>
    <mergeCell ref="C49"/>
    <mergeCell ref="C50"/>
    <mergeCell ref="C51"/>
    <mergeCell ref="C52"/>
    <mergeCell ref="C53"/>
    <mergeCell ref="C44"/>
    <mergeCell ref="C45"/>
    <mergeCell ref="C46"/>
    <mergeCell ref="C47"/>
    <mergeCell ref="C48"/>
    <mergeCell ref="C39"/>
    <mergeCell ref="C40"/>
    <mergeCell ref="C41"/>
    <mergeCell ref="C42"/>
    <mergeCell ref="C43"/>
    <mergeCell ref="C34"/>
    <mergeCell ref="C35"/>
    <mergeCell ref="C36"/>
    <mergeCell ref="C37"/>
    <mergeCell ref="C38"/>
    <mergeCell ref="C29"/>
    <mergeCell ref="C30"/>
    <mergeCell ref="C31"/>
    <mergeCell ref="C32"/>
    <mergeCell ref="C33"/>
    <mergeCell ref="C24"/>
    <mergeCell ref="C25"/>
    <mergeCell ref="C26"/>
    <mergeCell ref="C27"/>
    <mergeCell ref="C28"/>
    <mergeCell ref="C19"/>
    <mergeCell ref="C20"/>
    <mergeCell ref="C21"/>
    <mergeCell ref="C22"/>
    <mergeCell ref="C23"/>
    <mergeCell ref="C14"/>
    <mergeCell ref="C15"/>
    <mergeCell ref="C16"/>
    <mergeCell ref="C17"/>
    <mergeCell ref="C18"/>
    <mergeCell ref="C9"/>
    <mergeCell ref="C10"/>
    <mergeCell ref="C11"/>
    <mergeCell ref="C12"/>
    <mergeCell ref="C13"/>
    <mergeCell ref="C4"/>
    <mergeCell ref="C5"/>
    <mergeCell ref="C6"/>
    <mergeCell ref="C7"/>
    <mergeCell ref="C8"/>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4"/>
  <sheetViews>
    <sheetView tabSelected="1" workbookViewId="0">
      <selection activeCell="B2" sqref="B2"/>
    </sheetView>
  </sheetViews>
  <sheetFormatPr baseColWidth="10" defaultColWidth="9.140625" defaultRowHeight="15" x14ac:dyDescent="0.25"/>
  <sheetData>
    <row r="1" spans="1:3" x14ac:dyDescent="0.25">
      <c r="A1" t="s">
        <v>347</v>
      </c>
      <c r="B1" t="s">
        <v>348</v>
      </c>
      <c r="C1" t="s">
        <v>490</v>
      </c>
    </row>
    <row r="2" spans="1:3" x14ac:dyDescent="0.25">
      <c r="A2" s="39">
        <v>-0.91</v>
      </c>
      <c r="B2" s="39">
        <v>-1</v>
      </c>
      <c r="C2" t="s">
        <v>491</v>
      </c>
    </row>
    <row r="3" spans="1:3" x14ac:dyDescent="0.25">
      <c r="A3" s="39">
        <v>-0.76</v>
      </c>
      <c r="B3" s="39">
        <v>-0.9</v>
      </c>
      <c r="C3" t="s">
        <v>492</v>
      </c>
    </row>
    <row r="4" spans="1:3" x14ac:dyDescent="0.25">
      <c r="A4" s="39">
        <v>-0.51</v>
      </c>
      <c r="B4" s="39">
        <v>-0.75</v>
      </c>
      <c r="C4" t="s">
        <v>493</v>
      </c>
    </row>
    <row r="5" spans="1:3" x14ac:dyDescent="0.25">
      <c r="A5" s="39">
        <v>-0.26</v>
      </c>
      <c r="B5" s="39">
        <v>-0.5</v>
      </c>
      <c r="C5" t="s">
        <v>494</v>
      </c>
    </row>
    <row r="6" spans="1:3" x14ac:dyDescent="0.25">
      <c r="A6" s="39">
        <v>-0.11</v>
      </c>
      <c r="B6" s="39">
        <v>-0.25</v>
      </c>
      <c r="C6" t="s">
        <v>495</v>
      </c>
    </row>
    <row r="7" spans="1:3" x14ac:dyDescent="0.25">
      <c r="A7" s="39">
        <v>-0.01</v>
      </c>
      <c r="B7" s="39">
        <v>-0.1</v>
      </c>
      <c r="C7" t="s">
        <v>496</v>
      </c>
    </row>
    <row r="8" spans="1:3" x14ac:dyDescent="0.25">
      <c r="A8" s="39">
        <v>0</v>
      </c>
      <c r="B8" s="39">
        <v>0</v>
      </c>
      <c r="C8" t="s">
        <v>497</v>
      </c>
    </row>
    <row r="9" spans="1:3" x14ac:dyDescent="0.25">
      <c r="A9" s="39">
        <v>0.01</v>
      </c>
      <c r="B9" s="39">
        <v>0.1</v>
      </c>
      <c r="C9" t="s">
        <v>498</v>
      </c>
    </row>
    <row r="10" spans="1:3" x14ac:dyDescent="0.25">
      <c r="A10" s="39">
        <v>0.11</v>
      </c>
      <c r="B10" s="39">
        <v>0.25</v>
      </c>
      <c r="C10" t="s">
        <v>499</v>
      </c>
    </row>
    <row r="11" spans="1:3" x14ac:dyDescent="0.25">
      <c r="A11" s="39">
        <v>0.26</v>
      </c>
      <c r="B11" s="39">
        <v>0.5</v>
      </c>
      <c r="C11" t="s">
        <v>500</v>
      </c>
    </row>
    <row r="12" spans="1:3" x14ac:dyDescent="0.25">
      <c r="A12" s="39">
        <v>0.51</v>
      </c>
      <c r="B12" s="39">
        <v>0.75</v>
      </c>
      <c r="C12" t="s">
        <v>501</v>
      </c>
    </row>
    <row r="13" spans="1:3" x14ac:dyDescent="0.25">
      <c r="A13" s="39">
        <v>0.76</v>
      </c>
      <c r="B13" s="39">
        <v>0.9</v>
      </c>
      <c r="C13" t="s">
        <v>502</v>
      </c>
    </row>
    <row r="14" spans="1:3" x14ac:dyDescent="0.25">
      <c r="A14" s="39">
        <v>0.91</v>
      </c>
      <c r="B14" s="39">
        <v>1</v>
      </c>
      <c r="C14" t="s">
        <v>503</v>
      </c>
    </row>
  </sheetData>
  <sheetProtection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12</vt:i4>
      </vt:variant>
    </vt:vector>
  </HeadingPairs>
  <TitlesOfParts>
    <vt:vector size="12" baseType="lpstr">
      <vt:lpstr>Gestión de abastecimiento</vt:lpstr>
      <vt:lpstr>Por Valoracion (3) Dimension</vt:lpstr>
      <vt:lpstr>Tabulacion por item</vt:lpstr>
      <vt:lpstr>Por conteo Dimension</vt:lpstr>
      <vt:lpstr>Satisfacción de los comités d</vt:lpstr>
      <vt:lpstr>Por Valoracion (3) Dimension 2</vt:lpstr>
      <vt:lpstr>Tabulacion por item 2</vt:lpstr>
      <vt:lpstr>Por conteo Dimension 2</vt:lpstr>
      <vt:lpstr>Rela. ent. dimension</vt:lpstr>
      <vt:lpstr>Rela. dimen. ent. vari</vt:lpstr>
      <vt:lpstr>Rela. ent. variable</vt:lpstr>
      <vt:lpstr>Criterio para el valor r</vt:lpstr>
    </vt:vector>
  </TitlesOfParts>
  <Manager/>
  <Company>Microsoft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PC-4640</cp:lastModifiedBy>
  <dcterms:created xsi:type="dcterms:W3CDTF">2026-01-12T01:51:40Z</dcterms:created>
  <dcterms:modified xsi:type="dcterms:W3CDTF">2026-02-04T22:44:21Z</dcterms:modified>
  <cp:category/>
</cp:coreProperties>
</file>